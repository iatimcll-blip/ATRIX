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AINEL ATRIX\"/>
    </mc:Choice>
  </mc:AlternateContent>
  <xr:revisionPtr revIDLastSave="0" documentId="13_ncr:1_{AEF3C640-94C7-4A67-9CCA-63EB35CC88AA}" xr6:coauthVersionLast="47" xr6:coauthVersionMax="47" xr10:uidLastSave="{00000000-0000-0000-0000-000000000000}"/>
  <bookViews>
    <workbookView xWindow="-108" yWindow="-108" windowWidth="23256" windowHeight="12576" tabRatio="813" activeTab="5" xr2:uid="{00000000-000D-0000-FFFF-FFFF00000000}"/>
  </bookViews>
  <sheets>
    <sheet name="BASE" sheetId="1" r:id="rId1"/>
    <sheet name="DASHBOARD" sheetId="2" r:id="rId2"/>
    <sheet name="TABELA_DINAMICA" sheetId="3" r:id="rId3"/>
    <sheet name="RESUMO_ENVIO" sheetId="4" r:id="rId4"/>
    <sheet name="FERIADOS" sheetId="5" r:id="rId5"/>
    <sheet name="Planilha1" sheetId="6" r:id="rId6"/>
  </sheets>
  <definedNames>
    <definedName name="_xlnm._FilterDatabase" localSheetId="0" hidden="1">BASE!$A$1:$V$995</definedName>
    <definedName name="_xlnm._FilterDatabase" localSheetId="5" hidden="1">Planilha1!$A$1:$M$1</definedName>
    <definedName name="_xlnm._FilterDatabase" localSheetId="3" hidden="1">RESUMO_ENVIO!$B$6:$J$26</definedName>
    <definedName name="_xlnm._FilterDatabase" localSheetId="2" hidden="1">TABELA_DINAMICA!$B$4:$F$18</definedName>
  </definedNames>
  <calcPr calcId="181029" forceFullCalc="1"/>
</workbook>
</file>

<file path=xl/calcChain.xml><?xml version="1.0" encoding="utf-8"?>
<calcChain xmlns="http://schemas.openxmlformats.org/spreadsheetml/2006/main">
  <c r="M7" i="1" l="1"/>
  <c r="N7" i="1" s="1"/>
  <c r="T7" i="1" s="1"/>
  <c r="M8" i="1"/>
  <c r="N8" i="1" s="1"/>
  <c r="M9" i="1"/>
  <c r="N9" i="1" s="1"/>
  <c r="M6" i="1"/>
  <c r="N6" i="1" s="1"/>
  <c r="M5" i="1"/>
  <c r="N5" i="1" s="1"/>
  <c r="T5" i="1" s="1"/>
  <c r="M4" i="1"/>
  <c r="N4" i="1" s="1"/>
  <c r="M3" i="1"/>
  <c r="N3" i="1" s="1"/>
  <c r="T3" i="1" s="1"/>
  <c r="M2" i="1"/>
  <c r="N2" i="1" s="1"/>
  <c r="T2" i="1" s="1"/>
  <c r="M19" i="1"/>
  <c r="M20" i="1"/>
  <c r="M21" i="1"/>
  <c r="M22" i="1"/>
  <c r="M23" i="1"/>
  <c r="N23" i="1" s="1"/>
  <c r="T23" i="1" s="1"/>
  <c r="M24" i="1"/>
  <c r="N24" i="1" s="1"/>
  <c r="M25" i="1"/>
  <c r="N25" i="1" s="1"/>
  <c r="T25" i="1" s="1"/>
  <c r="M26" i="1"/>
  <c r="N26" i="1" s="1"/>
  <c r="T26" i="1" s="1"/>
  <c r="M27" i="1"/>
  <c r="M10" i="1"/>
  <c r="N10" i="1" s="1"/>
  <c r="M11" i="1"/>
  <c r="N11" i="1" s="1"/>
  <c r="M12" i="1"/>
  <c r="N12" i="1" s="1"/>
  <c r="M13" i="1"/>
  <c r="N13" i="1" s="1"/>
  <c r="T13" i="1" s="1"/>
  <c r="M14" i="1"/>
  <c r="N14" i="1" s="1"/>
  <c r="M15" i="1"/>
  <c r="N15" i="1" s="1"/>
  <c r="T15" i="1" s="1"/>
  <c r="M16" i="1"/>
  <c r="N16" i="1" s="1"/>
  <c r="M17" i="1"/>
  <c r="N17" i="1" s="1"/>
  <c r="T17" i="1" s="1"/>
  <c r="M18" i="1"/>
  <c r="N18" i="1" s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N28" i="1"/>
  <c r="O28" i="1"/>
  <c r="P28" i="1" s="1"/>
  <c r="F18" i="3"/>
  <c r="E18" i="3"/>
  <c r="D18" i="3"/>
  <c r="C18" i="3"/>
  <c r="F13" i="3"/>
  <c r="E13" i="3"/>
  <c r="D13" i="3"/>
  <c r="C13" i="3"/>
  <c r="F9" i="3"/>
  <c r="E9" i="3"/>
  <c r="D9" i="3"/>
  <c r="C9" i="3"/>
  <c r="F5" i="3"/>
  <c r="E5" i="3"/>
  <c r="D5" i="3"/>
  <c r="C5" i="3"/>
  <c r="F22" i="2"/>
  <c r="F21" i="2"/>
  <c r="F20" i="2"/>
  <c r="B7" i="2"/>
  <c r="B3" i="2"/>
  <c r="U995" i="1"/>
  <c r="T995" i="1"/>
  <c r="S995" i="1"/>
  <c r="R995" i="1"/>
  <c r="Q995" i="1"/>
  <c r="P995" i="1"/>
  <c r="O995" i="1"/>
  <c r="N995" i="1"/>
  <c r="M995" i="1"/>
  <c r="U994" i="1"/>
  <c r="T994" i="1"/>
  <c r="S994" i="1"/>
  <c r="R994" i="1"/>
  <c r="Q994" i="1"/>
  <c r="P994" i="1"/>
  <c r="O994" i="1"/>
  <c r="N994" i="1"/>
  <c r="M994" i="1"/>
  <c r="U993" i="1"/>
  <c r="T993" i="1"/>
  <c r="S993" i="1"/>
  <c r="R993" i="1"/>
  <c r="Q993" i="1"/>
  <c r="P993" i="1"/>
  <c r="O993" i="1"/>
  <c r="N993" i="1"/>
  <c r="M993" i="1"/>
  <c r="U992" i="1"/>
  <c r="T992" i="1"/>
  <c r="S992" i="1"/>
  <c r="R992" i="1"/>
  <c r="Q992" i="1"/>
  <c r="P992" i="1"/>
  <c r="O992" i="1"/>
  <c r="N992" i="1"/>
  <c r="M992" i="1"/>
  <c r="U991" i="1"/>
  <c r="T991" i="1"/>
  <c r="S991" i="1"/>
  <c r="R991" i="1"/>
  <c r="Q991" i="1"/>
  <c r="P991" i="1"/>
  <c r="O991" i="1"/>
  <c r="N991" i="1"/>
  <c r="M991" i="1"/>
  <c r="U990" i="1"/>
  <c r="T990" i="1"/>
  <c r="S990" i="1"/>
  <c r="R990" i="1"/>
  <c r="Q990" i="1"/>
  <c r="P990" i="1"/>
  <c r="O990" i="1"/>
  <c r="N990" i="1"/>
  <c r="M990" i="1"/>
  <c r="U989" i="1"/>
  <c r="T989" i="1"/>
  <c r="S989" i="1"/>
  <c r="R989" i="1"/>
  <c r="Q989" i="1"/>
  <c r="P989" i="1"/>
  <c r="O989" i="1"/>
  <c r="N989" i="1"/>
  <c r="M989" i="1"/>
  <c r="U988" i="1"/>
  <c r="T988" i="1"/>
  <c r="S988" i="1"/>
  <c r="R988" i="1"/>
  <c r="Q988" i="1"/>
  <c r="P988" i="1"/>
  <c r="O988" i="1"/>
  <c r="N988" i="1"/>
  <c r="M988" i="1"/>
  <c r="U987" i="1"/>
  <c r="T987" i="1"/>
  <c r="S987" i="1"/>
  <c r="R987" i="1"/>
  <c r="Q987" i="1"/>
  <c r="P987" i="1"/>
  <c r="O987" i="1"/>
  <c r="N987" i="1"/>
  <c r="M987" i="1"/>
  <c r="U986" i="1"/>
  <c r="T986" i="1"/>
  <c r="S986" i="1"/>
  <c r="R986" i="1"/>
  <c r="Q986" i="1"/>
  <c r="P986" i="1"/>
  <c r="O986" i="1"/>
  <c r="N986" i="1"/>
  <c r="M986" i="1"/>
  <c r="U985" i="1"/>
  <c r="T985" i="1"/>
  <c r="S985" i="1"/>
  <c r="R985" i="1"/>
  <c r="Q985" i="1"/>
  <c r="P985" i="1"/>
  <c r="O985" i="1"/>
  <c r="N985" i="1"/>
  <c r="M985" i="1"/>
  <c r="U984" i="1"/>
  <c r="T984" i="1"/>
  <c r="S984" i="1"/>
  <c r="R984" i="1"/>
  <c r="Q984" i="1"/>
  <c r="P984" i="1"/>
  <c r="O984" i="1"/>
  <c r="N984" i="1"/>
  <c r="M984" i="1"/>
  <c r="U983" i="1"/>
  <c r="T983" i="1"/>
  <c r="S983" i="1"/>
  <c r="R983" i="1"/>
  <c r="Q983" i="1"/>
  <c r="P983" i="1"/>
  <c r="O983" i="1"/>
  <c r="N983" i="1"/>
  <c r="M983" i="1"/>
  <c r="U982" i="1"/>
  <c r="T982" i="1"/>
  <c r="S982" i="1"/>
  <c r="R982" i="1"/>
  <c r="Q982" i="1"/>
  <c r="P982" i="1"/>
  <c r="O982" i="1"/>
  <c r="N982" i="1"/>
  <c r="M982" i="1"/>
  <c r="U981" i="1"/>
  <c r="T981" i="1"/>
  <c r="S981" i="1"/>
  <c r="R981" i="1"/>
  <c r="Q981" i="1"/>
  <c r="P981" i="1"/>
  <c r="O981" i="1"/>
  <c r="N981" i="1"/>
  <c r="M981" i="1"/>
  <c r="U980" i="1"/>
  <c r="T980" i="1"/>
  <c r="S980" i="1"/>
  <c r="R980" i="1"/>
  <c r="Q980" i="1"/>
  <c r="P980" i="1"/>
  <c r="O980" i="1"/>
  <c r="N980" i="1"/>
  <c r="M980" i="1"/>
  <c r="U979" i="1"/>
  <c r="T979" i="1"/>
  <c r="S979" i="1"/>
  <c r="R979" i="1"/>
  <c r="Q979" i="1"/>
  <c r="P979" i="1"/>
  <c r="O979" i="1"/>
  <c r="N979" i="1"/>
  <c r="M979" i="1"/>
  <c r="U978" i="1"/>
  <c r="T978" i="1"/>
  <c r="S978" i="1"/>
  <c r="R978" i="1"/>
  <c r="Q978" i="1"/>
  <c r="P978" i="1"/>
  <c r="O978" i="1"/>
  <c r="N978" i="1"/>
  <c r="M978" i="1"/>
  <c r="U977" i="1"/>
  <c r="T977" i="1"/>
  <c r="S977" i="1"/>
  <c r="R977" i="1"/>
  <c r="Q977" i="1"/>
  <c r="P977" i="1"/>
  <c r="O977" i="1"/>
  <c r="N977" i="1"/>
  <c r="M977" i="1"/>
  <c r="U976" i="1"/>
  <c r="T976" i="1"/>
  <c r="S976" i="1"/>
  <c r="R976" i="1"/>
  <c r="Q976" i="1"/>
  <c r="P976" i="1"/>
  <c r="O976" i="1"/>
  <c r="N976" i="1"/>
  <c r="M976" i="1"/>
  <c r="U975" i="1"/>
  <c r="T975" i="1"/>
  <c r="S975" i="1"/>
  <c r="R975" i="1"/>
  <c r="Q975" i="1"/>
  <c r="P975" i="1"/>
  <c r="O975" i="1"/>
  <c r="N975" i="1"/>
  <c r="M975" i="1"/>
  <c r="U974" i="1"/>
  <c r="T974" i="1"/>
  <c r="S974" i="1"/>
  <c r="R974" i="1"/>
  <c r="Q974" i="1"/>
  <c r="P974" i="1"/>
  <c r="O974" i="1"/>
  <c r="N974" i="1"/>
  <c r="M974" i="1"/>
  <c r="U973" i="1"/>
  <c r="T973" i="1"/>
  <c r="S973" i="1"/>
  <c r="R973" i="1"/>
  <c r="Q973" i="1"/>
  <c r="P973" i="1"/>
  <c r="O973" i="1"/>
  <c r="N973" i="1"/>
  <c r="M973" i="1"/>
  <c r="U972" i="1"/>
  <c r="T972" i="1"/>
  <c r="S972" i="1"/>
  <c r="R972" i="1"/>
  <c r="Q972" i="1"/>
  <c r="P972" i="1"/>
  <c r="O972" i="1"/>
  <c r="N972" i="1"/>
  <c r="M972" i="1"/>
  <c r="U971" i="1"/>
  <c r="T971" i="1"/>
  <c r="S971" i="1"/>
  <c r="R971" i="1"/>
  <c r="Q971" i="1"/>
  <c r="P971" i="1"/>
  <c r="O971" i="1"/>
  <c r="N971" i="1"/>
  <c r="M971" i="1"/>
  <c r="U970" i="1"/>
  <c r="T970" i="1"/>
  <c r="S970" i="1"/>
  <c r="R970" i="1"/>
  <c r="Q970" i="1"/>
  <c r="P970" i="1"/>
  <c r="O970" i="1"/>
  <c r="N970" i="1"/>
  <c r="M970" i="1"/>
  <c r="U969" i="1"/>
  <c r="T969" i="1"/>
  <c r="S969" i="1"/>
  <c r="R969" i="1"/>
  <c r="Q969" i="1"/>
  <c r="P969" i="1"/>
  <c r="O969" i="1"/>
  <c r="N969" i="1"/>
  <c r="M969" i="1"/>
  <c r="U968" i="1"/>
  <c r="T968" i="1"/>
  <c r="S968" i="1"/>
  <c r="R968" i="1"/>
  <c r="Q968" i="1"/>
  <c r="P968" i="1"/>
  <c r="O968" i="1"/>
  <c r="N968" i="1"/>
  <c r="M968" i="1"/>
  <c r="U967" i="1"/>
  <c r="T967" i="1"/>
  <c r="S967" i="1"/>
  <c r="R967" i="1"/>
  <c r="Q967" i="1"/>
  <c r="P967" i="1"/>
  <c r="O967" i="1"/>
  <c r="N967" i="1"/>
  <c r="M967" i="1"/>
  <c r="U966" i="1"/>
  <c r="T966" i="1"/>
  <c r="S966" i="1"/>
  <c r="R966" i="1"/>
  <c r="Q966" i="1"/>
  <c r="P966" i="1"/>
  <c r="O966" i="1"/>
  <c r="N966" i="1"/>
  <c r="M966" i="1"/>
  <c r="U965" i="1"/>
  <c r="T965" i="1"/>
  <c r="S965" i="1"/>
  <c r="R965" i="1"/>
  <c r="Q965" i="1"/>
  <c r="P965" i="1"/>
  <c r="O965" i="1"/>
  <c r="N965" i="1"/>
  <c r="M965" i="1"/>
  <c r="U964" i="1"/>
  <c r="T964" i="1"/>
  <c r="S964" i="1"/>
  <c r="R964" i="1"/>
  <c r="Q964" i="1"/>
  <c r="P964" i="1"/>
  <c r="O964" i="1"/>
  <c r="N964" i="1"/>
  <c r="M964" i="1"/>
  <c r="U963" i="1"/>
  <c r="T963" i="1"/>
  <c r="S963" i="1"/>
  <c r="R963" i="1"/>
  <c r="Q963" i="1"/>
  <c r="P963" i="1"/>
  <c r="O963" i="1"/>
  <c r="N963" i="1"/>
  <c r="M963" i="1"/>
  <c r="U962" i="1"/>
  <c r="T962" i="1"/>
  <c r="S962" i="1"/>
  <c r="R962" i="1"/>
  <c r="Q962" i="1"/>
  <c r="P962" i="1"/>
  <c r="O962" i="1"/>
  <c r="N962" i="1"/>
  <c r="M962" i="1"/>
  <c r="U961" i="1"/>
  <c r="T961" i="1"/>
  <c r="S961" i="1"/>
  <c r="R961" i="1"/>
  <c r="Q961" i="1"/>
  <c r="P961" i="1"/>
  <c r="O961" i="1"/>
  <c r="N961" i="1"/>
  <c r="M961" i="1"/>
  <c r="U960" i="1"/>
  <c r="T960" i="1"/>
  <c r="S960" i="1"/>
  <c r="R960" i="1"/>
  <c r="Q960" i="1"/>
  <c r="P960" i="1"/>
  <c r="O960" i="1"/>
  <c r="N960" i="1"/>
  <c r="M960" i="1"/>
  <c r="U959" i="1"/>
  <c r="T959" i="1"/>
  <c r="S959" i="1"/>
  <c r="R959" i="1"/>
  <c r="Q959" i="1"/>
  <c r="P959" i="1"/>
  <c r="O959" i="1"/>
  <c r="N959" i="1"/>
  <c r="M959" i="1"/>
  <c r="U958" i="1"/>
  <c r="T958" i="1"/>
  <c r="S958" i="1"/>
  <c r="R958" i="1"/>
  <c r="Q958" i="1"/>
  <c r="P958" i="1"/>
  <c r="O958" i="1"/>
  <c r="N958" i="1"/>
  <c r="M958" i="1"/>
  <c r="U957" i="1"/>
  <c r="T957" i="1"/>
  <c r="S957" i="1"/>
  <c r="R957" i="1"/>
  <c r="Q957" i="1"/>
  <c r="P957" i="1"/>
  <c r="O957" i="1"/>
  <c r="N957" i="1"/>
  <c r="M957" i="1"/>
  <c r="U956" i="1"/>
  <c r="T956" i="1"/>
  <c r="S956" i="1"/>
  <c r="R956" i="1"/>
  <c r="Q956" i="1"/>
  <c r="P956" i="1"/>
  <c r="O956" i="1"/>
  <c r="N956" i="1"/>
  <c r="M956" i="1"/>
  <c r="U955" i="1"/>
  <c r="T955" i="1"/>
  <c r="S955" i="1"/>
  <c r="R955" i="1"/>
  <c r="Q955" i="1"/>
  <c r="P955" i="1"/>
  <c r="O955" i="1"/>
  <c r="N955" i="1"/>
  <c r="M955" i="1"/>
  <c r="U954" i="1"/>
  <c r="T954" i="1"/>
  <c r="S954" i="1"/>
  <c r="R954" i="1"/>
  <c r="Q954" i="1"/>
  <c r="P954" i="1"/>
  <c r="O954" i="1"/>
  <c r="N954" i="1"/>
  <c r="M954" i="1"/>
  <c r="U953" i="1"/>
  <c r="T953" i="1"/>
  <c r="S953" i="1"/>
  <c r="R953" i="1"/>
  <c r="Q953" i="1"/>
  <c r="P953" i="1"/>
  <c r="O953" i="1"/>
  <c r="N953" i="1"/>
  <c r="M953" i="1"/>
  <c r="U952" i="1"/>
  <c r="T952" i="1"/>
  <c r="S952" i="1"/>
  <c r="R952" i="1"/>
  <c r="Q952" i="1"/>
  <c r="P952" i="1"/>
  <c r="O952" i="1"/>
  <c r="N952" i="1"/>
  <c r="M952" i="1"/>
  <c r="U951" i="1"/>
  <c r="T951" i="1"/>
  <c r="S951" i="1"/>
  <c r="R951" i="1"/>
  <c r="Q951" i="1"/>
  <c r="P951" i="1"/>
  <c r="O951" i="1"/>
  <c r="N951" i="1"/>
  <c r="M951" i="1"/>
  <c r="U950" i="1"/>
  <c r="T950" i="1"/>
  <c r="S950" i="1"/>
  <c r="R950" i="1"/>
  <c r="Q950" i="1"/>
  <c r="P950" i="1"/>
  <c r="O950" i="1"/>
  <c r="N950" i="1"/>
  <c r="M950" i="1"/>
  <c r="U949" i="1"/>
  <c r="T949" i="1"/>
  <c r="S949" i="1"/>
  <c r="R949" i="1"/>
  <c r="Q949" i="1"/>
  <c r="P949" i="1"/>
  <c r="O949" i="1"/>
  <c r="N949" i="1"/>
  <c r="M949" i="1"/>
  <c r="U948" i="1"/>
  <c r="T948" i="1"/>
  <c r="S948" i="1"/>
  <c r="R948" i="1"/>
  <c r="Q948" i="1"/>
  <c r="P948" i="1"/>
  <c r="O948" i="1"/>
  <c r="N948" i="1"/>
  <c r="M948" i="1"/>
  <c r="U947" i="1"/>
  <c r="T947" i="1"/>
  <c r="S947" i="1"/>
  <c r="R947" i="1"/>
  <c r="Q947" i="1"/>
  <c r="P947" i="1"/>
  <c r="O947" i="1"/>
  <c r="N947" i="1"/>
  <c r="M947" i="1"/>
  <c r="U946" i="1"/>
  <c r="T946" i="1"/>
  <c r="S946" i="1"/>
  <c r="R946" i="1"/>
  <c r="Q946" i="1"/>
  <c r="P946" i="1"/>
  <c r="O946" i="1"/>
  <c r="N946" i="1"/>
  <c r="M946" i="1"/>
  <c r="U945" i="1"/>
  <c r="T945" i="1"/>
  <c r="S945" i="1"/>
  <c r="R945" i="1"/>
  <c r="Q945" i="1"/>
  <c r="P945" i="1"/>
  <c r="O945" i="1"/>
  <c r="N945" i="1"/>
  <c r="M945" i="1"/>
  <c r="U944" i="1"/>
  <c r="T944" i="1"/>
  <c r="S944" i="1"/>
  <c r="R944" i="1"/>
  <c r="Q944" i="1"/>
  <c r="P944" i="1"/>
  <c r="O944" i="1"/>
  <c r="N944" i="1"/>
  <c r="M944" i="1"/>
  <c r="U943" i="1"/>
  <c r="T943" i="1"/>
  <c r="S943" i="1"/>
  <c r="R943" i="1"/>
  <c r="Q943" i="1"/>
  <c r="P943" i="1"/>
  <c r="O943" i="1"/>
  <c r="N943" i="1"/>
  <c r="M943" i="1"/>
  <c r="U942" i="1"/>
  <c r="T942" i="1"/>
  <c r="S942" i="1"/>
  <c r="R942" i="1"/>
  <c r="Q942" i="1"/>
  <c r="P942" i="1"/>
  <c r="O942" i="1"/>
  <c r="N942" i="1"/>
  <c r="M942" i="1"/>
  <c r="U941" i="1"/>
  <c r="T941" i="1"/>
  <c r="S941" i="1"/>
  <c r="R941" i="1"/>
  <c r="Q941" i="1"/>
  <c r="P941" i="1"/>
  <c r="O941" i="1"/>
  <c r="N941" i="1"/>
  <c r="M941" i="1"/>
  <c r="U940" i="1"/>
  <c r="T940" i="1"/>
  <c r="S940" i="1"/>
  <c r="R940" i="1"/>
  <c r="Q940" i="1"/>
  <c r="P940" i="1"/>
  <c r="O940" i="1"/>
  <c r="N940" i="1"/>
  <c r="M940" i="1"/>
  <c r="U939" i="1"/>
  <c r="T939" i="1"/>
  <c r="S939" i="1"/>
  <c r="R939" i="1"/>
  <c r="Q939" i="1"/>
  <c r="P939" i="1"/>
  <c r="O939" i="1"/>
  <c r="N939" i="1"/>
  <c r="M939" i="1"/>
  <c r="U938" i="1"/>
  <c r="T938" i="1"/>
  <c r="S938" i="1"/>
  <c r="R938" i="1"/>
  <c r="Q938" i="1"/>
  <c r="P938" i="1"/>
  <c r="O938" i="1"/>
  <c r="N938" i="1"/>
  <c r="M938" i="1"/>
  <c r="U937" i="1"/>
  <c r="T937" i="1"/>
  <c r="S937" i="1"/>
  <c r="R937" i="1"/>
  <c r="Q937" i="1"/>
  <c r="P937" i="1"/>
  <c r="O937" i="1"/>
  <c r="N937" i="1"/>
  <c r="M937" i="1"/>
  <c r="U936" i="1"/>
  <c r="T936" i="1"/>
  <c r="S936" i="1"/>
  <c r="R936" i="1"/>
  <c r="Q936" i="1"/>
  <c r="P936" i="1"/>
  <c r="O936" i="1"/>
  <c r="N936" i="1"/>
  <c r="M936" i="1"/>
  <c r="U935" i="1"/>
  <c r="T935" i="1"/>
  <c r="S935" i="1"/>
  <c r="R935" i="1"/>
  <c r="Q935" i="1"/>
  <c r="P935" i="1"/>
  <c r="O935" i="1"/>
  <c r="N935" i="1"/>
  <c r="M935" i="1"/>
  <c r="U934" i="1"/>
  <c r="T934" i="1"/>
  <c r="S934" i="1"/>
  <c r="R934" i="1"/>
  <c r="Q934" i="1"/>
  <c r="P934" i="1"/>
  <c r="O934" i="1"/>
  <c r="N934" i="1"/>
  <c r="M934" i="1"/>
  <c r="U933" i="1"/>
  <c r="T933" i="1"/>
  <c r="S933" i="1"/>
  <c r="R933" i="1"/>
  <c r="Q933" i="1"/>
  <c r="P933" i="1"/>
  <c r="O933" i="1"/>
  <c r="N933" i="1"/>
  <c r="M933" i="1"/>
  <c r="U932" i="1"/>
  <c r="T932" i="1"/>
  <c r="S932" i="1"/>
  <c r="R932" i="1"/>
  <c r="Q932" i="1"/>
  <c r="P932" i="1"/>
  <c r="O932" i="1"/>
  <c r="N932" i="1"/>
  <c r="M932" i="1"/>
  <c r="U931" i="1"/>
  <c r="T931" i="1"/>
  <c r="S931" i="1"/>
  <c r="R931" i="1"/>
  <c r="Q931" i="1"/>
  <c r="P931" i="1"/>
  <c r="O931" i="1"/>
  <c r="N931" i="1"/>
  <c r="M931" i="1"/>
  <c r="U930" i="1"/>
  <c r="T930" i="1"/>
  <c r="S930" i="1"/>
  <c r="R930" i="1"/>
  <c r="Q930" i="1"/>
  <c r="P930" i="1"/>
  <c r="O930" i="1"/>
  <c r="N930" i="1"/>
  <c r="M930" i="1"/>
  <c r="U929" i="1"/>
  <c r="T929" i="1"/>
  <c r="S929" i="1"/>
  <c r="R929" i="1"/>
  <c r="Q929" i="1"/>
  <c r="P929" i="1"/>
  <c r="O929" i="1"/>
  <c r="N929" i="1"/>
  <c r="M929" i="1"/>
  <c r="U928" i="1"/>
  <c r="T928" i="1"/>
  <c r="S928" i="1"/>
  <c r="R928" i="1"/>
  <c r="Q928" i="1"/>
  <c r="P928" i="1"/>
  <c r="O928" i="1"/>
  <c r="N928" i="1"/>
  <c r="M928" i="1"/>
  <c r="U927" i="1"/>
  <c r="T927" i="1"/>
  <c r="S927" i="1"/>
  <c r="R927" i="1"/>
  <c r="Q927" i="1"/>
  <c r="P927" i="1"/>
  <c r="O927" i="1"/>
  <c r="N927" i="1"/>
  <c r="M927" i="1"/>
  <c r="U926" i="1"/>
  <c r="T926" i="1"/>
  <c r="S926" i="1"/>
  <c r="R926" i="1"/>
  <c r="Q926" i="1"/>
  <c r="P926" i="1"/>
  <c r="O926" i="1"/>
  <c r="N926" i="1"/>
  <c r="M926" i="1"/>
  <c r="U925" i="1"/>
  <c r="T925" i="1"/>
  <c r="S925" i="1"/>
  <c r="R925" i="1"/>
  <c r="Q925" i="1"/>
  <c r="P925" i="1"/>
  <c r="O925" i="1"/>
  <c r="N925" i="1"/>
  <c r="M925" i="1"/>
  <c r="U924" i="1"/>
  <c r="T924" i="1"/>
  <c r="S924" i="1"/>
  <c r="R924" i="1"/>
  <c r="Q924" i="1"/>
  <c r="P924" i="1"/>
  <c r="O924" i="1"/>
  <c r="N924" i="1"/>
  <c r="M924" i="1"/>
  <c r="U923" i="1"/>
  <c r="T923" i="1"/>
  <c r="S923" i="1"/>
  <c r="R923" i="1"/>
  <c r="Q923" i="1"/>
  <c r="P923" i="1"/>
  <c r="O923" i="1"/>
  <c r="N923" i="1"/>
  <c r="M923" i="1"/>
  <c r="U922" i="1"/>
  <c r="T922" i="1"/>
  <c r="S922" i="1"/>
  <c r="R922" i="1"/>
  <c r="Q922" i="1"/>
  <c r="P922" i="1"/>
  <c r="O922" i="1"/>
  <c r="N922" i="1"/>
  <c r="M922" i="1"/>
  <c r="U921" i="1"/>
  <c r="T921" i="1"/>
  <c r="S921" i="1"/>
  <c r="R921" i="1"/>
  <c r="Q921" i="1"/>
  <c r="P921" i="1"/>
  <c r="O921" i="1"/>
  <c r="N921" i="1"/>
  <c r="M921" i="1"/>
  <c r="U920" i="1"/>
  <c r="T920" i="1"/>
  <c r="S920" i="1"/>
  <c r="R920" i="1"/>
  <c r="Q920" i="1"/>
  <c r="P920" i="1"/>
  <c r="O920" i="1"/>
  <c r="N920" i="1"/>
  <c r="M920" i="1"/>
  <c r="U919" i="1"/>
  <c r="T919" i="1"/>
  <c r="S919" i="1"/>
  <c r="R919" i="1"/>
  <c r="Q919" i="1"/>
  <c r="P919" i="1"/>
  <c r="O919" i="1"/>
  <c r="N919" i="1"/>
  <c r="M919" i="1"/>
  <c r="U918" i="1"/>
  <c r="T918" i="1"/>
  <c r="S918" i="1"/>
  <c r="R918" i="1"/>
  <c r="Q918" i="1"/>
  <c r="P918" i="1"/>
  <c r="O918" i="1"/>
  <c r="N918" i="1"/>
  <c r="M918" i="1"/>
  <c r="U917" i="1"/>
  <c r="T917" i="1"/>
  <c r="S917" i="1"/>
  <c r="R917" i="1"/>
  <c r="Q917" i="1"/>
  <c r="P917" i="1"/>
  <c r="O917" i="1"/>
  <c r="N917" i="1"/>
  <c r="M917" i="1"/>
  <c r="U916" i="1"/>
  <c r="T916" i="1"/>
  <c r="S916" i="1"/>
  <c r="R916" i="1"/>
  <c r="Q916" i="1"/>
  <c r="P916" i="1"/>
  <c r="O916" i="1"/>
  <c r="N916" i="1"/>
  <c r="M916" i="1"/>
  <c r="U915" i="1"/>
  <c r="T915" i="1"/>
  <c r="S915" i="1"/>
  <c r="R915" i="1"/>
  <c r="Q915" i="1"/>
  <c r="P915" i="1"/>
  <c r="O915" i="1"/>
  <c r="N915" i="1"/>
  <c r="M915" i="1"/>
  <c r="U914" i="1"/>
  <c r="T914" i="1"/>
  <c r="S914" i="1"/>
  <c r="R914" i="1"/>
  <c r="Q914" i="1"/>
  <c r="P914" i="1"/>
  <c r="O914" i="1"/>
  <c r="N914" i="1"/>
  <c r="M914" i="1"/>
  <c r="U913" i="1"/>
  <c r="T913" i="1"/>
  <c r="S913" i="1"/>
  <c r="R913" i="1"/>
  <c r="Q913" i="1"/>
  <c r="P913" i="1"/>
  <c r="O913" i="1"/>
  <c r="N913" i="1"/>
  <c r="M913" i="1"/>
  <c r="U912" i="1"/>
  <c r="T912" i="1"/>
  <c r="S912" i="1"/>
  <c r="R912" i="1"/>
  <c r="Q912" i="1"/>
  <c r="P912" i="1"/>
  <c r="O912" i="1"/>
  <c r="N912" i="1"/>
  <c r="M912" i="1"/>
  <c r="U911" i="1"/>
  <c r="T911" i="1"/>
  <c r="S911" i="1"/>
  <c r="R911" i="1"/>
  <c r="Q911" i="1"/>
  <c r="P911" i="1"/>
  <c r="O911" i="1"/>
  <c r="N911" i="1"/>
  <c r="M911" i="1"/>
  <c r="U910" i="1"/>
  <c r="T910" i="1"/>
  <c r="S910" i="1"/>
  <c r="R910" i="1"/>
  <c r="Q910" i="1"/>
  <c r="P910" i="1"/>
  <c r="O910" i="1"/>
  <c r="N910" i="1"/>
  <c r="M910" i="1"/>
  <c r="U909" i="1"/>
  <c r="T909" i="1"/>
  <c r="S909" i="1"/>
  <c r="R909" i="1"/>
  <c r="Q909" i="1"/>
  <c r="P909" i="1"/>
  <c r="O909" i="1"/>
  <c r="N909" i="1"/>
  <c r="M909" i="1"/>
  <c r="U908" i="1"/>
  <c r="T908" i="1"/>
  <c r="S908" i="1"/>
  <c r="R908" i="1"/>
  <c r="Q908" i="1"/>
  <c r="P908" i="1"/>
  <c r="O908" i="1"/>
  <c r="N908" i="1"/>
  <c r="M908" i="1"/>
  <c r="U907" i="1"/>
  <c r="T907" i="1"/>
  <c r="S907" i="1"/>
  <c r="R907" i="1"/>
  <c r="Q907" i="1"/>
  <c r="P907" i="1"/>
  <c r="O907" i="1"/>
  <c r="N907" i="1"/>
  <c r="M907" i="1"/>
  <c r="U906" i="1"/>
  <c r="T906" i="1"/>
  <c r="S906" i="1"/>
  <c r="R906" i="1"/>
  <c r="Q906" i="1"/>
  <c r="P906" i="1"/>
  <c r="O906" i="1"/>
  <c r="N906" i="1"/>
  <c r="M906" i="1"/>
  <c r="U905" i="1"/>
  <c r="T905" i="1"/>
  <c r="S905" i="1"/>
  <c r="R905" i="1"/>
  <c r="Q905" i="1"/>
  <c r="P905" i="1"/>
  <c r="O905" i="1"/>
  <c r="N905" i="1"/>
  <c r="M905" i="1"/>
  <c r="U904" i="1"/>
  <c r="T904" i="1"/>
  <c r="S904" i="1"/>
  <c r="R904" i="1"/>
  <c r="Q904" i="1"/>
  <c r="P904" i="1"/>
  <c r="O904" i="1"/>
  <c r="N904" i="1"/>
  <c r="M904" i="1"/>
  <c r="U903" i="1"/>
  <c r="T903" i="1"/>
  <c r="S903" i="1"/>
  <c r="R903" i="1"/>
  <c r="Q903" i="1"/>
  <c r="P903" i="1"/>
  <c r="O903" i="1"/>
  <c r="N903" i="1"/>
  <c r="M903" i="1"/>
  <c r="U902" i="1"/>
  <c r="T902" i="1"/>
  <c r="S902" i="1"/>
  <c r="R902" i="1"/>
  <c r="Q902" i="1"/>
  <c r="P902" i="1"/>
  <c r="O902" i="1"/>
  <c r="N902" i="1"/>
  <c r="M902" i="1"/>
  <c r="U901" i="1"/>
  <c r="T901" i="1"/>
  <c r="S901" i="1"/>
  <c r="R901" i="1"/>
  <c r="Q901" i="1"/>
  <c r="P901" i="1"/>
  <c r="O901" i="1"/>
  <c r="N901" i="1"/>
  <c r="M901" i="1"/>
  <c r="U900" i="1"/>
  <c r="T900" i="1"/>
  <c r="S900" i="1"/>
  <c r="R900" i="1"/>
  <c r="Q900" i="1"/>
  <c r="P900" i="1"/>
  <c r="O900" i="1"/>
  <c r="N900" i="1"/>
  <c r="M900" i="1"/>
  <c r="U899" i="1"/>
  <c r="T899" i="1"/>
  <c r="S899" i="1"/>
  <c r="R899" i="1"/>
  <c r="Q899" i="1"/>
  <c r="P899" i="1"/>
  <c r="O899" i="1"/>
  <c r="N899" i="1"/>
  <c r="M899" i="1"/>
  <c r="U898" i="1"/>
  <c r="T898" i="1"/>
  <c r="S898" i="1"/>
  <c r="R898" i="1"/>
  <c r="Q898" i="1"/>
  <c r="P898" i="1"/>
  <c r="O898" i="1"/>
  <c r="N898" i="1"/>
  <c r="M898" i="1"/>
  <c r="U897" i="1"/>
  <c r="T897" i="1"/>
  <c r="S897" i="1"/>
  <c r="R897" i="1"/>
  <c r="Q897" i="1"/>
  <c r="P897" i="1"/>
  <c r="O897" i="1"/>
  <c r="N897" i="1"/>
  <c r="M897" i="1"/>
  <c r="U896" i="1"/>
  <c r="T896" i="1"/>
  <c r="S896" i="1"/>
  <c r="R896" i="1"/>
  <c r="Q896" i="1"/>
  <c r="P896" i="1"/>
  <c r="O896" i="1"/>
  <c r="N896" i="1"/>
  <c r="M896" i="1"/>
  <c r="U895" i="1"/>
  <c r="T895" i="1"/>
  <c r="S895" i="1"/>
  <c r="R895" i="1"/>
  <c r="Q895" i="1"/>
  <c r="P895" i="1"/>
  <c r="O895" i="1"/>
  <c r="N895" i="1"/>
  <c r="M895" i="1"/>
  <c r="U894" i="1"/>
  <c r="T894" i="1"/>
  <c r="S894" i="1"/>
  <c r="R894" i="1"/>
  <c r="Q894" i="1"/>
  <c r="P894" i="1"/>
  <c r="O894" i="1"/>
  <c r="N894" i="1"/>
  <c r="M894" i="1"/>
  <c r="U893" i="1"/>
  <c r="T893" i="1"/>
  <c r="S893" i="1"/>
  <c r="R893" i="1"/>
  <c r="Q893" i="1"/>
  <c r="P893" i="1"/>
  <c r="O893" i="1"/>
  <c r="N893" i="1"/>
  <c r="M893" i="1"/>
  <c r="U892" i="1"/>
  <c r="T892" i="1"/>
  <c r="S892" i="1"/>
  <c r="R892" i="1"/>
  <c r="Q892" i="1"/>
  <c r="P892" i="1"/>
  <c r="O892" i="1"/>
  <c r="N892" i="1"/>
  <c r="M892" i="1"/>
  <c r="U891" i="1"/>
  <c r="T891" i="1"/>
  <c r="S891" i="1"/>
  <c r="R891" i="1"/>
  <c r="Q891" i="1"/>
  <c r="P891" i="1"/>
  <c r="O891" i="1"/>
  <c r="N891" i="1"/>
  <c r="M891" i="1"/>
  <c r="U890" i="1"/>
  <c r="T890" i="1"/>
  <c r="S890" i="1"/>
  <c r="R890" i="1"/>
  <c r="Q890" i="1"/>
  <c r="P890" i="1"/>
  <c r="O890" i="1"/>
  <c r="N890" i="1"/>
  <c r="M890" i="1"/>
  <c r="U889" i="1"/>
  <c r="T889" i="1"/>
  <c r="S889" i="1"/>
  <c r="R889" i="1"/>
  <c r="Q889" i="1"/>
  <c r="P889" i="1"/>
  <c r="O889" i="1"/>
  <c r="N889" i="1"/>
  <c r="M889" i="1"/>
  <c r="U888" i="1"/>
  <c r="T888" i="1"/>
  <c r="S888" i="1"/>
  <c r="R888" i="1"/>
  <c r="Q888" i="1"/>
  <c r="P888" i="1"/>
  <c r="O888" i="1"/>
  <c r="N888" i="1"/>
  <c r="M888" i="1"/>
  <c r="U887" i="1"/>
  <c r="T887" i="1"/>
  <c r="S887" i="1"/>
  <c r="R887" i="1"/>
  <c r="Q887" i="1"/>
  <c r="P887" i="1"/>
  <c r="O887" i="1"/>
  <c r="N887" i="1"/>
  <c r="M887" i="1"/>
  <c r="U886" i="1"/>
  <c r="T886" i="1"/>
  <c r="S886" i="1"/>
  <c r="R886" i="1"/>
  <c r="Q886" i="1"/>
  <c r="P886" i="1"/>
  <c r="O886" i="1"/>
  <c r="N886" i="1"/>
  <c r="M886" i="1"/>
  <c r="U885" i="1"/>
  <c r="T885" i="1"/>
  <c r="S885" i="1"/>
  <c r="R885" i="1"/>
  <c r="Q885" i="1"/>
  <c r="P885" i="1"/>
  <c r="O885" i="1"/>
  <c r="N885" i="1"/>
  <c r="M885" i="1"/>
  <c r="U884" i="1"/>
  <c r="T884" i="1"/>
  <c r="S884" i="1"/>
  <c r="R884" i="1"/>
  <c r="Q884" i="1"/>
  <c r="P884" i="1"/>
  <c r="O884" i="1"/>
  <c r="N884" i="1"/>
  <c r="M884" i="1"/>
  <c r="U883" i="1"/>
  <c r="T883" i="1"/>
  <c r="S883" i="1"/>
  <c r="R883" i="1"/>
  <c r="Q883" i="1"/>
  <c r="P883" i="1"/>
  <c r="O883" i="1"/>
  <c r="N883" i="1"/>
  <c r="M883" i="1"/>
  <c r="U882" i="1"/>
  <c r="T882" i="1"/>
  <c r="S882" i="1"/>
  <c r="R882" i="1"/>
  <c r="Q882" i="1"/>
  <c r="P882" i="1"/>
  <c r="O882" i="1"/>
  <c r="N882" i="1"/>
  <c r="M882" i="1"/>
  <c r="U881" i="1"/>
  <c r="T881" i="1"/>
  <c r="S881" i="1"/>
  <c r="R881" i="1"/>
  <c r="Q881" i="1"/>
  <c r="P881" i="1"/>
  <c r="O881" i="1"/>
  <c r="N881" i="1"/>
  <c r="M881" i="1"/>
  <c r="U880" i="1"/>
  <c r="T880" i="1"/>
  <c r="S880" i="1"/>
  <c r="R880" i="1"/>
  <c r="Q880" i="1"/>
  <c r="P880" i="1"/>
  <c r="O880" i="1"/>
  <c r="N880" i="1"/>
  <c r="M880" i="1"/>
  <c r="U879" i="1"/>
  <c r="T879" i="1"/>
  <c r="S879" i="1"/>
  <c r="R879" i="1"/>
  <c r="Q879" i="1"/>
  <c r="P879" i="1"/>
  <c r="O879" i="1"/>
  <c r="N879" i="1"/>
  <c r="M879" i="1"/>
  <c r="U878" i="1"/>
  <c r="T878" i="1"/>
  <c r="S878" i="1"/>
  <c r="R878" i="1"/>
  <c r="Q878" i="1"/>
  <c r="P878" i="1"/>
  <c r="O878" i="1"/>
  <c r="N878" i="1"/>
  <c r="M878" i="1"/>
  <c r="U877" i="1"/>
  <c r="T877" i="1"/>
  <c r="S877" i="1"/>
  <c r="R877" i="1"/>
  <c r="Q877" i="1"/>
  <c r="P877" i="1"/>
  <c r="O877" i="1"/>
  <c r="N877" i="1"/>
  <c r="M877" i="1"/>
  <c r="U876" i="1"/>
  <c r="T876" i="1"/>
  <c r="S876" i="1"/>
  <c r="R876" i="1"/>
  <c r="Q876" i="1"/>
  <c r="P876" i="1"/>
  <c r="O876" i="1"/>
  <c r="N876" i="1"/>
  <c r="M876" i="1"/>
  <c r="U875" i="1"/>
  <c r="T875" i="1"/>
  <c r="S875" i="1"/>
  <c r="R875" i="1"/>
  <c r="Q875" i="1"/>
  <c r="P875" i="1"/>
  <c r="O875" i="1"/>
  <c r="N875" i="1"/>
  <c r="M875" i="1"/>
  <c r="U874" i="1"/>
  <c r="T874" i="1"/>
  <c r="S874" i="1"/>
  <c r="R874" i="1"/>
  <c r="Q874" i="1"/>
  <c r="P874" i="1"/>
  <c r="O874" i="1"/>
  <c r="N874" i="1"/>
  <c r="M874" i="1"/>
  <c r="U873" i="1"/>
  <c r="T873" i="1"/>
  <c r="S873" i="1"/>
  <c r="R873" i="1"/>
  <c r="Q873" i="1"/>
  <c r="P873" i="1"/>
  <c r="O873" i="1"/>
  <c r="N873" i="1"/>
  <c r="M873" i="1"/>
  <c r="U872" i="1"/>
  <c r="T872" i="1"/>
  <c r="S872" i="1"/>
  <c r="R872" i="1"/>
  <c r="Q872" i="1"/>
  <c r="P872" i="1"/>
  <c r="O872" i="1"/>
  <c r="N872" i="1"/>
  <c r="M872" i="1"/>
  <c r="U871" i="1"/>
  <c r="T871" i="1"/>
  <c r="S871" i="1"/>
  <c r="R871" i="1"/>
  <c r="Q871" i="1"/>
  <c r="P871" i="1"/>
  <c r="O871" i="1"/>
  <c r="N871" i="1"/>
  <c r="M871" i="1"/>
  <c r="U870" i="1"/>
  <c r="T870" i="1"/>
  <c r="S870" i="1"/>
  <c r="R870" i="1"/>
  <c r="Q870" i="1"/>
  <c r="P870" i="1"/>
  <c r="O870" i="1"/>
  <c r="N870" i="1"/>
  <c r="M870" i="1"/>
  <c r="U869" i="1"/>
  <c r="T869" i="1"/>
  <c r="S869" i="1"/>
  <c r="R869" i="1"/>
  <c r="Q869" i="1"/>
  <c r="P869" i="1"/>
  <c r="O869" i="1"/>
  <c r="N869" i="1"/>
  <c r="M869" i="1"/>
  <c r="U868" i="1"/>
  <c r="T868" i="1"/>
  <c r="S868" i="1"/>
  <c r="R868" i="1"/>
  <c r="Q868" i="1"/>
  <c r="P868" i="1"/>
  <c r="O868" i="1"/>
  <c r="N868" i="1"/>
  <c r="M868" i="1"/>
  <c r="U867" i="1"/>
  <c r="T867" i="1"/>
  <c r="S867" i="1"/>
  <c r="R867" i="1"/>
  <c r="Q867" i="1"/>
  <c r="P867" i="1"/>
  <c r="O867" i="1"/>
  <c r="N867" i="1"/>
  <c r="M867" i="1"/>
  <c r="U866" i="1"/>
  <c r="T866" i="1"/>
  <c r="S866" i="1"/>
  <c r="R866" i="1"/>
  <c r="Q866" i="1"/>
  <c r="P866" i="1"/>
  <c r="O866" i="1"/>
  <c r="N866" i="1"/>
  <c r="M866" i="1"/>
  <c r="U865" i="1"/>
  <c r="T865" i="1"/>
  <c r="S865" i="1"/>
  <c r="R865" i="1"/>
  <c r="Q865" i="1"/>
  <c r="P865" i="1"/>
  <c r="O865" i="1"/>
  <c r="N865" i="1"/>
  <c r="M865" i="1"/>
  <c r="U864" i="1"/>
  <c r="T864" i="1"/>
  <c r="S864" i="1"/>
  <c r="R864" i="1"/>
  <c r="Q864" i="1"/>
  <c r="P864" i="1"/>
  <c r="O864" i="1"/>
  <c r="N864" i="1"/>
  <c r="M864" i="1"/>
  <c r="U863" i="1"/>
  <c r="T863" i="1"/>
  <c r="S863" i="1"/>
  <c r="R863" i="1"/>
  <c r="Q863" i="1"/>
  <c r="P863" i="1"/>
  <c r="O863" i="1"/>
  <c r="N863" i="1"/>
  <c r="M863" i="1"/>
  <c r="U862" i="1"/>
  <c r="T862" i="1"/>
  <c r="S862" i="1"/>
  <c r="R862" i="1"/>
  <c r="Q862" i="1"/>
  <c r="P862" i="1"/>
  <c r="O862" i="1"/>
  <c r="N862" i="1"/>
  <c r="M862" i="1"/>
  <c r="U861" i="1"/>
  <c r="T861" i="1"/>
  <c r="S861" i="1"/>
  <c r="R861" i="1"/>
  <c r="Q861" i="1"/>
  <c r="P861" i="1"/>
  <c r="O861" i="1"/>
  <c r="N861" i="1"/>
  <c r="M861" i="1"/>
  <c r="U860" i="1"/>
  <c r="T860" i="1"/>
  <c r="S860" i="1"/>
  <c r="R860" i="1"/>
  <c r="Q860" i="1"/>
  <c r="P860" i="1"/>
  <c r="O860" i="1"/>
  <c r="N860" i="1"/>
  <c r="M860" i="1"/>
  <c r="U859" i="1"/>
  <c r="T859" i="1"/>
  <c r="S859" i="1"/>
  <c r="R859" i="1"/>
  <c r="Q859" i="1"/>
  <c r="P859" i="1"/>
  <c r="O859" i="1"/>
  <c r="N859" i="1"/>
  <c r="M859" i="1"/>
  <c r="U858" i="1"/>
  <c r="T858" i="1"/>
  <c r="S858" i="1"/>
  <c r="R858" i="1"/>
  <c r="Q858" i="1"/>
  <c r="P858" i="1"/>
  <c r="O858" i="1"/>
  <c r="N858" i="1"/>
  <c r="M858" i="1"/>
  <c r="U857" i="1"/>
  <c r="T857" i="1"/>
  <c r="S857" i="1"/>
  <c r="R857" i="1"/>
  <c r="Q857" i="1"/>
  <c r="P857" i="1"/>
  <c r="O857" i="1"/>
  <c r="N857" i="1"/>
  <c r="M857" i="1"/>
  <c r="U856" i="1"/>
  <c r="T856" i="1"/>
  <c r="S856" i="1"/>
  <c r="R856" i="1"/>
  <c r="Q856" i="1"/>
  <c r="P856" i="1"/>
  <c r="O856" i="1"/>
  <c r="N856" i="1"/>
  <c r="M856" i="1"/>
  <c r="U855" i="1"/>
  <c r="T855" i="1"/>
  <c r="S855" i="1"/>
  <c r="R855" i="1"/>
  <c r="Q855" i="1"/>
  <c r="P855" i="1"/>
  <c r="O855" i="1"/>
  <c r="N855" i="1"/>
  <c r="M855" i="1"/>
  <c r="U854" i="1"/>
  <c r="T854" i="1"/>
  <c r="S854" i="1"/>
  <c r="R854" i="1"/>
  <c r="Q854" i="1"/>
  <c r="P854" i="1"/>
  <c r="O854" i="1"/>
  <c r="N854" i="1"/>
  <c r="M854" i="1"/>
  <c r="U853" i="1"/>
  <c r="T853" i="1"/>
  <c r="S853" i="1"/>
  <c r="R853" i="1"/>
  <c r="Q853" i="1"/>
  <c r="P853" i="1"/>
  <c r="O853" i="1"/>
  <c r="N853" i="1"/>
  <c r="M853" i="1"/>
  <c r="U852" i="1"/>
  <c r="T852" i="1"/>
  <c r="S852" i="1"/>
  <c r="R852" i="1"/>
  <c r="Q852" i="1"/>
  <c r="P852" i="1"/>
  <c r="O852" i="1"/>
  <c r="N852" i="1"/>
  <c r="M852" i="1"/>
  <c r="U851" i="1"/>
  <c r="T851" i="1"/>
  <c r="S851" i="1"/>
  <c r="R851" i="1"/>
  <c r="Q851" i="1"/>
  <c r="P851" i="1"/>
  <c r="O851" i="1"/>
  <c r="N851" i="1"/>
  <c r="M851" i="1"/>
  <c r="U850" i="1"/>
  <c r="T850" i="1"/>
  <c r="S850" i="1"/>
  <c r="R850" i="1"/>
  <c r="Q850" i="1"/>
  <c r="P850" i="1"/>
  <c r="O850" i="1"/>
  <c r="N850" i="1"/>
  <c r="M850" i="1"/>
  <c r="U849" i="1"/>
  <c r="T849" i="1"/>
  <c r="S849" i="1"/>
  <c r="R849" i="1"/>
  <c r="Q849" i="1"/>
  <c r="P849" i="1"/>
  <c r="O849" i="1"/>
  <c r="N849" i="1"/>
  <c r="M849" i="1"/>
  <c r="U848" i="1"/>
  <c r="T848" i="1"/>
  <c r="S848" i="1"/>
  <c r="R848" i="1"/>
  <c r="Q848" i="1"/>
  <c r="P848" i="1"/>
  <c r="O848" i="1"/>
  <c r="N848" i="1"/>
  <c r="M848" i="1"/>
  <c r="U847" i="1"/>
  <c r="T847" i="1"/>
  <c r="S847" i="1"/>
  <c r="R847" i="1"/>
  <c r="Q847" i="1"/>
  <c r="P847" i="1"/>
  <c r="O847" i="1"/>
  <c r="N847" i="1"/>
  <c r="M847" i="1"/>
  <c r="U846" i="1"/>
  <c r="T846" i="1"/>
  <c r="S846" i="1"/>
  <c r="R846" i="1"/>
  <c r="Q846" i="1"/>
  <c r="P846" i="1"/>
  <c r="O846" i="1"/>
  <c r="N846" i="1"/>
  <c r="M846" i="1"/>
  <c r="U845" i="1"/>
  <c r="T845" i="1"/>
  <c r="S845" i="1"/>
  <c r="R845" i="1"/>
  <c r="Q845" i="1"/>
  <c r="P845" i="1"/>
  <c r="O845" i="1"/>
  <c r="N845" i="1"/>
  <c r="M845" i="1"/>
  <c r="U844" i="1"/>
  <c r="T844" i="1"/>
  <c r="S844" i="1"/>
  <c r="R844" i="1"/>
  <c r="Q844" i="1"/>
  <c r="P844" i="1"/>
  <c r="O844" i="1"/>
  <c r="N844" i="1"/>
  <c r="M844" i="1"/>
  <c r="U843" i="1"/>
  <c r="T843" i="1"/>
  <c r="S843" i="1"/>
  <c r="R843" i="1"/>
  <c r="Q843" i="1"/>
  <c r="P843" i="1"/>
  <c r="O843" i="1"/>
  <c r="N843" i="1"/>
  <c r="M843" i="1"/>
  <c r="U842" i="1"/>
  <c r="T842" i="1"/>
  <c r="S842" i="1"/>
  <c r="R842" i="1"/>
  <c r="Q842" i="1"/>
  <c r="P842" i="1"/>
  <c r="O842" i="1"/>
  <c r="N842" i="1"/>
  <c r="M842" i="1"/>
  <c r="U841" i="1"/>
  <c r="T841" i="1"/>
  <c r="S841" i="1"/>
  <c r="R841" i="1"/>
  <c r="Q841" i="1"/>
  <c r="P841" i="1"/>
  <c r="O841" i="1"/>
  <c r="N841" i="1"/>
  <c r="M841" i="1"/>
  <c r="U840" i="1"/>
  <c r="T840" i="1"/>
  <c r="S840" i="1"/>
  <c r="R840" i="1"/>
  <c r="Q840" i="1"/>
  <c r="P840" i="1"/>
  <c r="O840" i="1"/>
  <c r="N840" i="1"/>
  <c r="M840" i="1"/>
  <c r="U839" i="1"/>
  <c r="T839" i="1"/>
  <c r="S839" i="1"/>
  <c r="R839" i="1"/>
  <c r="Q839" i="1"/>
  <c r="P839" i="1"/>
  <c r="O839" i="1"/>
  <c r="N839" i="1"/>
  <c r="M839" i="1"/>
  <c r="U838" i="1"/>
  <c r="T838" i="1"/>
  <c r="S838" i="1"/>
  <c r="R838" i="1"/>
  <c r="Q838" i="1"/>
  <c r="P838" i="1"/>
  <c r="O838" i="1"/>
  <c r="N838" i="1"/>
  <c r="M838" i="1"/>
  <c r="U837" i="1"/>
  <c r="T837" i="1"/>
  <c r="S837" i="1"/>
  <c r="R837" i="1"/>
  <c r="Q837" i="1"/>
  <c r="P837" i="1"/>
  <c r="O837" i="1"/>
  <c r="N837" i="1"/>
  <c r="M837" i="1"/>
  <c r="U836" i="1"/>
  <c r="T836" i="1"/>
  <c r="S836" i="1"/>
  <c r="R836" i="1"/>
  <c r="Q836" i="1"/>
  <c r="P836" i="1"/>
  <c r="O836" i="1"/>
  <c r="N836" i="1"/>
  <c r="M836" i="1"/>
  <c r="U835" i="1"/>
  <c r="T835" i="1"/>
  <c r="S835" i="1"/>
  <c r="R835" i="1"/>
  <c r="Q835" i="1"/>
  <c r="P835" i="1"/>
  <c r="O835" i="1"/>
  <c r="N835" i="1"/>
  <c r="M835" i="1"/>
  <c r="U834" i="1"/>
  <c r="T834" i="1"/>
  <c r="S834" i="1"/>
  <c r="R834" i="1"/>
  <c r="Q834" i="1"/>
  <c r="P834" i="1"/>
  <c r="O834" i="1"/>
  <c r="N834" i="1"/>
  <c r="M834" i="1"/>
  <c r="U833" i="1"/>
  <c r="T833" i="1"/>
  <c r="S833" i="1"/>
  <c r="R833" i="1"/>
  <c r="Q833" i="1"/>
  <c r="P833" i="1"/>
  <c r="O833" i="1"/>
  <c r="N833" i="1"/>
  <c r="M833" i="1"/>
  <c r="U832" i="1"/>
  <c r="T832" i="1"/>
  <c r="S832" i="1"/>
  <c r="R832" i="1"/>
  <c r="Q832" i="1"/>
  <c r="P832" i="1"/>
  <c r="O832" i="1"/>
  <c r="N832" i="1"/>
  <c r="M832" i="1"/>
  <c r="U831" i="1"/>
  <c r="T831" i="1"/>
  <c r="S831" i="1"/>
  <c r="R831" i="1"/>
  <c r="Q831" i="1"/>
  <c r="P831" i="1"/>
  <c r="O831" i="1"/>
  <c r="N831" i="1"/>
  <c r="M831" i="1"/>
  <c r="U830" i="1"/>
  <c r="T830" i="1"/>
  <c r="S830" i="1"/>
  <c r="R830" i="1"/>
  <c r="Q830" i="1"/>
  <c r="P830" i="1"/>
  <c r="O830" i="1"/>
  <c r="N830" i="1"/>
  <c r="M830" i="1"/>
  <c r="U829" i="1"/>
  <c r="T829" i="1"/>
  <c r="S829" i="1"/>
  <c r="R829" i="1"/>
  <c r="Q829" i="1"/>
  <c r="P829" i="1"/>
  <c r="O829" i="1"/>
  <c r="N829" i="1"/>
  <c r="M829" i="1"/>
  <c r="U828" i="1"/>
  <c r="T828" i="1"/>
  <c r="S828" i="1"/>
  <c r="R828" i="1"/>
  <c r="Q828" i="1"/>
  <c r="P828" i="1"/>
  <c r="O828" i="1"/>
  <c r="N828" i="1"/>
  <c r="M828" i="1"/>
  <c r="U827" i="1"/>
  <c r="T827" i="1"/>
  <c r="S827" i="1"/>
  <c r="R827" i="1"/>
  <c r="Q827" i="1"/>
  <c r="P827" i="1"/>
  <c r="O827" i="1"/>
  <c r="N827" i="1"/>
  <c r="M827" i="1"/>
  <c r="U826" i="1"/>
  <c r="T826" i="1"/>
  <c r="S826" i="1"/>
  <c r="R826" i="1"/>
  <c r="Q826" i="1"/>
  <c r="P826" i="1"/>
  <c r="O826" i="1"/>
  <c r="N826" i="1"/>
  <c r="M826" i="1"/>
  <c r="U825" i="1"/>
  <c r="T825" i="1"/>
  <c r="S825" i="1"/>
  <c r="R825" i="1"/>
  <c r="Q825" i="1"/>
  <c r="P825" i="1"/>
  <c r="O825" i="1"/>
  <c r="N825" i="1"/>
  <c r="M825" i="1"/>
  <c r="U824" i="1"/>
  <c r="T824" i="1"/>
  <c r="S824" i="1"/>
  <c r="R824" i="1"/>
  <c r="Q824" i="1"/>
  <c r="P824" i="1"/>
  <c r="O824" i="1"/>
  <c r="N824" i="1"/>
  <c r="M824" i="1"/>
  <c r="U823" i="1"/>
  <c r="T823" i="1"/>
  <c r="S823" i="1"/>
  <c r="R823" i="1"/>
  <c r="Q823" i="1"/>
  <c r="P823" i="1"/>
  <c r="O823" i="1"/>
  <c r="N823" i="1"/>
  <c r="M823" i="1"/>
  <c r="U822" i="1"/>
  <c r="T822" i="1"/>
  <c r="S822" i="1"/>
  <c r="R822" i="1"/>
  <c r="Q822" i="1"/>
  <c r="P822" i="1"/>
  <c r="O822" i="1"/>
  <c r="N822" i="1"/>
  <c r="M822" i="1"/>
  <c r="U821" i="1"/>
  <c r="T821" i="1"/>
  <c r="S821" i="1"/>
  <c r="R821" i="1"/>
  <c r="Q821" i="1"/>
  <c r="P821" i="1"/>
  <c r="O821" i="1"/>
  <c r="N821" i="1"/>
  <c r="M821" i="1"/>
  <c r="U820" i="1"/>
  <c r="T820" i="1"/>
  <c r="S820" i="1"/>
  <c r="R820" i="1"/>
  <c r="Q820" i="1"/>
  <c r="P820" i="1"/>
  <c r="O820" i="1"/>
  <c r="N820" i="1"/>
  <c r="M820" i="1"/>
  <c r="U819" i="1"/>
  <c r="T819" i="1"/>
  <c r="S819" i="1"/>
  <c r="R819" i="1"/>
  <c r="Q819" i="1"/>
  <c r="P819" i="1"/>
  <c r="O819" i="1"/>
  <c r="N819" i="1"/>
  <c r="M819" i="1"/>
  <c r="U818" i="1"/>
  <c r="T818" i="1"/>
  <c r="S818" i="1"/>
  <c r="R818" i="1"/>
  <c r="Q818" i="1"/>
  <c r="P818" i="1"/>
  <c r="O818" i="1"/>
  <c r="N818" i="1"/>
  <c r="M818" i="1"/>
  <c r="U817" i="1"/>
  <c r="T817" i="1"/>
  <c r="S817" i="1"/>
  <c r="R817" i="1"/>
  <c r="Q817" i="1"/>
  <c r="P817" i="1"/>
  <c r="O817" i="1"/>
  <c r="N817" i="1"/>
  <c r="M817" i="1"/>
  <c r="U816" i="1"/>
  <c r="T816" i="1"/>
  <c r="S816" i="1"/>
  <c r="R816" i="1"/>
  <c r="Q816" i="1"/>
  <c r="P816" i="1"/>
  <c r="O816" i="1"/>
  <c r="N816" i="1"/>
  <c r="M816" i="1"/>
  <c r="U815" i="1"/>
  <c r="T815" i="1"/>
  <c r="S815" i="1"/>
  <c r="R815" i="1"/>
  <c r="Q815" i="1"/>
  <c r="P815" i="1"/>
  <c r="O815" i="1"/>
  <c r="N815" i="1"/>
  <c r="M815" i="1"/>
  <c r="U814" i="1"/>
  <c r="T814" i="1"/>
  <c r="S814" i="1"/>
  <c r="R814" i="1"/>
  <c r="Q814" i="1"/>
  <c r="P814" i="1"/>
  <c r="O814" i="1"/>
  <c r="N814" i="1"/>
  <c r="M814" i="1"/>
  <c r="U813" i="1"/>
  <c r="T813" i="1"/>
  <c r="S813" i="1"/>
  <c r="R813" i="1"/>
  <c r="Q813" i="1"/>
  <c r="P813" i="1"/>
  <c r="O813" i="1"/>
  <c r="N813" i="1"/>
  <c r="M813" i="1"/>
  <c r="U812" i="1"/>
  <c r="T812" i="1"/>
  <c r="S812" i="1"/>
  <c r="R812" i="1"/>
  <c r="Q812" i="1"/>
  <c r="P812" i="1"/>
  <c r="O812" i="1"/>
  <c r="N812" i="1"/>
  <c r="M812" i="1"/>
  <c r="U811" i="1"/>
  <c r="T811" i="1"/>
  <c r="S811" i="1"/>
  <c r="R811" i="1"/>
  <c r="Q811" i="1"/>
  <c r="P811" i="1"/>
  <c r="O811" i="1"/>
  <c r="N811" i="1"/>
  <c r="M811" i="1"/>
  <c r="U810" i="1"/>
  <c r="T810" i="1"/>
  <c r="S810" i="1"/>
  <c r="R810" i="1"/>
  <c r="Q810" i="1"/>
  <c r="P810" i="1"/>
  <c r="O810" i="1"/>
  <c r="N810" i="1"/>
  <c r="M810" i="1"/>
  <c r="U809" i="1"/>
  <c r="T809" i="1"/>
  <c r="S809" i="1"/>
  <c r="R809" i="1"/>
  <c r="Q809" i="1"/>
  <c r="P809" i="1"/>
  <c r="O809" i="1"/>
  <c r="N809" i="1"/>
  <c r="M809" i="1"/>
  <c r="U808" i="1"/>
  <c r="T808" i="1"/>
  <c r="S808" i="1"/>
  <c r="R808" i="1"/>
  <c r="Q808" i="1"/>
  <c r="P808" i="1"/>
  <c r="O808" i="1"/>
  <c r="N808" i="1"/>
  <c r="M808" i="1"/>
  <c r="U807" i="1"/>
  <c r="T807" i="1"/>
  <c r="S807" i="1"/>
  <c r="R807" i="1"/>
  <c r="Q807" i="1"/>
  <c r="P807" i="1"/>
  <c r="O807" i="1"/>
  <c r="N807" i="1"/>
  <c r="M807" i="1"/>
  <c r="U806" i="1"/>
  <c r="T806" i="1"/>
  <c r="S806" i="1"/>
  <c r="R806" i="1"/>
  <c r="Q806" i="1"/>
  <c r="P806" i="1"/>
  <c r="O806" i="1"/>
  <c r="N806" i="1"/>
  <c r="M806" i="1"/>
  <c r="U805" i="1"/>
  <c r="T805" i="1"/>
  <c r="S805" i="1"/>
  <c r="R805" i="1"/>
  <c r="Q805" i="1"/>
  <c r="P805" i="1"/>
  <c r="O805" i="1"/>
  <c r="N805" i="1"/>
  <c r="M805" i="1"/>
  <c r="U804" i="1"/>
  <c r="T804" i="1"/>
  <c r="S804" i="1"/>
  <c r="R804" i="1"/>
  <c r="Q804" i="1"/>
  <c r="P804" i="1"/>
  <c r="O804" i="1"/>
  <c r="N804" i="1"/>
  <c r="M804" i="1"/>
  <c r="U803" i="1"/>
  <c r="T803" i="1"/>
  <c r="S803" i="1"/>
  <c r="R803" i="1"/>
  <c r="Q803" i="1"/>
  <c r="P803" i="1"/>
  <c r="O803" i="1"/>
  <c r="N803" i="1"/>
  <c r="M803" i="1"/>
  <c r="U802" i="1"/>
  <c r="T802" i="1"/>
  <c r="S802" i="1"/>
  <c r="R802" i="1"/>
  <c r="Q802" i="1"/>
  <c r="P802" i="1"/>
  <c r="O802" i="1"/>
  <c r="N802" i="1"/>
  <c r="M802" i="1"/>
  <c r="U801" i="1"/>
  <c r="T801" i="1"/>
  <c r="S801" i="1"/>
  <c r="R801" i="1"/>
  <c r="Q801" i="1"/>
  <c r="P801" i="1"/>
  <c r="O801" i="1"/>
  <c r="N801" i="1"/>
  <c r="M801" i="1"/>
  <c r="U800" i="1"/>
  <c r="T800" i="1"/>
  <c r="S800" i="1"/>
  <c r="R800" i="1"/>
  <c r="Q800" i="1"/>
  <c r="P800" i="1"/>
  <c r="O800" i="1"/>
  <c r="N800" i="1"/>
  <c r="M800" i="1"/>
  <c r="U799" i="1"/>
  <c r="T799" i="1"/>
  <c r="S799" i="1"/>
  <c r="R799" i="1"/>
  <c r="Q799" i="1"/>
  <c r="P799" i="1"/>
  <c r="O799" i="1"/>
  <c r="N799" i="1"/>
  <c r="M799" i="1"/>
  <c r="U798" i="1"/>
  <c r="T798" i="1"/>
  <c r="S798" i="1"/>
  <c r="R798" i="1"/>
  <c r="Q798" i="1"/>
  <c r="P798" i="1"/>
  <c r="O798" i="1"/>
  <c r="N798" i="1"/>
  <c r="M798" i="1"/>
  <c r="U797" i="1"/>
  <c r="T797" i="1"/>
  <c r="S797" i="1"/>
  <c r="R797" i="1"/>
  <c r="Q797" i="1"/>
  <c r="P797" i="1"/>
  <c r="O797" i="1"/>
  <c r="N797" i="1"/>
  <c r="M797" i="1"/>
  <c r="U796" i="1"/>
  <c r="T796" i="1"/>
  <c r="S796" i="1"/>
  <c r="R796" i="1"/>
  <c r="Q796" i="1"/>
  <c r="P796" i="1"/>
  <c r="O796" i="1"/>
  <c r="N796" i="1"/>
  <c r="M796" i="1"/>
  <c r="U795" i="1"/>
  <c r="T795" i="1"/>
  <c r="S795" i="1"/>
  <c r="R795" i="1"/>
  <c r="Q795" i="1"/>
  <c r="P795" i="1"/>
  <c r="O795" i="1"/>
  <c r="N795" i="1"/>
  <c r="M795" i="1"/>
  <c r="U794" i="1"/>
  <c r="T794" i="1"/>
  <c r="S794" i="1"/>
  <c r="R794" i="1"/>
  <c r="Q794" i="1"/>
  <c r="P794" i="1"/>
  <c r="O794" i="1"/>
  <c r="N794" i="1"/>
  <c r="M794" i="1"/>
  <c r="U793" i="1"/>
  <c r="T793" i="1"/>
  <c r="S793" i="1"/>
  <c r="R793" i="1"/>
  <c r="Q793" i="1"/>
  <c r="P793" i="1"/>
  <c r="O793" i="1"/>
  <c r="N793" i="1"/>
  <c r="M793" i="1"/>
  <c r="U792" i="1"/>
  <c r="T792" i="1"/>
  <c r="S792" i="1"/>
  <c r="R792" i="1"/>
  <c r="Q792" i="1"/>
  <c r="P792" i="1"/>
  <c r="O792" i="1"/>
  <c r="N792" i="1"/>
  <c r="M792" i="1"/>
  <c r="U791" i="1"/>
  <c r="T791" i="1"/>
  <c r="S791" i="1"/>
  <c r="R791" i="1"/>
  <c r="Q791" i="1"/>
  <c r="P791" i="1"/>
  <c r="O791" i="1"/>
  <c r="N791" i="1"/>
  <c r="M791" i="1"/>
  <c r="U790" i="1"/>
  <c r="T790" i="1"/>
  <c r="S790" i="1"/>
  <c r="R790" i="1"/>
  <c r="Q790" i="1"/>
  <c r="P790" i="1"/>
  <c r="O790" i="1"/>
  <c r="N790" i="1"/>
  <c r="M790" i="1"/>
  <c r="U789" i="1"/>
  <c r="T789" i="1"/>
  <c r="S789" i="1"/>
  <c r="R789" i="1"/>
  <c r="Q789" i="1"/>
  <c r="P789" i="1"/>
  <c r="O789" i="1"/>
  <c r="N789" i="1"/>
  <c r="M789" i="1"/>
  <c r="U788" i="1"/>
  <c r="T788" i="1"/>
  <c r="S788" i="1"/>
  <c r="R788" i="1"/>
  <c r="Q788" i="1"/>
  <c r="P788" i="1"/>
  <c r="O788" i="1"/>
  <c r="N788" i="1"/>
  <c r="M788" i="1"/>
  <c r="U787" i="1"/>
  <c r="T787" i="1"/>
  <c r="S787" i="1"/>
  <c r="R787" i="1"/>
  <c r="Q787" i="1"/>
  <c r="P787" i="1"/>
  <c r="O787" i="1"/>
  <c r="N787" i="1"/>
  <c r="M787" i="1"/>
  <c r="U786" i="1"/>
  <c r="T786" i="1"/>
  <c r="S786" i="1"/>
  <c r="R786" i="1"/>
  <c r="Q786" i="1"/>
  <c r="P786" i="1"/>
  <c r="O786" i="1"/>
  <c r="N786" i="1"/>
  <c r="M786" i="1"/>
  <c r="U785" i="1"/>
  <c r="T785" i="1"/>
  <c r="S785" i="1"/>
  <c r="R785" i="1"/>
  <c r="Q785" i="1"/>
  <c r="P785" i="1"/>
  <c r="O785" i="1"/>
  <c r="N785" i="1"/>
  <c r="M785" i="1"/>
  <c r="U784" i="1"/>
  <c r="T784" i="1"/>
  <c r="S784" i="1"/>
  <c r="R784" i="1"/>
  <c r="Q784" i="1"/>
  <c r="P784" i="1"/>
  <c r="O784" i="1"/>
  <c r="N784" i="1"/>
  <c r="M784" i="1"/>
  <c r="U783" i="1"/>
  <c r="T783" i="1"/>
  <c r="S783" i="1"/>
  <c r="R783" i="1"/>
  <c r="Q783" i="1"/>
  <c r="P783" i="1"/>
  <c r="O783" i="1"/>
  <c r="N783" i="1"/>
  <c r="M783" i="1"/>
  <c r="U782" i="1"/>
  <c r="T782" i="1"/>
  <c r="S782" i="1"/>
  <c r="R782" i="1"/>
  <c r="Q782" i="1"/>
  <c r="P782" i="1"/>
  <c r="O782" i="1"/>
  <c r="N782" i="1"/>
  <c r="M782" i="1"/>
  <c r="U781" i="1"/>
  <c r="T781" i="1"/>
  <c r="S781" i="1"/>
  <c r="R781" i="1"/>
  <c r="Q781" i="1"/>
  <c r="P781" i="1"/>
  <c r="O781" i="1"/>
  <c r="N781" i="1"/>
  <c r="M781" i="1"/>
  <c r="U780" i="1"/>
  <c r="T780" i="1"/>
  <c r="S780" i="1"/>
  <c r="R780" i="1"/>
  <c r="Q780" i="1"/>
  <c r="P780" i="1"/>
  <c r="O780" i="1"/>
  <c r="N780" i="1"/>
  <c r="M780" i="1"/>
  <c r="U779" i="1"/>
  <c r="T779" i="1"/>
  <c r="S779" i="1"/>
  <c r="R779" i="1"/>
  <c r="Q779" i="1"/>
  <c r="P779" i="1"/>
  <c r="O779" i="1"/>
  <c r="N779" i="1"/>
  <c r="M779" i="1"/>
  <c r="U778" i="1"/>
  <c r="T778" i="1"/>
  <c r="S778" i="1"/>
  <c r="R778" i="1"/>
  <c r="Q778" i="1"/>
  <c r="P778" i="1"/>
  <c r="O778" i="1"/>
  <c r="N778" i="1"/>
  <c r="M778" i="1"/>
  <c r="U777" i="1"/>
  <c r="T777" i="1"/>
  <c r="S777" i="1"/>
  <c r="R777" i="1"/>
  <c r="Q777" i="1"/>
  <c r="P777" i="1"/>
  <c r="O777" i="1"/>
  <c r="N777" i="1"/>
  <c r="M777" i="1"/>
  <c r="U776" i="1"/>
  <c r="T776" i="1"/>
  <c r="S776" i="1"/>
  <c r="R776" i="1"/>
  <c r="Q776" i="1"/>
  <c r="P776" i="1"/>
  <c r="O776" i="1"/>
  <c r="N776" i="1"/>
  <c r="M776" i="1"/>
  <c r="U775" i="1"/>
  <c r="T775" i="1"/>
  <c r="S775" i="1"/>
  <c r="R775" i="1"/>
  <c r="Q775" i="1"/>
  <c r="P775" i="1"/>
  <c r="O775" i="1"/>
  <c r="N775" i="1"/>
  <c r="M775" i="1"/>
  <c r="U774" i="1"/>
  <c r="T774" i="1"/>
  <c r="S774" i="1"/>
  <c r="R774" i="1"/>
  <c r="Q774" i="1"/>
  <c r="P774" i="1"/>
  <c r="O774" i="1"/>
  <c r="N774" i="1"/>
  <c r="M774" i="1"/>
  <c r="U773" i="1"/>
  <c r="T773" i="1"/>
  <c r="S773" i="1"/>
  <c r="R773" i="1"/>
  <c r="Q773" i="1"/>
  <c r="P773" i="1"/>
  <c r="O773" i="1"/>
  <c r="N773" i="1"/>
  <c r="M773" i="1"/>
  <c r="U772" i="1"/>
  <c r="T772" i="1"/>
  <c r="S772" i="1"/>
  <c r="R772" i="1"/>
  <c r="Q772" i="1"/>
  <c r="P772" i="1"/>
  <c r="O772" i="1"/>
  <c r="N772" i="1"/>
  <c r="M772" i="1"/>
  <c r="U771" i="1"/>
  <c r="T771" i="1"/>
  <c r="S771" i="1"/>
  <c r="R771" i="1"/>
  <c r="Q771" i="1"/>
  <c r="P771" i="1"/>
  <c r="O771" i="1"/>
  <c r="N771" i="1"/>
  <c r="M771" i="1"/>
  <c r="U770" i="1"/>
  <c r="T770" i="1"/>
  <c r="S770" i="1"/>
  <c r="R770" i="1"/>
  <c r="Q770" i="1"/>
  <c r="P770" i="1"/>
  <c r="O770" i="1"/>
  <c r="N770" i="1"/>
  <c r="M770" i="1"/>
  <c r="U769" i="1"/>
  <c r="T769" i="1"/>
  <c r="S769" i="1"/>
  <c r="R769" i="1"/>
  <c r="Q769" i="1"/>
  <c r="P769" i="1"/>
  <c r="O769" i="1"/>
  <c r="N769" i="1"/>
  <c r="M769" i="1"/>
  <c r="U768" i="1"/>
  <c r="T768" i="1"/>
  <c r="S768" i="1"/>
  <c r="R768" i="1"/>
  <c r="Q768" i="1"/>
  <c r="P768" i="1"/>
  <c r="O768" i="1"/>
  <c r="N768" i="1"/>
  <c r="M768" i="1"/>
  <c r="U767" i="1"/>
  <c r="T767" i="1"/>
  <c r="S767" i="1"/>
  <c r="R767" i="1"/>
  <c r="Q767" i="1"/>
  <c r="P767" i="1"/>
  <c r="O767" i="1"/>
  <c r="N767" i="1"/>
  <c r="M767" i="1"/>
  <c r="U766" i="1"/>
  <c r="T766" i="1"/>
  <c r="S766" i="1"/>
  <c r="R766" i="1"/>
  <c r="Q766" i="1"/>
  <c r="P766" i="1"/>
  <c r="O766" i="1"/>
  <c r="N766" i="1"/>
  <c r="M766" i="1"/>
  <c r="U765" i="1"/>
  <c r="T765" i="1"/>
  <c r="S765" i="1"/>
  <c r="R765" i="1"/>
  <c r="Q765" i="1"/>
  <c r="P765" i="1"/>
  <c r="O765" i="1"/>
  <c r="N765" i="1"/>
  <c r="M765" i="1"/>
  <c r="U764" i="1"/>
  <c r="T764" i="1"/>
  <c r="S764" i="1"/>
  <c r="R764" i="1"/>
  <c r="Q764" i="1"/>
  <c r="P764" i="1"/>
  <c r="O764" i="1"/>
  <c r="N764" i="1"/>
  <c r="M764" i="1"/>
  <c r="U763" i="1"/>
  <c r="T763" i="1"/>
  <c r="S763" i="1"/>
  <c r="R763" i="1"/>
  <c r="Q763" i="1"/>
  <c r="P763" i="1"/>
  <c r="O763" i="1"/>
  <c r="N763" i="1"/>
  <c r="M763" i="1"/>
  <c r="U762" i="1"/>
  <c r="T762" i="1"/>
  <c r="S762" i="1"/>
  <c r="R762" i="1"/>
  <c r="Q762" i="1"/>
  <c r="P762" i="1"/>
  <c r="O762" i="1"/>
  <c r="N762" i="1"/>
  <c r="M762" i="1"/>
  <c r="U761" i="1"/>
  <c r="T761" i="1"/>
  <c r="S761" i="1"/>
  <c r="R761" i="1"/>
  <c r="Q761" i="1"/>
  <c r="P761" i="1"/>
  <c r="O761" i="1"/>
  <c r="N761" i="1"/>
  <c r="M761" i="1"/>
  <c r="U760" i="1"/>
  <c r="T760" i="1"/>
  <c r="S760" i="1"/>
  <c r="R760" i="1"/>
  <c r="Q760" i="1"/>
  <c r="P760" i="1"/>
  <c r="O760" i="1"/>
  <c r="N760" i="1"/>
  <c r="M760" i="1"/>
  <c r="U759" i="1"/>
  <c r="T759" i="1"/>
  <c r="S759" i="1"/>
  <c r="R759" i="1"/>
  <c r="Q759" i="1"/>
  <c r="P759" i="1"/>
  <c r="O759" i="1"/>
  <c r="N759" i="1"/>
  <c r="M759" i="1"/>
  <c r="U758" i="1"/>
  <c r="T758" i="1"/>
  <c r="S758" i="1"/>
  <c r="R758" i="1"/>
  <c r="Q758" i="1"/>
  <c r="P758" i="1"/>
  <c r="O758" i="1"/>
  <c r="N758" i="1"/>
  <c r="M758" i="1"/>
  <c r="U757" i="1"/>
  <c r="T757" i="1"/>
  <c r="S757" i="1"/>
  <c r="R757" i="1"/>
  <c r="Q757" i="1"/>
  <c r="P757" i="1"/>
  <c r="O757" i="1"/>
  <c r="N757" i="1"/>
  <c r="M757" i="1"/>
  <c r="U756" i="1"/>
  <c r="T756" i="1"/>
  <c r="S756" i="1"/>
  <c r="R756" i="1"/>
  <c r="Q756" i="1"/>
  <c r="P756" i="1"/>
  <c r="O756" i="1"/>
  <c r="N756" i="1"/>
  <c r="M756" i="1"/>
  <c r="U755" i="1"/>
  <c r="T755" i="1"/>
  <c r="S755" i="1"/>
  <c r="R755" i="1"/>
  <c r="Q755" i="1"/>
  <c r="P755" i="1"/>
  <c r="O755" i="1"/>
  <c r="N755" i="1"/>
  <c r="M755" i="1"/>
  <c r="U754" i="1"/>
  <c r="T754" i="1"/>
  <c r="S754" i="1"/>
  <c r="R754" i="1"/>
  <c r="Q754" i="1"/>
  <c r="P754" i="1"/>
  <c r="O754" i="1"/>
  <c r="N754" i="1"/>
  <c r="M754" i="1"/>
  <c r="U753" i="1"/>
  <c r="T753" i="1"/>
  <c r="S753" i="1"/>
  <c r="R753" i="1"/>
  <c r="Q753" i="1"/>
  <c r="P753" i="1"/>
  <c r="O753" i="1"/>
  <c r="N753" i="1"/>
  <c r="M753" i="1"/>
  <c r="U752" i="1"/>
  <c r="T752" i="1"/>
  <c r="S752" i="1"/>
  <c r="R752" i="1"/>
  <c r="Q752" i="1"/>
  <c r="P752" i="1"/>
  <c r="O752" i="1"/>
  <c r="N752" i="1"/>
  <c r="M752" i="1"/>
  <c r="U751" i="1"/>
  <c r="T751" i="1"/>
  <c r="S751" i="1"/>
  <c r="R751" i="1"/>
  <c r="Q751" i="1"/>
  <c r="P751" i="1"/>
  <c r="O751" i="1"/>
  <c r="N751" i="1"/>
  <c r="M751" i="1"/>
  <c r="U750" i="1"/>
  <c r="T750" i="1"/>
  <c r="S750" i="1"/>
  <c r="R750" i="1"/>
  <c r="Q750" i="1"/>
  <c r="P750" i="1"/>
  <c r="O750" i="1"/>
  <c r="N750" i="1"/>
  <c r="M750" i="1"/>
  <c r="U749" i="1"/>
  <c r="T749" i="1"/>
  <c r="S749" i="1"/>
  <c r="R749" i="1"/>
  <c r="Q749" i="1"/>
  <c r="P749" i="1"/>
  <c r="O749" i="1"/>
  <c r="N749" i="1"/>
  <c r="M749" i="1"/>
  <c r="U748" i="1"/>
  <c r="T748" i="1"/>
  <c r="S748" i="1"/>
  <c r="R748" i="1"/>
  <c r="Q748" i="1"/>
  <c r="P748" i="1"/>
  <c r="O748" i="1"/>
  <c r="N748" i="1"/>
  <c r="M748" i="1"/>
  <c r="U747" i="1"/>
  <c r="T747" i="1"/>
  <c r="S747" i="1"/>
  <c r="R747" i="1"/>
  <c r="Q747" i="1"/>
  <c r="P747" i="1"/>
  <c r="O747" i="1"/>
  <c r="N747" i="1"/>
  <c r="M747" i="1"/>
  <c r="U746" i="1"/>
  <c r="T746" i="1"/>
  <c r="S746" i="1"/>
  <c r="R746" i="1"/>
  <c r="Q746" i="1"/>
  <c r="P746" i="1"/>
  <c r="O746" i="1"/>
  <c r="N746" i="1"/>
  <c r="M746" i="1"/>
  <c r="U745" i="1"/>
  <c r="T745" i="1"/>
  <c r="S745" i="1"/>
  <c r="R745" i="1"/>
  <c r="Q745" i="1"/>
  <c r="P745" i="1"/>
  <c r="O745" i="1"/>
  <c r="N745" i="1"/>
  <c r="M745" i="1"/>
  <c r="U744" i="1"/>
  <c r="T744" i="1"/>
  <c r="S744" i="1"/>
  <c r="R744" i="1"/>
  <c r="Q744" i="1"/>
  <c r="P744" i="1"/>
  <c r="O744" i="1"/>
  <c r="N744" i="1"/>
  <c r="M744" i="1"/>
  <c r="U743" i="1"/>
  <c r="T743" i="1"/>
  <c r="S743" i="1"/>
  <c r="R743" i="1"/>
  <c r="Q743" i="1"/>
  <c r="P743" i="1"/>
  <c r="O743" i="1"/>
  <c r="N743" i="1"/>
  <c r="M743" i="1"/>
  <c r="U742" i="1"/>
  <c r="T742" i="1"/>
  <c r="S742" i="1"/>
  <c r="R742" i="1"/>
  <c r="Q742" i="1"/>
  <c r="P742" i="1"/>
  <c r="O742" i="1"/>
  <c r="N742" i="1"/>
  <c r="M742" i="1"/>
  <c r="U741" i="1"/>
  <c r="T741" i="1"/>
  <c r="S741" i="1"/>
  <c r="R741" i="1"/>
  <c r="Q741" i="1"/>
  <c r="P741" i="1"/>
  <c r="O741" i="1"/>
  <c r="N741" i="1"/>
  <c r="M741" i="1"/>
  <c r="U740" i="1"/>
  <c r="T740" i="1"/>
  <c r="S740" i="1"/>
  <c r="R740" i="1"/>
  <c r="Q740" i="1"/>
  <c r="P740" i="1"/>
  <c r="O740" i="1"/>
  <c r="N740" i="1"/>
  <c r="M740" i="1"/>
  <c r="U739" i="1"/>
  <c r="T739" i="1"/>
  <c r="S739" i="1"/>
  <c r="R739" i="1"/>
  <c r="Q739" i="1"/>
  <c r="P739" i="1"/>
  <c r="O739" i="1"/>
  <c r="N739" i="1"/>
  <c r="M739" i="1"/>
  <c r="U738" i="1"/>
  <c r="T738" i="1"/>
  <c r="S738" i="1"/>
  <c r="R738" i="1"/>
  <c r="Q738" i="1"/>
  <c r="P738" i="1"/>
  <c r="O738" i="1"/>
  <c r="N738" i="1"/>
  <c r="M738" i="1"/>
  <c r="U737" i="1"/>
  <c r="T737" i="1"/>
  <c r="S737" i="1"/>
  <c r="R737" i="1"/>
  <c r="Q737" i="1"/>
  <c r="P737" i="1"/>
  <c r="O737" i="1"/>
  <c r="N737" i="1"/>
  <c r="M737" i="1"/>
  <c r="U736" i="1"/>
  <c r="T736" i="1"/>
  <c r="S736" i="1"/>
  <c r="R736" i="1"/>
  <c r="Q736" i="1"/>
  <c r="P736" i="1"/>
  <c r="O736" i="1"/>
  <c r="N736" i="1"/>
  <c r="M736" i="1"/>
  <c r="U735" i="1"/>
  <c r="T735" i="1"/>
  <c r="S735" i="1"/>
  <c r="R735" i="1"/>
  <c r="Q735" i="1"/>
  <c r="P735" i="1"/>
  <c r="O735" i="1"/>
  <c r="N735" i="1"/>
  <c r="M735" i="1"/>
  <c r="U734" i="1"/>
  <c r="T734" i="1"/>
  <c r="S734" i="1"/>
  <c r="R734" i="1"/>
  <c r="Q734" i="1"/>
  <c r="P734" i="1"/>
  <c r="O734" i="1"/>
  <c r="N734" i="1"/>
  <c r="M734" i="1"/>
  <c r="U733" i="1"/>
  <c r="T733" i="1"/>
  <c r="S733" i="1"/>
  <c r="R733" i="1"/>
  <c r="Q733" i="1"/>
  <c r="P733" i="1"/>
  <c r="O733" i="1"/>
  <c r="N733" i="1"/>
  <c r="M733" i="1"/>
  <c r="U732" i="1"/>
  <c r="T732" i="1"/>
  <c r="S732" i="1"/>
  <c r="R732" i="1"/>
  <c r="Q732" i="1"/>
  <c r="P732" i="1"/>
  <c r="O732" i="1"/>
  <c r="N732" i="1"/>
  <c r="M732" i="1"/>
  <c r="U731" i="1"/>
  <c r="T731" i="1"/>
  <c r="S731" i="1"/>
  <c r="R731" i="1"/>
  <c r="Q731" i="1"/>
  <c r="P731" i="1"/>
  <c r="O731" i="1"/>
  <c r="N731" i="1"/>
  <c r="M731" i="1"/>
  <c r="U730" i="1"/>
  <c r="T730" i="1"/>
  <c r="S730" i="1"/>
  <c r="R730" i="1"/>
  <c r="Q730" i="1"/>
  <c r="P730" i="1"/>
  <c r="O730" i="1"/>
  <c r="N730" i="1"/>
  <c r="M730" i="1"/>
  <c r="U729" i="1"/>
  <c r="T729" i="1"/>
  <c r="S729" i="1"/>
  <c r="R729" i="1"/>
  <c r="Q729" i="1"/>
  <c r="P729" i="1"/>
  <c r="O729" i="1"/>
  <c r="N729" i="1"/>
  <c r="M729" i="1"/>
  <c r="U728" i="1"/>
  <c r="T728" i="1"/>
  <c r="S728" i="1"/>
  <c r="R728" i="1"/>
  <c r="Q728" i="1"/>
  <c r="P728" i="1"/>
  <c r="O728" i="1"/>
  <c r="N728" i="1"/>
  <c r="M728" i="1"/>
  <c r="U727" i="1"/>
  <c r="T727" i="1"/>
  <c r="S727" i="1"/>
  <c r="R727" i="1"/>
  <c r="Q727" i="1"/>
  <c r="P727" i="1"/>
  <c r="O727" i="1"/>
  <c r="N727" i="1"/>
  <c r="M727" i="1"/>
  <c r="U726" i="1"/>
  <c r="T726" i="1"/>
  <c r="S726" i="1"/>
  <c r="R726" i="1"/>
  <c r="Q726" i="1"/>
  <c r="P726" i="1"/>
  <c r="O726" i="1"/>
  <c r="N726" i="1"/>
  <c r="M726" i="1"/>
  <c r="U725" i="1"/>
  <c r="T725" i="1"/>
  <c r="S725" i="1"/>
  <c r="R725" i="1"/>
  <c r="Q725" i="1"/>
  <c r="P725" i="1"/>
  <c r="O725" i="1"/>
  <c r="N725" i="1"/>
  <c r="M725" i="1"/>
  <c r="U724" i="1"/>
  <c r="T724" i="1"/>
  <c r="S724" i="1"/>
  <c r="R724" i="1"/>
  <c r="Q724" i="1"/>
  <c r="P724" i="1"/>
  <c r="O724" i="1"/>
  <c r="N724" i="1"/>
  <c r="M724" i="1"/>
  <c r="U723" i="1"/>
  <c r="T723" i="1"/>
  <c r="S723" i="1"/>
  <c r="R723" i="1"/>
  <c r="Q723" i="1"/>
  <c r="P723" i="1"/>
  <c r="O723" i="1"/>
  <c r="N723" i="1"/>
  <c r="M723" i="1"/>
  <c r="U722" i="1"/>
  <c r="T722" i="1"/>
  <c r="S722" i="1"/>
  <c r="R722" i="1"/>
  <c r="Q722" i="1"/>
  <c r="P722" i="1"/>
  <c r="O722" i="1"/>
  <c r="N722" i="1"/>
  <c r="M722" i="1"/>
  <c r="U721" i="1"/>
  <c r="T721" i="1"/>
  <c r="S721" i="1"/>
  <c r="R721" i="1"/>
  <c r="Q721" i="1"/>
  <c r="P721" i="1"/>
  <c r="O721" i="1"/>
  <c r="N721" i="1"/>
  <c r="M721" i="1"/>
  <c r="U720" i="1"/>
  <c r="T720" i="1"/>
  <c r="S720" i="1"/>
  <c r="R720" i="1"/>
  <c r="Q720" i="1"/>
  <c r="P720" i="1"/>
  <c r="O720" i="1"/>
  <c r="N720" i="1"/>
  <c r="M720" i="1"/>
  <c r="U719" i="1"/>
  <c r="T719" i="1"/>
  <c r="S719" i="1"/>
  <c r="R719" i="1"/>
  <c r="Q719" i="1"/>
  <c r="P719" i="1"/>
  <c r="O719" i="1"/>
  <c r="N719" i="1"/>
  <c r="M719" i="1"/>
  <c r="U718" i="1"/>
  <c r="T718" i="1"/>
  <c r="S718" i="1"/>
  <c r="R718" i="1"/>
  <c r="Q718" i="1"/>
  <c r="P718" i="1"/>
  <c r="O718" i="1"/>
  <c r="N718" i="1"/>
  <c r="M718" i="1"/>
  <c r="U717" i="1"/>
  <c r="T717" i="1"/>
  <c r="S717" i="1"/>
  <c r="R717" i="1"/>
  <c r="Q717" i="1"/>
  <c r="P717" i="1"/>
  <c r="O717" i="1"/>
  <c r="N717" i="1"/>
  <c r="M717" i="1"/>
  <c r="U716" i="1"/>
  <c r="T716" i="1"/>
  <c r="S716" i="1"/>
  <c r="R716" i="1"/>
  <c r="Q716" i="1"/>
  <c r="P716" i="1"/>
  <c r="O716" i="1"/>
  <c r="N716" i="1"/>
  <c r="M716" i="1"/>
  <c r="U715" i="1"/>
  <c r="T715" i="1"/>
  <c r="S715" i="1"/>
  <c r="R715" i="1"/>
  <c r="Q715" i="1"/>
  <c r="P715" i="1"/>
  <c r="O715" i="1"/>
  <c r="N715" i="1"/>
  <c r="M715" i="1"/>
  <c r="U714" i="1"/>
  <c r="T714" i="1"/>
  <c r="S714" i="1"/>
  <c r="R714" i="1"/>
  <c r="Q714" i="1"/>
  <c r="P714" i="1"/>
  <c r="O714" i="1"/>
  <c r="N714" i="1"/>
  <c r="M714" i="1"/>
  <c r="U713" i="1"/>
  <c r="T713" i="1"/>
  <c r="S713" i="1"/>
  <c r="R713" i="1"/>
  <c r="Q713" i="1"/>
  <c r="P713" i="1"/>
  <c r="O713" i="1"/>
  <c r="N713" i="1"/>
  <c r="M713" i="1"/>
  <c r="U712" i="1"/>
  <c r="T712" i="1"/>
  <c r="S712" i="1"/>
  <c r="R712" i="1"/>
  <c r="Q712" i="1"/>
  <c r="P712" i="1"/>
  <c r="O712" i="1"/>
  <c r="N712" i="1"/>
  <c r="M712" i="1"/>
  <c r="U711" i="1"/>
  <c r="T711" i="1"/>
  <c r="S711" i="1"/>
  <c r="R711" i="1"/>
  <c r="Q711" i="1"/>
  <c r="P711" i="1"/>
  <c r="O711" i="1"/>
  <c r="N711" i="1"/>
  <c r="M711" i="1"/>
  <c r="U710" i="1"/>
  <c r="T710" i="1"/>
  <c r="S710" i="1"/>
  <c r="R710" i="1"/>
  <c r="Q710" i="1"/>
  <c r="P710" i="1"/>
  <c r="O710" i="1"/>
  <c r="N710" i="1"/>
  <c r="M710" i="1"/>
  <c r="U709" i="1"/>
  <c r="T709" i="1"/>
  <c r="S709" i="1"/>
  <c r="R709" i="1"/>
  <c r="Q709" i="1"/>
  <c r="P709" i="1"/>
  <c r="O709" i="1"/>
  <c r="N709" i="1"/>
  <c r="M709" i="1"/>
  <c r="U708" i="1"/>
  <c r="T708" i="1"/>
  <c r="S708" i="1"/>
  <c r="R708" i="1"/>
  <c r="Q708" i="1"/>
  <c r="P708" i="1"/>
  <c r="O708" i="1"/>
  <c r="N708" i="1"/>
  <c r="M708" i="1"/>
  <c r="U707" i="1"/>
  <c r="T707" i="1"/>
  <c r="S707" i="1"/>
  <c r="R707" i="1"/>
  <c r="Q707" i="1"/>
  <c r="P707" i="1"/>
  <c r="O707" i="1"/>
  <c r="N707" i="1"/>
  <c r="M707" i="1"/>
  <c r="U706" i="1"/>
  <c r="T706" i="1"/>
  <c r="S706" i="1"/>
  <c r="R706" i="1"/>
  <c r="Q706" i="1"/>
  <c r="P706" i="1"/>
  <c r="O706" i="1"/>
  <c r="N706" i="1"/>
  <c r="M706" i="1"/>
  <c r="U705" i="1"/>
  <c r="T705" i="1"/>
  <c r="S705" i="1"/>
  <c r="R705" i="1"/>
  <c r="Q705" i="1"/>
  <c r="P705" i="1"/>
  <c r="O705" i="1"/>
  <c r="N705" i="1"/>
  <c r="M705" i="1"/>
  <c r="U704" i="1"/>
  <c r="T704" i="1"/>
  <c r="S704" i="1"/>
  <c r="R704" i="1"/>
  <c r="Q704" i="1"/>
  <c r="P704" i="1"/>
  <c r="O704" i="1"/>
  <c r="N704" i="1"/>
  <c r="M704" i="1"/>
  <c r="U703" i="1"/>
  <c r="T703" i="1"/>
  <c r="S703" i="1"/>
  <c r="R703" i="1"/>
  <c r="Q703" i="1"/>
  <c r="P703" i="1"/>
  <c r="O703" i="1"/>
  <c r="N703" i="1"/>
  <c r="M703" i="1"/>
  <c r="U702" i="1"/>
  <c r="T702" i="1"/>
  <c r="S702" i="1"/>
  <c r="R702" i="1"/>
  <c r="Q702" i="1"/>
  <c r="P702" i="1"/>
  <c r="O702" i="1"/>
  <c r="N702" i="1"/>
  <c r="M702" i="1"/>
  <c r="U701" i="1"/>
  <c r="T701" i="1"/>
  <c r="S701" i="1"/>
  <c r="R701" i="1"/>
  <c r="Q701" i="1"/>
  <c r="P701" i="1"/>
  <c r="O701" i="1"/>
  <c r="N701" i="1"/>
  <c r="M701" i="1"/>
  <c r="U700" i="1"/>
  <c r="T700" i="1"/>
  <c r="S700" i="1"/>
  <c r="R700" i="1"/>
  <c r="Q700" i="1"/>
  <c r="P700" i="1"/>
  <c r="O700" i="1"/>
  <c r="N700" i="1"/>
  <c r="M700" i="1"/>
  <c r="U699" i="1"/>
  <c r="T699" i="1"/>
  <c r="S699" i="1"/>
  <c r="R699" i="1"/>
  <c r="Q699" i="1"/>
  <c r="P699" i="1"/>
  <c r="O699" i="1"/>
  <c r="N699" i="1"/>
  <c r="M699" i="1"/>
  <c r="U698" i="1"/>
  <c r="T698" i="1"/>
  <c r="S698" i="1"/>
  <c r="R698" i="1"/>
  <c r="Q698" i="1"/>
  <c r="P698" i="1"/>
  <c r="O698" i="1"/>
  <c r="N698" i="1"/>
  <c r="M698" i="1"/>
  <c r="U697" i="1"/>
  <c r="T697" i="1"/>
  <c r="S697" i="1"/>
  <c r="R697" i="1"/>
  <c r="Q697" i="1"/>
  <c r="P697" i="1"/>
  <c r="O697" i="1"/>
  <c r="N697" i="1"/>
  <c r="M697" i="1"/>
  <c r="U696" i="1"/>
  <c r="T696" i="1"/>
  <c r="S696" i="1"/>
  <c r="R696" i="1"/>
  <c r="Q696" i="1"/>
  <c r="P696" i="1"/>
  <c r="O696" i="1"/>
  <c r="N696" i="1"/>
  <c r="M696" i="1"/>
  <c r="U695" i="1"/>
  <c r="T695" i="1"/>
  <c r="S695" i="1"/>
  <c r="R695" i="1"/>
  <c r="Q695" i="1"/>
  <c r="P695" i="1"/>
  <c r="O695" i="1"/>
  <c r="N695" i="1"/>
  <c r="M695" i="1"/>
  <c r="U694" i="1"/>
  <c r="T694" i="1"/>
  <c r="S694" i="1"/>
  <c r="R694" i="1"/>
  <c r="Q694" i="1"/>
  <c r="P694" i="1"/>
  <c r="O694" i="1"/>
  <c r="N694" i="1"/>
  <c r="M694" i="1"/>
  <c r="U693" i="1"/>
  <c r="T693" i="1"/>
  <c r="S693" i="1"/>
  <c r="R693" i="1"/>
  <c r="Q693" i="1"/>
  <c r="P693" i="1"/>
  <c r="O693" i="1"/>
  <c r="N693" i="1"/>
  <c r="M693" i="1"/>
  <c r="U692" i="1"/>
  <c r="T692" i="1"/>
  <c r="S692" i="1"/>
  <c r="R692" i="1"/>
  <c r="Q692" i="1"/>
  <c r="P692" i="1"/>
  <c r="O692" i="1"/>
  <c r="N692" i="1"/>
  <c r="M692" i="1"/>
  <c r="U691" i="1"/>
  <c r="T691" i="1"/>
  <c r="S691" i="1"/>
  <c r="R691" i="1"/>
  <c r="Q691" i="1"/>
  <c r="P691" i="1"/>
  <c r="O691" i="1"/>
  <c r="N691" i="1"/>
  <c r="M691" i="1"/>
  <c r="U690" i="1"/>
  <c r="T690" i="1"/>
  <c r="S690" i="1"/>
  <c r="R690" i="1"/>
  <c r="Q690" i="1"/>
  <c r="P690" i="1"/>
  <c r="O690" i="1"/>
  <c r="N690" i="1"/>
  <c r="M690" i="1"/>
  <c r="U689" i="1"/>
  <c r="T689" i="1"/>
  <c r="S689" i="1"/>
  <c r="R689" i="1"/>
  <c r="Q689" i="1"/>
  <c r="P689" i="1"/>
  <c r="O689" i="1"/>
  <c r="N689" i="1"/>
  <c r="M689" i="1"/>
  <c r="U688" i="1"/>
  <c r="T688" i="1"/>
  <c r="S688" i="1"/>
  <c r="R688" i="1"/>
  <c r="Q688" i="1"/>
  <c r="P688" i="1"/>
  <c r="O688" i="1"/>
  <c r="N688" i="1"/>
  <c r="M688" i="1"/>
  <c r="U687" i="1"/>
  <c r="T687" i="1"/>
  <c r="S687" i="1"/>
  <c r="R687" i="1"/>
  <c r="Q687" i="1"/>
  <c r="P687" i="1"/>
  <c r="O687" i="1"/>
  <c r="N687" i="1"/>
  <c r="M687" i="1"/>
  <c r="U686" i="1"/>
  <c r="T686" i="1"/>
  <c r="S686" i="1"/>
  <c r="R686" i="1"/>
  <c r="Q686" i="1"/>
  <c r="P686" i="1"/>
  <c r="O686" i="1"/>
  <c r="N686" i="1"/>
  <c r="M686" i="1"/>
  <c r="U685" i="1"/>
  <c r="T685" i="1"/>
  <c r="S685" i="1"/>
  <c r="R685" i="1"/>
  <c r="Q685" i="1"/>
  <c r="P685" i="1"/>
  <c r="O685" i="1"/>
  <c r="N685" i="1"/>
  <c r="M685" i="1"/>
  <c r="U684" i="1"/>
  <c r="T684" i="1"/>
  <c r="S684" i="1"/>
  <c r="R684" i="1"/>
  <c r="Q684" i="1"/>
  <c r="P684" i="1"/>
  <c r="O684" i="1"/>
  <c r="N684" i="1"/>
  <c r="M684" i="1"/>
  <c r="U683" i="1"/>
  <c r="T683" i="1"/>
  <c r="S683" i="1"/>
  <c r="R683" i="1"/>
  <c r="Q683" i="1"/>
  <c r="P683" i="1"/>
  <c r="O683" i="1"/>
  <c r="N683" i="1"/>
  <c r="M683" i="1"/>
  <c r="U682" i="1"/>
  <c r="T682" i="1"/>
  <c r="S682" i="1"/>
  <c r="R682" i="1"/>
  <c r="Q682" i="1"/>
  <c r="P682" i="1"/>
  <c r="O682" i="1"/>
  <c r="N682" i="1"/>
  <c r="M682" i="1"/>
  <c r="U681" i="1"/>
  <c r="T681" i="1"/>
  <c r="S681" i="1"/>
  <c r="R681" i="1"/>
  <c r="Q681" i="1"/>
  <c r="P681" i="1"/>
  <c r="O681" i="1"/>
  <c r="N681" i="1"/>
  <c r="M681" i="1"/>
  <c r="U680" i="1"/>
  <c r="T680" i="1"/>
  <c r="S680" i="1"/>
  <c r="R680" i="1"/>
  <c r="Q680" i="1"/>
  <c r="P680" i="1"/>
  <c r="O680" i="1"/>
  <c r="N680" i="1"/>
  <c r="M680" i="1"/>
  <c r="U679" i="1"/>
  <c r="T679" i="1"/>
  <c r="S679" i="1"/>
  <c r="R679" i="1"/>
  <c r="Q679" i="1"/>
  <c r="P679" i="1"/>
  <c r="O679" i="1"/>
  <c r="N679" i="1"/>
  <c r="M679" i="1"/>
  <c r="U678" i="1"/>
  <c r="T678" i="1"/>
  <c r="S678" i="1"/>
  <c r="R678" i="1"/>
  <c r="Q678" i="1"/>
  <c r="P678" i="1"/>
  <c r="O678" i="1"/>
  <c r="N678" i="1"/>
  <c r="M678" i="1"/>
  <c r="U677" i="1"/>
  <c r="T677" i="1"/>
  <c r="S677" i="1"/>
  <c r="R677" i="1"/>
  <c r="Q677" i="1"/>
  <c r="P677" i="1"/>
  <c r="O677" i="1"/>
  <c r="N677" i="1"/>
  <c r="M677" i="1"/>
  <c r="U676" i="1"/>
  <c r="T676" i="1"/>
  <c r="S676" i="1"/>
  <c r="R676" i="1"/>
  <c r="Q676" i="1"/>
  <c r="P676" i="1"/>
  <c r="O676" i="1"/>
  <c r="N676" i="1"/>
  <c r="M676" i="1"/>
  <c r="U675" i="1"/>
  <c r="T675" i="1"/>
  <c r="S675" i="1"/>
  <c r="R675" i="1"/>
  <c r="Q675" i="1"/>
  <c r="P675" i="1"/>
  <c r="O675" i="1"/>
  <c r="N675" i="1"/>
  <c r="M675" i="1"/>
  <c r="U674" i="1"/>
  <c r="T674" i="1"/>
  <c r="S674" i="1"/>
  <c r="R674" i="1"/>
  <c r="Q674" i="1"/>
  <c r="P674" i="1"/>
  <c r="O674" i="1"/>
  <c r="N674" i="1"/>
  <c r="M674" i="1"/>
  <c r="U673" i="1"/>
  <c r="T673" i="1"/>
  <c r="S673" i="1"/>
  <c r="R673" i="1"/>
  <c r="Q673" i="1"/>
  <c r="P673" i="1"/>
  <c r="O673" i="1"/>
  <c r="N673" i="1"/>
  <c r="M673" i="1"/>
  <c r="U672" i="1"/>
  <c r="T672" i="1"/>
  <c r="S672" i="1"/>
  <c r="R672" i="1"/>
  <c r="Q672" i="1"/>
  <c r="P672" i="1"/>
  <c r="O672" i="1"/>
  <c r="N672" i="1"/>
  <c r="M672" i="1"/>
  <c r="U671" i="1"/>
  <c r="T671" i="1"/>
  <c r="S671" i="1"/>
  <c r="R671" i="1"/>
  <c r="Q671" i="1"/>
  <c r="P671" i="1"/>
  <c r="O671" i="1"/>
  <c r="N671" i="1"/>
  <c r="M671" i="1"/>
  <c r="U670" i="1"/>
  <c r="T670" i="1"/>
  <c r="S670" i="1"/>
  <c r="R670" i="1"/>
  <c r="Q670" i="1"/>
  <c r="P670" i="1"/>
  <c r="O670" i="1"/>
  <c r="N670" i="1"/>
  <c r="M670" i="1"/>
  <c r="U669" i="1"/>
  <c r="T669" i="1"/>
  <c r="S669" i="1"/>
  <c r="R669" i="1"/>
  <c r="Q669" i="1"/>
  <c r="P669" i="1"/>
  <c r="O669" i="1"/>
  <c r="N669" i="1"/>
  <c r="M669" i="1"/>
  <c r="U668" i="1"/>
  <c r="T668" i="1"/>
  <c r="S668" i="1"/>
  <c r="R668" i="1"/>
  <c r="Q668" i="1"/>
  <c r="P668" i="1"/>
  <c r="O668" i="1"/>
  <c r="N668" i="1"/>
  <c r="M668" i="1"/>
  <c r="U667" i="1"/>
  <c r="T667" i="1"/>
  <c r="S667" i="1"/>
  <c r="R667" i="1"/>
  <c r="Q667" i="1"/>
  <c r="P667" i="1"/>
  <c r="O667" i="1"/>
  <c r="N667" i="1"/>
  <c r="M667" i="1"/>
  <c r="U666" i="1"/>
  <c r="T666" i="1"/>
  <c r="S666" i="1"/>
  <c r="R666" i="1"/>
  <c r="Q666" i="1"/>
  <c r="P666" i="1"/>
  <c r="O666" i="1"/>
  <c r="N666" i="1"/>
  <c r="M666" i="1"/>
  <c r="U665" i="1"/>
  <c r="T665" i="1"/>
  <c r="S665" i="1"/>
  <c r="R665" i="1"/>
  <c r="Q665" i="1"/>
  <c r="P665" i="1"/>
  <c r="O665" i="1"/>
  <c r="N665" i="1"/>
  <c r="M665" i="1"/>
  <c r="U664" i="1"/>
  <c r="T664" i="1"/>
  <c r="S664" i="1"/>
  <c r="R664" i="1"/>
  <c r="Q664" i="1"/>
  <c r="P664" i="1"/>
  <c r="O664" i="1"/>
  <c r="N664" i="1"/>
  <c r="M664" i="1"/>
  <c r="U663" i="1"/>
  <c r="T663" i="1"/>
  <c r="S663" i="1"/>
  <c r="R663" i="1"/>
  <c r="Q663" i="1"/>
  <c r="P663" i="1"/>
  <c r="O663" i="1"/>
  <c r="N663" i="1"/>
  <c r="M663" i="1"/>
  <c r="U662" i="1"/>
  <c r="T662" i="1"/>
  <c r="S662" i="1"/>
  <c r="R662" i="1"/>
  <c r="Q662" i="1"/>
  <c r="P662" i="1"/>
  <c r="O662" i="1"/>
  <c r="N662" i="1"/>
  <c r="M662" i="1"/>
  <c r="U661" i="1"/>
  <c r="T661" i="1"/>
  <c r="S661" i="1"/>
  <c r="R661" i="1"/>
  <c r="Q661" i="1"/>
  <c r="P661" i="1"/>
  <c r="O661" i="1"/>
  <c r="N661" i="1"/>
  <c r="M661" i="1"/>
  <c r="U660" i="1"/>
  <c r="T660" i="1"/>
  <c r="S660" i="1"/>
  <c r="R660" i="1"/>
  <c r="Q660" i="1"/>
  <c r="P660" i="1"/>
  <c r="O660" i="1"/>
  <c r="N660" i="1"/>
  <c r="M660" i="1"/>
  <c r="U659" i="1"/>
  <c r="T659" i="1"/>
  <c r="S659" i="1"/>
  <c r="R659" i="1"/>
  <c r="Q659" i="1"/>
  <c r="P659" i="1"/>
  <c r="O659" i="1"/>
  <c r="N659" i="1"/>
  <c r="M659" i="1"/>
  <c r="U658" i="1"/>
  <c r="T658" i="1"/>
  <c r="S658" i="1"/>
  <c r="R658" i="1"/>
  <c r="Q658" i="1"/>
  <c r="P658" i="1"/>
  <c r="O658" i="1"/>
  <c r="N658" i="1"/>
  <c r="M658" i="1"/>
  <c r="U657" i="1"/>
  <c r="T657" i="1"/>
  <c r="S657" i="1"/>
  <c r="R657" i="1"/>
  <c r="Q657" i="1"/>
  <c r="P657" i="1"/>
  <c r="O657" i="1"/>
  <c r="N657" i="1"/>
  <c r="M657" i="1"/>
  <c r="U656" i="1"/>
  <c r="T656" i="1"/>
  <c r="S656" i="1"/>
  <c r="R656" i="1"/>
  <c r="Q656" i="1"/>
  <c r="P656" i="1"/>
  <c r="O656" i="1"/>
  <c r="N656" i="1"/>
  <c r="M656" i="1"/>
  <c r="U655" i="1"/>
  <c r="T655" i="1"/>
  <c r="S655" i="1"/>
  <c r="R655" i="1"/>
  <c r="Q655" i="1"/>
  <c r="P655" i="1"/>
  <c r="O655" i="1"/>
  <c r="N655" i="1"/>
  <c r="M655" i="1"/>
  <c r="U654" i="1"/>
  <c r="T654" i="1"/>
  <c r="S654" i="1"/>
  <c r="R654" i="1"/>
  <c r="Q654" i="1"/>
  <c r="P654" i="1"/>
  <c r="O654" i="1"/>
  <c r="N654" i="1"/>
  <c r="M654" i="1"/>
  <c r="U653" i="1"/>
  <c r="T653" i="1"/>
  <c r="S653" i="1"/>
  <c r="R653" i="1"/>
  <c r="Q653" i="1"/>
  <c r="P653" i="1"/>
  <c r="O653" i="1"/>
  <c r="N653" i="1"/>
  <c r="M653" i="1"/>
  <c r="U652" i="1"/>
  <c r="T652" i="1"/>
  <c r="S652" i="1"/>
  <c r="R652" i="1"/>
  <c r="Q652" i="1"/>
  <c r="P652" i="1"/>
  <c r="O652" i="1"/>
  <c r="N652" i="1"/>
  <c r="M652" i="1"/>
  <c r="U651" i="1"/>
  <c r="T651" i="1"/>
  <c r="S651" i="1"/>
  <c r="R651" i="1"/>
  <c r="Q651" i="1"/>
  <c r="P651" i="1"/>
  <c r="O651" i="1"/>
  <c r="N651" i="1"/>
  <c r="M651" i="1"/>
  <c r="U650" i="1"/>
  <c r="T650" i="1"/>
  <c r="S650" i="1"/>
  <c r="R650" i="1"/>
  <c r="Q650" i="1"/>
  <c r="P650" i="1"/>
  <c r="O650" i="1"/>
  <c r="N650" i="1"/>
  <c r="M650" i="1"/>
  <c r="U649" i="1"/>
  <c r="T649" i="1"/>
  <c r="S649" i="1"/>
  <c r="R649" i="1"/>
  <c r="Q649" i="1"/>
  <c r="P649" i="1"/>
  <c r="O649" i="1"/>
  <c r="N649" i="1"/>
  <c r="M649" i="1"/>
  <c r="U648" i="1"/>
  <c r="T648" i="1"/>
  <c r="S648" i="1"/>
  <c r="R648" i="1"/>
  <c r="Q648" i="1"/>
  <c r="P648" i="1"/>
  <c r="O648" i="1"/>
  <c r="N648" i="1"/>
  <c r="M648" i="1"/>
  <c r="U647" i="1"/>
  <c r="T647" i="1"/>
  <c r="S647" i="1"/>
  <c r="R647" i="1"/>
  <c r="Q647" i="1"/>
  <c r="P647" i="1"/>
  <c r="O647" i="1"/>
  <c r="N647" i="1"/>
  <c r="M647" i="1"/>
  <c r="U646" i="1"/>
  <c r="T646" i="1"/>
  <c r="S646" i="1"/>
  <c r="R646" i="1"/>
  <c r="Q646" i="1"/>
  <c r="P646" i="1"/>
  <c r="O646" i="1"/>
  <c r="N646" i="1"/>
  <c r="M646" i="1"/>
  <c r="U645" i="1"/>
  <c r="T645" i="1"/>
  <c r="S645" i="1"/>
  <c r="R645" i="1"/>
  <c r="Q645" i="1"/>
  <c r="P645" i="1"/>
  <c r="O645" i="1"/>
  <c r="N645" i="1"/>
  <c r="M645" i="1"/>
  <c r="U644" i="1"/>
  <c r="T644" i="1"/>
  <c r="S644" i="1"/>
  <c r="R644" i="1"/>
  <c r="Q644" i="1"/>
  <c r="P644" i="1"/>
  <c r="O644" i="1"/>
  <c r="N644" i="1"/>
  <c r="M644" i="1"/>
  <c r="U643" i="1"/>
  <c r="T643" i="1"/>
  <c r="S643" i="1"/>
  <c r="R643" i="1"/>
  <c r="Q643" i="1"/>
  <c r="P643" i="1"/>
  <c r="O643" i="1"/>
  <c r="N643" i="1"/>
  <c r="M643" i="1"/>
  <c r="U642" i="1"/>
  <c r="T642" i="1"/>
  <c r="S642" i="1"/>
  <c r="R642" i="1"/>
  <c r="Q642" i="1"/>
  <c r="P642" i="1"/>
  <c r="O642" i="1"/>
  <c r="N642" i="1"/>
  <c r="M642" i="1"/>
  <c r="U641" i="1"/>
  <c r="T641" i="1"/>
  <c r="S641" i="1"/>
  <c r="R641" i="1"/>
  <c r="Q641" i="1"/>
  <c r="P641" i="1"/>
  <c r="O641" i="1"/>
  <c r="N641" i="1"/>
  <c r="M641" i="1"/>
  <c r="U640" i="1"/>
  <c r="T640" i="1"/>
  <c r="S640" i="1"/>
  <c r="R640" i="1"/>
  <c r="Q640" i="1"/>
  <c r="P640" i="1"/>
  <c r="O640" i="1"/>
  <c r="N640" i="1"/>
  <c r="M640" i="1"/>
  <c r="U639" i="1"/>
  <c r="T639" i="1"/>
  <c r="S639" i="1"/>
  <c r="R639" i="1"/>
  <c r="Q639" i="1"/>
  <c r="P639" i="1"/>
  <c r="O639" i="1"/>
  <c r="N639" i="1"/>
  <c r="M639" i="1"/>
  <c r="U638" i="1"/>
  <c r="T638" i="1"/>
  <c r="S638" i="1"/>
  <c r="R638" i="1"/>
  <c r="Q638" i="1"/>
  <c r="P638" i="1"/>
  <c r="O638" i="1"/>
  <c r="N638" i="1"/>
  <c r="M638" i="1"/>
  <c r="U637" i="1"/>
  <c r="T637" i="1"/>
  <c r="S637" i="1"/>
  <c r="R637" i="1"/>
  <c r="Q637" i="1"/>
  <c r="P637" i="1"/>
  <c r="O637" i="1"/>
  <c r="N637" i="1"/>
  <c r="M637" i="1"/>
  <c r="U636" i="1"/>
  <c r="T636" i="1"/>
  <c r="S636" i="1"/>
  <c r="R636" i="1"/>
  <c r="Q636" i="1"/>
  <c r="P636" i="1"/>
  <c r="O636" i="1"/>
  <c r="N636" i="1"/>
  <c r="M636" i="1"/>
  <c r="U635" i="1"/>
  <c r="T635" i="1"/>
  <c r="S635" i="1"/>
  <c r="R635" i="1"/>
  <c r="Q635" i="1"/>
  <c r="P635" i="1"/>
  <c r="O635" i="1"/>
  <c r="N635" i="1"/>
  <c r="M635" i="1"/>
  <c r="U634" i="1"/>
  <c r="T634" i="1"/>
  <c r="S634" i="1"/>
  <c r="R634" i="1"/>
  <c r="Q634" i="1"/>
  <c r="P634" i="1"/>
  <c r="O634" i="1"/>
  <c r="N634" i="1"/>
  <c r="M634" i="1"/>
  <c r="U633" i="1"/>
  <c r="T633" i="1"/>
  <c r="S633" i="1"/>
  <c r="R633" i="1"/>
  <c r="Q633" i="1"/>
  <c r="P633" i="1"/>
  <c r="O633" i="1"/>
  <c r="N633" i="1"/>
  <c r="M633" i="1"/>
  <c r="U632" i="1"/>
  <c r="T632" i="1"/>
  <c r="S632" i="1"/>
  <c r="R632" i="1"/>
  <c r="Q632" i="1"/>
  <c r="P632" i="1"/>
  <c r="O632" i="1"/>
  <c r="N632" i="1"/>
  <c r="M632" i="1"/>
  <c r="U631" i="1"/>
  <c r="T631" i="1"/>
  <c r="S631" i="1"/>
  <c r="R631" i="1"/>
  <c r="Q631" i="1"/>
  <c r="P631" i="1"/>
  <c r="O631" i="1"/>
  <c r="N631" i="1"/>
  <c r="M631" i="1"/>
  <c r="U630" i="1"/>
  <c r="T630" i="1"/>
  <c r="S630" i="1"/>
  <c r="R630" i="1"/>
  <c r="Q630" i="1"/>
  <c r="P630" i="1"/>
  <c r="O630" i="1"/>
  <c r="N630" i="1"/>
  <c r="M630" i="1"/>
  <c r="U629" i="1"/>
  <c r="T629" i="1"/>
  <c r="S629" i="1"/>
  <c r="R629" i="1"/>
  <c r="Q629" i="1"/>
  <c r="P629" i="1"/>
  <c r="O629" i="1"/>
  <c r="N629" i="1"/>
  <c r="M629" i="1"/>
  <c r="U628" i="1"/>
  <c r="T628" i="1"/>
  <c r="S628" i="1"/>
  <c r="R628" i="1"/>
  <c r="Q628" i="1"/>
  <c r="P628" i="1"/>
  <c r="O628" i="1"/>
  <c r="N628" i="1"/>
  <c r="M628" i="1"/>
  <c r="U627" i="1"/>
  <c r="T627" i="1"/>
  <c r="S627" i="1"/>
  <c r="R627" i="1"/>
  <c r="Q627" i="1"/>
  <c r="P627" i="1"/>
  <c r="O627" i="1"/>
  <c r="N627" i="1"/>
  <c r="M627" i="1"/>
  <c r="U626" i="1"/>
  <c r="T626" i="1"/>
  <c r="S626" i="1"/>
  <c r="R626" i="1"/>
  <c r="Q626" i="1"/>
  <c r="P626" i="1"/>
  <c r="O626" i="1"/>
  <c r="N626" i="1"/>
  <c r="M626" i="1"/>
  <c r="U625" i="1"/>
  <c r="T625" i="1"/>
  <c r="S625" i="1"/>
  <c r="R625" i="1"/>
  <c r="Q625" i="1"/>
  <c r="P625" i="1"/>
  <c r="O625" i="1"/>
  <c r="N625" i="1"/>
  <c r="M625" i="1"/>
  <c r="U624" i="1"/>
  <c r="T624" i="1"/>
  <c r="S624" i="1"/>
  <c r="R624" i="1"/>
  <c r="Q624" i="1"/>
  <c r="P624" i="1"/>
  <c r="O624" i="1"/>
  <c r="N624" i="1"/>
  <c r="M624" i="1"/>
  <c r="U623" i="1"/>
  <c r="T623" i="1"/>
  <c r="S623" i="1"/>
  <c r="R623" i="1"/>
  <c r="Q623" i="1"/>
  <c r="P623" i="1"/>
  <c r="O623" i="1"/>
  <c r="N623" i="1"/>
  <c r="M623" i="1"/>
  <c r="U622" i="1"/>
  <c r="T622" i="1"/>
  <c r="S622" i="1"/>
  <c r="R622" i="1"/>
  <c r="Q622" i="1"/>
  <c r="P622" i="1"/>
  <c r="O622" i="1"/>
  <c r="N622" i="1"/>
  <c r="M622" i="1"/>
  <c r="U621" i="1"/>
  <c r="T621" i="1"/>
  <c r="S621" i="1"/>
  <c r="R621" i="1"/>
  <c r="Q621" i="1"/>
  <c r="P621" i="1"/>
  <c r="O621" i="1"/>
  <c r="N621" i="1"/>
  <c r="M621" i="1"/>
  <c r="U620" i="1"/>
  <c r="T620" i="1"/>
  <c r="S620" i="1"/>
  <c r="R620" i="1"/>
  <c r="Q620" i="1"/>
  <c r="P620" i="1"/>
  <c r="O620" i="1"/>
  <c r="N620" i="1"/>
  <c r="M620" i="1"/>
  <c r="U619" i="1"/>
  <c r="T619" i="1"/>
  <c r="S619" i="1"/>
  <c r="R619" i="1"/>
  <c r="Q619" i="1"/>
  <c r="P619" i="1"/>
  <c r="O619" i="1"/>
  <c r="N619" i="1"/>
  <c r="M619" i="1"/>
  <c r="U618" i="1"/>
  <c r="T618" i="1"/>
  <c r="S618" i="1"/>
  <c r="R618" i="1"/>
  <c r="Q618" i="1"/>
  <c r="P618" i="1"/>
  <c r="O618" i="1"/>
  <c r="N618" i="1"/>
  <c r="M618" i="1"/>
  <c r="U617" i="1"/>
  <c r="T617" i="1"/>
  <c r="S617" i="1"/>
  <c r="R617" i="1"/>
  <c r="Q617" i="1"/>
  <c r="P617" i="1"/>
  <c r="O617" i="1"/>
  <c r="N617" i="1"/>
  <c r="M617" i="1"/>
  <c r="U616" i="1"/>
  <c r="T616" i="1"/>
  <c r="S616" i="1"/>
  <c r="R616" i="1"/>
  <c r="Q616" i="1"/>
  <c r="P616" i="1"/>
  <c r="O616" i="1"/>
  <c r="N616" i="1"/>
  <c r="M616" i="1"/>
  <c r="U615" i="1"/>
  <c r="T615" i="1"/>
  <c r="S615" i="1"/>
  <c r="R615" i="1"/>
  <c r="Q615" i="1"/>
  <c r="P615" i="1"/>
  <c r="O615" i="1"/>
  <c r="N615" i="1"/>
  <c r="M615" i="1"/>
  <c r="U614" i="1"/>
  <c r="T614" i="1"/>
  <c r="S614" i="1"/>
  <c r="R614" i="1"/>
  <c r="Q614" i="1"/>
  <c r="P614" i="1"/>
  <c r="O614" i="1"/>
  <c r="N614" i="1"/>
  <c r="M614" i="1"/>
  <c r="U613" i="1"/>
  <c r="T613" i="1"/>
  <c r="S613" i="1"/>
  <c r="R613" i="1"/>
  <c r="Q613" i="1"/>
  <c r="P613" i="1"/>
  <c r="O613" i="1"/>
  <c r="N613" i="1"/>
  <c r="M613" i="1"/>
  <c r="U612" i="1"/>
  <c r="T612" i="1"/>
  <c r="S612" i="1"/>
  <c r="R612" i="1"/>
  <c r="Q612" i="1"/>
  <c r="P612" i="1"/>
  <c r="O612" i="1"/>
  <c r="N612" i="1"/>
  <c r="M612" i="1"/>
  <c r="U611" i="1"/>
  <c r="T611" i="1"/>
  <c r="S611" i="1"/>
  <c r="R611" i="1"/>
  <c r="Q611" i="1"/>
  <c r="P611" i="1"/>
  <c r="O611" i="1"/>
  <c r="N611" i="1"/>
  <c r="M611" i="1"/>
  <c r="U610" i="1"/>
  <c r="T610" i="1"/>
  <c r="S610" i="1"/>
  <c r="R610" i="1"/>
  <c r="Q610" i="1"/>
  <c r="P610" i="1"/>
  <c r="O610" i="1"/>
  <c r="N610" i="1"/>
  <c r="M610" i="1"/>
  <c r="U609" i="1"/>
  <c r="T609" i="1"/>
  <c r="S609" i="1"/>
  <c r="R609" i="1"/>
  <c r="Q609" i="1"/>
  <c r="P609" i="1"/>
  <c r="O609" i="1"/>
  <c r="N609" i="1"/>
  <c r="M609" i="1"/>
  <c r="U608" i="1"/>
  <c r="T608" i="1"/>
  <c r="S608" i="1"/>
  <c r="R608" i="1"/>
  <c r="Q608" i="1"/>
  <c r="P608" i="1"/>
  <c r="O608" i="1"/>
  <c r="N608" i="1"/>
  <c r="M608" i="1"/>
  <c r="U607" i="1"/>
  <c r="T607" i="1"/>
  <c r="S607" i="1"/>
  <c r="R607" i="1"/>
  <c r="Q607" i="1"/>
  <c r="P607" i="1"/>
  <c r="O607" i="1"/>
  <c r="N607" i="1"/>
  <c r="M607" i="1"/>
  <c r="U606" i="1"/>
  <c r="T606" i="1"/>
  <c r="S606" i="1"/>
  <c r="R606" i="1"/>
  <c r="Q606" i="1"/>
  <c r="P606" i="1"/>
  <c r="O606" i="1"/>
  <c r="N606" i="1"/>
  <c r="M606" i="1"/>
  <c r="U605" i="1"/>
  <c r="T605" i="1"/>
  <c r="S605" i="1"/>
  <c r="R605" i="1"/>
  <c r="Q605" i="1"/>
  <c r="P605" i="1"/>
  <c r="O605" i="1"/>
  <c r="N605" i="1"/>
  <c r="M605" i="1"/>
  <c r="U604" i="1"/>
  <c r="T604" i="1"/>
  <c r="S604" i="1"/>
  <c r="R604" i="1"/>
  <c r="Q604" i="1"/>
  <c r="P604" i="1"/>
  <c r="O604" i="1"/>
  <c r="N604" i="1"/>
  <c r="M604" i="1"/>
  <c r="U603" i="1"/>
  <c r="T603" i="1"/>
  <c r="S603" i="1"/>
  <c r="R603" i="1"/>
  <c r="Q603" i="1"/>
  <c r="P603" i="1"/>
  <c r="O603" i="1"/>
  <c r="N603" i="1"/>
  <c r="M603" i="1"/>
  <c r="U602" i="1"/>
  <c r="T602" i="1"/>
  <c r="S602" i="1"/>
  <c r="R602" i="1"/>
  <c r="Q602" i="1"/>
  <c r="P602" i="1"/>
  <c r="O602" i="1"/>
  <c r="N602" i="1"/>
  <c r="M602" i="1"/>
  <c r="U601" i="1"/>
  <c r="T601" i="1"/>
  <c r="S601" i="1"/>
  <c r="R601" i="1"/>
  <c r="Q601" i="1"/>
  <c r="P601" i="1"/>
  <c r="O601" i="1"/>
  <c r="N601" i="1"/>
  <c r="M601" i="1"/>
  <c r="U600" i="1"/>
  <c r="T600" i="1"/>
  <c r="S600" i="1"/>
  <c r="R600" i="1"/>
  <c r="Q600" i="1"/>
  <c r="P600" i="1"/>
  <c r="O600" i="1"/>
  <c r="N600" i="1"/>
  <c r="M600" i="1"/>
  <c r="U599" i="1"/>
  <c r="T599" i="1"/>
  <c r="S599" i="1"/>
  <c r="R599" i="1"/>
  <c r="Q599" i="1"/>
  <c r="P599" i="1"/>
  <c r="O599" i="1"/>
  <c r="N599" i="1"/>
  <c r="M599" i="1"/>
  <c r="U598" i="1"/>
  <c r="T598" i="1"/>
  <c r="S598" i="1"/>
  <c r="R598" i="1"/>
  <c r="Q598" i="1"/>
  <c r="P598" i="1"/>
  <c r="O598" i="1"/>
  <c r="N598" i="1"/>
  <c r="M598" i="1"/>
  <c r="U597" i="1"/>
  <c r="T597" i="1"/>
  <c r="S597" i="1"/>
  <c r="R597" i="1"/>
  <c r="Q597" i="1"/>
  <c r="P597" i="1"/>
  <c r="O597" i="1"/>
  <c r="N597" i="1"/>
  <c r="M597" i="1"/>
  <c r="U596" i="1"/>
  <c r="T596" i="1"/>
  <c r="S596" i="1"/>
  <c r="R596" i="1"/>
  <c r="Q596" i="1"/>
  <c r="P596" i="1"/>
  <c r="O596" i="1"/>
  <c r="N596" i="1"/>
  <c r="M596" i="1"/>
  <c r="U595" i="1"/>
  <c r="T595" i="1"/>
  <c r="S595" i="1"/>
  <c r="R595" i="1"/>
  <c r="Q595" i="1"/>
  <c r="P595" i="1"/>
  <c r="O595" i="1"/>
  <c r="N595" i="1"/>
  <c r="M595" i="1"/>
  <c r="U594" i="1"/>
  <c r="T594" i="1"/>
  <c r="S594" i="1"/>
  <c r="R594" i="1"/>
  <c r="Q594" i="1"/>
  <c r="P594" i="1"/>
  <c r="O594" i="1"/>
  <c r="N594" i="1"/>
  <c r="M594" i="1"/>
  <c r="U593" i="1"/>
  <c r="T593" i="1"/>
  <c r="S593" i="1"/>
  <c r="R593" i="1"/>
  <c r="Q593" i="1"/>
  <c r="P593" i="1"/>
  <c r="O593" i="1"/>
  <c r="N593" i="1"/>
  <c r="M593" i="1"/>
  <c r="U592" i="1"/>
  <c r="T592" i="1"/>
  <c r="S592" i="1"/>
  <c r="R592" i="1"/>
  <c r="Q592" i="1"/>
  <c r="P592" i="1"/>
  <c r="O592" i="1"/>
  <c r="N592" i="1"/>
  <c r="M592" i="1"/>
  <c r="U591" i="1"/>
  <c r="T591" i="1"/>
  <c r="S591" i="1"/>
  <c r="R591" i="1"/>
  <c r="Q591" i="1"/>
  <c r="P591" i="1"/>
  <c r="O591" i="1"/>
  <c r="N591" i="1"/>
  <c r="M591" i="1"/>
  <c r="U590" i="1"/>
  <c r="T590" i="1"/>
  <c r="S590" i="1"/>
  <c r="R590" i="1"/>
  <c r="Q590" i="1"/>
  <c r="P590" i="1"/>
  <c r="O590" i="1"/>
  <c r="N590" i="1"/>
  <c r="M590" i="1"/>
  <c r="U589" i="1"/>
  <c r="T589" i="1"/>
  <c r="S589" i="1"/>
  <c r="R589" i="1"/>
  <c r="Q589" i="1"/>
  <c r="P589" i="1"/>
  <c r="O589" i="1"/>
  <c r="N589" i="1"/>
  <c r="M589" i="1"/>
  <c r="U588" i="1"/>
  <c r="T588" i="1"/>
  <c r="S588" i="1"/>
  <c r="R588" i="1"/>
  <c r="Q588" i="1"/>
  <c r="P588" i="1"/>
  <c r="O588" i="1"/>
  <c r="N588" i="1"/>
  <c r="M588" i="1"/>
  <c r="U587" i="1"/>
  <c r="T587" i="1"/>
  <c r="S587" i="1"/>
  <c r="R587" i="1"/>
  <c r="Q587" i="1"/>
  <c r="P587" i="1"/>
  <c r="O587" i="1"/>
  <c r="N587" i="1"/>
  <c r="M587" i="1"/>
  <c r="U586" i="1"/>
  <c r="T586" i="1"/>
  <c r="S586" i="1"/>
  <c r="R586" i="1"/>
  <c r="Q586" i="1"/>
  <c r="P586" i="1"/>
  <c r="O586" i="1"/>
  <c r="N586" i="1"/>
  <c r="M586" i="1"/>
  <c r="U585" i="1"/>
  <c r="T585" i="1"/>
  <c r="S585" i="1"/>
  <c r="R585" i="1"/>
  <c r="Q585" i="1"/>
  <c r="P585" i="1"/>
  <c r="O585" i="1"/>
  <c r="N585" i="1"/>
  <c r="M585" i="1"/>
  <c r="U584" i="1"/>
  <c r="T584" i="1"/>
  <c r="S584" i="1"/>
  <c r="R584" i="1"/>
  <c r="Q584" i="1"/>
  <c r="P584" i="1"/>
  <c r="O584" i="1"/>
  <c r="N584" i="1"/>
  <c r="M584" i="1"/>
  <c r="U583" i="1"/>
  <c r="T583" i="1"/>
  <c r="S583" i="1"/>
  <c r="R583" i="1"/>
  <c r="Q583" i="1"/>
  <c r="P583" i="1"/>
  <c r="O583" i="1"/>
  <c r="N583" i="1"/>
  <c r="M583" i="1"/>
  <c r="U582" i="1"/>
  <c r="T582" i="1"/>
  <c r="S582" i="1"/>
  <c r="R582" i="1"/>
  <c r="Q582" i="1"/>
  <c r="P582" i="1"/>
  <c r="O582" i="1"/>
  <c r="N582" i="1"/>
  <c r="M582" i="1"/>
  <c r="U581" i="1"/>
  <c r="T581" i="1"/>
  <c r="S581" i="1"/>
  <c r="R581" i="1"/>
  <c r="Q581" i="1"/>
  <c r="P581" i="1"/>
  <c r="O581" i="1"/>
  <c r="N581" i="1"/>
  <c r="M581" i="1"/>
  <c r="U580" i="1"/>
  <c r="T580" i="1"/>
  <c r="S580" i="1"/>
  <c r="R580" i="1"/>
  <c r="Q580" i="1"/>
  <c r="P580" i="1"/>
  <c r="O580" i="1"/>
  <c r="N580" i="1"/>
  <c r="M580" i="1"/>
  <c r="U579" i="1"/>
  <c r="T579" i="1"/>
  <c r="S579" i="1"/>
  <c r="R579" i="1"/>
  <c r="Q579" i="1"/>
  <c r="P579" i="1"/>
  <c r="O579" i="1"/>
  <c r="N579" i="1"/>
  <c r="M579" i="1"/>
  <c r="U578" i="1"/>
  <c r="T578" i="1"/>
  <c r="S578" i="1"/>
  <c r="R578" i="1"/>
  <c r="Q578" i="1"/>
  <c r="P578" i="1"/>
  <c r="O578" i="1"/>
  <c r="N578" i="1"/>
  <c r="M578" i="1"/>
  <c r="U577" i="1"/>
  <c r="T577" i="1"/>
  <c r="S577" i="1"/>
  <c r="R577" i="1"/>
  <c r="Q577" i="1"/>
  <c r="P577" i="1"/>
  <c r="O577" i="1"/>
  <c r="N577" i="1"/>
  <c r="M577" i="1"/>
  <c r="U576" i="1"/>
  <c r="T576" i="1"/>
  <c r="S576" i="1"/>
  <c r="R576" i="1"/>
  <c r="Q576" i="1"/>
  <c r="P576" i="1"/>
  <c r="O576" i="1"/>
  <c r="N576" i="1"/>
  <c r="M576" i="1"/>
  <c r="U575" i="1"/>
  <c r="T575" i="1"/>
  <c r="S575" i="1"/>
  <c r="R575" i="1"/>
  <c r="Q575" i="1"/>
  <c r="P575" i="1"/>
  <c r="O575" i="1"/>
  <c r="N575" i="1"/>
  <c r="M575" i="1"/>
  <c r="U574" i="1"/>
  <c r="T574" i="1"/>
  <c r="S574" i="1"/>
  <c r="R574" i="1"/>
  <c r="Q574" i="1"/>
  <c r="P574" i="1"/>
  <c r="O574" i="1"/>
  <c r="N574" i="1"/>
  <c r="M574" i="1"/>
  <c r="U573" i="1"/>
  <c r="T573" i="1"/>
  <c r="S573" i="1"/>
  <c r="R573" i="1"/>
  <c r="Q573" i="1"/>
  <c r="P573" i="1"/>
  <c r="O573" i="1"/>
  <c r="N573" i="1"/>
  <c r="M573" i="1"/>
  <c r="U572" i="1"/>
  <c r="T572" i="1"/>
  <c r="S572" i="1"/>
  <c r="R572" i="1"/>
  <c r="Q572" i="1"/>
  <c r="P572" i="1"/>
  <c r="O572" i="1"/>
  <c r="N572" i="1"/>
  <c r="M572" i="1"/>
  <c r="U571" i="1"/>
  <c r="T571" i="1"/>
  <c r="S571" i="1"/>
  <c r="R571" i="1"/>
  <c r="Q571" i="1"/>
  <c r="P571" i="1"/>
  <c r="O571" i="1"/>
  <c r="N571" i="1"/>
  <c r="M571" i="1"/>
  <c r="U570" i="1"/>
  <c r="T570" i="1"/>
  <c r="S570" i="1"/>
  <c r="R570" i="1"/>
  <c r="Q570" i="1"/>
  <c r="P570" i="1"/>
  <c r="O570" i="1"/>
  <c r="N570" i="1"/>
  <c r="M570" i="1"/>
  <c r="U569" i="1"/>
  <c r="T569" i="1"/>
  <c r="S569" i="1"/>
  <c r="R569" i="1"/>
  <c r="Q569" i="1"/>
  <c r="P569" i="1"/>
  <c r="O569" i="1"/>
  <c r="N569" i="1"/>
  <c r="M569" i="1"/>
  <c r="U568" i="1"/>
  <c r="T568" i="1"/>
  <c r="S568" i="1"/>
  <c r="R568" i="1"/>
  <c r="Q568" i="1"/>
  <c r="P568" i="1"/>
  <c r="O568" i="1"/>
  <c r="N568" i="1"/>
  <c r="M568" i="1"/>
  <c r="U567" i="1"/>
  <c r="T567" i="1"/>
  <c r="S567" i="1"/>
  <c r="R567" i="1"/>
  <c r="Q567" i="1"/>
  <c r="P567" i="1"/>
  <c r="O567" i="1"/>
  <c r="N567" i="1"/>
  <c r="M567" i="1"/>
  <c r="U566" i="1"/>
  <c r="T566" i="1"/>
  <c r="S566" i="1"/>
  <c r="R566" i="1"/>
  <c r="Q566" i="1"/>
  <c r="P566" i="1"/>
  <c r="O566" i="1"/>
  <c r="N566" i="1"/>
  <c r="M566" i="1"/>
  <c r="U565" i="1"/>
  <c r="T565" i="1"/>
  <c r="S565" i="1"/>
  <c r="R565" i="1"/>
  <c r="Q565" i="1"/>
  <c r="P565" i="1"/>
  <c r="O565" i="1"/>
  <c r="N565" i="1"/>
  <c r="M565" i="1"/>
  <c r="U564" i="1"/>
  <c r="T564" i="1"/>
  <c r="S564" i="1"/>
  <c r="R564" i="1"/>
  <c r="Q564" i="1"/>
  <c r="P564" i="1"/>
  <c r="O564" i="1"/>
  <c r="N564" i="1"/>
  <c r="M564" i="1"/>
  <c r="U563" i="1"/>
  <c r="T563" i="1"/>
  <c r="S563" i="1"/>
  <c r="R563" i="1"/>
  <c r="Q563" i="1"/>
  <c r="P563" i="1"/>
  <c r="O563" i="1"/>
  <c r="N563" i="1"/>
  <c r="M563" i="1"/>
  <c r="U562" i="1"/>
  <c r="T562" i="1"/>
  <c r="S562" i="1"/>
  <c r="R562" i="1"/>
  <c r="Q562" i="1"/>
  <c r="P562" i="1"/>
  <c r="O562" i="1"/>
  <c r="N562" i="1"/>
  <c r="M562" i="1"/>
  <c r="U561" i="1"/>
  <c r="T561" i="1"/>
  <c r="S561" i="1"/>
  <c r="R561" i="1"/>
  <c r="Q561" i="1"/>
  <c r="P561" i="1"/>
  <c r="O561" i="1"/>
  <c r="N561" i="1"/>
  <c r="M561" i="1"/>
  <c r="U560" i="1"/>
  <c r="T560" i="1"/>
  <c r="S560" i="1"/>
  <c r="R560" i="1"/>
  <c r="Q560" i="1"/>
  <c r="P560" i="1"/>
  <c r="O560" i="1"/>
  <c r="N560" i="1"/>
  <c r="M560" i="1"/>
  <c r="U559" i="1"/>
  <c r="T559" i="1"/>
  <c r="S559" i="1"/>
  <c r="R559" i="1"/>
  <c r="Q559" i="1"/>
  <c r="P559" i="1"/>
  <c r="O559" i="1"/>
  <c r="N559" i="1"/>
  <c r="M559" i="1"/>
  <c r="U558" i="1"/>
  <c r="T558" i="1"/>
  <c r="S558" i="1"/>
  <c r="R558" i="1"/>
  <c r="Q558" i="1"/>
  <c r="P558" i="1"/>
  <c r="O558" i="1"/>
  <c r="N558" i="1"/>
  <c r="M558" i="1"/>
  <c r="U557" i="1"/>
  <c r="T557" i="1"/>
  <c r="S557" i="1"/>
  <c r="R557" i="1"/>
  <c r="Q557" i="1"/>
  <c r="P557" i="1"/>
  <c r="O557" i="1"/>
  <c r="N557" i="1"/>
  <c r="M557" i="1"/>
  <c r="U556" i="1"/>
  <c r="T556" i="1"/>
  <c r="S556" i="1"/>
  <c r="R556" i="1"/>
  <c r="Q556" i="1"/>
  <c r="P556" i="1"/>
  <c r="O556" i="1"/>
  <c r="N556" i="1"/>
  <c r="M556" i="1"/>
  <c r="U555" i="1"/>
  <c r="T555" i="1"/>
  <c r="S555" i="1"/>
  <c r="R555" i="1"/>
  <c r="Q555" i="1"/>
  <c r="P555" i="1"/>
  <c r="O555" i="1"/>
  <c r="N555" i="1"/>
  <c r="M555" i="1"/>
  <c r="U554" i="1"/>
  <c r="T554" i="1"/>
  <c r="S554" i="1"/>
  <c r="R554" i="1"/>
  <c r="Q554" i="1"/>
  <c r="P554" i="1"/>
  <c r="O554" i="1"/>
  <c r="N554" i="1"/>
  <c r="M554" i="1"/>
  <c r="U553" i="1"/>
  <c r="T553" i="1"/>
  <c r="S553" i="1"/>
  <c r="R553" i="1"/>
  <c r="Q553" i="1"/>
  <c r="P553" i="1"/>
  <c r="O553" i="1"/>
  <c r="N553" i="1"/>
  <c r="M553" i="1"/>
  <c r="U552" i="1"/>
  <c r="T552" i="1"/>
  <c r="S552" i="1"/>
  <c r="R552" i="1"/>
  <c r="Q552" i="1"/>
  <c r="P552" i="1"/>
  <c r="O552" i="1"/>
  <c r="N552" i="1"/>
  <c r="M552" i="1"/>
  <c r="U551" i="1"/>
  <c r="T551" i="1"/>
  <c r="S551" i="1"/>
  <c r="R551" i="1"/>
  <c r="Q551" i="1"/>
  <c r="P551" i="1"/>
  <c r="O551" i="1"/>
  <c r="N551" i="1"/>
  <c r="M551" i="1"/>
  <c r="U550" i="1"/>
  <c r="T550" i="1"/>
  <c r="S550" i="1"/>
  <c r="R550" i="1"/>
  <c r="Q550" i="1"/>
  <c r="P550" i="1"/>
  <c r="O550" i="1"/>
  <c r="N550" i="1"/>
  <c r="M550" i="1"/>
  <c r="U549" i="1"/>
  <c r="T549" i="1"/>
  <c r="S549" i="1"/>
  <c r="R549" i="1"/>
  <c r="Q549" i="1"/>
  <c r="P549" i="1"/>
  <c r="O549" i="1"/>
  <c r="N549" i="1"/>
  <c r="M549" i="1"/>
  <c r="U548" i="1"/>
  <c r="T548" i="1"/>
  <c r="S548" i="1"/>
  <c r="R548" i="1"/>
  <c r="Q548" i="1"/>
  <c r="P548" i="1"/>
  <c r="O548" i="1"/>
  <c r="N548" i="1"/>
  <c r="M548" i="1"/>
  <c r="U547" i="1"/>
  <c r="T547" i="1"/>
  <c r="S547" i="1"/>
  <c r="R547" i="1"/>
  <c r="Q547" i="1"/>
  <c r="P547" i="1"/>
  <c r="O547" i="1"/>
  <c r="N547" i="1"/>
  <c r="M547" i="1"/>
  <c r="U546" i="1"/>
  <c r="T546" i="1"/>
  <c r="S546" i="1"/>
  <c r="R546" i="1"/>
  <c r="Q546" i="1"/>
  <c r="P546" i="1"/>
  <c r="O546" i="1"/>
  <c r="N546" i="1"/>
  <c r="M546" i="1"/>
  <c r="U545" i="1"/>
  <c r="T545" i="1"/>
  <c r="S545" i="1"/>
  <c r="R545" i="1"/>
  <c r="Q545" i="1"/>
  <c r="P545" i="1"/>
  <c r="O545" i="1"/>
  <c r="N545" i="1"/>
  <c r="M545" i="1"/>
  <c r="U544" i="1"/>
  <c r="T544" i="1"/>
  <c r="S544" i="1"/>
  <c r="R544" i="1"/>
  <c r="Q544" i="1"/>
  <c r="P544" i="1"/>
  <c r="O544" i="1"/>
  <c r="N544" i="1"/>
  <c r="M544" i="1"/>
  <c r="U543" i="1"/>
  <c r="T543" i="1"/>
  <c r="S543" i="1"/>
  <c r="R543" i="1"/>
  <c r="Q543" i="1"/>
  <c r="P543" i="1"/>
  <c r="O543" i="1"/>
  <c r="N543" i="1"/>
  <c r="M543" i="1"/>
  <c r="U542" i="1"/>
  <c r="T542" i="1"/>
  <c r="S542" i="1"/>
  <c r="R542" i="1"/>
  <c r="Q542" i="1"/>
  <c r="P542" i="1"/>
  <c r="O542" i="1"/>
  <c r="N542" i="1"/>
  <c r="M542" i="1"/>
  <c r="U541" i="1"/>
  <c r="T541" i="1"/>
  <c r="S541" i="1"/>
  <c r="R541" i="1"/>
  <c r="Q541" i="1"/>
  <c r="P541" i="1"/>
  <c r="O541" i="1"/>
  <c r="N541" i="1"/>
  <c r="M541" i="1"/>
  <c r="U540" i="1"/>
  <c r="T540" i="1"/>
  <c r="S540" i="1"/>
  <c r="R540" i="1"/>
  <c r="Q540" i="1"/>
  <c r="P540" i="1"/>
  <c r="O540" i="1"/>
  <c r="N540" i="1"/>
  <c r="M540" i="1"/>
  <c r="U539" i="1"/>
  <c r="T539" i="1"/>
  <c r="S539" i="1"/>
  <c r="R539" i="1"/>
  <c r="Q539" i="1"/>
  <c r="P539" i="1"/>
  <c r="O539" i="1"/>
  <c r="N539" i="1"/>
  <c r="M539" i="1"/>
  <c r="U538" i="1"/>
  <c r="T538" i="1"/>
  <c r="S538" i="1"/>
  <c r="R538" i="1"/>
  <c r="Q538" i="1"/>
  <c r="P538" i="1"/>
  <c r="O538" i="1"/>
  <c r="N538" i="1"/>
  <c r="M538" i="1"/>
  <c r="U537" i="1"/>
  <c r="T537" i="1"/>
  <c r="S537" i="1"/>
  <c r="R537" i="1"/>
  <c r="Q537" i="1"/>
  <c r="P537" i="1"/>
  <c r="O537" i="1"/>
  <c r="N537" i="1"/>
  <c r="M537" i="1"/>
  <c r="U536" i="1"/>
  <c r="T536" i="1"/>
  <c r="S536" i="1"/>
  <c r="R536" i="1"/>
  <c r="Q536" i="1"/>
  <c r="P536" i="1"/>
  <c r="O536" i="1"/>
  <c r="N536" i="1"/>
  <c r="M536" i="1"/>
  <c r="U535" i="1"/>
  <c r="T535" i="1"/>
  <c r="S535" i="1"/>
  <c r="R535" i="1"/>
  <c r="Q535" i="1"/>
  <c r="P535" i="1"/>
  <c r="O535" i="1"/>
  <c r="N535" i="1"/>
  <c r="M535" i="1"/>
  <c r="U534" i="1"/>
  <c r="T534" i="1"/>
  <c r="S534" i="1"/>
  <c r="R534" i="1"/>
  <c r="Q534" i="1"/>
  <c r="P534" i="1"/>
  <c r="O534" i="1"/>
  <c r="N534" i="1"/>
  <c r="M534" i="1"/>
  <c r="U533" i="1"/>
  <c r="T533" i="1"/>
  <c r="S533" i="1"/>
  <c r="R533" i="1"/>
  <c r="Q533" i="1"/>
  <c r="P533" i="1"/>
  <c r="O533" i="1"/>
  <c r="N533" i="1"/>
  <c r="M533" i="1"/>
  <c r="U532" i="1"/>
  <c r="T532" i="1"/>
  <c r="S532" i="1"/>
  <c r="R532" i="1"/>
  <c r="Q532" i="1"/>
  <c r="P532" i="1"/>
  <c r="O532" i="1"/>
  <c r="N532" i="1"/>
  <c r="M532" i="1"/>
  <c r="U531" i="1"/>
  <c r="T531" i="1"/>
  <c r="S531" i="1"/>
  <c r="R531" i="1"/>
  <c r="Q531" i="1"/>
  <c r="P531" i="1"/>
  <c r="O531" i="1"/>
  <c r="N531" i="1"/>
  <c r="M531" i="1"/>
  <c r="U530" i="1"/>
  <c r="T530" i="1"/>
  <c r="S530" i="1"/>
  <c r="R530" i="1"/>
  <c r="Q530" i="1"/>
  <c r="P530" i="1"/>
  <c r="O530" i="1"/>
  <c r="N530" i="1"/>
  <c r="M530" i="1"/>
  <c r="U529" i="1"/>
  <c r="T529" i="1"/>
  <c r="S529" i="1"/>
  <c r="R529" i="1"/>
  <c r="Q529" i="1"/>
  <c r="P529" i="1"/>
  <c r="O529" i="1"/>
  <c r="N529" i="1"/>
  <c r="M529" i="1"/>
  <c r="U528" i="1"/>
  <c r="T528" i="1"/>
  <c r="S528" i="1"/>
  <c r="R528" i="1"/>
  <c r="Q528" i="1"/>
  <c r="P528" i="1"/>
  <c r="O528" i="1"/>
  <c r="N528" i="1"/>
  <c r="M528" i="1"/>
  <c r="U527" i="1"/>
  <c r="T527" i="1"/>
  <c r="S527" i="1"/>
  <c r="R527" i="1"/>
  <c r="Q527" i="1"/>
  <c r="P527" i="1"/>
  <c r="O527" i="1"/>
  <c r="N527" i="1"/>
  <c r="M527" i="1"/>
  <c r="U526" i="1"/>
  <c r="T526" i="1"/>
  <c r="S526" i="1"/>
  <c r="R526" i="1"/>
  <c r="Q526" i="1"/>
  <c r="P526" i="1"/>
  <c r="O526" i="1"/>
  <c r="N526" i="1"/>
  <c r="M526" i="1"/>
  <c r="U525" i="1"/>
  <c r="T525" i="1"/>
  <c r="S525" i="1"/>
  <c r="R525" i="1"/>
  <c r="Q525" i="1"/>
  <c r="P525" i="1"/>
  <c r="O525" i="1"/>
  <c r="N525" i="1"/>
  <c r="M525" i="1"/>
  <c r="U524" i="1"/>
  <c r="T524" i="1"/>
  <c r="S524" i="1"/>
  <c r="R524" i="1"/>
  <c r="Q524" i="1"/>
  <c r="P524" i="1"/>
  <c r="O524" i="1"/>
  <c r="N524" i="1"/>
  <c r="M524" i="1"/>
  <c r="U523" i="1"/>
  <c r="T523" i="1"/>
  <c r="S523" i="1"/>
  <c r="R523" i="1"/>
  <c r="Q523" i="1"/>
  <c r="P523" i="1"/>
  <c r="O523" i="1"/>
  <c r="N523" i="1"/>
  <c r="M523" i="1"/>
  <c r="U522" i="1"/>
  <c r="T522" i="1"/>
  <c r="S522" i="1"/>
  <c r="R522" i="1"/>
  <c r="Q522" i="1"/>
  <c r="P522" i="1"/>
  <c r="O522" i="1"/>
  <c r="N522" i="1"/>
  <c r="M522" i="1"/>
  <c r="U521" i="1"/>
  <c r="T521" i="1"/>
  <c r="S521" i="1"/>
  <c r="R521" i="1"/>
  <c r="Q521" i="1"/>
  <c r="P521" i="1"/>
  <c r="O521" i="1"/>
  <c r="N521" i="1"/>
  <c r="M521" i="1"/>
  <c r="U520" i="1"/>
  <c r="T520" i="1"/>
  <c r="S520" i="1"/>
  <c r="R520" i="1"/>
  <c r="Q520" i="1"/>
  <c r="P520" i="1"/>
  <c r="O520" i="1"/>
  <c r="N520" i="1"/>
  <c r="M520" i="1"/>
  <c r="U519" i="1"/>
  <c r="T519" i="1"/>
  <c r="S519" i="1"/>
  <c r="R519" i="1"/>
  <c r="Q519" i="1"/>
  <c r="P519" i="1"/>
  <c r="O519" i="1"/>
  <c r="N519" i="1"/>
  <c r="M519" i="1"/>
  <c r="U518" i="1"/>
  <c r="T518" i="1"/>
  <c r="S518" i="1"/>
  <c r="R518" i="1"/>
  <c r="Q518" i="1"/>
  <c r="P518" i="1"/>
  <c r="O518" i="1"/>
  <c r="N518" i="1"/>
  <c r="M518" i="1"/>
  <c r="U517" i="1"/>
  <c r="T517" i="1"/>
  <c r="S517" i="1"/>
  <c r="R517" i="1"/>
  <c r="Q517" i="1"/>
  <c r="P517" i="1"/>
  <c r="O517" i="1"/>
  <c r="N517" i="1"/>
  <c r="M517" i="1"/>
  <c r="U516" i="1"/>
  <c r="T516" i="1"/>
  <c r="S516" i="1"/>
  <c r="R516" i="1"/>
  <c r="Q516" i="1"/>
  <c r="P516" i="1"/>
  <c r="O516" i="1"/>
  <c r="N516" i="1"/>
  <c r="M516" i="1"/>
  <c r="U515" i="1"/>
  <c r="T515" i="1"/>
  <c r="S515" i="1"/>
  <c r="R515" i="1"/>
  <c r="Q515" i="1"/>
  <c r="P515" i="1"/>
  <c r="O515" i="1"/>
  <c r="N515" i="1"/>
  <c r="M515" i="1"/>
  <c r="U514" i="1"/>
  <c r="T514" i="1"/>
  <c r="S514" i="1"/>
  <c r="R514" i="1"/>
  <c r="Q514" i="1"/>
  <c r="P514" i="1"/>
  <c r="O514" i="1"/>
  <c r="N514" i="1"/>
  <c r="M514" i="1"/>
  <c r="U513" i="1"/>
  <c r="T513" i="1"/>
  <c r="S513" i="1"/>
  <c r="R513" i="1"/>
  <c r="Q513" i="1"/>
  <c r="P513" i="1"/>
  <c r="O513" i="1"/>
  <c r="N513" i="1"/>
  <c r="M513" i="1"/>
  <c r="U512" i="1"/>
  <c r="T512" i="1"/>
  <c r="S512" i="1"/>
  <c r="R512" i="1"/>
  <c r="Q512" i="1"/>
  <c r="P512" i="1"/>
  <c r="O512" i="1"/>
  <c r="N512" i="1"/>
  <c r="M512" i="1"/>
  <c r="U511" i="1"/>
  <c r="T511" i="1"/>
  <c r="S511" i="1"/>
  <c r="R511" i="1"/>
  <c r="Q511" i="1"/>
  <c r="P511" i="1"/>
  <c r="O511" i="1"/>
  <c r="N511" i="1"/>
  <c r="M511" i="1"/>
  <c r="U510" i="1"/>
  <c r="T510" i="1"/>
  <c r="S510" i="1"/>
  <c r="R510" i="1"/>
  <c r="Q510" i="1"/>
  <c r="P510" i="1"/>
  <c r="O510" i="1"/>
  <c r="N510" i="1"/>
  <c r="M510" i="1"/>
  <c r="U509" i="1"/>
  <c r="T509" i="1"/>
  <c r="S509" i="1"/>
  <c r="R509" i="1"/>
  <c r="Q509" i="1"/>
  <c r="P509" i="1"/>
  <c r="O509" i="1"/>
  <c r="N509" i="1"/>
  <c r="M509" i="1"/>
  <c r="U508" i="1"/>
  <c r="T508" i="1"/>
  <c r="S508" i="1"/>
  <c r="R508" i="1"/>
  <c r="Q508" i="1"/>
  <c r="P508" i="1"/>
  <c r="O508" i="1"/>
  <c r="N508" i="1"/>
  <c r="M508" i="1"/>
  <c r="U507" i="1"/>
  <c r="T507" i="1"/>
  <c r="S507" i="1"/>
  <c r="R507" i="1"/>
  <c r="Q507" i="1"/>
  <c r="P507" i="1"/>
  <c r="O507" i="1"/>
  <c r="N507" i="1"/>
  <c r="M507" i="1"/>
  <c r="U506" i="1"/>
  <c r="T506" i="1"/>
  <c r="S506" i="1"/>
  <c r="R506" i="1"/>
  <c r="Q506" i="1"/>
  <c r="P506" i="1"/>
  <c r="O506" i="1"/>
  <c r="N506" i="1"/>
  <c r="M506" i="1"/>
  <c r="U505" i="1"/>
  <c r="T505" i="1"/>
  <c r="S505" i="1"/>
  <c r="R505" i="1"/>
  <c r="Q505" i="1"/>
  <c r="P505" i="1"/>
  <c r="O505" i="1"/>
  <c r="N505" i="1"/>
  <c r="M505" i="1"/>
  <c r="U504" i="1"/>
  <c r="T504" i="1"/>
  <c r="S504" i="1"/>
  <c r="R504" i="1"/>
  <c r="Q504" i="1"/>
  <c r="P504" i="1"/>
  <c r="O504" i="1"/>
  <c r="N504" i="1"/>
  <c r="M504" i="1"/>
  <c r="U503" i="1"/>
  <c r="T503" i="1"/>
  <c r="S503" i="1"/>
  <c r="R503" i="1"/>
  <c r="Q503" i="1"/>
  <c r="P503" i="1"/>
  <c r="O503" i="1"/>
  <c r="N503" i="1"/>
  <c r="M503" i="1"/>
  <c r="U502" i="1"/>
  <c r="T502" i="1"/>
  <c r="S502" i="1"/>
  <c r="R502" i="1"/>
  <c r="Q502" i="1"/>
  <c r="P502" i="1"/>
  <c r="O502" i="1"/>
  <c r="N502" i="1"/>
  <c r="M502" i="1"/>
  <c r="U501" i="1"/>
  <c r="T501" i="1"/>
  <c r="S501" i="1"/>
  <c r="R501" i="1"/>
  <c r="Q501" i="1"/>
  <c r="P501" i="1"/>
  <c r="O501" i="1"/>
  <c r="N501" i="1"/>
  <c r="M501" i="1"/>
  <c r="U500" i="1"/>
  <c r="T500" i="1"/>
  <c r="S500" i="1"/>
  <c r="R500" i="1"/>
  <c r="Q500" i="1"/>
  <c r="P500" i="1"/>
  <c r="O500" i="1"/>
  <c r="N500" i="1"/>
  <c r="M500" i="1"/>
  <c r="U499" i="1"/>
  <c r="T499" i="1"/>
  <c r="S499" i="1"/>
  <c r="R499" i="1"/>
  <c r="Q499" i="1"/>
  <c r="P499" i="1"/>
  <c r="O499" i="1"/>
  <c r="N499" i="1"/>
  <c r="M499" i="1"/>
  <c r="U498" i="1"/>
  <c r="T498" i="1"/>
  <c r="S498" i="1"/>
  <c r="R498" i="1"/>
  <c r="Q498" i="1"/>
  <c r="P498" i="1"/>
  <c r="O498" i="1"/>
  <c r="N498" i="1"/>
  <c r="M498" i="1"/>
  <c r="U497" i="1"/>
  <c r="T497" i="1"/>
  <c r="S497" i="1"/>
  <c r="R497" i="1"/>
  <c r="Q497" i="1"/>
  <c r="P497" i="1"/>
  <c r="O497" i="1"/>
  <c r="N497" i="1"/>
  <c r="M497" i="1"/>
  <c r="U496" i="1"/>
  <c r="T496" i="1"/>
  <c r="S496" i="1"/>
  <c r="R496" i="1"/>
  <c r="Q496" i="1"/>
  <c r="P496" i="1"/>
  <c r="O496" i="1"/>
  <c r="N496" i="1"/>
  <c r="M496" i="1"/>
  <c r="U495" i="1"/>
  <c r="T495" i="1"/>
  <c r="S495" i="1"/>
  <c r="R495" i="1"/>
  <c r="Q495" i="1"/>
  <c r="P495" i="1"/>
  <c r="O495" i="1"/>
  <c r="N495" i="1"/>
  <c r="M495" i="1"/>
  <c r="U494" i="1"/>
  <c r="T494" i="1"/>
  <c r="S494" i="1"/>
  <c r="R494" i="1"/>
  <c r="Q494" i="1"/>
  <c r="P494" i="1"/>
  <c r="O494" i="1"/>
  <c r="N494" i="1"/>
  <c r="M494" i="1"/>
  <c r="U493" i="1"/>
  <c r="T493" i="1"/>
  <c r="S493" i="1"/>
  <c r="R493" i="1"/>
  <c r="Q493" i="1"/>
  <c r="P493" i="1"/>
  <c r="O493" i="1"/>
  <c r="N493" i="1"/>
  <c r="M493" i="1"/>
  <c r="U492" i="1"/>
  <c r="T492" i="1"/>
  <c r="S492" i="1"/>
  <c r="R492" i="1"/>
  <c r="Q492" i="1"/>
  <c r="P492" i="1"/>
  <c r="O492" i="1"/>
  <c r="N492" i="1"/>
  <c r="M492" i="1"/>
  <c r="U491" i="1"/>
  <c r="T491" i="1"/>
  <c r="S491" i="1"/>
  <c r="R491" i="1"/>
  <c r="Q491" i="1"/>
  <c r="P491" i="1"/>
  <c r="O491" i="1"/>
  <c r="N491" i="1"/>
  <c r="M491" i="1"/>
  <c r="U490" i="1"/>
  <c r="T490" i="1"/>
  <c r="S490" i="1"/>
  <c r="R490" i="1"/>
  <c r="Q490" i="1"/>
  <c r="P490" i="1"/>
  <c r="O490" i="1"/>
  <c r="N490" i="1"/>
  <c r="M490" i="1"/>
  <c r="U489" i="1"/>
  <c r="T489" i="1"/>
  <c r="S489" i="1"/>
  <c r="R489" i="1"/>
  <c r="Q489" i="1"/>
  <c r="P489" i="1"/>
  <c r="O489" i="1"/>
  <c r="N489" i="1"/>
  <c r="M489" i="1"/>
  <c r="U488" i="1"/>
  <c r="T488" i="1"/>
  <c r="S488" i="1"/>
  <c r="R488" i="1"/>
  <c r="Q488" i="1"/>
  <c r="P488" i="1"/>
  <c r="O488" i="1"/>
  <c r="N488" i="1"/>
  <c r="M488" i="1"/>
  <c r="U487" i="1"/>
  <c r="T487" i="1"/>
  <c r="S487" i="1"/>
  <c r="R487" i="1"/>
  <c r="Q487" i="1"/>
  <c r="P487" i="1"/>
  <c r="O487" i="1"/>
  <c r="N487" i="1"/>
  <c r="M487" i="1"/>
  <c r="U486" i="1"/>
  <c r="T486" i="1"/>
  <c r="S486" i="1"/>
  <c r="R486" i="1"/>
  <c r="Q486" i="1"/>
  <c r="P486" i="1"/>
  <c r="O486" i="1"/>
  <c r="N486" i="1"/>
  <c r="M486" i="1"/>
  <c r="U485" i="1"/>
  <c r="T485" i="1"/>
  <c r="S485" i="1"/>
  <c r="R485" i="1"/>
  <c r="Q485" i="1"/>
  <c r="P485" i="1"/>
  <c r="O485" i="1"/>
  <c r="N485" i="1"/>
  <c r="M485" i="1"/>
  <c r="U484" i="1"/>
  <c r="T484" i="1"/>
  <c r="S484" i="1"/>
  <c r="R484" i="1"/>
  <c r="Q484" i="1"/>
  <c r="P484" i="1"/>
  <c r="O484" i="1"/>
  <c r="N484" i="1"/>
  <c r="M484" i="1"/>
  <c r="U483" i="1"/>
  <c r="T483" i="1"/>
  <c r="S483" i="1"/>
  <c r="R483" i="1"/>
  <c r="Q483" i="1"/>
  <c r="P483" i="1"/>
  <c r="O483" i="1"/>
  <c r="N483" i="1"/>
  <c r="M483" i="1"/>
  <c r="U482" i="1"/>
  <c r="T482" i="1"/>
  <c r="S482" i="1"/>
  <c r="R482" i="1"/>
  <c r="Q482" i="1"/>
  <c r="P482" i="1"/>
  <c r="O482" i="1"/>
  <c r="N482" i="1"/>
  <c r="M482" i="1"/>
  <c r="U481" i="1"/>
  <c r="T481" i="1"/>
  <c r="S481" i="1"/>
  <c r="R481" i="1"/>
  <c r="Q481" i="1"/>
  <c r="P481" i="1"/>
  <c r="O481" i="1"/>
  <c r="N481" i="1"/>
  <c r="M481" i="1"/>
  <c r="U480" i="1"/>
  <c r="T480" i="1"/>
  <c r="S480" i="1"/>
  <c r="R480" i="1"/>
  <c r="Q480" i="1"/>
  <c r="P480" i="1"/>
  <c r="O480" i="1"/>
  <c r="N480" i="1"/>
  <c r="M480" i="1"/>
  <c r="U479" i="1"/>
  <c r="T479" i="1"/>
  <c r="S479" i="1"/>
  <c r="R479" i="1"/>
  <c r="Q479" i="1"/>
  <c r="P479" i="1"/>
  <c r="O479" i="1"/>
  <c r="N479" i="1"/>
  <c r="M479" i="1"/>
  <c r="U478" i="1"/>
  <c r="T478" i="1"/>
  <c r="S478" i="1"/>
  <c r="R478" i="1"/>
  <c r="Q478" i="1"/>
  <c r="P478" i="1"/>
  <c r="O478" i="1"/>
  <c r="N478" i="1"/>
  <c r="M478" i="1"/>
  <c r="U477" i="1"/>
  <c r="T477" i="1"/>
  <c r="S477" i="1"/>
  <c r="R477" i="1"/>
  <c r="Q477" i="1"/>
  <c r="P477" i="1"/>
  <c r="O477" i="1"/>
  <c r="N477" i="1"/>
  <c r="M477" i="1"/>
  <c r="U476" i="1"/>
  <c r="T476" i="1"/>
  <c r="S476" i="1"/>
  <c r="R476" i="1"/>
  <c r="Q476" i="1"/>
  <c r="P476" i="1"/>
  <c r="O476" i="1"/>
  <c r="N476" i="1"/>
  <c r="M476" i="1"/>
  <c r="U475" i="1"/>
  <c r="T475" i="1"/>
  <c r="S475" i="1"/>
  <c r="R475" i="1"/>
  <c r="Q475" i="1"/>
  <c r="P475" i="1"/>
  <c r="O475" i="1"/>
  <c r="N475" i="1"/>
  <c r="M475" i="1"/>
  <c r="U474" i="1"/>
  <c r="T474" i="1"/>
  <c r="S474" i="1"/>
  <c r="R474" i="1"/>
  <c r="Q474" i="1"/>
  <c r="P474" i="1"/>
  <c r="O474" i="1"/>
  <c r="N474" i="1"/>
  <c r="M474" i="1"/>
  <c r="U473" i="1"/>
  <c r="T473" i="1"/>
  <c r="S473" i="1"/>
  <c r="R473" i="1"/>
  <c r="Q473" i="1"/>
  <c r="P473" i="1"/>
  <c r="O473" i="1"/>
  <c r="N473" i="1"/>
  <c r="M473" i="1"/>
  <c r="U472" i="1"/>
  <c r="T472" i="1"/>
  <c r="S472" i="1"/>
  <c r="R472" i="1"/>
  <c r="Q472" i="1"/>
  <c r="P472" i="1"/>
  <c r="O472" i="1"/>
  <c r="N472" i="1"/>
  <c r="M472" i="1"/>
  <c r="U471" i="1"/>
  <c r="T471" i="1"/>
  <c r="S471" i="1"/>
  <c r="R471" i="1"/>
  <c r="Q471" i="1"/>
  <c r="P471" i="1"/>
  <c r="O471" i="1"/>
  <c r="N471" i="1"/>
  <c r="M471" i="1"/>
  <c r="U470" i="1"/>
  <c r="T470" i="1"/>
  <c r="S470" i="1"/>
  <c r="R470" i="1"/>
  <c r="Q470" i="1"/>
  <c r="P470" i="1"/>
  <c r="O470" i="1"/>
  <c r="N470" i="1"/>
  <c r="M470" i="1"/>
  <c r="U469" i="1"/>
  <c r="T469" i="1"/>
  <c r="S469" i="1"/>
  <c r="R469" i="1"/>
  <c r="Q469" i="1"/>
  <c r="P469" i="1"/>
  <c r="O469" i="1"/>
  <c r="N469" i="1"/>
  <c r="M469" i="1"/>
  <c r="U468" i="1"/>
  <c r="T468" i="1"/>
  <c r="S468" i="1"/>
  <c r="R468" i="1"/>
  <c r="Q468" i="1"/>
  <c r="P468" i="1"/>
  <c r="O468" i="1"/>
  <c r="N468" i="1"/>
  <c r="M468" i="1"/>
  <c r="U467" i="1"/>
  <c r="T467" i="1"/>
  <c r="S467" i="1"/>
  <c r="R467" i="1"/>
  <c r="Q467" i="1"/>
  <c r="P467" i="1"/>
  <c r="O467" i="1"/>
  <c r="N467" i="1"/>
  <c r="M467" i="1"/>
  <c r="U466" i="1"/>
  <c r="T466" i="1"/>
  <c r="S466" i="1"/>
  <c r="R466" i="1"/>
  <c r="Q466" i="1"/>
  <c r="P466" i="1"/>
  <c r="O466" i="1"/>
  <c r="N466" i="1"/>
  <c r="M466" i="1"/>
  <c r="U465" i="1"/>
  <c r="T465" i="1"/>
  <c r="S465" i="1"/>
  <c r="R465" i="1"/>
  <c r="Q465" i="1"/>
  <c r="P465" i="1"/>
  <c r="O465" i="1"/>
  <c r="N465" i="1"/>
  <c r="M465" i="1"/>
  <c r="U464" i="1"/>
  <c r="T464" i="1"/>
  <c r="S464" i="1"/>
  <c r="R464" i="1"/>
  <c r="Q464" i="1"/>
  <c r="P464" i="1"/>
  <c r="O464" i="1"/>
  <c r="N464" i="1"/>
  <c r="M464" i="1"/>
  <c r="U463" i="1"/>
  <c r="T463" i="1"/>
  <c r="S463" i="1"/>
  <c r="R463" i="1"/>
  <c r="Q463" i="1"/>
  <c r="P463" i="1"/>
  <c r="O463" i="1"/>
  <c r="N463" i="1"/>
  <c r="M463" i="1"/>
  <c r="U462" i="1"/>
  <c r="T462" i="1"/>
  <c r="S462" i="1"/>
  <c r="R462" i="1"/>
  <c r="Q462" i="1"/>
  <c r="P462" i="1"/>
  <c r="O462" i="1"/>
  <c r="N462" i="1"/>
  <c r="M462" i="1"/>
  <c r="U461" i="1"/>
  <c r="T461" i="1"/>
  <c r="S461" i="1"/>
  <c r="R461" i="1"/>
  <c r="Q461" i="1"/>
  <c r="P461" i="1"/>
  <c r="O461" i="1"/>
  <c r="N461" i="1"/>
  <c r="M461" i="1"/>
  <c r="U460" i="1"/>
  <c r="T460" i="1"/>
  <c r="S460" i="1"/>
  <c r="R460" i="1"/>
  <c r="Q460" i="1"/>
  <c r="P460" i="1"/>
  <c r="O460" i="1"/>
  <c r="N460" i="1"/>
  <c r="M460" i="1"/>
  <c r="U459" i="1"/>
  <c r="T459" i="1"/>
  <c r="S459" i="1"/>
  <c r="R459" i="1"/>
  <c r="Q459" i="1"/>
  <c r="P459" i="1"/>
  <c r="O459" i="1"/>
  <c r="N459" i="1"/>
  <c r="M459" i="1"/>
  <c r="U458" i="1"/>
  <c r="T458" i="1"/>
  <c r="S458" i="1"/>
  <c r="R458" i="1"/>
  <c r="Q458" i="1"/>
  <c r="P458" i="1"/>
  <c r="O458" i="1"/>
  <c r="N458" i="1"/>
  <c r="M458" i="1"/>
  <c r="U457" i="1"/>
  <c r="T457" i="1"/>
  <c r="S457" i="1"/>
  <c r="R457" i="1"/>
  <c r="Q457" i="1"/>
  <c r="P457" i="1"/>
  <c r="O457" i="1"/>
  <c r="N457" i="1"/>
  <c r="M457" i="1"/>
  <c r="U456" i="1"/>
  <c r="T456" i="1"/>
  <c r="S456" i="1"/>
  <c r="R456" i="1"/>
  <c r="Q456" i="1"/>
  <c r="P456" i="1"/>
  <c r="O456" i="1"/>
  <c r="N456" i="1"/>
  <c r="M456" i="1"/>
  <c r="U455" i="1"/>
  <c r="T455" i="1"/>
  <c r="S455" i="1"/>
  <c r="R455" i="1"/>
  <c r="Q455" i="1"/>
  <c r="P455" i="1"/>
  <c r="O455" i="1"/>
  <c r="N455" i="1"/>
  <c r="M455" i="1"/>
  <c r="U454" i="1"/>
  <c r="T454" i="1"/>
  <c r="S454" i="1"/>
  <c r="R454" i="1"/>
  <c r="Q454" i="1"/>
  <c r="P454" i="1"/>
  <c r="O454" i="1"/>
  <c r="N454" i="1"/>
  <c r="M454" i="1"/>
  <c r="U453" i="1"/>
  <c r="T453" i="1"/>
  <c r="S453" i="1"/>
  <c r="R453" i="1"/>
  <c r="Q453" i="1"/>
  <c r="P453" i="1"/>
  <c r="O453" i="1"/>
  <c r="N453" i="1"/>
  <c r="M453" i="1"/>
  <c r="U452" i="1"/>
  <c r="T452" i="1"/>
  <c r="S452" i="1"/>
  <c r="R452" i="1"/>
  <c r="Q452" i="1"/>
  <c r="P452" i="1"/>
  <c r="O452" i="1"/>
  <c r="N452" i="1"/>
  <c r="M452" i="1"/>
  <c r="U451" i="1"/>
  <c r="T451" i="1"/>
  <c r="S451" i="1"/>
  <c r="R451" i="1"/>
  <c r="Q451" i="1"/>
  <c r="P451" i="1"/>
  <c r="O451" i="1"/>
  <c r="N451" i="1"/>
  <c r="M451" i="1"/>
  <c r="U450" i="1"/>
  <c r="T450" i="1"/>
  <c r="S450" i="1"/>
  <c r="R450" i="1"/>
  <c r="Q450" i="1"/>
  <c r="P450" i="1"/>
  <c r="O450" i="1"/>
  <c r="N450" i="1"/>
  <c r="M450" i="1"/>
  <c r="U449" i="1"/>
  <c r="T449" i="1"/>
  <c r="S449" i="1"/>
  <c r="R449" i="1"/>
  <c r="Q449" i="1"/>
  <c r="P449" i="1"/>
  <c r="O449" i="1"/>
  <c r="N449" i="1"/>
  <c r="M449" i="1"/>
  <c r="U448" i="1"/>
  <c r="T448" i="1"/>
  <c r="S448" i="1"/>
  <c r="R448" i="1"/>
  <c r="Q448" i="1"/>
  <c r="P448" i="1"/>
  <c r="O448" i="1"/>
  <c r="N448" i="1"/>
  <c r="M448" i="1"/>
  <c r="U447" i="1"/>
  <c r="T447" i="1"/>
  <c r="S447" i="1"/>
  <c r="R447" i="1"/>
  <c r="Q447" i="1"/>
  <c r="P447" i="1"/>
  <c r="O447" i="1"/>
  <c r="N447" i="1"/>
  <c r="M447" i="1"/>
  <c r="U446" i="1"/>
  <c r="T446" i="1"/>
  <c r="S446" i="1"/>
  <c r="R446" i="1"/>
  <c r="Q446" i="1"/>
  <c r="P446" i="1"/>
  <c r="O446" i="1"/>
  <c r="N446" i="1"/>
  <c r="M446" i="1"/>
  <c r="U445" i="1"/>
  <c r="T445" i="1"/>
  <c r="S445" i="1"/>
  <c r="R445" i="1"/>
  <c r="Q445" i="1"/>
  <c r="P445" i="1"/>
  <c r="O445" i="1"/>
  <c r="N445" i="1"/>
  <c r="M445" i="1"/>
  <c r="U444" i="1"/>
  <c r="T444" i="1"/>
  <c r="S444" i="1"/>
  <c r="R444" i="1"/>
  <c r="Q444" i="1"/>
  <c r="P444" i="1"/>
  <c r="O444" i="1"/>
  <c r="N444" i="1"/>
  <c r="M444" i="1"/>
  <c r="U443" i="1"/>
  <c r="T443" i="1"/>
  <c r="S443" i="1"/>
  <c r="R443" i="1"/>
  <c r="Q443" i="1"/>
  <c r="P443" i="1"/>
  <c r="O443" i="1"/>
  <c r="N443" i="1"/>
  <c r="M443" i="1"/>
  <c r="U442" i="1"/>
  <c r="T442" i="1"/>
  <c r="S442" i="1"/>
  <c r="R442" i="1"/>
  <c r="Q442" i="1"/>
  <c r="P442" i="1"/>
  <c r="O442" i="1"/>
  <c r="N442" i="1"/>
  <c r="M442" i="1"/>
  <c r="U441" i="1"/>
  <c r="T441" i="1"/>
  <c r="S441" i="1"/>
  <c r="R441" i="1"/>
  <c r="Q441" i="1"/>
  <c r="P441" i="1"/>
  <c r="O441" i="1"/>
  <c r="N441" i="1"/>
  <c r="M441" i="1"/>
  <c r="U440" i="1"/>
  <c r="T440" i="1"/>
  <c r="S440" i="1"/>
  <c r="R440" i="1"/>
  <c r="Q440" i="1"/>
  <c r="P440" i="1"/>
  <c r="O440" i="1"/>
  <c r="N440" i="1"/>
  <c r="M440" i="1"/>
  <c r="U439" i="1"/>
  <c r="T439" i="1"/>
  <c r="S439" i="1"/>
  <c r="R439" i="1"/>
  <c r="Q439" i="1"/>
  <c r="P439" i="1"/>
  <c r="O439" i="1"/>
  <c r="N439" i="1"/>
  <c r="M439" i="1"/>
  <c r="U438" i="1"/>
  <c r="T438" i="1"/>
  <c r="S438" i="1"/>
  <c r="R438" i="1"/>
  <c r="Q438" i="1"/>
  <c r="P438" i="1"/>
  <c r="O438" i="1"/>
  <c r="N438" i="1"/>
  <c r="M438" i="1"/>
  <c r="U437" i="1"/>
  <c r="T437" i="1"/>
  <c r="S437" i="1"/>
  <c r="R437" i="1"/>
  <c r="Q437" i="1"/>
  <c r="P437" i="1"/>
  <c r="O437" i="1"/>
  <c r="N437" i="1"/>
  <c r="M437" i="1"/>
  <c r="U436" i="1"/>
  <c r="T436" i="1"/>
  <c r="S436" i="1"/>
  <c r="R436" i="1"/>
  <c r="Q436" i="1"/>
  <c r="P436" i="1"/>
  <c r="O436" i="1"/>
  <c r="N436" i="1"/>
  <c r="M436" i="1"/>
  <c r="U435" i="1"/>
  <c r="T435" i="1"/>
  <c r="S435" i="1"/>
  <c r="R435" i="1"/>
  <c r="Q435" i="1"/>
  <c r="P435" i="1"/>
  <c r="O435" i="1"/>
  <c r="N435" i="1"/>
  <c r="M435" i="1"/>
  <c r="U434" i="1"/>
  <c r="T434" i="1"/>
  <c r="S434" i="1"/>
  <c r="R434" i="1"/>
  <c r="Q434" i="1"/>
  <c r="P434" i="1"/>
  <c r="O434" i="1"/>
  <c r="N434" i="1"/>
  <c r="M434" i="1"/>
  <c r="U433" i="1"/>
  <c r="T433" i="1"/>
  <c r="S433" i="1"/>
  <c r="R433" i="1"/>
  <c r="Q433" i="1"/>
  <c r="P433" i="1"/>
  <c r="O433" i="1"/>
  <c r="N433" i="1"/>
  <c r="M433" i="1"/>
  <c r="U432" i="1"/>
  <c r="T432" i="1"/>
  <c r="S432" i="1"/>
  <c r="R432" i="1"/>
  <c r="Q432" i="1"/>
  <c r="P432" i="1"/>
  <c r="O432" i="1"/>
  <c r="N432" i="1"/>
  <c r="M432" i="1"/>
  <c r="U431" i="1"/>
  <c r="T431" i="1"/>
  <c r="S431" i="1"/>
  <c r="R431" i="1"/>
  <c r="Q431" i="1"/>
  <c r="P431" i="1"/>
  <c r="O431" i="1"/>
  <c r="N431" i="1"/>
  <c r="M431" i="1"/>
  <c r="U430" i="1"/>
  <c r="T430" i="1"/>
  <c r="S430" i="1"/>
  <c r="R430" i="1"/>
  <c r="Q430" i="1"/>
  <c r="P430" i="1"/>
  <c r="O430" i="1"/>
  <c r="N430" i="1"/>
  <c r="M430" i="1"/>
  <c r="U429" i="1"/>
  <c r="T429" i="1"/>
  <c r="S429" i="1"/>
  <c r="R429" i="1"/>
  <c r="Q429" i="1"/>
  <c r="P429" i="1"/>
  <c r="O429" i="1"/>
  <c r="N429" i="1"/>
  <c r="M429" i="1"/>
  <c r="U428" i="1"/>
  <c r="T428" i="1"/>
  <c r="S428" i="1"/>
  <c r="R428" i="1"/>
  <c r="Q428" i="1"/>
  <c r="P428" i="1"/>
  <c r="O428" i="1"/>
  <c r="N428" i="1"/>
  <c r="M428" i="1"/>
  <c r="U427" i="1"/>
  <c r="T427" i="1"/>
  <c r="S427" i="1"/>
  <c r="R427" i="1"/>
  <c r="Q427" i="1"/>
  <c r="P427" i="1"/>
  <c r="O427" i="1"/>
  <c r="N427" i="1"/>
  <c r="M427" i="1"/>
  <c r="U426" i="1"/>
  <c r="T426" i="1"/>
  <c r="S426" i="1"/>
  <c r="R426" i="1"/>
  <c r="Q426" i="1"/>
  <c r="P426" i="1"/>
  <c r="O426" i="1"/>
  <c r="N426" i="1"/>
  <c r="M426" i="1"/>
  <c r="U425" i="1"/>
  <c r="T425" i="1"/>
  <c r="S425" i="1"/>
  <c r="R425" i="1"/>
  <c r="Q425" i="1"/>
  <c r="P425" i="1"/>
  <c r="O425" i="1"/>
  <c r="N425" i="1"/>
  <c r="M425" i="1"/>
  <c r="U424" i="1"/>
  <c r="T424" i="1"/>
  <c r="S424" i="1"/>
  <c r="R424" i="1"/>
  <c r="Q424" i="1"/>
  <c r="P424" i="1"/>
  <c r="O424" i="1"/>
  <c r="N424" i="1"/>
  <c r="M424" i="1"/>
  <c r="U423" i="1"/>
  <c r="T423" i="1"/>
  <c r="S423" i="1"/>
  <c r="R423" i="1"/>
  <c r="Q423" i="1"/>
  <c r="P423" i="1"/>
  <c r="O423" i="1"/>
  <c r="N423" i="1"/>
  <c r="M423" i="1"/>
  <c r="U422" i="1"/>
  <c r="T422" i="1"/>
  <c r="S422" i="1"/>
  <c r="R422" i="1"/>
  <c r="Q422" i="1"/>
  <c r="P422" i="1"/>
  <c r="O422" i="1"/>
  <c r="N422" i="1"/>
  <c r="M422" i="1"/>
  <c r="U421" i="1"/>
  <c r="T421" i="1"/>
  <c r="S421" i="1"/>
  <c r="R421" i="1"/>
  <c r="Q421" i="1"/>
  <c r="P421" i="1"/>
  <c r="O421" i="1"/>
  <c r="N421" i="1"/>
  <c r="M421" i="1"/>
  <c r="U420" i="1"/>
  <c r="T420" i="1"/>
  <c r="S420" i="1"/>
  <c r="R420" i="1"/>
  <c r="Q420" i="1"/>
  <c r="P420" i="1"/>
  <c r="O420" i="1"/>
  <c r="N420" i="1"/>
  <c r="M420" i="1"/>
  <c r="U419" i="1"/>
  <c r="T419" i="1"/>
  <c r="S419" i="1"/>
  <c r="R419" i="1"/>
  <c r="Q419" i="1"/>
  <c r="P419" i="1"/>
  <c r="O419" i="1"/>
  <c r="N419" i="1"/>
  <c r="M419" i="1"/>
  <c r="U418" i="1"/>
  <c r="T418" i="1"/>
  <c r="S418" i="1"/>
  <c r="R418" i="1"/>
  <c r="Q418" i="1"/>
  <c r="P418" i="1"/>
  <c r="O418" i="1"/>
  <c r="N418" i="1"/>
  <c r="M418" i="1"/>
  <c r="U417" i="1"/>
  <c r="T417" i="1"/>
  <c r="S417" i="1"/>
  <c r="R417" i="1"/>
  <c r="Q417" i="1"/>
  <c r="P417" i="1"/>
  <c r="O417" i="1"/>
  <c r="N417" i="1"/>
  <c r="M417" i="1"/>
  <c r="U416" i="1"/>
  <c r="T416" i="1"/>
  <c r="S416" i="1"/>
  <c r="R416" i="1"/>
  <c r="Q416" i="1"/>
  <c r="P416" i="1"/>
  <c r="O416" i="1"/>
  <c r="N416" i="1"/>
  <c r="M416" i="1"/>
  <c r="U415" i="1"/>
  <c r="T415" i="1"/>
  <c r="S415" i="1"/>
  <c r="R415" i="1"/>
  <c r="Q415" i="1"/>
  <c r="P415" i="1"/>
  <c r="O415" i="1"/>
  <c r="N415" i="1"/>
  <c r="M415" i="1"/>
  <c r="U414" i="1"/>
  <c r="T414" i="1"/>
  <c r="S414" i="1"/>
  <c r="R414" i="1"/>
  <c r="Q414" i="1"/>
  <c r="P414" i="1"/>
  <c r="O414" i="1"/>
  <c r="N414" i="1"/>
  <c r="M414" i="1"/>
  <c r="U413" i="1"/>
  <c r="T413" i="1"/>
  <c r="S413" i="1"/>
  <c r="R413" i="1"/>
  <c r="Q413" i="1"/>
  <c r="P413" i="1"/>
  <c r="O413" i="1"/>
  <c r="N413" i="1"/>
  <c r="M413" i="1"/>
  <c r="U412" i="1"/>
  <c r="T412" i="1"/>
  <c r="S412" i="1"/>
  <c r="R412" i="1"/>
  <c r="Q412" i="1"/>
  <c r="P412" i="1"/>
  <c r="O412" i="1"/>
  <c r="N412" i="1"/>
  <c r="M412" i="1"/>
  <c r="U411" i="1"/>
  <c r="T411" i="1"/>
  <c r="S411" i="1"/>
  <c r="R411" i="1"/>
  <c r="Q411" i="1"/>
  <c r="P411" i="1"/>
  <c r="O411" i="1"/>
  <c r="N411" i="1"/>
  <c r="M411" i="1"/>
  <c r="U410" i="1"/>
  <c r="T410" i="1"/>
  <c r="S410" i="1"/>
  <c r="R410" i="1"/>
  <c r="Q410" i="1"/>
  <c r="P410" i="1"/>
  <c r="O410" i="1"/>
  <c r="N410" i="1"/>
  <c r="M410" i="1"/>
  <c r="U409" i="1"/>
  <c r="T409" i="1"/>
  <c r="S409" i="1"/>
  <c r="R409" i="1"/>
  <c r="Q409" i="1"/>
  <c r="P409" i="1"/>
  <c r="O409" i="1"/>
  <c r="N409" i="1"/>
  <c r="M409" i="1"/>
  <c r="U408" i="1"/>
  <c r="T408" i="1"/>
  <c r="S408" i="1"/>
  <c r="R408" i="1"/>
  <c r="Q408" i="1"/>
  <c r="P408" i="1"/>
  <c r="O408" i="1"/>
  <c r="N408" i="1"/>
  <c r="M408" i="1"/>
  <c r="U407" i="1"/>
  <c r="T407" i="1"/>
  <c r="S407" i="1"/>
  <c r="R407" i="1"/>
  <c r="Q407" i="1"/>
  <c r="P407" i="1"/>
  <c r="O407" i="1"/>
  <c r="N407" i="1"/>
  <c r="M407" i="1"/>
  <c r="U406" i="1"/>
  <c r="T406" i="1"/>
  <c r="S406" i="1"/>
  <c r="R406" i="1"/>
  <c r="Q406" i="1"/>
  <c r="P406" i="1"/>
  <c r="O406" i="1"/>
  <c r="N406" i="1"/>
  <c r="M406" i="1"/>
  <c r="U405" i="1"/>
  <c r="T405" i="1"/>
  <c r="S405" i="1"/>
  <c r="R405" i="1"/>
  <c r="Q405" i="1"/>
  <c r="P405" i="1"/>
  <c r="O405" i="1"/>
  <c r="N405" i="1"/>
  <c r="M405" i="1"/>
  <c r="U404" i="1"/>
  <c r="T404" i="1"/>
  <c r="S404" i="1"/>
  <c r="R404" i="1"/>
  <c r="Q404" i="1"/>
  <c r="P404" i="1"/>
  <c r="O404" i="1"/>
  <c r="N404" i="1"/>
  <c r="M404" i="1"/>
  <c r="U403" i="1"/>
  <c r="T403" i="1"/>
  <c r="S403" i="1"/>
  <c r="R403" i="1"/>
  <c r="Q403" i="1"/>
  <c r="P403" i="1"/>
  <c r="O403" i="1"/>
  <c r="N403" i="1"/>
  <c r="M403" i="1"/>
  <c r="U402" i="1"/>
  <c r="T402" i="1"/>
  <c r="S402" i="1"/>
  <c r="R402" i="1"/>
  <c r="Q402" i="1"/>
  <c r="P402" i="1"/>
  <c r="O402" i="1"/>
  <c r="N402" i="1"/>
  <c r="M402" i="1"/>
  <c r="U401" i="1"/>
  <c r="T401" i="1"/>
  <c r="S401" i="1"/>
  <c r="R401" i="1"/>
  <c r="Q401" i="1"/>
  <c r="P401" i="1"/>
  <c r="O401" i="1"/>
  <c r="N401" i="1"/>
  <c r="M401" i="1"/>
  <c r="U400" i="1"/>
  <c r="T400" i="1"/>
  <c r="S400" i="1"/>
  <c r="R400" i="1"/>
  <c r="Q400" i="1"/>
  <c r="P400" i="1"/>
  <c r="O400" i="1"/>
  <c r="N400" i="1"/>
  <c r="M400" i="1"/>
  <c r="U399" i="1"/>
  <c r="T399" i="1"/>
  <c r="S399" i="1"/>
  <c r="R399" i="1"/>
  <c r="Q399" i="1"/>
  <c r="P399" i="1"/>
  <c r="O399" i="1"/>
  <c r="N399" i="1"/>
  <c r="M399" i="1"/>
  <c r="U398" i="1"/>
  <c r="T398" i="1"/>
  <c r="S398" i="1"/>
  <c r="R398" i="1"/>
  <c r="Q398" i="1"/>
  <c r="P398" i="1"/>
  <c r="O398" i="1"/>
  <c r="N398" i="1"/>
  <c r="M398" i="1"/>
  <c r="U397" i="1"/>
  <c r="T397" i="1"/>
  <c r="S397" i="1"/>
  <c r="R397" i="1"/>
  <c r="Q397" i="1"/>
  <c r="P397" i="1"/>
  <c r="O397" i="1"/>
  <c r="N397" i="1"/>
  <c r="M397" i="1"/>
  <c r="U396" i="1"/>
  <c r="T396" i="1"/>
  <c r="S396" i="1"/>
  <c r="R396" i="1"/>
  <c r="Q396" i="1"/>
  <c r="P396" i="1"/>
  <c r="O396" i="1"/>
  <c r="N396" i="1"/>
  <c r="M396" i="1"/>
  <c r="U395" i="1"/>
  <c r="T395" i="1"/>
  <c r="S395" i="1"/>
  <c r="R395" i="1"/>
  <c r="Q395" i="1"/>
  <c r="P395" i="1"/>
  <c r="O395" i="1"/>
  <c r="N395" i="1"/>
  <c r="M395" i="1"/>
  <c r="U394" i="1"/>
  <c r="T394" i="1"/>
  <c r="S394" i="1"/>
  <c r="R394" i="1"/>
  <c r="Q394" i="1"/>
  <c r="P394" i="1"/>
  <c r="O394" i="1"/>
  <c r="N394" i="1"/>
  <c r="M394" i="1"/>
  <c r="U393" i="1"/>
  <c r="T393" i="1"/>
  <c r="S393" i="1"/>
  <c r="R393" i="1"/>
  <c r="Q393" i="1"/>
  <c r="P393" i="1"/>
  <c r="O393" i="1"/>
  <c r="N393" i="1"/>
  <c r="M393" i="1"/>
  <c r="U392" i="1"/>
  <c r="T392" i="1"/>
  <c r="S392" i="1"/>
  <c r="R392" i="1"/>
  <c r="Q392" i="1"/>
  <c r="P392" i="1"/>
  <c r="O392" i="1"/>
  <c r="N392" i="1"/>
  <c r="M392" i="1"/>
  <c r="U391" i="1"/>
  <c r="T391" i="1"/>
  <c r="S391" i="1"/>
  <c r="R391" i="1"/>
  <c r="Q391" i="1"/>
  <c r="P391" i="1"/>
  <c r="O391" i="1"/>
  <c r="N391" i="1"/>
  <c r="M391" i="1"/>
  <c r="U390" i="1"/>
  <c r="T390" i="1"/>
  <c r="S390" i="1"/>
  <c r="R390" i="1"/>
  <c r="Q390" i="1"/>
  <c r="P390" i="1"/>
  <c r="O390" i="1"/>
  <c r="N390" i="1"/>
  <c r="M390" i="1"/>
  <c r="U389" i="1"/>
  <c r="T389" i="1"/>
  <c r="S389" i="1"/>
  <c r="R389" i="1"/>
  <c r="Q389" i="1"/>
  <c r="P389" i="1"/>
  <c r="O389" i="1"/>
  <c r="N389" i="1"/>
  <c r="M389" i="1"/>
  <c r="U388" i="1"/>
  <c r="T388" i="1"/>
  <c r="S388" i="1"/>
  <c r="R388" i="1"/>
  <c r="Q388" i="1"/>
  <c r="P388" i="1"/>
  <c r="O388" i="1"/>
  <c r="N388" i="1"/>
  <c r="M388" i="1"/>
  <c r="U387" i="1"/>
  <c r="T387" i="1"/>
  <c r="S387" i="1"/>
  <c r="R387" i="1"/>
  <c r="Q387" i="1"/>
  <c r="P387" i="1"/>
  <c r="O387" i="1"/>
  <c r="N387" i="1"/>
  <c r="M387" i="1"/>
  <c r="U386" i="1"/>
  <c r="T386" i="1"/>
  <c r="S386" i="1"/>
  <c r="R386" i="1"/>
  <c r="Q386" i="1"/>
  <c r="P386" i="1"/>
  <c r="O386" i="1"/>
  <c r="N386" i="1"/>
  <c r="M386" i="1"/>
  <c r="U385" i="1"/>
  <c r="T385" i="1"/>
  <c r="S385" i="1"/>
  <c r="R385" i="1"/>
  <c r="Q385" i="1"/>
  <c r="P385" i="1"/>
  <c r="O385" i="1"/>
  <c r="N385" i="1"/>
  <c r="M385" i="1"/>
  <c r="U384" i="1"/>
  <c r="T384" i="1"/>
  <c r="S384" i="1"/>
  <c r="R384" i="1"/>
  <c r="Q384" i="1"/>
  <c r="P384" i="1"/>
  <c r="O384" i="1"/>
  <c r="N384" i="1"/>
  <c r="M384" i="1"/>
  <c r="U383" i="1"/>
  <c r="T383" i="1"/>
  <c r="S383" i="1"/>
  <c r="R383" i="1"/>
  <c r="Q383" i="1"/>
  <c r="P383" i="1"/>
  <c r="O383" i="1"/>
  <c r="N383" i="1"/>
  <c r="M383" i="1"/>
  <c r="U382" i="1"/>
  <c r="T382" i="1"/>
  <c r="S382" i="1"/>
  <c r="R382" i="1"/>
  <c r="Q382" i="1"/>
  <c r="P382" i="1"/>
  <c r="O382" i="1"/>
  <c r="N382" i="1"/>
  <c r="M382" i="1"/>
  <c r="U381" i="1"/>
  <c r="T381" i="1"/>
  <c r="S381" i="1"/>
  <c r="R381" i="1"/>
  <c r="Q381" i="1"/>
  <c r="P381" i="1"/>
  <c r="O381" i="1"/>
  <c r="N381" i="1"/>
  <c r="M381" i="1"/>
  <c r="U380" i="1"/>
  <c r="T380" i="1"/>
  <c r="S380" i="1"/>
  <c r="R380" i="1"/>
  <c r="Q380" i="1"/>
  <c r="P380" i="1"/>
  <c r="O380" i="1"/>
  <c r="N380" i="1"/>
  <c r="M380" i="1"/>
  <c r="U379" i="1"/>
  <c r="T379" i="1"/>
  <c r="S379" i="1"/>
  <c r="R379" i="1"/>
  <c r="Q379" i="1"/>
  <c r="P379" i="1"/>
  <c r="O379" i="1"/>
  <c r="N379" i="1"/>
  <c r="M379" i="1"/>
  <c r="U378" i="1"/>
  <c r="T378" i="1"/>
  <c r="S378" i="1"/>
  <c r="R378" i="1"/>
  <c r="Q378" i="1"/>
  <c r="P378" i="1"/>
  <c r="O378" i="1"/>
  <c r="N378" i="1"/>
  <c r="M378" i="1"/>
  <c r="U377" i="1"/>
  <c r="T377" i="1"/>
  <c r="S377" i="1"/>
  <c r="R377" i="1"/>
  <c r="Q377" i="1"/>
  <c r="P377" i="1"/>
  <c r="O377" i="1"/>
  <c r="N377" i="1"/>
  <c r="M377" i="1"/>
  <c r="U376" i="1"/>
  <c r="T376" i="1"/>
  <c r="S376" i="1"/>
  <c r="R376" i="1"/>
  <c r="Q376" i="1"/>
  <c r="P376" i="1"/>
  <c r="O376" i="1"/>
  <c r="N376" i="1"/>
  <c r="M376" i="1"/>
  <c r="U375" i="1"/>
  <c r="T375" i="1"/>
  <c r="S375" i="1"/>
  <c r="R375" i="1"/>
  <c r="Q375" i="1"/>
  <c r="P375" i="1"/>
  <c r="O375" i="1"/>
  <c r="N375" i="1"/>
  <c r="M375" i="1"/>
  <c r="U374" i="1"/>
  <c r="T374" i="1"/>
  <c r="S374" i="1"/>
  <c r="R374" i="1"/>
  <c r="Q374" i="1"/>
  <c r="P374" i="1"/>
  <c r="O374" i="1"/>
  <c r="N374" i="1"/>
  <c r="M374" i="1"/>
  <c r="U373" i="1"/>
  <c r="T373" i="1"/>
  <c r="S373" i="1"/>
  <c r="R373" i="1"/>
  <c r="Q373" i="1"/>
  <c r="P373" i="1"/>
  <c r="O373" i="1"/>
  <c r="N373" i="1"/>
  <c r="M373" i="1"/>
  <c r="U372" i="1"/>
  <c r="T372" i="1"/>
  <c r="S372" i="1"/>
  <c r="R372" i="1"/>
  <c r="Q372" i="1"/>
  <c r="P372" i="1"/>
  <c r="O372" i="1"/>
  <c r="N372" i="1"/>
  <c r="M372" i="1"/>
  <c r="U371" i="1"/>
  <c r="T371" i="1"/>
  <c r="S371" i="1"/>
  <c r="R371" i="1"/>
  <c r="Q371" i="1"/>
  <c r="P371" i="1"/>
  <c r="O371" i="1"/>
  <c r="N371" i="1"/>
  <c r="M371" i="1"/>
  <c r="U370" i="1"/>
  <c r="T370" i="1"/>
  <c r="S370" i="1"/>
  <c r="R370" i="1"/>
  <c r="Q370" i="1"/>
  <c r="P370" i="1"/>
  <c r="O370" i="1"/>
  <c r="N370" i="1"/>
  <c r="M370" i="1"/>
  <c r="U369" i="1"/>
  <c r="T369" i="1"/>
  <c r="S369" i="1"/>
  <c r="R369" i="1"/>
  <c r="Q369" i="1"/>
  <c r="P369" i="1"/>
  <c r="O369" i="1"/>
  <c r="N369" i="1"/>
  <c r="M369" i="1"/>
  <c r="U368" i="1"/>
  <c r="T368" i="1"/>
  <c r="S368" i="1"/>
  <c r="R368" i="1"/>
  <c r="Q368" i="1"/>
  <c r="P368" i="1"/>
  <c r="O368" i="1"/>
  <c r="N368" i="1"/>
  <c r="M368" i="1"/>
  <c r="U367" i="1"/>
  <c r="T367" i="1"/>
  <c r="S367" i="1"/>
  <c r="R367" i="1"/>
  <c r="Q367" i="1"/>
  <c r="P367" i="1"/>
  <c r="O367" i="1"/>
  <c r="N367" i="1"/>
  <c r="M367" i="1"/>
  <c r="U366" i="1"/>
  <c r="T366" i="1"/>
  <c r="S366" i="1"/>
  <c r="R366" i="1"/>
  <c r="Q366" i="1"/>
  <c r="P366" i="1"/>
  <c r="O366" i="1"/>
  <c r="N366" i="1"/>
  <c r="M366" i="1"/>
  <c r="U365" i="1"/>
  <c r="T365" i="1"/>
  <c r="S365" i="1"/>
  <c r="R365" i="1"/>
  <c r="Q365" i="1"/>
  <c r="P365" i="1"/>
  <c r="O365" i="1"/>
  <c r="N365" i="1"/>
  <c r="M365" i="1"/>
  <c r="U364" i="1"/>
  <c r="T364" i="1"/>
  <c r="S364" i="1"/>
  <c r="R364" i="1"/>
  <c r="Q364" i="1"/>
  <c r="P364" i="1"/>
  <c r="O364" i="1"/>
  <c r="N364" i="1"/>
  <c r="M364" i="1"/>
  <c r="U363" i="1"/>
  <c r="T363" i="1"/>
  <c r="S363" i="1"/>
  <c r="R363" i="1"/>
  <c r="Q363" i="1"/>
  <c r="P363" i="1"/>
  <c r="O363" i="1"/>
  <c r="N363" i="1"/>
  <c r="M363" i="1"/>
  <c r="U362" i="1"/>
  <c r="T362" i="1"/>
  <c r="S362" i="1"/>
  <c r="R362" i="1"/>
  <c r="Q362" i="1"/>
  <c r="P362" i="1"/>
  <c r="O362" i="1"/>
  <c r="N362" i="1"/>
  <c r="M362" i="1"/>
  <c r="U361" i="1"/>
  <c r="T361" i="1"/>
  <c r="S361" i="1"/>
  <c r="R361" i="1"/>
  <c r="Q361" i="1"/>
  <c r="P361" i="1"/>
  <c r="O361" i="1"/>
  <c r="N361" i="1"/>
  <c r="M361" i="1"/>
  <c r="U360" i="1"/>
  <c r="T360" i="1"/>
  <c r="S360" i="1"/>
  <c r="R360" i="1"/>
  <c r="Q360" i="1"/>
  <c r="P360" i="1"/>
  <c r="O360" i="1"/>
  <c r="N360" i="1"/>
  <c r="M360" i="1"/>
  <c r="U359" i="1"/>
  <c r="T359" i="1"/>
  <c r="S359" i="1"/>
  <c r="R359" i="1"/>
  <c r="Q359" i="1"/>
  <c r="P359" i="1"/>
  <c r="O359" i="1"/>
  <c r="N359" i="1"/>
  <c r="M359" i="1"/>
  <c r="U358" i="1"/>
  <c r="T358" i="1"/>
  <c r="S358" i="1"/>
  <c r="R358" i="1"/>
  <c r="Q358" i="1"/>
  <c r="P358" i="1"/>
  <c r="O358" i="1"/>
  <c r="N358" i="1"/>
  <c r="M358" i="1"/>
  <c r="U357" i="1"/>
  <c r="T357" i="1"/>
  <c r="S357" i="1"/>
  <c r="R357" i="1"/>
  <c r="Q357" i="1"/>
  <c r="P357" i="1"/>
  <c r="O357" i="1"/>
  <c r="N357" i="1"/>
  <c r="M357" i="1"/>
  <c r="U356" i="1"/>
  <c r="T356" i="1"/>
  <c r="S356" i="1"/>
  <c r="R356" i="1"/>
  <c r="Q356" i="1"/>
  <c r="P356" i="1"/>
  <c r="O356" i="1"/>
  <c r="N356" i="1"/>
  <c r="M356" i="1"/>
  <c r="U355" i="1"/>
  <c r="T355" i="1"/>
  <c r="S355" i="1"/>
  <c r="R355" i="1"/>
  <c r="Q355" i="1"/>
  <c r="P355" i="1"/>
  <c r="O355" i="1"/>
  <c r="N355" i="1"/>
  <c r="M355" i="1"/>
  <c r="U354" i="1"/>
  <c r="T354" i="1"/>
  <c r="S354" i="1"/>
  <c r="R354" i="1"/>
  <c r="Q354" i="1"/>
  <c r="P354" i="1"/>
  <c r="O354" i="1"/>
  <c r="N354" i="1"/>
  <c r="M354" i="1"/>
  <c r="U353" i="1"/>
  <c r="T353" i="1"/>
  <c r="S353" i="1"/>
  <c r="R353" i="1"/>
  <c r="Q353" i="1"/>
  <c r="P353" i="1"/>
  <c r="O353" i="1"/>
  <c r="N353" i="1"/>
  <c r="M353" i="1"/>
  <c r="U352" i="1"/>
  <c r="T352" i="1"/>
  <c r="S352" i="1"/>
  <c r="R352" i="1"/>
  <c r="Q352" i="1"/>
  <c r="P352" i="1"/>
  <c r="O352" i="1"/>
  <c r="N352" i="1"/>
  <c r="M352" i="1"/>
  <c r="U351" i="1"/>
  <c r="T351" i="1"/>
  <c r="S351" i="1"/>
  <c r="R351" i="1"/>
  <c r="Q351" i="1"/>
  <c r="P351" i="1"/>
  <c r="O351" i="1"/>
  <c r="N351" i="1"/>
  <c r="M351" i="1"/>
  <c r="U350" i="1"/>
  <c r="T350" i="1"/>
  <c r="S350" i="1"/>
  <c r="R350" i="1"/>
  <c r="Q350" i="1"/>
  <c r="P350" i="1"/>
  <c r="O350" i="1"/>
  <c r="N350" i="1"/>
  <c r="M350" i="1"/>
  <c r="U349" i="1"/>
  <c r="T349" i="1"/>
  <c r="S349" i="1"/>
  <c r="R349" i="1"/>
  <c r="Q349" i="1"/>
  <c r="P349" i="1"/>
  <c r="O349" i="1"/>
  <c r="N349" i="1"/>
  <c r="M349" i="1"/>
  <c r="U348" i="1"/>
  <c r="T348" i="1"/>
  <c r="S348" i="1"/>
  <c r="R348" i="1"/>
  <c r="Q348" i="1"/>
  <c r="P348" i="1"/>
  <c r="O348" i="1"/>
  <c r="N348" i="1"/>
  <c r="M348" i="1"/>
  <c r="U347" i="1"/>
  <c r="T347" i="1"/>
  <c r="S347" i="1"/>
  <c r="R347" i="1"/>
  <c r="Q347" i="1"/>
  <c r="P347" i="1"/>
  <c r="O347" i="1"/>
  <c r="N347" i="1"/>
  <c r="M347" i="1"/>
  <c r="U346" i="1"/>
  <c r="T346" i="1"/>
  <c r="S346" i="1"/>
  <c r="R346" i="1"/>
  <c r="Q346" i="1"/>
  <c r="P346" i="1"/>
  <c r="O346" i="1"/>
  <c r="N346" i="1"/>
  <c r="M346" i="1"/>
  <c r="U345" i="1"/>
  <c r="T345" i="1"/>
  <c r="S345" i="1"/>
  <c r="R345" i="1"/>
  <c r="Q345" i="1"/>
  <c r="P345" i="1"/>
  <c r="O345" i="1"/>
  <c r="N345" i="1"/>
  <c r="M345" i="1"/>
  <c r="U344" i="1"/>
  <c r="T344" i="1"/>
  <c r="S344" i="1"/>
  <c r="R344" i="1"/>
  <c r="Q344" i="1"/>
  <c r="P344" i="1"/>
  <c r="O344" i="1"/>
  <c r="N344" i="1"/>
  <c r="M344" i="1"/>
  <c r="U343" i="1"/>
  <c r="T343" i="1"/>
  <c r="S343" i="1"/>
  <c r="R343" i="1"/>
  <c r="Q343" i="1"/>
  <c r="P343" i="1"/>
  <c r="O343" i="1"/>
  <c r="N343" i="1"/>
  <c r="M343" i="1"/>
  <c r="U342" i="1"/>
  <c r="T342" i="1"/>
  <c r="S342" i="1"/>
  <c r="R342" i="1"/>
  <c r="Q342" i="1"/>
  <c r="P342" i="1"/>
  <c r="O342" i="1"/>
  <c r="N342" i="1"/>
  <c r="M342" i="1"/>
  <c r="U341" i="1"/>
  <c r="T341" i="1"/>
  <c r="S341" i="1"/>
  <c r="R341" i="1"/>
  <c r="Q341" i="1"/>
  <c r="P341" i="1"/>
  <c r="O341" i="1"/>
  <c r="N341" i="1"/>
  <c r="M341" i="1"/>
  <c r="U340" i="1"/>
  <c r="T340" i="1"/>
  <c r="S340" i="1"/>
  <c r="R340" i="1"/>
  <c r="Q340" i="1"/>
  <c r="P340" i="1"/>
  <c r="O340" i="1"/>
  <c r="N340" i="1"/>
  <c r="M340" i="1"/>
  <c r="U339" i="1"/>
  <c r="T339" i="1"/>
  <c r="S339" i="1"/>
  <c r="R339" i="1"/>
  <c r="Q339" i="1"/>
  <c r="P339" i="1"/>
  <c r="O339" i="1"/>
  <c r="N339" i="1"/>
  <c r="M339" i="1"/>
  <c r="U338" i="1"/>
  <c r="T338" i="1"/>
  <c r="S338" i="1"/>
  <c r="R338" i="1"/>
  <c r="Q338" i="1"/>
  <c r="P338" i="1"/>
  <c r="O338" i="1"/>
  <c r="N338" i="1"/>
  <c r="M338" i="1"/>
  <c r="U337" i="1"/>
  <c r="T337" i="1"/>
  <c r="S337" i="1"/>
  <c r="R337" i="1"/>
  <c r="Q337" i="1"/>
  <c r="P337" i="1"/>
  <c r="O337" i="1"/>
  <c r="N337" i="1"/>
  <c r="M337" i="1"/>
  <c r="U336" i="1"/>
  <c r="T336" i="1"/>
  <c r="S336" i="1"/>
  <c r="R336" i="1"/>
  <c r="Q336" i="1"/>
  <c r="P336" i="1"/>
  <c r="O336" i="1"/>
  <c r="N336" i="1"/>
  <c r="M336" i="1"/>
  <c r="U335" i="1"/>
  <c r="T335" i="1"/>
  <c r="S335" i="1"/>
  <c r="R335" i="1"/>
  <c r="Q335" i="1"/>
  <c r="P335" i="1"/>
  <c r="O335" i="1"/>
  <c r="N335" i="1"/>
  <c r="M335" i="1"/>
  <c r="U334" i="1"/>
  <c r="T334" i="1"/>
  <c r="S334" i="1"/>
  <c r="R334" i="1"/>
  <c r="Q334" i="1"/>
  <c r="P334" i="1"/>
  <c r="O334" i="1"/>
  <c r="N334" i="1"/>
  <c r="M334" i="1"/>
  <c r="U333" i="1"/>
  <c r="T333" i="1"/>
  <c r="S333" i="1"/>
  <c r="R333" i="1"/>
  <c r="Q333" i="1"/>
  <c r="P333" i="1"/>
  <c r="O333" i="1"/>
  <c r="N333" i="1"/>
  <c r="M333" i="1"/>
  <c r="U332" i="1"/>
  <c r="T332" i="1"/>
  <c r="S332" i="1"/>
  <c r="R332" i="1"/>
  <c r="Q332" i="1"/>
  <c r="P332" i="1"/>
  <c r="O332" i="1"/>
  <c r="N332" i="1"/>
  <c r="M332" i="1"/>
  <c r="U331" i="1"/>
  <c r="T331" i="1"/>
  <c r="S331" i="1"/>
  <c r="R331" i="1"/>
  <c r="Q331" i="1"/>
  <c r="P331" i="1"/>
  <c r="O331" i="1"/>
  <c r="N331" i="1"/>
  <c r="M331" i="1"/>
  <c r="U330" i="1"/>
  <c r="T330" i="1"/>
  <c r="S330" i="1"/>
  <c r="R330" i="1"/>
  <c r="Q330" i="1"/>
  <c r="P330" i="1"/>
  <c r="O330" i="1"/>
  <c r="N330" i="1"/>
  <c r="M330" i="1"/>
  <c r="U329" i="1"/>
  <c r="T329" i="1"/>
  <c r="S329" i="1"/>
  <c r="R329" i="1"/>
  <c r="Q329" i="1"/>
  <c r="P329" i="1"/>
  <c r="O329" i="1"/>
  <c r="N329" i="1"/>
  <c r="M329" i="1"/>
  <c r="U328" i="1"/>
  <c r="T328" i="1"/>
  <c r="S328" i="1"/>
  <c r="R328" i="1"/>
  <c r="Q328" i="1"/>
  <c r="P328" i="1"/>
  <c r="O328" i="1"/>
  <c r="N328" i="1"/>
  <c r="M328" i="1"/>
  <c r="U327" i="1"/>
  <c r="T327" i="1"/>
  <c r="S327" i="1"/>
  <c r="R327" i="1"/>
  <c r="Q327" i="1"/>
  <c r="P327" i="1"/>
  <c r="O327" i="1"/>
  <c r="N327" i="1"/>
  <c r="M327" i="1"/>
  <c r="U326" i="1"/>
  <c r="T326" i="1"/>
  <c r="S326" i="1"/>
  <c r="R326" i="1"/>
  <c r="Q326" i="1"/>
  <c r="P326" i="1"/>
  <c r="O326" i="1"/>
  <c r="N326" i="1"/>
  <c r="M326" i="1"/>
  <c r="U325" i="1"/>
  <c r="T325" i="1"/>
  <c r="S325" i="1"/>
  <c r="R325" i="1"/>
  <c r="Q325" i="1"/>
  <c r="P325" i="1"/>
  <c r="O325" i="1"/>
  <c r="N325" i="1"/>
  <c r="M325" i="1"/>
  <c r="U324" i="1"/>
  <c r="T324" i="1"/>
  <c r="S324" i="1"/>
  <c r="R324" i="1"/>
  <c r="Q324" i="1"/>
  <c r="P324" i="1"/>
  <c r="O324" i="1"/>
  <c r="N324" i="1"/>
  <c r="M324" i="1"/>
  <c r="U323" i="1"/>
  <c r="T323" i="1"/>
  <c r="S323" i="1"/>
  <c r="R323" i="1"/>
  <c r="Q323" i="1"/>
  <c r="P323" i="1"/>
  <c r="O323" i="1"/>
  <c r="N323" i="1"/>
  <c r="M323" i="1"/>
  <c r="U322" i="1"/>
  <c r="T322" i="1"/>
  <c r="S322" i="1"/>
  <c r="R322" i="1"/>
  <c r="Q322" i="1"/>
  <c r="P322" i="1"/>
  <c r="O322" i="1"/>
  <c r="N322" i="1"/>
  <c r="M322" i="1"/>
  <c r="U321" i="1"/>
  <c r="T321" i="1"/>
  <c r="S321" i="1"/>
  <c r="R321" i="1"/>
  <c r="Q321" i="1"/>
  <c r="P321" i="1"/>
  <c r="O321" i="1"/>
  <c r="N321" i="1"/>
  <c r="M321" i="1"/>
  <c r="U320" i="1"/>
  <c r="T320" i="1"/>
  <c r="S320" i="1"/>
  <c r="R320" i="1"/>
  <c r="Q320" i="1"/>
  <c r="P320" i="1"/>
  <c r="O320" i="1"/>
  <c r="N320" i="1"/>
  <c r="M320" i="1"/>
  <c r="U319" i="1"/>
  <c r="T319" i="1"/>
  <c r="S319" i="1"/>
  <c r="R319" i="1"/>
  <c r="Q319" i="1"/>
  <c r="P319" i="1"/>
  <c r="O319" i="1"/>
  <c r="N319" i="1"/>
  <c r="M319" i="1"/>
  <c r="U318" i="1"/>
  <c r="T318" i="1"/>
  <c r="S318" i="1"/>
  <c r="R318" i="1"/>
  <c r="Q318" i="1"/>
  <c r="P318" i="1"/>
  <c r="O318" i="1"/>
  <c r="N318" i="1"/>
  <c r="M318" i="1"/>
  <c r="U317" i="1"/>
  <c r="T317" i="1"/>
  <c r="S317" i="1"/>
  <c r="R317" i="1"/>
  <c r="Q317" i="1"/>
  <c r="P317" i="1"/>
  <c r="O317" i="1"/>
  <c r="N317" i="1"/>
  <c r="M317" i="1"/>
  <c r="U316" i="1"/>
  <c r="T316" i="1"/>
  <c r="S316" i="1"/>
  <c r="R316" i="1"/>
  <c r="Q316" i="1"/>
  <c r="P316" i="1"/>
  <c r="O316" i="1"/>
  <c r="N316" i="1"/>
  <c r="M316" i="1"/>
  <c r="U315" i="1"/>
  <c r="T315" i="1"/>
  <c r="S315" i="1"/>
  <c r="R315" i="1"/>
  <c r="Q315" i="1"/>
  <c r="P315" i="1"/>
  <c r="O315" i="1"/>
  <c r="N315" i="1"/>
  <c r="M315" i="1"/>
  <c r="U314" i="1"/>
  <c r="T314" i="1"/>
  <c r="S314" i="1"/>
  <c r="R314" i="1"/>
  <c r="Q314" i="1"/>
  <c r="P314" i="1"/>
  <c r="O314" i="1"/>
  <c r="N314" i="1"/>
  <c r="M314" i="1"/>
  <c r="U313" i="1"/>
  <c r="T313" i="1"/>
  <c r="S313" i="1"/>
  <c r="R313" i="1"/>
  <c r="Q313" i="1"/>
  <c r="P313" i="1"/>
  <c r="O313" i="1"/>
  <c r="N313" i="1"/>
  <c r="M313" i="1"/>
  <c r="U312" i="1"/>
  <c r="T312" i="1"/>
  <c r="S312" i="1"/>
  <c r="R312" i="1"/>
  <c r="Q312" i="1"/>
  <c r="P312" i="1"/>
  <c r="O312" i="1"/>
  <c r="N312" i="1"/>
  <c r="M312" i="1"/>
  <c r="U311" i="1"/>
  <c r="T311" i="1"/>
  <c r="S311" i="1"/>
  <c r="R311" i="1"/>
  <c r="Q311" i="1"/>
  <c r="P311" i="1"/>
  <c r="O311" i="1"/>
  <c r="N311" i="1"/>
  <c r="M311" i="1"/>
  <c r="U310" i="1"/>
  <c r="T310" i="1"/>
  <c r="S310" i="1"/>
  <c r="R310" i="1"/>
  <c r="Q310" i="1"/>
  <c r="P310" i="1"/>
  <c r="O310" i="1"/>
  <c r="N310" i="1"/>
  <c r="M310" i="1"/>
  <c r="U309" i="1"/>
  <c r="T309" i="1"/>
  <c r="S309" i="1"/>
  <c r="R309" i="1"/>
  <c r="Q309" i="1"/>
  <c r="P309" i="1"/>
  <c r="O309" i="1"/>
  <c r="N309" i="1"/>
  <c r="M309" i="1"/>
  <c r="U308" i="1"/>
  <c r="T308" i="1"/>
  <c r="S308" i="1"/>
  <c r="R308" i="1"/>
  <c r="Q308" i="1"/>
  <c r="P308" i="1"/>
  <c r="O308" i="1"/>
  <c r="N308" i="1"/>
  <c r="M308" i="1"/>
  <c r="U307" i="1"/>
  <c r="T307" i="1"/>
  <c r="S307" i="1"/>
  <c r="R307" i="1"/>
  <c r="Q307" i="1"/>
  <c r="P307" i="1"/>
  <c r="O307" i="1"/>
  <c r="N307" i="1"/>
  <c r="M307" i="1"/>
  <c r="U306" i="1"/>
  <c r="T306" i="1"/>
  <c r="S306" i="1"/>
  <c r="R306" i="1"/>
  <c r="Q306" i="1"/>
  <c r="P306" i="1"/>
  <c r="O306" i="1"/>
  <c r="N306" i="1"/>
  <c r="M306" i="1"/>
  <c r="U305" i="1"/>
  <c r="T305" i="1"/>
  <c r="S305" i="1"/>
  <c r="R305" i="1"/>
  <c r="Q305" i="1"/>
  <c r="P305" i="1"/>
  <c r="O305" i="1"/>
  <c r="N305" i="1"/>
  <c r="M305" i="1"/>
  <c r="U304" i="1"/>
  <c r="T304" i="1"/>
  <c r="S304" i="1"/>
  <c r="R304" i="1"/>
  <c r="Q304" i="1"/>
  <c r="P304" i="1"/>
  <c r="O304" i="1"/>
  <c r="N304" i="1"/>
  <c r="M304" i="1"/>
  <c r="U303" i="1"/>
  <c r="T303" i="1"/>
  <c r="S303" i="1"/>
  <c r="R303" i="1"/>
  <c r="Q303" i="1"/>
  <c r="P303" i="1"/>
  <c r="O303" i="1"/>
  <c r="N303" i="1"/>
  <c r="M303" i="1"/>
  <c r="U302" i="1"/>
  <c r="T302" i="1"/>
  <c r="S302" i="1"/>
  <c r="R302" i="1"/>
  <c r="Q302" i="1"/>
  <c r="P302" i="1"/>
  <c r="O302" i="1"/>
  <c r="N302" i="1"/>
  <c r="M302" i="1"/>
  <c r="U301" i="1"/>
  <c r="T301" i="1"/>
  <c r="S301" i="1"/>
  <c r="R301" i="1"/>
  <c r="Q301" i="1"/>
  <c r="P301" i="1"/>
  <c r="O301" i="1"/>
  <c r="N301" i="1"/>
  <c r="M301" i="1"/>
  <c r="U300" i="1"/>
  <c r="T300" i="1"/>
  <c r="S300" i="1"/>
  <c r="R300" i="1"/>
  <c r="Q300" i="1"/>
  <c r="P300" i="1"/>
  <c r="O300" i="1"/>
  <c r="N300" i="1"/>
  <c r="M300" i="1"/>
  <c r="U299" i="1"/>
  <c r="T299" i="1"/>
  <c r="S299" i="1"/>
  <c r="R299" i="1"/>
  <c r="Q299" i="1"/>
  <c r="P299" i="1"/>
  <c r="O299" i="1"/>
  <c r="N299" i="1"/>
  <c r="M299" i="1"/>
  <c r="U298" i="1"/>
  <c r="T298" i="1"/>
  <c r="S298" i="1"/>
  <c r="R298" i="1"/>
  <c r="Q298" i="1"/>
  <c r="P298" i="1"/>
  <c r="O298" i="1"/>
  <c r="N298" i="1"/>
  <c r="M298" i="1"/>
  <c r="U297" i="1"/>
  <c r="T297" i="1"/>
  <c r="S297" i="1"/>
  <c r="R297" i="1"/>
  <c r="Q297" i="1"/>
  <c r="P297" i="1"/>
  <c r="O297" i="1"/>
  <c r="N297" i="1"/>
  <c r="M297" i="1"/>
  <c r="U296" i="1"/>
  <c r="T296" i="1"/>
  <c r="S296" i="1"/>
  <c r="R296" i="1"/>
  <c r="Q296" i="1"/>
  <c r="P296" i="1"/>
  <c r="O296" i="1"/>
  <c r="N296" i="1"/>
  <c r="M296" i="1"/>
  <c r="U295" i="1"/>
  <c r="T295" i="1"/>
  <c r="S295" i="1"/>
  <c r="R295" i="1"/>
  <c r="Q295" i="1"/>
  <c r="P295" i="1"/>
  <c r="O295" i="1"/>
  <c r="N295" i="1"/>
  <c r="M295" i="1"/>
  <c r="U294" i="1"/>
  <c r="T294" i="1"/>
  <c r="S294" i="1"/>
  <c r="R294" i="1"/>
  <c r="Q294" i="1"/>
  <c r="P294" i="1"/>
  <c r="O294" i="1"/>
  <c r="N294" i="1"/>
  <c r="M294" i="1"/>
  <c r="U293" i="1"/>
  <c r="T293" i="1"/>
  <c r="S293" i="1"/>
  <c r="R293" i="1"/>
  <c r="Q293" i="1"/>
  <c r="P293" i="1"/>
  <c r="O293" i="1"/>
  <c r="N293" i="1"/>
  <c r="M293" i="1"/>
  <c r="U292" i="1"/>
  <c r="T292" i="1"/>
  <c r="S292" i="1"/>
  <c r="R292" i="1"/>
  <c r="Q292" i="1"/>
  <c r="P292" i="1"/>
  <c r="O292" i="1"/>
  <c r="N292" i="1"/>
  <c r="M292" i="1"/>
  <c r="U291" i="1"/>
  <c r="T291" i="1"/>
  <c r="S291" i="1"/>
  <c r="R291" i="1"/>
  <c r="Q291" i="1"/>
  <c r="P291" i="1"/>
  <c r="O291" i="1"/>
  <c r="N291" i="1"/>
  <c r="M291" i="1"/>
  <c r="U290" i="1"/>
  <c r="T290" i="1"/>
  <c r="S290" i="1"/>
  <c r="R290" i="1"/>
  <c r="Q290" i="1"/>
  <c r="P290" i="1"/>
  <c r="O290" i="1"/>
  <c r="N290" i="1"/>
  <c r="M290" i="1"/>
  <c r="U289" i="1"/>
  <c r="T289" i="1"/>
  <c r="S289" i="1"/>
  <c r="R289" i="1"/>
  <c r="Q289" i="1"/>
  <c r="P289" i="1"/>
  <c r="O289" i="1"/>
  <c r="N289" i="1"/>
  <c r="M289" i="1"/>
  <c r="U288" i="1"/>
  <c r="T288" i="1"/>
  <c r="S288" i="1"/>
  <c r="R288" i="1"/>
  <c r="Q288" i="1"/>
  <c r="P288" i="1"/>
  <c r="O288" i="1"/>
  <c r="N288" i="1"/>
  <c r="M288" i="1"/>
  <c r="U287" i="1"/>
  <c r="T287" i="1"/>
  <c r="S287" i="1"/>
  <c r="R287" i="1"/>
  <c r="Q287" i="1"/>
  <c r="P287" i="1"/>
  <c r="O287" i="1"/>
  <c r="N287" i="1"/>
  <c r="M287" i="1"/>
  <c r="U286" i="1"/>
  <c r="T286" i="1"/>
  <c r="S286" i="1"/>
  <c r="R286" i="1"/>
  <c r="Q286" i="1"/>
  <c r="P286" i="1"/>
  <c r="O286" i="1"/>
  <c r="N286" i="1"/>
  <c r="M286" i="1"/>
  <c r="U285" i="1"/>
  <c r="T285" i="1"/>
  <c r="S285" i="1"/>
  <c r="R285" i="1"/>
  <c r="Q285" i="1"/>
  <c r="P285" i="1"/>
  <c r="O285" i="1"/>
  <c r="N285" i="1"/>
  <c r="M285" i="1"/>
  <c r="U284" i="1"/>
  <c r="T284" i="1"/>
  <c r="S284" i="1"/>
  <c r="R284" i="1"/>
  <c r="Q284" i="1"/>
  <c r="P284" i="1"/>
  <c r="O284" i="1"/>
  <c r="N284" i="1"/>
  <c r="M284" i="1"/>
  <c r="U283" i="1"/>
  <c r="T283" i="1"/>
  <c r="S283" i="1"/>
  <c r="R283" i="1"/>
  <c r="Q283" i="1"/>
  <c r="P283" i="1"/>
  <c r="O283" i="1"/>
  <c r="N283" i="1"/>
  <c r="M283" i="1"/>
  <c r="U282" i="1"/>
  <c r="T282" i="1"/>
  <c r="S282" i="1"/>
  <c r="R282" i="1"/>
  <c r="Q282" i="1"/>
  <c r="P282" i="1"/>
  <c r="O282" i="1"/>
  <c r="N282" i="1"/>
  <c r="M282" i="1"/>
  <c r="U281" i="1"/>
  <c r="T281" i="1"/>
  <c r="S281" i="1"/>
  <c r="R281" i="1"/>
  <c r="Q281" i="1"/>
  <c r="P281" i="1"/>
  <c r="O281" i="1"/>
  <c r="N281" i="1"/>
  <c r="M281" i="1"/>
  <c r="U280" i="1"/>
  <c r="T280" i="1"/>
  <c r="S280" i="1"/>
  <c r="R280" i="1"/>
  <c r="Q280" i="1"/>
  <c r="P280" i="1"/>
  <c r="O280" i="1"/>
  <c r="N280" i="1"/>
  <c r="M280" i="1"/>
  <c r="U279" i="1"/>
  <c r="T279" i="1"/>
  <c r="S279" i="1"/>
  <c r="R279" i="1"/>
  <c r="Q279" i="1"/>
  <c r="P279" i="1"/>
  <c r="O279" i="1"/>
  <c r="N279" i="1"/>
  <c r="M279" i="1"/>
  <c r="U278" i="1"/>
  <c r="T278" i="1"/>
  <c r="S278" i="1"/>
  <c r="R278" i="1"/>
  <c r="Q278" i="1"/>
  <c r="P278" i="1"/>
  <c r="O278" i="1"/>
  <c r="N278" i="1"/>
  <c r="M278" i="1"/>
  <c r="U277" i="1"/>
  <c r="T277" i="1"/>
  <c r="S277" i="1"/>
  <c r="R277" i="1"/>
  <c r="Q277" i="1"/>
  <c r="P277" i="1"/>
  <c r="O277" i="1"/>
  <c r="N277" i="1"/>
  <c r="M277" i="1"/>
  <c r="U276" i="1"/>
  <c r="T276" i="1"/>
  <c r="S276" i="1"/>
  <c r="R276" i="1"/>
  <c r="Q276" i="1"/>
  <c r="P276" i="1"/>
  <c r="O276" i="1"/>
  <c r="N276" i="1"/>
  <c r="M276" i="1"/>
  <c r="U275" i="1"/>
  <c r="T275" i="1"/>
  <c r="S275" i="1"/>
  <c r="R275" i="1"/>
  <c r="Q275" i="1"/>
  <c r="P275" i="1"/>
  <c r="O275" i="1"/>
  <c r="N275" i="1"/>
  <c r="M275" i="1"/>
  <c r="U274" i="1"/>
  <c r="T274" i="1"/>
  <c r="S274" i="1"/>
  <c r="R274" i="1"/>
  <c r="Q274" i="1"/>
  <c r="P274" i="1"/>
  <c r="O274" i="1"/>
  <c r="N274" i="1"/>
  <c r="M274" i="1"/>
  <c r="U273" i="1"/>
  <c r="T273" i="1"/>
  <c r="S273" i="1"/>
  <c r="R273" i="1"/>
  <c r="Q273" i="1"/>
  <c r="P273" i="1"/>
  <c r="O273" i="1"/>
  <c r="N273" i="1"/>
  <c r="M273" i="1"/>
  <c r="U272" i="1"/>
  <c r="T272" i="1"/>
  <c r="S272" i="1"/>
  <c r="R272" i="1"/>
  <c r="Q272" i="1"/>
  <c r="P272" i="1"/>
  <c r="O272" i="1"/>
  <c r="N272" i="1"/>
  <c r="M272" i="1"/>
  <c r="U271" i="1"/>
  <c r="T271" i="1"/>
  <c r="S271" i="1"/>
  <c r="R271" i="1"/>
  <c r="Q271" i="1"/>
  <c r="P271" i="1"/>
  <c r="O271" i="1"/>
  <c r="N271" i="1"/>
  <c r="M271" i="1"/>
  <c r="U270" i="1"/>
  <c r="T270" i="1"/>
  <c r="S270" i="1"/>
  <c r="R270" i="1"/>
  <c r="Q270" i="1"/>
  <c r="P270" i="1"/>
  <c r="O270" i="1"/>
  <c r="N270" i="1"/>
  <c r="M270" i="1"/>
  <c r="U269" i="1"/>
  <c r="T269" i="1"/>
  <c r="S269" i="1"/>
  <c r="R269" i="1"/>
  <c r="Q269" i="1"/>
  <c r="P269" i="1"/>
  <c r="O269" i="1"/>
  <c r="N269" i="1"/>
  <c r="M269" i="1"/>
  <c r="U268" i="1"/>
  <c r="T268" i="1"/>
  <c r="S268" i="1"/>
  <c r="R268" i="1"/>
  <c r="Q268" i="1"/>
  <c r="P268" i="1"/>
  <c r="O268" i="1"/>
  <c r="N268" i="1"/>
  <c r="M268" i="1"/>
  <c r="U267" i="1"/>
  <c r="T267" i="1"/>
  <c r="S267" i="1"/>
  <c r="R267" i="1"/>
  <c r="Q267" i="1"/>
  <c r="P267" i="1"/>
  <c r="O267" i="1"/>
  <c r="N267" i="1"/>
  <c r="M267" i="1"/>
  <c r="U266" i="1"/>
  <c r="T266" i="1"/>
  <c r="S266" i="1"/>
  <c r="R266" i="1"/>
  <c r="Q266" i="1"/>
  <c r="P266" i="1"/>
  <c r="O266" i="1"/>
  <c r="N266" i="1"/>
  <c r="M266" i="1"/>
  <c r="U265" i="1"/>
  <c r="T265" i="1"/>
  <c r="S265" i="1"/>
  <c r="R265" i="1"/>
  <c r="Q265" i="1"/>
  <c r="P265" i="1"/>
  <c r="O265" i="1"/>
  <c r="N265" i="1"/>
  <c r="M265" i="1"/>
  <c r="U264" i="1"/>
  <c r="T264" i="1"/>
  <c r="S264" i="1"/>
  <c r="R264" i="1"/>
  <c r="Q264" i="1"/>
  <c r="P264" i="1"/>
  <c r="O264" i="1"/>
  <c r="N264" i="1"/>
  <c r="M264" i="1"/>
  <c r="U263" i="1"/>
  <c r="T263" i="1"/>
  <c r="S263" i="1"/>
  <c r="R263" i="1"/>
  <c r="Q263" i="1"/>
  <c r="P263" i="1"/>
  <c r="O263" i="1"/>
  <c r="N263" i="1"/>
  <c r="M263" i="1"/>
  <c r="U262" i="1"/>
  <c r="T262" i="1"/>
  <c r="S262" i="1"/>
  <c r="R262" i="1"/>
  <c r="Q262" i="1"/>
  <c r="P262" i="1"/>
  <c r="O262" i="1"/>
  <c r="N262" i="1"/>
  <c r="M262" i="1"/>
  <c r="U261" i="1"/>
  <c r="T261" i="1"/>
  <c r="S261" i="1"/>
  <c r="R261" i="1"/>
  <c r="Q261" i="1"/>
  <c r="P261" i="1"/>
  <c r="O261" i="1"/>
  <c r="N261" i="1"/>
  <c r="M261" i="1"/>
  <c r="U260" i="1"/>
  <c r="T260" i="1"/>
  <c r="S260" i="1"/>
  <c r="R260" i="1"/>
  <c r="Q260" i="1"/>
  <c r="P260" i="1"/>
  <c r="O260" i="1"/>
  <c r="N260" i="1"/>
  <c r="M260" i="1"/>
  <c r="U259" i="1"/>
  <c r="T259" i="1"/>
  <c r="S259" i="1"/>
  <c r="R259" i="1"/>
  <c r="Q259" i="1"/>
  <c r="P259" i="1"/>
  <c r="O259" i="1"/>
  <c r="N259" i="1"/>
  <c r="M259" i="1"/>
  <c r="U258" i="1"/>
  <c r="T258" i="1"/>
  <c r="S258" i="1"/>
  <c r="R258" i="1"/>
  <c r="Q258" i="1"/>
  <c r="P258" i="1"/>
  <c r="O258" i="1"/>
  <c r="N258" i="1"/>
  <c r="M258" i="1"/>
  <c r="U257" i="1"/>
  <c r="T257" i="1"/>
  <c r="S257" i="1"/>
  <c r="R257" i="1"/>
  <c r="Q257" i="1"/>
  <c r="P257" i="1"/>
  <c r="O257" i="1"/>
  <c r="N257" i="1"/>
  <c r="M257" i="1"/>
  <c r="U256" i="1"/>
  <c r="T256" i="1"/>
  <c r="S256" i="1"/>
  <c r="R256" i="1"/>
  <c r="Q256" i="1"/>
  <c r="P256" i="1"/>
  <c r="O256" i="1"/>
  <c r="N256" i="1"/>
  <c r="M256" i="1"/>
  <c r="U255" i="1"/>
  <c r="T255" i="1"/>
  <c r="S255" i="1"/>
  <c r="R255" i="1"/>
  <c r="Q255" i="1"/>
  <c r="P255" i="1"/>
  <c r="O255" i="1"/>
  <c r="N255" i="1"/>
  <c r="M255" i="1"/>
  <c r="U254" i="1"/>
  <c r="T254" i="1"/>
  <c r="S254" i="1"/>
  <c r="R254" i="1"/>
  <c r="Q254" i="1"/>
  <c r="P254" i="1"/>
  <c r="O254" i="1"/>
  <c r="N254" i="1"/>
  <c r="M254" i="1"/>
  <c r="U253" i="1"/>
  <c r="T253" i="1"/>
  <c r="S253" i="1"/>
  <c r="R253" i="1"/>
  <c r="Q253" i="1"/>
  <c r="P253" i="1"/>
  <c r="O253" i="1"/>
  <c r="N253" i="1"/>
  <c r="M253" i="1"/>
  <c r="U252" i="1"/>
  <c r="T252" i="1"/>
  <c r="S252" i="1"/>
  <c r="R252" i="1"/>
  <c r="Q252" i="1"/>
  <c r="P252" i="1"/>
  <c r="O252" i="1"/>
  <c r="N252" i="1"/>
  <c r="M252" i="1"/>
  <c r="U251" i="1"/>
  <c r="T251" i="1"/>
  <c r="S251" i="1"/>
  <c r="R251" i="1"/>
  <c r="Q251" i="1"/>
  <c r="P251" i="1"/>
  <c r="O251" i="1"/>
  <c r="N251" i="1"/>
  <c r="M251" i="1"/>
  <c r="U250" i="1"/>
  <c r="T250" i="1"/>
  <c r="S250" i="1"/>
  <c r="R250" i="1"/>
  <c r="Q250" i="1"/>
  <c r="P250" i="1"/>
  <c r="O250" i="1"/>
  <c r="N250" i="1"/>
  <c r="M250" i="1"/>
  <c r="U249" i="1"/>
  <c r="T249" i="1"/>
  <c r="S249" i="1"/>
  <c r="R249" i="1"/>
  <c r="Q249" i="1"/>
  <c r="P249" i="1"/>
  <c r="O249" i="1"/>
  <c r="N249" i="1"/>
  <c r="M249" i="1"/>
  <c r="U248" i="1"/>
  <c r="T248" i="1"/>
  <c r="S248" i="1"/>
  <c r="R248" i="1"/>
  <c r="Q248" i="1"/>
  <c r="P248" i="1"/>
  <c r="O248" i="1"/>
  <c r="N248" i="1"/>
  <c r="M248" i="1"/>
  <c r="U247" i="1"/>
  <c r="T247" i="1"/>
  <c r="S247" i="1"/>
  <c r="R247" i="1"/>
  <c r="Q247" i="1"/>
  <c r="P247" i="1"/>
  <c r="O247" i="1"/>
  <c r="N247" i="1"/>
  <c r="M247" i="1"/>
  <c r="U246" i="1"/>
  <c r="T246" i="1"/>
  <c r="S246" i="1"/>
  <c r="R246" i="1"/>
  <c r="Q246" i="1"/>
  <c r="P246" i="1"/>
  <c r="O246" i="1"/>
  <c r="N246" i="1"/>
  <c r="M246" i="1"/>
  <c r="U245" i="1"/>
  <c r="T245" i="1"/>
  <c r="S245" i="1"/>
  <c r="R245" i="1"/>
  <c r="Q245" i="1"/>
  <c r="P245" i="1"/>
  <c r="O245" i="1"/>
  <c r="N245" i="1"/>
  <c r="M245" i="1"/>
  <c r="U244" i="1"/>
  <c r="T244" i="1"/>
  <c r="S244" i="1"/>
  <c r="R244" i="1"/>
  <c r="Q244" i="1"/>
  <c r="P244" i="1"/>
  <c r="O244" i="1"/>
  <c r="N244" i="1"/>
  <c r="M244" i="1"/>
  <c r="U243" i="1"/>
  <c r="T243" i="1"/>
  <c r="S243" i="1"/>
  <c r="R243" i="1"/>
  <c r="Q243" i="1"/>
  <c r="P243" i="1"/>
  <c r="O243" i="1"/>
  <c r="N243" i="1"/>
  <c r="M243" i="1"/>
  <c r="U242" i="1"/>
  <c r="T242" i="1"/>
  <c r="S242" i="1"/>
  <c r="R242" i="1"/>
  <c r="Q242" i="1"/>
  <c r="P242" i="1"/>
  <c r="O242" i="1"/>
  <c r="N242" i="1"/>
  <c r="M242" i="1"/>
  <c r="U241" i="1"/>
  <c r="T241" i="1"/>
  <c r="S241" i="1"/>
  <c r="R241" i="1"/>
  <c r="Q241" i="1"/>
  <c r="P241" i="1"/>
  <c r="O241" i="1"/>
  <c r="N241" i="1"/>
  <c r="M241" i="1"/>
  <c r="U240" i="1"/>
  <c r="T240" i="1"/>
  <c r="S240" i="1"/>
  <c r="R240" i="1"/>
  <c r="Q240" i="1"/>
  <c r="P240" i="1"/>
  <c r="O240" i="1"/>
  <c r="N240" i="1"/>
  <c r="M240" i="1"/>
  <c r="U239" i="1"/>
  <c r="T239" i="1"/>
  <c r="S239" i="1"/>
  <c r="R239" i="1"/>
  <c r="Q239" i="1"/>
  <c r="P239" i="1"/>
  <c r="O239" i="1"/>
  <c r="N239" i="1"/>
  <c r="M239" i="1"/>
  <c r="U238" i="1"/>
  <c r="T238" i="1"/>
  <c r="S238" i="1"/>
  <c r="R238" i="1"/>
  <c r="Q238" i="1"/>
  <c r="P238" i="1"/>
  <c r="O238" i="1"/>
  <c r="N238" i="1"/>
  <c r="M238" i="1"/>
  <c r="U237" i="1"/>
  <c r="T237" i="1"/>
  <c r="S237" i="1"/>
  <c r="R237" i="1"/>
  <c r="Q237" i="1"/>
  <c r="P237" i="1"/>
  <c r="O237" i="1"/>
  <c r="N237" i="1"/>
  <c r="M237" i="1"/>
  <c r="U236" i="1"/>
  <c r="T236" i="1"/>
  <c r="S236" i="1"/>
  <c r="R236" i="1"/>
  <c r="Q236" i="1"/>
  <c r="P236" i="1"/>
  <c r="O236" i="1"/>
  <c r="N236" i="1"/>
  <c r="M236" i="1"/>
  <c r="U235" i="1"/>
  <c r="T235" i="1"/>
  <c r="S235" i="1"/>
  <c r="R235" i="1"/>
  <c r="Q235" i="1"/>
  <c r="P235" i="1"/>
  <c r="O235" i="1"/>
  <c r="N235" i="1"/>
  <c r="M235" i="1"/>
  <c r="U234" i="1"/>
  <c r="T234" i="1"/>
  <c r="S234" i="1"/>
  <c r="R234" i="1"/>
  <c r="Q234" i="1"/>
  <c r="P234" i="1"/>
  <c r="O234" i="1"/>
  <c r="N234" i="1"/>
  <c r="M234" i="1"/>
  <c r="U233" i="1"/>
  <c r="T233" i="1"/>
  <c r="S233" i="1"/>
  <c r="R233" i="1"/>
  <c r="Q233" i="1"/>
  <c r="P233" i="1"/>
  <c r="O233" i="1"/>
  <c r="N233" i="1"/>
  <c r="M233" i="1"/>
  <c r="U232" i="1"/>
  <c r="T232" i="1"/>
  <c r="S232" i="1"/>
  <c r="R232" i="1"/>
  <c r="Q232" i="1"/>
  <c r="P232" i="1"/>
  <c r="O232" i="1"/>
  <c r="N232" i="1"/>
  <c r="M232" i="1"/>
  <c r="U231" i="1"/>
  <c r="T231" i="1"/>
  <c r="S231" i="1"/>
  <c r="R231" i="1"/>
  <c r="Q231" i="1"/>
  <c r="P231" i="1"/>
  <c r="O231" i="1"/>
  <c r="N231" i="1"/>
  <c r="M231" i="1"/>
  <c r="U230" i="1"/>
  <c r="T230" i="1"/>
  <c r="S230" i="1"/>
  <c r="R230" i="1"/>
  <c r="Q230" i="1"/>
  <c r="P230" i="1"/>
  <c r="O230" i="1"/>
  <c r="N230" i="1"/>
  <c r="M230" i="1"/>
  <c r="U229" i="1"/>
  <c r="T229" i="1"/>
  <c r="S229" i="1"/>
  <c r="R229" i="1"/>
  <c r="Q229" i="1"/>
  <c r="P229" i="1"/>
  <c r="O229" i="1"/>
  <c r="N229" i="1"/>
  <c r="M229" i="1"/>
  <c r="U228" i="1"/>
  <c r="T228" i="1"/>
  <c r="S228" i="1"/>
  <c r="R228" i="1"/>
  <c r="Q228" i="1"/>
  <c r="P228" i="1"/>
  <c r="O228" i="1"/>
  <c r="N228" i="1"/>
  <c r="M228" i="1"/>
  <c r="U227" i="1"/>
  <c r="T227" i="1"/>
  <c r="S227" i="1"/>
  <c r="R227" i="1"/>
  <c r="Q227" i="1"/>
  <c r="P227" i="1"/>
  <c r="O227" i="1"/>
  <c r="N227" i="1"/>
  <c r="M227" i="1"/>
  <c r="U226" i="1"/>
  <c r="T226" i="1"/>
  <c r="S226" i="1"/>
  <c r="R226" i="1"/>
  <c r="Q226" i="1"/>
  <c r="P226" i="1"/>
  <c r="O226" i="1"/>
  <c r="N226" i="1"/>
  <c r="M226" i="1"/>
  <c r="U225" i="1"/>
  <c r="T225" i="1"/>
  <c r="S225" i="1"/>
  <c r="R225" i="1"/>
  <c r="Q225" i="1"/>
  <c r="P225" i="1"/>
  <c r="O225" i="1"/>
  <c r="N225" i="1"/>
  <c r="M225" i="1"/>
  <c r="U224" i="1"/>
  <c r="T224" i="1"/>
  <c r="S224" i="1"/>
  <c r="R224" i="1"/>
  <c r="Q224" i="1"/>
  <c r="P224" i="1"/>
  <c r="O224" i="1"/>
  <c r="N224" i="1"/>
  <c r="M224" i="1"/>
  <c r="U223" i="1"/>
  <c r="T223" i="1"/>
  <c r="S223" i="1"/>
  <c r="R223" i="1"/>
  <c r="Q223" i="1"/>
  <c r="P223" i="1"/>
  <c r="O223" i="1"/>
  <c r="N223" i="1"/>
  <c r="M223" i="1"/>
  <c r="U222" i="1"/>
  <c r="T222" i="1"/>
  <c r="S222" i="1"/>
  <c r="R222" i="1"/>
  <c r="Q222" i="1"/>
  <c r="P222" i="1"/>
  <c r="O222" i="1"/>
  <c r="N222" i="1"/>
  <c r="M222" i="1"/>
  <c r="U221" i="1"/>
  <c r="T221" i="1"/>
  <c r="S221" i="1"/>
  <c r="R221" i="1"/>
  <c r="Q221" i="1"/>
  <c r="P221" i="1"/>
  <c r="O221" i="1"/>
  <c r="N221" i="1"/>
  <c r="M221" i="1"/>
  <c r="U220" i="1"/>
  <c r="T220" i="1"/>
  <c r="S220" i="1"/>
  <c r="R220" i="1"/>
  <c r="Q220" i="1"/>
  <c r="P220" i="1"/>
  <c r="O220" i="1"/>
  <c r="N220" i="1"/>
  <c r="M220" i="1"/>
  <c r="U219" i="1"/>
  <c r="T219" i="1"/>
  <c r="S219" i="1"/>
  <c r="R219" i="1"/>
  <c r="Q219" i="1"/>
  <c r="P219" i="1"/>
  <c r="O219" i="1"/>
  <c r="N219" i="1"/>
  <c r="M219" i="1"/>
  <c r="U218" i="1"/>
  <c r="T218" i="1"/>
  <c r="S218" i="1"/>
  <c r="R218" i="1"/>
  <c r="Q218" i="1"/>
  <c r="P218" i="1"/>
  <c r="O218" i="1"/>
  <c r="N218" i="1"/>
  <c r="M218" i="1"/>
  <c r="U217" i="1"/>
  <c r="T217" i="1"/>
  <c r="S217" i="1"/>
  <c r="R217" i="1"/>
  <c r="Q217" i="1"/>
  <c r="P217" i="1"/>
  <c r="O217" i="1"/>
  <c r="N217" i="1"/>
  <c r="M217" i="1"/>
  <c r="U216" i="1"/>
  <c r="T216" i="1"/>
  <c r="S216" i="1"/>
  <c r="R216" i="1"/>
  <c r="Q216" i="1"/>
  <c r="P216" i="1"/>
  <c r="O216" i="1"/>
  <c r="N216" i="1"/>
  <c r="M216" i="1"/>
  <c r="U215" i="1"/>
  <c r="T215" i="1"/>
  <c r="S215" i="1"/>
  <c r="R215" i="1"/>
  <c r="Q215" i="1"/>
  <c r="P215" i="1"/>
  <c r="O215" i="1"/>
  <c r="N215" i="1"/>
  <c r="M215" i="1"/>
  <c r="U214" i="1"/>
  <c r="T214" i="1"/>
  <c r="S214" i="1"/>
  <c r="R214" i="1"/>
  <c r="Q214" i="1"/>
  <c r="P214" i="1"/>
  <c r="O214" i="1"/>
  <c r="N214" i="1"/>
  <c r="M214" i="1"/>
  <c r="U213" i="1"/>
  <c r="T213" i="1"/>
  <c r="S213" i="1"/>
  <c r="R213" i="1"/>
  <c r="Q213" i="1"/>
  <c r="P213" i="1"/>
  <c r="O213" i="1"/>
  <c r="N213" i="1"/>
  <c r="M213" i="1"/>
  <c r="U212" i="1"/>
  <c r="T212" i="1"/>
  <c r="S212" i="1"/>
  <c r="R212" i="1"/>
  <c r="Q212" i="1"/>
  <c r="P212" i="1"/>
  <c r="O212" i="1"/>
  <c r="N212" i="1"/>
  <c r="M212" i="1"/>
  <c r="U211" i="1"/>
  <c r="T211" i="1"/>
  <c r="S211" i="1"/>
  <c r="R211" i="1"/>
  <c r="Q211" i="1"/>
  <c r="P211" i="1"/>
  <c r="O211" i="1"/>
  <c r="N211" i="1"/>
  <c r="M211" i="1"/>
  <c r="U210" i="1"/>
  <c r="T210" i="1"/>
  <c r="S210" i="1"/>
  <c r="R210" i="1"/>
  <c r="Q210" i="1"/>
  <c r="P210" i="1"/>
  <c r="O210" i="1"/>
  <c r="N210" i="1"/>
  <c r="M210" i="1"/>
  <c r="U209" i="1"/>
  <c r="T209" i="1"/>
  <c r="S209" i="1"/>
  <c r="R209" i="1"/>
  <c r="Q209" i="1"/>
  <c r="P209" i="1"/>
  <c r="O209" i="1"/>
  <c r="N209" i="1"/>
  <c r="M209" i="1"/>
  <c r="U208" i="1"/>
  <c r="T208" i="1"/>
  <c r="S208" i="1"/>
  <c r="R208" i="1"/>
  <c r="Q208" i="1"/>
  <c r="P208" i="1"/>
  <c r="O208" i="1"/>
  <c r="N208" i="1"/>
  <c r="M208" i="1"/>
  <c r="U207" i="1"/>
  <c r="T207" i="1"/>
  <c r="S207" i="1"/>
  <c r="R207" i="1"/>
  <c r="Q207" i="1"/>
  <c r="P207" i="1"/>
  <c r="O207" i="1"/>
  <c r="N207" i="1"/>
  <c r="M207" i="1"/>
  <c r="U206" i="1"/>
  <c r="T206" i="1"/>
  <c r="S206" i="1"/>
  <c r="R206" i="1"/>
  <c r="Q206" i="1"/>
  <c r="P206" i="1"/>
  <c r="O206" i="1"/>
  <c r="N206" i="1"/>
  <c r="M206" i="1"/>
  <c r="U205" i="1"/>
  <c r="T205" i="1"/>
  <c r="S205" i="1"/>
  <c r="R205" i="1"/>
  <c r="Q205" i="1"/>
  <c r="P205" i="1"/>
  <c r="O205" i="1"/>
  <c r="N205" i="1"/>
  <c r="M205" i="1"/>
  <c r="U204" i="1"/>
  <c r="T204" i="1"/>
  <c r="S204" i="1"/>
  <c r="R204" i="1"/>
  <c r="Q204" i="1"/>
  <c r="P204" i="1"/>
  <c r="O204" i="1"/>
  <c r="N204" i="1"/>
  <c r="M204" i="1"/>
  <c r="U203" i="1"/>
  <c r="T203" i="1"/>
  <c r="S203" i="1"/>
  <c r="R203" i="1"/>
  <c r="Q203" i="1"/>
  <c r="P203" i="1"/>
  <c r="O203" i="1"/>
  <c r="N203" i="1"/>
  <c r="M203" i="1"/>
  <c r="U202" i="1"/>
  <c r="T202" i="1"/>
  <c r="S202" i="1"/>
  <c r="R202" i="1"/>
  <c r="Q202" i="1"/>
  <c r="P202" i="1"/>
  <c r="O202" i="1"/>
  <c r="N202" i="1"/>
  <c r="M202" i="1"/>
  <c r="U201" i="1"/>
  <c r="T201" i="1"/>
  <c r="S201" i="1"/>
  <c r="R201" i="1"/>
  <c r="Q201" i="1"/>
  <c r="P201" i="1"/>
  <c r="O201" i="1"/>
  <c r="N201" i="1"/>
  <c r="M201" i="1"/>
  <c r="U200" i="1"/>
  <c r="T200" i="1"/>
  <c r="S200" i="1"/>
  <c r="R200" i="1"/>
  <c r="Q200" i="1"/>
  <c r="P200" i="1"/>
  <c r="O200" i="1"/>
  <c r="N200" i="1"/>
  <c r="M200" i="1"/>
  <c r="U199" i="1"/>
  <c r="T199" i="1"/>
  <c r="S199" i="1"/>
  <c r="R199" i="1"/>
  <c r="Q199" i="1"/>
  <c r="P199" i="1"/>
  <c r="O199" i="1"/>
  <c r="N199" i="1"/>
  <c r="M199" i="1"/>
  <c r="U198" i="1"/>
  <c r="T198" i="1"/>
  <c r="S198" i="1"/>
  <c r="R198" i="1"/>
  <c r="Q198" i="1"/>
  <c r="P198" i="1"/>
  <c r="O198" i="1"/>
  <c r="N198" i="1"/>
  <c r="M198" i="1"/>
  <c r="U197" i="1"/>
  <c r="T197" i="1"/>
  <c r="S197" i="1"/>
  <c r="R197" i="1"/>
  <c r="Q197" i="1"/>
  <c r="P197" i="1"/>
  <c r="O197" i="1"/>
  <c r="N197" i="1"/>
  <c r="M197" i="1"/>
  <c r="U196" i="1"/>
  <c r="T196" i="1"/>
  <c r="S196" i="1"/>
  <c r="R196" i="1"/>
  <c r="Q196" i="1"/>
  <c r="P196" i="1"/>
  <c r="O196" i="1"/>
  <c r="N196" i="1"/>
  <c r="M196" i="1"/>
  <c r="U195" i="1"/>
  <c r="T195" i="1"/>
  <c r="S195" i="1"/>
  <c r="R195" i="1"/>
  <c r="Q195" i="1"/>
  <c r="P195" i="1"/>
  <c r="O195" i="1"/>
  <c r="N195" i="1"/>
  <c r="M195" i="1"/>
  <c r="U194" i="1"/>
  <c r="T194" i="1"/>
  <c r="S194" i="1"/>
  <c r="R194" i="1"/>
  <c r="Q194" i="1"/>
  <c r="P194" i="1"/>
  <c r="O194" i="1"/>
  <c r="N194" i="1"/>
  <c r="M194" i="1"/>
  <c r="U193" i="1"/>
  <c r="T193" i="1"/>
  <c r="S193" i="1"/>
  <c r="R193" i="1"/>
  <c r="Q193" i="1"/>
  <c r="P193" i="1"/>
  <c r="O193" i="1"/>
  <c r="N193" i="1"/>
  <c r="M193" i="1"/>
  <c r="U192" i="1"/>
  <c r="T192" i="1"/>
  <c r="S192" i="1"/>
  <c r="R192" i="1"/>
  <c r="Q192" i="1"/>
  <c r="P192" i="1"/>
  <c r="O192" i="1"/>
  <c r="N192" i="1"/>
  <c r="M192" i="1"/>
  <c r="U191" i="1"/>
  <c r="T191" i="1"/>
  <c r="S191" i="1"/>
  <c r="R191" i="1"/>
  <c r="Q191" i="1"/>
  <c r="P191" i="1"/>
  <c r="O191" i="1"/>
  <c r="N191" i="1"/>
  <c r="M191" i="1"/>
  <c r="U190" i="1"/>
  <c r="T190" i="1"/>
  <c r="S190" i="1"/>
  <c r="R190" i="1"/>
  <c r="Q190" i="1"/>
  <c r="P190" i="1"/>
  <c r="O190" i="1"/>
  <c r="N190" i="1"/>
  <c r="M190" i="1"/>
  <c r="U189" i="1"/>
  <c r="T189" i="1"/>
  <c r="S189" i="1"/>
  <c r="R189" i="1"/>
  <c r="Q189" i="1"/>
  <c r="P189" i="1"/>
  <c r="O189" i="1"/>
  <c r="N189" i="1"/>
  <c r="M189" i="1"/>
  <c r="U188" i="1"/>
  <c r="T188" i="1"/>
  <c r="S188" i="1"/>
  <c r="R188" i="1"/>
  <c r="Q188" i="1"/>
  <c r="P188" i="1"/>
  <c r="O188" i="1"/>
  <c r="N188" i="1"/>
  <c r="M188" i="1"/>
  <c r="U187" i="1"/>
  <c r="T187" i="1"/>
  <c r="S187" i="1"/>
  <c r="R187" i="1"/>
  <c r="Q187" i="1"/>
  <c r="P187" i="1"/>
  <c r="O187" i="1"/>
  <c r="N187" i="1"/>
  <c r="M187" i="1"/>
  <c r="U186" i="1"/>
  <c r="T186" i="1"/>
  <c r="S186" i="1"/>
  <c r="R186" i="1"/>
  <c r="Q186" i="1"/>
  <c r="P186" i="1"/>
  <c r="O186" i="1"/>
  <c r="N186" i="1"/>
  <c r="M186" i="1"/>
  <c r="U185" i="1"/>
  <c r="T185" i="1"/>
  <c r="S185" i="1"/>
  <c r="R185" i="1"/>
  <c r="Q185" i="1"/>
  <c r="P185" i="1"/>
  <c r="O185" i="1"/>
  <c r="N185" i="1"/>
  <c r="M185" i="1"/>
  <c r="U184" i="1"/>
  <c r="T184" i="1"/>
  <c r="S184" i="1"/>
  <c r="R184" i="1"/>
  <c r="Q184" i="1"/>
  <c r="P184" i="1"/>
  <c r="O184" i="1"/>
  <c r="N184" i="1"/>
  <c r="M184" i="1"/>
  <c r="U183" i="1"/>
  <c r="T183" i="1"/>
  <c r="S183" i="1"/>
  <c r="R183" i="1"/>
  <c r="Q183" i="1"/>
  <c r="P183" i="1"/>
  <c r="O183" i="1"/>
  <c r="N183" i="1"/>
  <c r="M183" i="1"/>
  <c r="U182" i="1"/>
  <c r="T182" i="1"/>
  <c r="S182" i="1"/>
  <c r="R182" i="1"/>
  <c r="Q182" i="1"/>
  <c r="P182" i="1"/>
  <c r="O182" i="1"/>
  <c r="N182" i="1"/>
  <c r="M182" i="1"/>
  <c r="U181" i="1"/>
  <c r="T181" i="1"/>
  <c r="S181" i="1"/>
  <c r="R181" i="1"/>
  <c r="Q181" i="1"/>
  <c r="P181" i="1"/>
  <c r="O181" i="1"/>
  <c r="N181" i="1"/>
  <c r="M181" i="1"/>
  <c r="U180" i="1"/>
  <c r="T180" i="1"/>
  <c r="S180" i="1"/>
  <c r="R180" i="1"/>
  <c r="Q180" i="1"/>
  <c r="P180" i="1"/>
  <c r="O180" i="1"/>
  <c r="N180" i="1"/>
  <c r="M180" i="1"/>
  <c r="U179" i="1"/>
  <c r="T179" i="1"/>
  <c r="S179" i="1"/>
  <c r="R179" i="1"/>
  <c r="Q179" i="1"/>
  <c r="P179" i="1"/>
  <c r="O179" i="1"/>
  <c r="N179" i="1"/>
  <c r="M179" i="1"/>
  <c r="U178" i="1"/>
  <c r="T178" i="1"/>
  <c r="S178" i="1"/>
  <c r="R178" i="1"/>
  <c r="Q178" i="1"/>
  <c r="P178" i="1"/>
  <c r="O178" i="1"/>
  <c r="N178" i="1"/>
  <c r="M178" i="1"/>
  <c r="U177" i="1"/>
  <c r="T177" i="1"/>
  <c r="S177" i="1"/>
  <c r="R177" i="1"/>
  <c r="Q177" i="1"/>
  <c r="P177" i="1"/>
  <c r="O177" i="1"/>
  <c r="N177" i="1"/>
  <c r="M177" i="1"/>
  <c r="U176" i="1"/>
  <c r="T176" i="1"/>
  <c r="S176" i="1"/>
  <c r="R176" i="1"/>
  <c r="Q176" i="1"/>
  <c r="P176" i="1"/>
  <c r="O176" i="1"/>
  <c r="N176" i="1"/>
  <c r="M176" i="1"/>
  <c r="U175" i="1"/>
  <c r="T175" i="1"/>
  <c r="S175" i="1"/>
  <c r="R175" i="1"/>
  <c r="Q175" i="1"/>
  <c r="P175" i="1"/>
  <c r="O175" i="1"/>
  <c r="N175" i="1"/>
  <c r="M175" i="1"/>
  <c r="U174" i="1"/>
  <c r="T174" i="1"/>
  <c r="S174" i="1"/>
  <c r="R174" i="1"/>
  <c r="Q174" i="1"/>
  <c r="P174" i="1"/>
  <c r="O174" i="1"/>
  <c r="N174" i="1"/>
  <c r="M174" i="1"/>
  <c r="U173" i="1"/>
  <c r="T173" i="1"/>
  <c r="S173" i="1"/>
  <c r="R173" i="1"/>
  <c r="Q173" i="1"/>
  <c r="P173" i="1"/>
  <c r="O173" i="1"/>
  <c r="N173" i="1"/>
  <c r="M173" i="1"/>
  <c r="U172" i="1"/>
  <c r="T172" i="1"/>
  <c r="S172" i="1"/>
  <c r="R172" i="1"/>
  <c r="Q172" i="1"/>
  <c r="P172" i="1"/>
  <c r="O172" i="1"/>
  <c r="N172" i="1"/>
  <c r="M172" i="1"/>
  <c r="U171" i="1"/>
  <c r="T171" i="1"/>
  <c r="S171" i="1"/>
  <c r="R171" i="1"/>
  <c r="Q171" i="1"/>
  <c r="P171" i="1"/>
  <c r="O171" i="1"/>
  <c r="N171" i="1"/>
  <c r="M171" i="1"/>
  <c r="U170" i="1"/>
  <c r="T170" i="1"/>
  <c r="S170" i="1"/>
  <c r="R170" i="1"/>
  <c r="Q170" i="1"/>
  <c r="P170" i="1"/>
  <c r="O170" i="1"/>
  <c r="N170" i="1"/>
  <c r="M170" i="1"/>
  <c r="U169" i="1"/>
  <c r="T169" i="1"/>
  <c r="S169" i="1"/>
  <c r="R169" i="1"/>
  <c r="Q169" i="1"/>
  <c r="P169" i="1"/>
  <c r="O169" i="1"/>
  <c r="N169" i="1"/>
  <c r="M169" i="1"/>
  <c r="U168" i="1"/>
  <c r="T168" i="1"/>
  <c r="S168" i="1"/>
  <c r="R168" i="1"/>
  <c r="Q168" i="1"/>
  <c r="P168" i="1"/>
  <c r="O168" i="1"/>
  <c r="N168" i="1"/>
  <c r="M168" i="1"/>
  <c r="U167" i="1"/>
  <c r="T167" i="1"/>
  <c r="S167" i="1"/>
  <c r="R167" i="1"/>
  <c r="Q167" i="1"/>
  <c r="P167" i="1"/>
  <c r="O167" i="1"/>
  <c r="N167" i="1"/>
  <c r="M167" i="1"/>
  <c r="U166" i="1"/>
  <c r="T166" i="1"/>
  <c r="S166" i="1"/>
  <c r="R166" i="1"/>
  <c r="Q166" i="1"/>
  <c r="P166" i="1"/>
  <c r="O166" i="1"/>
  <c r="N166" i="1"/>
  <c r="M166" i="1"/>
  <c r="U165" i="1"/>
  <c r="T165" i="1"/>
  <c r="S165" i="1"/>
  <c r="R165" i="1"/>
  <c r="Q165" i="1"/>
  <c r="P165" i="1"/>
  <c r="O165" i="1"/>
  <c r="N165" i="1"/>
  <c r="M165" i="1"/>
  <c r="U164" i="1"/>
  <c r="T164" i="1"/>
  <c r="S164" i="1"/>
  <c r="R164" i="1"/>
  <c r="Q164" i="1"/>
  <c r="P164" i="1"/>
  <c r="O164" i="1"/>
  <c r="N164" i="1"/>
  <c r="M164" i="1"/>
  <c r="U163" i="1"/>
  <c r="T163" i="1"/>
  <c r="S163" i="1"/>
  <c r="R163" i="1"/>
  <c r="Q163" i="1"/>
  <c r="P163" i="1"/>
  <c r="O163" i="1"/>
  <c r="N163" i="1"/>
  <c r="M163" i="1"/>
  <c r="U162" i="1"/>
  <c r="T162" i="1"/>
  <c r="S162" i="1"/>
  <c r="R162" i="1"/>
  <c r="Q162" i="1"/>
  <c r="P162" i="1"/>
  <c r="O162" i="1"/>
  <c r="N162" i="1"/>
  <c r="M162" i="1"/>
  <c r="U161" i="1"/>
  <c r="T161" i="1"/>
  <c r="S161" i="1"/>
  <c r="R161" i="1"/>
  <c r="Q161" i="1"/>
  <c r="P161" i="1"/>
  <c r="O161" i="1"/>
  <c r="N161" i="1"/>
  <c r="M161" i="1"/>
  <c r="U160" i="1"/>
  <c r="T160" i="1"/>
  <c r="S160" i="1"/>
  <c r="R160" i="1"/>
  <c r="Q160" i="1"/>
  <c r="P160" i="1"/>
  <c r="O160" i="1"/>
  <c r="N160" i="1"/>
  <c r="M160" i="1"/>
  <c r="U159" i="1"/>
  <c r="T159" i="1"/>
  <c r="S159" i="1"/>
  <c r="R159" i="1"/>
  <c r="Q159" i="1"/>
  <c r="P159" i="1"/>
  <c r="O159" i="1"/>
  <c r="N159" i="1"/>
  <c r="M159" i="1"/>
  <c r="U158" i="1"/>
  <c r="T158" i="1"/>
  <c r="S158" i="1"/>
  <c r="R158" i="1"/>
  <c r="Q158" i="1"/>
  <c r="P158" i="1"/>
  <c r="O158" i="1"/>
  <c r="N158" i="1"/>
  <c r="M158" i="1"/>
  <c r="U157" i="1"/>
  <c r="T157" i="1"/>
  <c r="S157" i="1"/>
  <c r="R157" i="1"/>
  <c r="Q157" i="1"/>
  <c r="P157" i="1"/>
  <c r="O157" i="1"/>
  <c r="N157" i="1"/>
  <c r="M157" i="1"/>
  <c r="U156" i="1"/>
  <c r="T156" i="1"/>
  <c r="S156" i="1"/>
  <c r="R156" i="1"/>
  <c r="Q156" i="1"/>
  <c r="P156" i="1"/>
  <c r="O156" i="1"/>
  <c r="N156" i="1"/>
  <c r="M156" i="1"/>
  <c r="U155" i="1"/>
  <c r="T155" i="1"/>
  <c r="S155" i="1"/>
  <c r="R155" i="1"/>
  <c r="Q155" i="1"/>
  <c r="P155" i="1"/>
  <c r="O155" i="1"/>
  <c r="N155" i="1"/>
  <c r="M155" i="1"/>
  <c r="U154" i="1"/>
  <c r="T154" i="1"/>
  <c r="S154" i="1"/>
  <c r="R154" i="1"/>
  <c r="Q154" i="1"/>
  <c r="P154" i="1"/>
  <c r="O154" i="1"/>
  <c r="N154" i="1"/>
  <c r="M154" i="1"/>
  <c r="U153" i="1"/>
  <c r="T153" i="1"/>
  <c r="S153" i="1"/>
  <c r="R153" i="1"/>
  <c r="Q153" i="1"/>
  <c r="P153" i="1"/>
  <c r="O153" i="1"/>
  <c r="N153" i="1"/>
  <c r="M153" i="1"/>
  <c r="U152" i="1"/>
  <c r="T152" i="1"/>
  <c r="S152" i="1"/>
  <c r="R152" i="1"/>
  <c r="Q152" i="1"/>
  <c r="P152" i="1"/>
  <c r="O152" i="1"/>
  <c r="N152" i="1"/>
  <c r="M152" i="1"/>
  <c r="U151" i="1"/>
  <c r="T151" i="1"/>
  <c r="S151" i="1"/>
  <c r="R151" i="1"/>
  <c r="Q151" i="1"/>
  <c r="P151" i="1"/>
  <c r="O151" i="1"/>
  <c r="N151" i="1"/>
  <c r="M151" i="1"/>
  <c r="U150" i="1"/>
  <c r="T150" i="1"/>
  <c r="S150" i="1"/>
  <c r="R150" i="1"/>
  <c r="Q150" i="1"/>
  <c r="P150" i="1"/>
  <c r="O150" i="1"/>
  <c r="N150" i="1"/>
  <c r="M150" i="1"/>
  <c r="U149" i="1"/>
  <c r="T149" i="1"/>
  <c r="S149" i="1"/>
  <c r="R149" i="1"/>
  <c r="Q149" i="1"/>
  <c r="P149" i="1"/>
  <c r="O149" i="1"/>
  <c r="N149" i="1"/>
  <c r="M149" i="1"/>
  <c r="U148" i="1"/>
  <c r="T148" i="1"/>
  <c r="S148" i="1"/>
  <c r="R148" i="1"/>
  <c r="Q148" i="1"/>
  <c r="P148" i="1"/>
  <c r="O148" i="1"/>
  <c r="N148" i="1"/>
  <c r="M148" i="1"/>
  <c r="U147" i="1"/>
  <c r="T147" i="1"/>
  <c r="S147" i="1"/>
  <c r="R147" i="1"/>
  <c r="Q147" i="1"/>
  <c r="P147" i="1"/>
  <c r="O147" i="1"/>
  <c r="N147" i="1"/>
  <c r="M147" i="1"/>
  <c r="U146" i="1"/>
  <c r="T146" i="1"/>
  <c r="S146" i="1"/>
  <c r="R146" i="1"/>
  <c r="Q146" i="1"/>
  <c r="P146" i="1"/>
  <c r="O146" i="1"/>
  <c r="N146" i="1"/>
  <c r="M146" i="1"/>
  <c r="U145" i="1"/>
  <c r="T145" i="1"/>
  <c r="S145" i="1"/>
  <c r="R145" i="1"/>
  <c r="Q145" i="1"/>
  <c r="P145" i="1"/>
  <c r="O145" i="1"/>
  <c r="N145" i="1"/>
  <c r="M145" i="1"/>
  <c r="U144" i="1"/>
  <c r="T144" i="1"/>
  <c r="S144" i="1"/>
  <c r="R144" i="1"/>
  <c r="Q144" i="1"/>
  <c r="P144" i="1"/>
  <c r="O144" i="1"/>
  <c r="N144" i="1"/>
  <c r="M144" i="1"/>
  <c r="U143" i="1"/>
  <c r="T143" i="1"/>
  <c r="S143" i="1"/>
  <c r="R143" i="1"/>
  <c r="Q143" i="1"/>
  <c r="P143" i="1"/>
  <c r="O143" i="1"/>
  <c r="N143" i="1"/>
  <c r="M143" i="1"/>
  <c r="U142" i="1"/>
  <c r="T142" i="1"/>
  <c r="S142" i="1"/>
  <c r="R142" i="1"/>
  <c r="Q142" i="1"/>
  <c r="P142" i="1"/>
  <c r="O142" i="1"/>
  <c r="N142" i="1"/>
  <c r="M142" i="1"/>
  <c r="U141" i="1"/>
  <c r="T141" i="1"/>
  <c r="S141" i="1"/>
  <c r="R141" i="1"/>
  <c r="Q141" i="1"/>
  <c r="P141" i="1"/>
  <c r="O141" i="1"/>
  <c r="N141" i="1"/>
  <c r="M141" i="1"/>
  <c r="U140" i="1"/>
  <c r="T140" i="1"/>
  <c r="S140" i="1"/>
  <c r="R140" i="1"/>
  <c r="Q140" i="1"/>
  <c r="P140" i="1"/>
  <c r="O140" i="1"/>
  <c r="N140" i="1"/>
  <c r="M140" i="1"/>
  <c r="U139" i="1"/>
  <c r="T139" i="1"/>
  <c r="S139" i="1"/>
  <c r="R139" i="1"/>
  <c r="Q139" i="1"/>
  <c r="P139" i="1"/>
  <c r="O139" i="1"/>
  <c r="N139" i="1"/>
  <c r="M139" i="1"/>
  <c r="U138" i="1"/>
  <c r="T138" i="1"/>
  <c r="S138" i="1"/>
  <c r="R138" i="1"/>
  <c r="Q138" i="1"/>
  <c r="P138" i="1"/>
  <c r="O138" i="1"/>
  <c r="N138" i="1"/>
  <c r="M138" i="1"/>
  <c r="U137" i="1"/>
  <c r="T137" i="1"/>
  <c r="S137" i="1"/>
  <c r="R137" i="1"/>
  <c r="Q137" i="1"/>
  <c r="P137" i="1"/>
  <c r="O137" i="1"/>
  <c r="N137" i="1"/>
  <c r="M137" i="1"/>
  <c r="U136" i="1"/>
  <c r="T136" i="1"/>
  <c r="S136" i="1"/>
  <c r="R136" i="1"/>
  <c r="Q136" i="1"/>
  <c r="P136" i="1"/>
  <c r="O136" i="1"/>
  <c r="N136" i="1"/>
  <c r="M136" i="1"/>
  <c r="U135" i="1"/>
  <c r="T135" i="1"/>
  <c r="S135" i="1"/>
  <c r="R135" i="1"/>
  <c r="Q135" i="1"/>
  <c r="P135" i="1"/>
  <c r="O135" i="1"/>
  <c r="N135" i="1"/>
  <c r="M135" i="1"/>
  <c r="U134" i="1"/>
  <c r="T134" i="1"/>
  <c r="S134" i="1"/>
  <c r="R134" i="1"/>
  <c r="Q134" i="1"/>
  <c r="P134" i="1"/>
  <c r="O134" i="1"/>
  <c r="N134" i="1"/>
  <c r="M134" i="1"/>
  <c r="U133" i="1"/>
  <c r="T133" i="1"/>
  <c r="S133" i="1"/>
  <c r="R133" i="1"/>
  <c r="Q133" i="1"/>
  <c r="P133" i="1"/>
  <c r="O133" i="1"/>
  <c r="N133" i="1"/>
  <c r="M133" i="1"/>
  <c r="U132" i="1"/>
  <c r="T132" i="1"/>
  <c r="S132" i="1"/>
  <c r="R132" i="1"/>
  <c r="Q132" i="1"/>
  <c r="P132" i="1"/>
  <c r="O132" i="1"/>
  <c r="N132" i="1"/>
  <c r="M132" i="1"/>
  <c r="U131" i="1"/>
  <c r="T131" i="1"/>
  <c r="S131" i="1"/>
  <c r="R131" i="1"/>
  <c r="Q131" i="1"/>
  <c r="P131" i="1"/>
  <c r="O131" i="1"/>
  <c r="N131" i="1"/>
  <c r="M131" i="1"/>
  <c r="U130" i="1"/>
  <c r="T130" i="1"/>
  <c r="S130" i="1"/>
  <c r="R130" i="1"/>
  <c r="Q130" i="1"/>
  <c r="P130" i="1"/>
  <c r="O130" i="1"/>
  <c r="N130" i="1"/>
  <c r="M130" i="1"/>
  <c r="U129" i="1"/>
  <c r="T129" i="1"/>
  <c r="S129" i="1"/>
  <c r="R129" i="1"/>
  <c r="Q129" i="1"/>
  <c r="P129" i="1"/>
  <c r="O129" i="1"/>
  <c r="N129" i="1"/>
  <c r="M129" i="1"/>
  <c r="U128" i="1"/>
  <c r="T128" i="1"/>
  <c r="S128" i="1"/>
  <c r="R128" i="1"/>
  <c r="Q128" i="1"/>
  <c r="P128" i="1"/>
  <c r="O128" i="1"/>
  <c r="N128" i="1"/>
  <c r="M128" i="1"/>
  <c r="U127" i="1"/>
  <c r="T127" i="1"/>
  <c r="S127" i="1"/>
  <c r="R127" i="1"/>
  <c r="Q127" i="1"/>
  <c r="P127" i="1"/>
  <c r="O127" i="1"/>
  <c r="N127" i="1"/>
  <c r="M127" i="1"/>
  <c r="U126" i="1"/>
  <c r="T126" i="1"/>
  <c r="S126" i="1"/>
  <c r="R126" i="1"/>
  <c r="Q126" i="1"/>
  <c r="P126" i="1"/>
  <c r="O126" i="1"/>
  <c r="N126" i="1"/>
  <c r="M126" i="1"/>
  <c r="U125" i="1"/>
  <c r="T125" i="1"/>
  <c r="S125" i="1"/>
  <c r="R125" i="1"/>
  <c r="Q125" i="1"/>
  <c r="P125" i="1"/>
  <c r="O125" i="1"/>
  <c r="N125" i="1"/>
  <c r="M125" i="1"/>
  <c r="U124" i="1"/>
  <c r="T124" i="1"/>
  <c r="S124" i="1"/>
  <c r="R124" i="1"/>
  <c r="Q124" i="1"/>
  <c r="P124" i="1"/>
  <c r="O124" i="1"/>
  <c r="N124" i="1"/>
  <c r="M124" i="1"/>
  <c r="U123" i="1"/>
  <c r="T123" i="1"/>
  <c r="S123" i="1"/>
  <c r="R123" i="1"/>
  <c r="Q123" i="1"/>
  <c r="P123" i="1"/>
  <c r="O123" i="1"/>
  <c r="N123" i="1"/>
  <c r="M123" i="1"/>
  <c r="U122" i="1"/>
  <c r="T122" i="1"/>
  <c r="S122" i="1"/>
  <c r="R122" i="1"/>
  <c r="Q122" i="1"/>
  <c r="P122" i="1"/>
  <c r="O122" i="1"/>
  <c r="N122" i="1"/>
  <c r="M122" i="1"/>
  <c r="U121" i="1"/>
  <c r="T121" i="1"/>
  <c r="S121" i="1"/>
  <c r="R121" i="1"/>
  <c r="Q121" i="1"/>
  <c r="P121" i="1"/>
  <c r="O121" i="1"/>
  <c r="N121" i="1"/>
  <c r="M121" i="1"/>
  <c r="U120" i="1"/>
  <c r="T120" i="1"/>
  <c r="S120" i="1"/>
  <c r="R120" i="1"/>
  <c r="Q120" i="1"/>
  <c r="P120" i="1"/>
  <c r="O120" i="1"/>
  <c r="N120" i="1"/>
  <c r="M120" i="1"/>
  <c r="U119" i="1"/>
  <c r="T119" i="1"/>
  <c r="S119" i="1"/>
  <c r="R119" i="1"/>
  <c r="Q119" i="1"/>
  <c r="P119" i="1"/>
  <c r="O119" i="1"/>
  <c r="N119" i="1"/>
  <c r="M119" i="1"/>
  <c r="U118" i="1"/>
  <c r="T118" i="1"/>
  <c r="S118" i="1"/>
  <c r="R118" i="1"/>
  <c r="Q118" i="1"/>
  <c r="P118" i="1"/>
  <c r="O118" i="1"/>
  <c r="N118" i="1"/>
  <c r="M118" i="1"/>
  <c r="U117" i="1"/>
  <c r="T117" i="1"/>
  <c r="S117" i="1"/>
  <c r="R117" i="1"/>
  <c r="Q117" i="1"/>
  <c r="P117" i="1"/>
  <c r="O117" i="1"/>
  <c r="N117" i="1"/>
  <c r="M117" i="1"/>
  <c r="U116" i="1"/>
  <c r="T116" i="1"/>
  <c r="S116" i="1"/>
  <c r="R116" i="1"/>
  <c r="Q116" i="1"/>
  <c r="P116" i="1"/>
  <c r="O116" i="1"/>
  <c r="N116" i="1"/>
  <c r="M116" i="1"/>
  <c r="U115" i="1"/>
  <c r="T115" i="1"/>
  <c r="S115" i="1"/>
  <c r="R115" i="1"/>
  <c r="Q115" i="1"/>
  <c r="P115" i="1"/>
  <c r="O115" i="1"/>
  <c r="N115" i="1"/>
  <c r="M115" i="1"/>
  <c r="U114" i="1"/>
  <c r="T114" i="1"/>
  <c r="S114" i="1"/>
  <c r="R114" i="1"/>
  <c r="Q114" i="1"/>
  <c r="P114" i="1"/>
  <c r="O114" i="1"/>
  <c r="N114" i="1"/>
  <c r="M114" i="1"/>
  <c r="U113" i="1"/>
  <c r="T113" i="1"/>
  <c r="S113" i="1"/>
  <c r="R113" i="1"/>
  <c r="Q113" i="1"/>
  <c r="P113" i="1"/>
  <c r="O113" i="1"/>
  <c r="N113" i="1"/>
  <c r="M113" i="1"/>
  <c r="U112" i="1"/>
  <c r="T112" i="1"/>
  <c r="S112" i="1"/>
  <c r="R112" i="1"/>
  <c r="Q112" i="1"/>
  <c r="P112" i="1"/>
  <c r="O112" i="1"/>
  <c r="N112" i="1"/>
  <c r="M112" i="1"/>
  <c r="U111" i="1"/>
  <c r="T111" i="1"/>
  <c r="S111" i="1"/>
  <c r="R111" i="1"/>
  <c r="Q111" i="1"/>
  <c r="P111" i="1"/>
  <c r="O111" i="1"/>
  <c r="N111" i="1"/>
  <c r="M111" i="1"/>
  <c r="U110" i="1"/>
  <c r="T110" i="1"/>
  <c r="S110" i="1"/>
  <c r="R110" i="1"/>
  <c r="Q110" i="1"/>
  <c r="P110" i="1"/>
  <c r="O110" i="1"/>
  <c r="N110" i="1"/>
  <c r="M110" i="1"/>
  <c r="U109" i="1"/>
  <c r="T109" i="1"/>
  <c r="S109" i="1"/>
  <c r="R109" i="1"/>
  <c r="Q109" i="1"/>
  <c r="P109" i="1"/>
  <c r="O109" i="1"/>
  <c r="N109" i="1"/>
  <c r="M109" i="1"/>
  <c r="U108" i="1"/>
  <c r="T108" i="1"/>
  <c r="S108" i="1"/>
  <c r="R108" i="1"/>
  <c r="Q108" i="1"/>
  <c r="P108" i="1"/>
  <c r="O108" i="1"/>
  <c r="N108" i="1"/>
  <c r="M108" i="1"/>
  <c r="U107" i="1"/>
  <c r="T107" i="1"/>
  <c r="S107" i="1"/>
  <c r="R107" i="1"/>
  <c r="Q107" i="1"/>
  <c r="P107" i="1"/>
  <c r="O107" i="1"/>
  <c r="N107" i="1"/>
  <c r="M107" i="1"/>
  <c r="U106" i="1"/>
  <c r="T106" i="1"/>
  <c r="S106" i="1"/>
  <c r="R106" i="1"/>
  <c r="Q106" i="1"/>
  <c r="P106" i="1"/>
  <c r="O106" i="1"/>
  <c r="N106" i="1"/>
  <c r="M106" i="1"/>
  <c r="U105" i="1"/>
  <c r="T105" i="1"/>
  <c r="S105" i="1"/>
  <c r="R105" i="1"/>
  <c r="Q105" i="1"/>
  <c r="P105" i="1"/>
  <c r="O105" i="1"/>
  <c r="N105" i="1"/>
  <c r="M105" i="1"/>
  <c r="U104" i="1"/>
  <c r="T104" i="1"/>
  <c r="S104" i="1"/>
  <c r="R104" i="1"/>
  <c r="Q104" i="1"/>
  <c r="P104" i="1"/>
  <c r="O104" i="1"/>
  <c r="N104" i="1"/>
  <c r="M104" i="1"/>
  <c r="U103" i="1"/>
  <c r="T103" i="1"/>
  <c r="S103" i="1"/>
  <c r="R103" i="1"/>
  <c r="Q103" i="1"/>
  <c r="P103" i="1"/>
  <c r="O103" i="1"/>
  <c r="N103" i="1"/>
  <c r="M103" i="1"/>
  <c r="U102" i="1"/>
  <c r="T102" i="1"/>
  <c r="S102" i="1"/>
  <c r="R102" i="1"/>
  <c r="Q102" i="1"/>
  <c r="P102" i="1"/>
  <c r="O102" i="1"/>
  <c r="N102" i="1"/>
  <c r="M102" i="1"/>
  <c r="U101" i="1"/>
  <c r="T101" i="1"/>
  <c r="S101" i="1"/>
  <c r="R101" i="1"/>
  <c r="Q101" i="1"/>
  <c r="P101" i="1"/>
  <c r="O101" i="1"/>
  <c r="N101" i="1"/>
  <c r="M101" i="1"/>
  <c r="U100" i="1"/>
  <c r="T100" i="1"/>
  <c r="S100" i="1"/>
  <c r="R100" i="1"/>
  <c r="Q100" i="1"/>
  <c r="P100" i="1"/>
  <c r="O100" i="1"/>
  <c r="N100" i="1"/>
  <c r="M100" i="1"/>
  <c r="U99" i="1"/>
  <c r="T99" i="1"/>
  <c r="S99" i="1"/>
  <c r="R99" i="1"/>
  <c r="Q99" i="1"/>
  <c r="P99" i="1"/>
  <c r="O99" i="1"/>
  <c r="N99" i="1"/>
  <c r="M99" i="1"/>
  <c r="U98" i="1"/>
  <c r="T98" i="1"/>
  <c r="S98" i="1"/>
  <c r="R98" i="1"/>
  <c r="Q98" i="1"/>
  <c r="P98" i="1"/>
  <c r="O98" i="1"/>
  <c r="N98" i="1"/>
  <c r="M98" i="1"/>
  <c r="U97" i="1"/>
  <c r="T97" i="1"/>
  <c r="S97" i="1"/>
  <c r="R97" i="1"/>
  <c r="Q97" i="1"/>
  <c r="P97" i="1"/>
  <c r="O97" i="1"/>
  <c r="N97" i="1"/>
  <c r="M97" i="1"/>
  <c r="U96" i="1"/>
  <c r="T96" i="1"/>
  <c r="S96" i="1"/>
  <c r="R96" i="1"/>
  <c r="Q96" i="1"/>
  <c r="P96" i="1"/>
  <c r="O96" i="1"/>
  <c r="N96" i="1"/>
  <c r="M96" i="1"/>
  <c r="U95" i="1"/>
  <c r="T95" i="1"/>
  <c r="S95" i="1"/>
  <c r="R95" i="1"/>
  <c r="Q95" i="1"/>
  <c r="P95" i="1"/>
  <c r="O95" i="1"/>
  <c r="N95" i="1"/>
  <c r="M95" i="1"/>
  <c r="U94" i="1"/>
  <c r="T94" i="1"/>
  <c r="S94" i="1"/>
  <c r="R94" i="1"/>
  <c r="Q94" i="1"/>
  <c r="P94" i="1"/>
  <c r="O94" i="1"/>
  <c r="N94" i="1"/>
  <c r="M94" i="1"/>
  <c r="U93" i="1"/>
  <c r="T93" i="1"/>
  <c r="S93" i="1"/>
  <c r="R93" i="1"/>
  <c r="Q93" i="1"/>
  <c r="P93" i="1"/>
  <c r="O93" i="1"/>
  <c r="N93" i="1"/>
  <c r="M93" i="1"/>
  <c r="U92" i="1"/>
  <c r="T92" i="1"/>
  <c r="S92" i="1"/>
  <c r="R92" i="1"/>
  <c r="Q92" i="1"/>
  <c r="P92" i="1"/>
  <c r="O92" i="1"/>
  <c r="N92" i="1"/>
  <c r="M92" i="1"/>
  <c r="U91" i="1"/>
  <c r="T91" i="1"/>
  <c r="S91" i="1"/>
  <c r="R91" i="1"/>
  <c r="Q91" i="1"/>
  <c r="P91" i="1"/>
  <c r="O91" i="1"/>
  <c r="N91" i="1"/>
  <c r="M91" i="1"/>
  <c r="U90" i="1"/>
  <c r="T90" i="1"/>
  <c r="S90" i="1"/>
  <c r="R90" i="1"/>
  <c r="Q90" i="1"/>
  <c r="P90" i="1"/>
  <c r="O90" i="1"/>
  <c r="N90" i="1"/>
  <c r="M90" i="1"/>
  <c r="U89" i="1"/>
  <c r="T89" i="1"/>
  <c r="S89" i="1"/>
  <c r="R89" i="1"/>
  <c r="Q89" i="1"/>
  <c r="P89" i="1"/>
  <c r="O89" i="1"/>
  <c r="N89" i="1"/>
  <c r="M89" i="1"/>
  <c r="U88" i="1"/>
  <c r="T88" i="1"/>
  <c r="S88" i="1"/>
  <c r="R88" i="1"/>
  <c r="Q88" i="1"/>
  <c r="P88" i="1"/>
  <c r="O88" i="1"/>
  <c r="N88" i="1"/>
  <c r="M88" i="1"/>
  <c r="U87" i="1"/>
  <c r="T87" i="1"/>
  <c r="S87" i="1"/>
  <c r="R87" i="1"/>
  <c r="Q87" i="1"/>
  <c r="P87" i="1"/>
  <c r="O87" i="1"/>
  <c r="N87" i="1"/>
  <c r="M87" i="1"/>
  <c r="U86" i="1"/>
  <c r="T86" i="1"/>
  <c r="S86" i="1"/>
  <c r="R86" i="1"/>
  <c r="Q86" i="1"/>
  <c r="P86" i="1"/>
  <c r="O86" i="1"/>
  <c r="N86" i="1"/>
  <c r="M86" i="1"/>
  <c r="U85" i="1"/>
  <c r="T85" i="1"/>
  <c r="S85" i="1"/>
  <c r="R85" i="1"/>
  <c r="Q85" i="1"/>
  <c r="P85" i="1"/>
  <c r="O85" i="1"/>
  <c r="N85" i="1"/>
  <c r="M85" i="1"/>
  <c r="U84" i="1"/>
  <c r="T84" i="1"/>
  <c r="S84" i="1"/>
  <c r="R84" i="1"/>
  <c r="Q84" i="1"/>
  <c r="P84" i="1"/>
  <c r="O84" i="1"/>
  <c r="N84" i="1"/>
  <c r="M84" i="1"/>
  <c r="U83" i="1"/>
  <c r="T83" i="1"/>
  <c r="S83" i="1"/>
  <c r="R83" i="1"/>
  <c r="Q83" i="1"/>
  <c r="P83" i="1"/>
  <c r="O83" i="1"/>
  <c r="N83" i="1"/>
  <c r="M83" i="1"/>
  <c r="U82" i="1"/>
  <c r="T82" i="1"/>
  <c r="S82" i="1"/>
  <c r="R82" i="1"/>
  <c r="Q82" i="1"/>
  <c r="P82" i="1"/>
  <c r="O82" i="1"/>
  <c r="N82" i="1"/>
  <c r="M82" i="1"/>
  <c r="U81" i="1"/>
  <c r="T81" i="1"/>
  <c r="S81" i="1"/>
  <c r="R81" i="1"/>
  <c r="Q81" i="1"/>
  <c r="P81" i="1"/>
  <c r="O81" i="1"/>
  <c r="N81" i="1"/>
  <c r="M81" i="1"/>
  <c r="U80" i="1"/>
  <c r="T80" i="1"/>
  <c r="S80" i="1"/>
  <c r="R80" i="1"/>
  <c r="Q80" i="1"/>
  <c r="P80" i="1"/>
  <c r="O80" i="1"/>
  <c r="N80" i="1"/>
  <c r="M80" i="1"/>
  <c r="U79" i="1"/>
  <c r="T79" i="1"/>
  <c r="S79" i="1"/>
  <c r="R79" i="1"/>
  <c r="Q79" i="1"/>
  <c r="P79" i="1"/>
  <c r="O79" i="1"/>
  <c r="N79" i="1"/>
  <c r="M79" i="1"/>
  <c r="U78" i="1"/>
  <c r="T78" i="1"/>
  <c r="S78" i="1"/>
  <c r="R78" i="1"/>
  <c r="Q78" i="1"/>
  <c r="P78" i="1"/>
  <c r="O78" i="1"/>
  <c r="N78" i="1"/>
  <c r="M78" i="1"/>
  <c r="U77" i="1"/>
  <c r="T77" i="1"/>
  <c r="S77" i="1"/>
  <c r="R77" i="1"/>
  <c r="Q77" i="1"/>
  <c r="P77" i="1"/>
  <c r="O77" i="1"/>
  <c r="N77" i="1"/>
  <c r="M77" i="1"/>
  <c r="U76" i="1"/>
  <c r="T76" i="1"/>
  <c r="S76" i="1"/>
  <c r="R76" i="1"/>
  <c r="Q76" i="1"/>
  <c r="P76" i="1"/>
  <c r="O76" i="1"/>
  <c r="N76" i="1"/>
  <c r="M76" i="1"/>
  <c r="U75" i="1"/>
  <c r="T75" i="1"/>
  <c r="S75" i="1"/>
  <c r="R75" i="1"/>
  <c r="Q75" i="1"/>
  <c r="P75" i="1"/>
  <c r="O75" i="1"/>
  <c r="N75" i="1"/>
  <c r="M75" i="1"/>
  <c r="U74" i="1"/>
  <c r="T74" i="1"/>
  <c r="S74" i="1"/>
  <c r="R74" i="1"/>
  <c r="Q74" i="1"/>
  <c r="P74" i="1"/>
  <c r="O74" i="1"/>
  <c r="N74" i="1"/>
  <c r="M74" i="1"/>
  <c r="U73" i="1"/>
  <c r="T73" i="1"/>
  <c r="S73" i="1"/>
  <c r="R73" i="1"/>
  <c r="Q73" i="1"/>
  <c r="P73" i="1"/>
  <c r="O73" i="1"/>
  <c r="N73" i="1"/>
  <c r="M73" i="1"/>
  <c r="U72" i="1"/>
  <c r="T72" i="1"/>
  <c r="S72" i="1"/>
  <c r="R72" i="1"/>
  <c r="Q72" i="1"/>
  <c r="P72" i="1"/>
  <c r="O72" i="1"/>
  <c r="N72" i="1"/>
  <c r="M72" i="1"/>
  <c r="U71" i="1"/>
  <c r="T71" i="1"/>
  <c r="S71" i="1"/>
  <c r="R71" i="1"/>
  <c r="Q71" i="1"/>
  <c r="P71" i="1"/>
  <c r="O71" i="1"/>
  <c r="N71" i="1"/>
  <c r="M71" i="1"/>
  <c r="U70" i="1"/>
  <c r="T70" i="1"/>
  <c r="S70" i="1"/>
  <c r="R70" i="1"/>
  <c r="Q70" i="1"/>
  <c r="P70" i="1"/>
  <c r="O70" i="1"/>
  <c r="N70" i="1"/>
  <c r="M70" i="1"/>
  <c r="U69" i="1"/>
  <c r="T69" i="1"/>
  <c r="S69" i="1"/>
  <c r="R69" i="1"/>
  <c r="Q69" i="1"/>
  <c r="P69" i="1"/>
  <c r="O69" i="1"/>
  <c r="N69" i="1"/>
  <c r="M69" i="1"/>
  <c r="U68" i="1"/>
  <c r="T68" i="1"/>
  <c r="S68" i="1"/>
  <c r="R68" i="1"/>
  <c r="Q68" i="1"/>
  <c r="P68" i="1"/>
  <c r="O68" i="1"/>
  <c r="N68" i="1"/>
  <c r="M68" i="1"/>
  <c r="U67" i="1"/>
  <c r="T67" i="1"/>
  <c r="S67" i="1"/>
  <c r="R67" i="1"/>
  <c r="Q67" i="1"/>
  <c r="P67" i="1"/>
  <c r="O67" i="1"/>
  <c r="N67" i="1"/>
  <c r="M67" i="1"/>
  <c r="U66" i="1"/>
  <c r="T66" i="1"/>
  <c r="S66" i="1"/>
  <c r="R66" i="1"/>
  <c r="Q66" i="1"/>
  <c r="P66" i="1"/>
  <c r="O66" i="1"/>
  <c r="N66" i="1"/>
  <c r="M66" i="1"/>
  <c r="U65" i="1"/>
  <c r="T65" i="1"/>
  <c r="S65" i="1"/>
  <c r="R65" i="1"/>
  <c r="Q65" i="1"/>
  <c r="P65" i="1"/>
  <c r="O65" i="1"/>
  <c r="N65" i="1"/>
  <c r="M65" i="1"/>
  <c r="U64" i="1"/>
  <c r="T64" i="1"/>
  <c r="S64" i="1"/>
  <c r="R64" i="1"/>
  <c r="Q64" i="1"/>
  <c r="P64" i="1"/>
  <c r="O64" i="1"/>
  <c r="N64" i="1"/>
  <c r="M64" i="1"/>
  <c r="U63" i="1"/>
  <c r="T63" i="1"/>
  <c r="S63" i="1"/>
  <c r="R63" i="1"/>
  <c r="Q63" i="1"/>
  <c r="P63" i="1"/>
  <c r="O63" i="1"/>
  <c r="N63" i="1"/>
  <c r="M63" i="1"/>
  <c r="U62" i="1"/>
  <c r="T62" i="1"/>
  <c r="S62" i="1"/>
  <c r="R62" i="1"/>
  <c r="Q62" i="1"/>
  <c r="P62" i="1"/>
  <c r="O62" i="1"/>
  <c r="N62" i="1"/>
  <c r="M62" i="1"/>
  <c r="U61" i="1"/>
  <c r="T61" i="1"/>
  <c r="S61" i="1"/>
  <c r="R61" i="1"/>
  <c r="Q61" i="1"/>
  <c r="P61" i="1"/>
  <c r="O61" i="1"/>
  <c r="N61" i="1"/>
  <c r="M61" i="1"/>
  <c r="U60" i="1"/>
  <c r="T60" i="1"/>
  <c r="S60" i="1"/>
  <c r="R60" i="1"/>
  <c r="Q60" i="1"/>
  <c r="P60" i="1"/>
  <c r="O60" i="1"/>
  <c r="N60" i="1"/>
  <c r="M60" i="1"/>
  <c r="U59" i="1"/>
  <c r="T59" i="1"/>
  <c r="S59" i="1"/>
  <c r="R59" i="1"/>
  <c r="Q59" i="1"/>
  <c r="P59" i="1"/>
  <c r="O59" i="1"/>
  <c r="N59" i="1"/>
  <c r="M59" i="1"/>
  <c r="U58" i="1"/>
  <c r="T58" i="1"/>
  <c r="S58" i="1"/>
  <c r="R58" i="1"/>
  <c r="Q58" i="1"/>
  <c r="P58" i="1"/>
  <c r="O58" i="1"/>
  <c r="N58" i="1"/>
  <c r="M58" i="1"/>
  <c r="U57" i="1"/>
  <c r="T57" i="1"/>
  <c r="S57" i="1"/>
  <c r="R57" i="1"/>
  <c r="Q57" i="1"/>
  <c r="P57" i="1"/>
  <c r="O57" i="1"/>
  <c r="N57" i="1"/>
  <c r="M57" i="1"/>
  <c r="U56" i="1"/>
  <c r="T56" i="1"/>
  <c r="S56" i="1"/>
  <c r="R56" i="1"/>
  <c r="Q56" i="1"/>
  <c r="P56" i="1"/>
  <c r="O56" i="1"/>
  <c r="N56" i="1"/>
  <c r="M56" i="1"/>
  <c r="U55" i="1"/>
  <c r="T55" i="1"/>
  <c r="S55" i="1"/>
  <c r="R55" i="1"/>
  <c r="Q55" i="1"/>
  <c r="P55" i="1"/>
  <c r="O55" i="1"/>
  <c r="N55" i="1"/>
  <c r="M55" i="1"/>
  <c r="U54" i="1"/>
  <c r="T54" i="1"/>
  <c r="S54" i="1"/>
  <c r="R54" i="1"/>
  <c r="Q54" i="1"/>
  <c r="P54" i="1"/>
  <c r="O54" i="1"/>
  <c r="N54" i="1"/>
  <c r="M54" i="1"/>
  <c r="U53" i="1"/>
  <c r="T53" i="1"/>
  <c r="S53" i="1"/>
  <c r="R53" i="1"/>
  <c r="Q53" i="1"/>
  <c r="P53" i="1"/>
  <c r="O53" i="1"/>
  <c r="N53" i="1"/>
  <c r="M53" i="1"/>
  <c r="U52" i="1"/>
  <c r="T52" i="1"/>
  <c r="S52" i="1"/>
  <c r="R52" i="1"/>
  <c r="Q52" i="1"/>
  <c r="P52" i="1"/>
  <c r="O52" i="1"/>
  <c r="N52" i="1"/>
  <c r="M52" i="1"/>
  <c r="U51" i="1"/>
  <c r="T51" i="1"/>
  <c r="S51" i="1"/>
  <c r="R51" i="1"/>
  <c r="Q51" i="1"/>
  <c r="P51" i="1"/>
  <c r="O51" i="1"/>
  <c r="N51" i="1"/>
  <c r="M51" i="1"/>
  <c r="U50" i="1"/>
  <c r="T50" i="1"/>
  <c r="S50" i="1"/>
  <c r="R50" i="1"/>
  <c r="Q50" i="1"/>
  <c r="P50" i="1"/>
  <c r="O50" i="1"/>
  <c r="N50" i="1"/>
  <c r="M50" i="1"/>
  <c r="U49" i="1"/>
  <c r="T49" i="1"/>
  <c r="S49" i="1"/>
  <c r="R49" i="1"/>
  <c r="Q49" i="1"/>
  <c r="P49" i="1"/>
  <c r="O49" i="1"/>
  <c r="N49" i="1"/>
  <c r="M49" i="1"/>
  <c r="U48" i="1"/>
  <c r="T48" i="1"/>
  <c r="S48" i="1"/>
  <c r="R48" i="1"/>
  <c r="Q48" i="1"/>
  <c r="P48" i="1"/>
  <c r="O48" i="1"/>
  <c r="N48" i="1"/>
  <c r="M48" i="1"/>
  <c r="U47" i="1"/>
  <c r="T47" i="1"/>
  <c r="S47" i="1"/>
  <c r="R47" i="1"/>
  <c r="Q47" i="1"/>
  <c r="P47" i="1"/>
  <c r="O47" i="1"/>
  <c r="N47" i="1"/>
  <c r="M47" i="1"/>
  <c r="U46" i="1"/>
  <c r="T46" i="1"/>
  <c r="S46" i="1"/>
  <c r="R46" i="1"/>
  <c r="Q46" i="1"/>
  <c r="P46" i="1"/>
  <c r="O46" i="1"/>
  <c r="N46" i="1"/>
  <c r="M46" i="1"/>
  <c r="U45" i="1"/>
  <c r="T45" i="1"/>
  <c r="S45" i="1"/>
  <c r="R45" i="1"/>
  <c r="Q45" i="1"/>
  <c r="P45" i="1"/>
  <c r="O45" i="1"/>
  <c r="N45" i="1"/>
  <c r="M45" i="1"/>
  <c r="U44" i="1"/>
  <c r="T44" i="1"/>
  <c r="S44" i="1"/>
  <c r="R44" i="1"/>
  <c r="Q44" i="1"/>
  <c r="P44" i="1"/>
  <c r="O44" i="1"/>
  <c r="N44" i="1"/>
  <c r="M44" i="1"/>
  <c r="U43" i="1"/>
  <c r="T43" i="1"/>
  <c r="S43" i="1"/>
  <c r="R43" i="1"/>
  <c r="Q43" i="1"/>
  <c r="P43" i="1"/>
  <c r="O43" i="1"/>
  <c r="N43" i="1"/>
  <c r="M43" i="1"/>
  <c r="O42" i="1"/>
  <c r="Q42" i="1" s="1"/>
  <c r="N42" i="1"/>
  <c r="T42" i="1" s="1"/>
  <c r="O41" i="1"/>
  <c r="Q41" i="1" s="1"/>
  <c r="N41" i="1"/>
  <c r="O40" i="1"/>
  <c r="Q40" i="1" s="1"/>
  <c r="N40" i="1"/>
  <c r="T40" i="1" s="1"/>
  <c r="O39" i="1"/>
  <c r="Q39" i="1" s="1"/>
  <c r="N39" i="1"/>
  <c r="T39" i="1" s="1"/>
  <c r="O38" i="1"/>
  <c r="Q38" i="1" s="1"/>
  <c r="N38" i="1"/>
  <c r="T38" i="1" s="1"/>
  <c r="O37" i="1"/>
  <c r="Q37" i="1" s="1"/>
  <c r="N37" i="1"/>
  <c r="O36" i="1"/>
  <c r="Q36" i="1" s="1"/>
  <c r="N36" i="1"/>
  <c r="T36" i="1" s="1"/>
  <c r="O35" i="1"/>
  <c r="P35" i="1" s="1"/>
  <c r="N35" i="1"/>
  <c r="O34" i="1"/>
  <c r="R34" i="1" s="1"/>
  <c r="N34" i="1"/>
  <c r="T34" i="1" s="1"/>
  <c r="O33" i="1"/>
  <c r="R33" i="1" s="1"/>
  <c r="N33" i="1"/>
  <c r="T33" i="1" s="1"/>
  <c r="O32" i="1"/>
  <c r="P32" i="1" s="1"/>
  <c r="N32" i="1"/>
  <c r="T32" i="1" s="1"/>
  <c r="O31" i="1"/>
  <c r="P31" i="1" s="1"/>
  <c r="N31" i="1"/>
  <c r="O30" i="1"/>
  <c r="Q30" i="1" s="1"/>
  <c r="N30" i="1"/>
  <c r="T30" i="1" s="1"/>
  <c r="O29" i="1"/>
  <c r="N29" i="1"/>
  <c r="T29" i="1" s="1"/>
  <c r="O18" i="1"/>
  <c r="P18" i="1" s="1"/>
  <c r="O17" i="1"/>
  <c r="O16" i="1"/>
  <c r="R16" i="1" s="1"/>
  <c r="O15" i="1"/>
  <c r="Q15" i="1" s="1"/>
  <c r="O14" i="1"/>
  <c r="P14" i="1" s="1"/>
  <c r="O13" i="1"/>
  <c r="Q13" i="1" s="1"/>
  <c r="O12" i="1"/>
  <c r="O11" i="1"/>
  <c r="P11" i="1" s="1"/>
  <c r="O10" i="1"/>
  <c r="P10" i="1" s="1"/>
  <c r="O27" i="1"/>
  <c r="N27" i="1"/>
  <c r="T27" i="1" s="1"/>
  <c r="O26" i="1"/>
  <c r="R26" i="1" s="1"/>
  <c r="O25" i="1"/>
  <c r="P25" i="1" s="1"/>
  <c r="O24" i="1"/>
  <c r="P24" i="1" s="1"/>
  <c r="O23" i="1"/>
  <c r="Q23" i="1" s="1"/>
  <c r="O22" i="1"/>
  <c r="N22" i="1"/>
  <c r="T22" i="1" s="1"/>
  <c r="O21" i="1"/>
  <c r="Q21" i="1" s="1"/>
  <c r="N21" i="1"/>
  <c r="O20" i="1"/>
  <c r="P20" i="1" s="1"/>
  <c r="N20" i="1"/>
  <c r="O19" i="1"/>
  <c r="N19" i="1"/>
  <c r="T19" i="1" s="1"/>
  <c r="O2" i="1"/>
  <c r="R2" i="1" s="1"/>
  <c r="O3" i="1"/>
  <c r="Q3" i="1" s="1"/>
  <c r="O4" i="1"/>
  <c r="P4" i="1" s="1"/>
  <c r="O5" i="1"/>
  <c r="Q5" i="1" s="1"/>
  <c r="O6" i="1"/>
  <c r="O9" i="1"/>
  <c r="R9" i="1" s="1"/>
  <c r="O8" i="1"/>
  <c r="P8" i="1" s="1"/>
  <c r="O7" i="1"/>
  <c r="R7" i="1" s="1"/>
  <c r="I81" i="4"/>
  <c r="B3" i="4"/>
  <c r="R38" i="1" l="1"/>
  <c r="S28" i="1"/>
  <c r="T28" i="1"/>
  <c r="R36" i="1"/>
  <c r="R28" i="1"/>
  <c r="Q28" i="1"/>
  <c r="R41" i="1"/>
  <c r="R39" i="1"/>
  <c r="R37" i="1"/>
  <c r="R40" i="1"/>
  <c r="S41" i="1"/>
  <c r="S37" i="1"/>
  <c r="R42" i="1"/>
  <c r="S36" i="1"/>
  <c r="U36" i="1" s="1"/>
  <c r="S38" i="1"/>
  <c r="U38" i="1" s="1"/>
  <c r="S39" i="1"/>
  <c r="U39" i="1" s="1"/>
  <c r="S40" i="1"/>
  <c r="U40" i="1" s="1"/>
  <c r="S42" i="1"/>
  <c r="U42" i="1" s="1"/>
  <c r="T37" i="1"/>
  <c r="T41" i="1"/>
  <c r="P36" i="1"/>
  <c r="P37" i="1"/>
  <c r="P38" i="1"/>
  <c r="P39" i="1"/>
  <c r="P40" i="1"/>
  <c r="P41" i="1"/>
  <c r="P42" i="1"/>
  <c r="E11" i="3"/>
  <c r="F6" i="3"/>
  <c r="Q24" i="1"/>
  <c r="Q11" i="1"/>
  <c r="R11" i="1"/>
  <c r="R21" i="1"/>
  <c r="R25" i="1"/>
  <c r="R13" i="1"/>
  <c r="P13" i="1"/>
  <c r="R15" i="1"/>
  <c r="P33" i="1"/>
  <c r="Q35" i="1"/>
  <c r="Q33" i="1"/>
  <c r="Q25" i="1"/>
  <c r="P2" i="1"/>
  <c r="R3" i="1"/>
  <c r="Q10" i="1"/>
  <c r="P15" i="1"/>
  <c r="B78" i="4"/>
  <c r="Q32" i="1"/>
  <c r="Q20" i="1"/>
  <c r="R24" i="1"/>
  <c r="Q14" i="1"/>
  <c r="R32" i="1"/>
  <c r="H7" i="2"/>
  <c r="Q8" i="1"/>
  <c r="R4" i="1"/>
  <c r="R14" i="1"/>
  <c r="P26" i="1"/>
  <c r="R30" i="1"/>
  <c r="S3" i="1"/>
  <c r="U3" i="1" s="1"/>
  <c r="Q9" i="1"/>
  <c r="R5" i="1"/>
  <c r="P3" i="1"/>
  <c r="P21" i="1"/>
  <c r="P23" i="1"/>
  <c r="P16" i="1"/>
  <c r="R31" i="1"/>
  <c r="P9" i="1"/>
  <c r="P5" i="1"/>
  <c r="Q18" i="1"/>
  <c r="Q31" i="1"/>
  <c r="R23" i="1"/>
  <c r="E10" i="3"/>
  <c r="B67" i="4"/>
  <c r="F10" i="3"/>
  <c r="Q4" i="1"/>
  <c r="P30" i="1"/>
  <c r="S26" i="1"/>
  <c r="U26" i="1" s="1"/>
  <c r="T20" i="1"/>
  <c r="S20" i="1"/>
  <c r="S25" i="1"/>
  <c r="U25" i="1" s="1"/>
  <c r="S12" i="1"/>
  <c r="S13" i="1"/>
  <c r="U13" i="1" s="1"/>
  <c r="S16" i="1"/>
  <c r="R29" i="1"/>
  <c r="Q29" i="1"/>
  <c r="P29" i="1"/>
  <c r="T31" i="1"/>
  <c r="S31" i="1"/>
  <c r="S6" i="1"/>
  <c r="S5" i="1"/>
  <c r="U5" i="1" s="1"/>
  <c r="S2" i="1"/>
  <c r="U2" i="1" s="1"/>
  <c r="R22" i="1"/>
  <c r="Q22" i="1"/>
  <c r="P22" i="1"/>
  <c r="T24" i="1"/>
  <c r="S24" i="1"/>
  <c r="T11" i="1"/>
  <c r="S11" i="1"/>
  <c r="T12" i="1"/>
  <c r="Q34" i="1"/>
  <c r="P34" i="1"/>
  <c r="F14" i="3"/>
  <c r="Q17" i="1"/>
  <c r="P17" i="1"/>
  <c r="F16" i="3"/>
  <c r="R12" i="1"/>
  <c r="Q12" i="1"/>
  <c r="P12" i="1"/>
  <c r="T21" i="1"/>
  <c r="S21" i="1"/>
  <c r="L26" i="2"/>
  <c r="T9" i="1"/>
  <c r="S9" i="1"/>
  <c r="T6" i="1"/>
  <c r="Q27" i="1"/>
  <c r="P27" i="1"/>
  <c r="R17" i="1"/>
  <c r="E16" i="3"/>
  <c r="E14" i="3"/>
  <c r="D16" i="3"/>
  <c r="D14" i="3"/>
  <c r="C16" i="3"/>
  <c r="C14" i="3"/>
  <c r="F17" i="3"/>
  <c r="F15" i="3"/>
  <c r="S22" i="1"/>
  <c r="U22" i="1" s="1"/>
  <c r="E17" i="3"/>
  <c r="E15" i="3"/>
  <c r="D17" i="3"/>
  <c r="D15" i="3"/>
  <c r="C17" i="3"/>
  <c r="C15" i="3"/>
  <c r="E8" i="3"/>
  <c r="E6" i="3"/>
  <c r="T14" i="1"/>
  <c r="D8" i="3"/>
  <c r="D6" i="3"/>
  <c r="S14" i="1"/>
  <c r="C8" i="3"/>
  <c r="C6" i="3"/>
  <c r="F7" i="3"/>
  <c r="E7" i="3"/>
  <c r="D7" i="3"/>
  <c r="C7" i="3"/>
  <c r="T4" i="1"/>
  <c r="S4" i="1"/>
  <c r="Q19" i="1"/>
  <c r="P19" i="1"/>
  <c r="R27" i="1"/>
  <c r="E12" i="3"/>
  <c r="D12" i="3"/>
  <c r="D10" i="3"/>
  <c r="C12" i="3"/>
  <c r="C10" i="3"/>
  <c r="F11" i="3"/>
  <c r="D11" i="3"/>
  <c r="C11" i="3"/>
  <c r="T16" i="1"/>
  <c r="S32" i="1"/>
  <c r="U32" i="1" s="1"/>
  <c r="T35" i="1"/>
  <c r="S35" i="1"/>
  <c r="F8" i="3"/>
  <c r="F12" i="3"/>
  <c r="B5" i="4"/>
  <c r="Q7" i="1"/>
  <c r="P7" i="1"/>
  <c r="I85" i="4"/>
  <c r="K7" i="2"/>
  <c r="I84" i="4"/>
  <c r="R19" i="1"/>
  <c r="T18" i="1"/>
  <c r="S18" i="1"/>
  <c r="B41" i="4"/>
  <c r="T8" i="1"/>
  <c r="B28" i="4"/>
  <c r="S8" i="1"/>
  <c r="S23" i="1"/>
  <c r="U23" i="1" s="1"/>
  <c r="R6" i="1"/>
  <c r="Q6" i="1"/>
  <c r="P6" i="1"/>
  <c r="T10" i="1"/>
  <c r="S10" i="1"/>
  <c r="S15" i="1"/>
  <c r="U15" i="1" s="1"/>
  <c r="S29" i="1"/>
  <c r="U29" i="1" s="1"/>
  <c r="S30" i="1"/>
  <c r="U30" i="1" s="1"/>
  <c r="S33" i="1"/>
  <c r="U33" i="1" s="1"/>
  <c r="L27" i="2"/>
  <c r="B54" i="4"/>
  <c r="S7" i="1"/>
  <c r="U7" i="1" s="1"/>
  <c r="R8" i="1"/>
  <c r="S19" i="1"/>
  <c r="U19" i="1" s="1"/>
  <c r="R20" i="1"/>
  <c r="S27" i="1"/>
  <c r="U27" i="1" s="1"/>
  <c r="R10" i="1"/>
  <c r="S17" i="1"/>
  <c r="U17" i="1" s="1"/>
  <c r="R18" i="1"/>
  <c r="S34" i="1"/>
  <c r="U34" i="1" s="1"/>
  <c r="R35" i="1"/>
  <c r="L21" i="2"/>
  <c r="L22" i="2"/>
  <c r="L23" i="2"/>
  <c r="L24" i="2"/>
  <c r="Q2" i="1"/>
  <c r="Q26" i="1"/>
  <c r="Q16" i="1"/>
  <c r="L25" i="2"/>
  <c r="L20" i="2"/>
  <c r="U37" i="1" l="1"/>
  <c r="U28" i="1"/>
  <c r="U41" i="1"/>
  <c r="U16" i="1"/>
  <c r="U9" i="1"/>
  <c r="B17" i="2"/>
  <c r="U20" i="1"/>
  <c r="U35" i="1"/>
  <c r="U4" i="1"/>
  <c r="G17" i="2"/>
  <c r="E7" i="2"/>
  <c r="U11" i="1"/>
  <c r="U21" i="1"/>
  <c r="L13" i="2"/>
  <c r="G13" i="2"/>
  <c r="L12" i="2"/>
  <c r="G12" i="2"/>
  <c r="L15" i="2"/>
  <c r="L11" i="2"/>
  <c r="G15" i="2"/>
  <c r="G11" i="2"/>
  <c r="L14" i="2"/>
  <c r="G14" i="2"/>
  <c r="I82" i="4"/>
  <c r="U14" i="1"/>
  <c r="U6" i="1"/>
  <c r="U24" i="1"/>
  <c r="U8" i="1"/>
  <c r="U31" i="1"/>
  <c r="I83" i="4"/>
  <c r="U10" i="1"/>
  <c r="U18" i="1"/>
  <c r="U12" i="1"/>
  <c r="H60" i="4" l="1"/>
  <c r="D56" i="4"/>
  <c r="G10" i="4"/>
  <c r="C7" i="4"/>
  <c r="F10" i="4"/>
  <c r="F72" i="4"/>
  <c r="H11" i="4"/>
  <c r="G49" i="4"/>
  <c r="H43" i="4"/>
  <c r="D13" i="4"/>
  <c r="H16" i="4"/>
  <c r="J72" i="4"/>
  <c r="E20" i="4"/>
  <c r="B34" i="4"/>
  <c r="I19" i="4"/>
  <c r="C30" i="4"/>
  <c r="B72" i="4"/>
  <c r="H61" i="4"/>
  <c r="H25" i="4"/>
  <c r="D26" i="4"/>
  <c r="G72" i="4"/>
  <c r="E76" i="4"/>
  <c r="F15" i="4"/>
  <c r="G15" i="4"/>
  <c r="B61" i="4"/>
  <c r="J43" i="4"/>
  <c r="J33" i="4"/>
  <c r="E65" i="4"/>
  <c r="D48" i="4"/>
  <c r="J65" i="4"/>
  <c r="I48" i="4"/>
  <c r="H31" i="4"/>
  <c r="E61" i="4"/>
  <c r="B63" i="4"/>
  <c r="B45" i="4"/>
  <c r="C57" i="4"/>
  <c r="B23" i="4"/>
  <c r="I8" i="4"/>
  <c r="F35" i="4"/>
  <c r="C71" i="4"/>
  <c r="D32" i="4"/>
  <c r="D14" i="4"/>
  <c r="F18" i="4"/>
  <c r="E63" i="4"/>
  <c r="B71" i="4"/>
  <c r="B51" i="4"/>
  <c r="E75" i="4"/>
  <c r="D58" i="4"/>
  <c r="J75" i="4"/>
  <c r="I58" i="4"/>
  <c r="I38" i="4"/>
  <c r="E71" i="4"/>
  <c r="B73" i="4"/>
  <c r="C52" i="4"/>
  <c r="B35" i="4"/>
  <c r="G37" i="4"/>
  <c r="J17" i="4"/>
  <c r="D34" i="4"/>
  <c r="B62" i="4"/>
  <c r="J46" i="4"/>
  <c r="E21" i="4"/>
  <c r="J44" i="4"/>
  <c r="J30" i="4"/>
  <c r="D23" i="4"/>
  <c r="H22" i="4"/>
  <c r="D19" i="4"/>
  <c r="C18" i="4"/>
  <c r="E10" i="4"/>
  <c r="C8" i="4"/>
  <c r="I12" i="4"/>
  <c r="J18" i="4"/>
  <c r="C26" i="4"/>
  <c r="C39" i="4"/>
  <c r="E59" i="4"/>
  <c r="G7" i="4"/>
  <c r="H14" i="4"/>
  <c r="I21" i="4"/>
  <c r="I32" i="4"/>
  <c r="I47" i="4"/>
  <c r="J69" i="4"/>
  <c r="E64" i="4"/>
  <c r="F17" i="4"/>
  <c r="C65" i="4"/>
  <c r="C58" i="4"/>
  <c r="H15" i="4"/>
  <c r="B48" i="4"/>
  <c r="C13" i="4"/>
  <c r="H51" i="4"/>
  <c r="E11" i="4"/>
  <c r="F19" i="4"/>
  <c r="I26" i="4"/>
  <c r="C43" i="4"/>
  <c r="I60" i="4"/>
  <c r="E49" i="4"/>
  <c r="I15" i="4"/>
  <c r="D65" i="4"/>
  <c r="E13" i="4"/>
  <c r="F20" i="4"/>
  <c r="B31" i="4"/>
  <c r="C45" i="4"/>
  <c r="F63" i="4"/>
  <c r="C51" i="4"/>
  <c r="F23" i="4"/>
  <c r="H26" i="4"/>
  <c r="J9" i="4"/>
  <c r="B17" i="4"/>
  <c r="C24" i="4"/>
  <c r="D36" i="4"/>
  <c r="F52" i="4"/>
  <c r="C76" i="4"/>
  <c r="C44" i="4"/>
  <c r="D51" i="4"/>
  <c r="C62" i="4"/>
  <c r="C72" i="4"/>
  <c r="F60" i="4"/>
  <c r="F70" i="4"/>
  <c r="I30" i="4"/>
  <c r="J37" i="4"/>
  <c r="J47" i="4"/>
  <c r="J57" i="4"/>
  <c r="B65" i="4"/>
  <c r="B75" i="4"/>
  <c r="E47" i="4"/>
  <c r="E57" i="4"/>
  <c r="F64" i="4"/>
  <c r="F74" i="4"/>
  <c r="B33" i="4"/>
  <c r="B43" i="4"/>
  <c r="C50" i="4"/>
  <c r="C60" i="4"/>
  <c r="C70" i="4"/>
  <c r="J12" i="4"/>
  <c r="G22" i="4"/>
  <c r="B12" i="4"/>
  <c r="G13" i="4"/>
  <c r="H20" i="4"/>
  <c r="E31" i="4"/>
  <c r="F45" i="4"/>
  <c r="D64" i="4"/>
  <c r="E9" i="4"/>
  <c r="F16" i="4"/>
  <c r="G25" i="4"/>
  <c r="E35" i="4"/>
  <c r="E51" i="4"/>
  <c r="H74" i="4"/>
  <c r="F9" i="4"/>
  <c r="F26" i="4"/>
  <c r="E12" i="4"/>
  <c r="H70" i="4"/>
  <c r="I22" i="4"/>
  <c r="B58" i="4"/>
  <c r="E19" i="4"/>
  <c r="B7" i="4"/>
  <c r="C14" i="4"/>
  <c r="D21" i="4"/>
  <c r="B32" i="4"/>
  <c r="H46" i="4"/>
  <c r="G65" i="4"/>
  <c r="C11" i="4"/>
  <c r="J22" i="4"/>
  <c r="B10" i="4"/>
  <c r="C15" i="4"/>
  <c r="D22" i="4"/>
  <c r="E33" i="4"/>
  <c r="H48" i="4"/>
  <c r="F73" i="4"/>
  <c r="I69" i="4"/>
  <c r="I49" i="4"/>
  <c r="J39" i="4"/>
  <c r="H12" i="4"/>
  <c r="I18" i="4"/>
  <c r="B26" i="4"/>
  <c r="B39" i="4"/>
  <c r="B59" i="4"/>
  <c r="J35" i="4"/>
  <c r="J45" i="4"/>
  <c r="I56" i="4"/>
  <c r="J63" i="4"/>
  <c r="J73" i="4"/>
  <c r="D62" i="4"/>
  <c r="D72" i="4"/>
  <c r="G32" i="4"/>
  <c r="H39" i="4"/>
  <c r="H49" i="4"/>
  <c r="H59" i="4"/>
  <c r="H69" i="4"/>
  <c r="I76" i="4"/>
  <c r="C49" i="4"/>
  <c r="C59" i="4"/>
  <c r="C69" i="4"/>
  <c r="D76" i="4"/>
  <c r="I34" i="4"/>
  <c r="I44" i="4"/>
  <c r="J51" i="4"/>
  <c r="J61" i="4"/>
  <c r="J71" i="4"/>
  <c r="B19" i="4"/>
  <c r="H13" i="4"/>
  <c r="E7" i="4"/>
  <c r="F14" i="4"/>
  <c r="G21" i="4"/>
  <c r="F32" i="4"/>
  <c r="D47" i="4"/>
  <c r="E69" i="4"/>
  <c r="D8" i="4"/>
  <c r="E17" i="4"/>
  <c r="F24" i="4"/>
  <c r="H36" i="4"/>
  <c r="B56" i="4"/>
  <c r="D30" i="4"/>
  <c r="I14" i="4"/>
  <c r="C34" i="4"/>
  <c r="D20" i="4"/>
  <c r="D75" i="4"/>
  <c r="G24" i="4"/>
  <c r="G62" i="4"/>
  <c r="B22" i="4"/>
  <c r="J7" i="4"/>
  <c r="B15" i="4"/>
  <c r="C22" i="4"/>
  <c r="D33" i="4"/>
  <c r="F48" i="4"/>
  <c r="I70" i="4"/>
  <c r="G16" i="4"/>
  <c r="H24" i="4"/>
  <c r="J10" i="4"/>
  <c r="B16" i="4"/>
  <c r="C25" i="4"/>
  <c r="G34" i="4"/>
  <c r="F50" i="4"/>
  <c r="B76" i="4"/>
  <c r="E74" i="4"/>
  <c r="H10" i="4"/>
  <c r="J49" i="4"/>
  <c r="G11" i="4"/>
  <c r="H19" i="4"/>
  <c r="B30" i="4"/>
  <c r="G43" i="4"/>
  <c r="G61" i="4"/>
  <c r="I36" i="4"/>
  <c r="I46" i="4"/>
  <c r="H57" i="4"/>
  <c r="I64" i="4"/>
  <c r="I74" i="4"/>
  <c r="C63" i="4"/>
  <c r="C73" i="4"/>
  <c r="F33" i="4"/>
  <c r="F43" i="4"/>
  <c r="G50" i="4"/>
  <c r="G60" i="4"/>
  <c r="G70" i="4"/>
  <c r="J76" i="4"/>
  <c r="B50" i="4"/>
  <c r="B60" i="4"/>
  <c r="B70" i="4"/>
  <c r="H23" i="4"/>
  <c r="H35" i="4"/>
  <c r="H45" i="4"/>
  <c r="I52" i="4"/>
  <c r="I62" i="4"/>
  <c r="I72" i="4"/>
  <c r="I11" i="4"/>
  <c r="H21" i="4"/>
  <c r="D10" i="4"/>
  <c r="E15" i="4"/>
  <c r="F22" i="4"/>
  <c r="H33" i="4"/>
  <c r="B49" i="4"/>
  <c r="H71" i="4"/>
  <c r="C12" i="4"/>
  <c r="D18" i="4"/>
  <c r="E23" i="4"/>
  <c r="C38" i="4"/>
  <c r="I57" i="4"/>
  <c r="C35" i="4"/>
  <c r="B21" i="4"/>
  <c r="I39" i="4"/>
  <c r="I25" i="4"/>
  <c r="I33" i="4"/>
  <c r="G30" i="4"/>
  <c r="D70" i="4"/>
  <c r="G23" i="4"/>
  <c r="I10" i="4"/>
  <c r="J15" i="4"/>
  <c r="B25" i="4"/>
  <c r="F34" i="4"/>
  <c r="D50" i="4"/>
  <c r="E73" i="4"/>
  <c r="C20" i="4"/>
  <c r="J31" i="4"/>
  <c r="I9" i="4"/>
  <c r="J16" i="4"/>
  <c r="B24" i="4"/>
  <c r="B36" i="4"/>
  <c r="D52" i="4"/>
  <c r="E24" i="4"/>
  <c r="E8" i="4"/>
  <c r="D11" i="4"/>
  <c r="J62" i="4"/>
  <c r="F13" i="4"/>
  <c r="G20" i="4"/>
  <c r="C31" i="4"/>
  <c r="E45" i="4"/>
  <c r="I63" i="4"/>
  <c r="H37" i="4"/>
  <c r="H47" i="4"/>
  <c r="G58" i="4"/>
  <c r="H65" i="4"/>
  <c r="H75" i="4"/>
  <c r="B64" i="4"/>
  <c r="B74" i="4"/>
  <c r="E34" i="4"/>
  <c r="E44" i="4"/>
  <c r="F51" i="4"/>
  <c r="F61" i="4"/>
  <c r="F71" i="4"/>
  <c r="I43" i="4"/>
  <c r="J50" i="4"/>
  <c r="J60" i="4"/>
  <c r="J70" i="4"/>
  <c r="G26" i="4"/>
  <c r="G36" i="4"/>
  <c r="G46" i="4"/>
  <c r="G56" i="4"/>
  <c r="H63" i="4"/>
  <c r="H73" i="4"/>
  <c r="J19" i="4"/>
  <c r="D9" i="4"/>
  <c r="C9" i="4"/>
  <c r="D16" i="4"/>
  <c r="E25" i="4"/>
  <c r="J34" i="4"/>
  <c r="I50" i="4"/>
  <c r="D74" i="4"/>
  <c r="B11" i="4"/>
  <c r="C19" i="4"/>
  <c r="E26" i="4"/>
  <c r="G39" i="4"/>
  <c r="J59" i="4"/>
  <c r="E39" i="4"/>
  <c r="J36" i="4"/>
  <c r="D46" i="4"/>
  <c r="C33" i="4"/>
  <c r="B44" i="4"/>
  <c r="J32" i="4"/>
  <c r="C75" i="4"/>
  <c r="H30" i="4"/>
  <c r="H9" i="4"/>
  <c r="I16" i="4"/>
  <c r="J25" i="4"/>
  <c r="I35" i="4"/>
  <c r="B52" i="4"/>
  <c r="G75" i="4"/>
  <c r="I31" i="4"/>
  <c r="C37" i="4"/>
  <c r="H8" i="4"/>
  <c r="I17" i="4"/>
  <c r="J24" i="4"/>
  <c r="E37" i="4"/>
  <c r="J56" i="4"/>
  <c r="H32" i="4"/>
  <c r="J13" i="4"/>
  <c r="J14" i="4"/>
  <c r="D7" i="4"/>
  <c r="E14" i="4"/>
  <c r="F21" i="4"/>
  <c r="E32" i="4"/>
  <c r="C47" i="4"/>
  <c r="B69" i="4"/>
  <c r="G38" i="4"/>
  <c r="G48" i="4"/>
  <c r="F59" i="4"/>
  <c r="F69" i="4"/>
  <c r="G76" i="4"/>
  <c r="J64" i="4"/>
  <c r="J74" i="4"/>
  <c r="D35" i="4"/>
  <c r="D45" i="4"/>
  <c r="E52" i="4"/>
  <c r="E62" i="4"/>
  <c r="E72" i="4"/>
  <c r="H44" i="4"/>
  <c r="I51" i="4"/>
  <c r="I61" i="4"/>
  <c r="I71" i="4"/>
  <c r="E30" i="4"/>
  <c r="F37" i="4"/>
  <c r="F47" i="4"/>
  <c r="F57" i="4"/>
  <c r="G64" i="4"/>
  <c r="G74" i="4"/>
  <c r="I20" i="4"/>
  <c r="F7" i="4"/>
  <c r="E16" i="4"/>
  <c r="B8" i="4"/>
  <c r="C17" i="4"/>
  <c r="D24" i="4"/>
  <c r="E36" i="4"/>
  <c r="G52" i="4"/>
  <c r="F76" i="4"/>
  <c r="J11" i="4"/>
  <c r="B20" i="4"/>
  <c r="F30" i="4"/>
  <c r="D44" i="4"/>
  <c r="F62" i="4"/>
  <c r="G47" i="4"/>
  <c r="H7" i="4"/>
  <c r="G51" i="4"/>
  <c r="F38" i="4"/>
  <c r="I59" i="4"/>
  <c r="D38" i="4"/>
  <c r="I7" i="4"/>
  <c r="G35" i="4"/>
  <c r="G8" i="4"/>
  <c r="H17" i="4"/>
  <c r="I24" i="4"/>
  <c r="D37" i="4"/>
  <c r="H56" i="4"/>
  <c r="F31" i="4"/>
  <c r="G9" i="4"/>
  <c r="E46" i="4"/>
  <c r="G12" i="4"/>
  <c r="H18" i="4"/>
  <c r="J23" i="4"/>
  <c r="J38" i="4"/>
  <c r="J58" i="4"/>
  <c r="B38" i="4"/>
  <c r="E18" i="4"/>
  <c r="G17" i="4"/>
  <c r="C10" i="4"/>
  <c r="D15" i="4"/>
  <c r="E22" i="4"/>
  <c r="G33" i="4"/>
  <c r="J48" i="4"/>
  <c r="G71" i="4"/>
  <c r="F39" i="4"/>
  <c r="F49" i="4"/>
  <c r="E60" i="4"/>
  <c r="E70" i="4"/>
  <c r="H58" i="4"/>
  <c r="I65" i="4"/>
  <c r="I75" i="4"/>
  <c r="C36" i="4"/>
  <c r="C46" i="4"/>
  <c r="C56" i="4"/>
  <c r="D63" i="4"/>
  <c r="D73" i="4"/>
  <c r="G45" i="4"/>
  <c r="H52" i="4"/>
  <c r="H62" i="4"/>
  <c r="H72" i="4"/>
  <c r="D31" i="4"/>
  <c r="E38" i="4"/>
  <c r="E48" i="4"/>
  <c r="E58" i="4"/>
  <c r="F65" i="4"/>
  <c r="F75" i="4"/>
  <c r="D17" i="4"/>
  <c r="G14" i="4"/>
  <c r="F25" i="4"/>
  <c r="J8" i="4"/>
  <c r="B18" i="4"/>
  <c r="C23" i="4"/>
  <c r="I37" i="4"/>
  <c r="D57" i="4"/>
  <c r="J52" i="4"/>
  <c r="I13" i="4"/>
  <c r="J20" i="4"/>
  <c r="G31" i="4"/>
  <c r="B46" i="4"/>
  <c r="H64" i="4"/>
  <c r="G57" i="4"/>
  <c r="B13" i="4"/>
  <c r="D60" i="4"/>
  <c r="C48" i="4"/>
  <c r="D12" i="4"/>
  <c r="F44" i="4"/>
  <c r="F8" i="4"/>
  <c r="G44" i="4"/>
  <c r="F12" i="4"/>
  <c r="G18" i="4"/>
  <c r="I23" i="4"/>
  <c r="H38" i="4"/>
  <c r="F58" i="4"/>
  <c r="F36" i="4"/>
  <c r="B14" i="4"/>
  <c r="E56" i="4"/>
  <c r="F11" i="4"/>
  <c r="G19" i="4"/>
  <c r="J26" i="4"/>
  <c r="E43" i="4"/>
  <c r="C61" i="4"/>
  <c r="I45" i="4"/>
  <c r="J21" i="4"/>
  <c r="C21" i="4"/>
  <c r="B9" i="4"/>
  <c r="C16" i="4"/>
  <c r="D25" i="4"/>
  <c r="H34" i="4"/>
  <c r="H50" i="4"/>
  <c r="I73" i="4"/>
  <c r="D43" i="4"/>
  <c r="E50" i="4"/>
  <c r="D61" i="4"/>
  <c r="D71" i="4"/>
  <c r="G59" i="4"/>
  <c r="G69" i="4"/>
  <c r="H76" i="4"/>
  <c r="B37" i="4"/>
  <c r="B47" i="4"/>
  <c r="B57" i="4"/>
  <c r="C64" i="4"/>
  <c r="C74" i="4"/>
  <c r="F46" i="4"/>
  <c r="F56" i="4"/>
  <c r="G63" i="4"/>
  <c r="G73" i="4"/>
  <c r="C32" i="4"/>
  <c r="D39" i="4"/>
  <c r="D49" i="4"/>
  <c r="D59" i="4"/>
  <c r="D69" i="4"/>
</calcChain>
</file>

<file path=xl/sharedStrings.xml><?xml version="1.0" encoding="utf-8"?>
<sst xmlns="http://schemas.openxmlformats.org/spreadsheetml/2006/main" count="506" uniqueCount="176">
  <si>
    <t>📊  RESUMO DE CHAMADOS POR MOP / EPS</t>
  </si>
  <si>
    <t>Cliente</t>
  </si>
  <si>
    <t>ID Ticket</t>
  </si>
  <si>
    <t>Assunto</t>
  </si>
  <si>
    <t>Departamento</t>
  </si>
  <si>
    <t>SLA</t>
  </si>
  <si>
    <t>Faixa SLA</t>
  </si>
  <si>
    <t>Cidade</t>
  </si>
  <si>
    <t>UF</t>
  </si>
  <si>
    <t>Substatus</t>
  </si>
  <si>
    <t>📌  TOTAIS</t>
  </si>
  <si>
    <t>Total geral</t>
  </si>
  <si>
    <t>Fora do prazo</t>
  </si>
  <si>
    <t>No prazo</t>
  </si>
  <si>
    <t>SLA médio</t>
  </si>
  <si>
    <t>Maior SLA em aberto</t>
  </si>
  <si>
    <t>Tipo de Atendimento</t>
  </si>
  <si>
    <t>Abertura do Ticket</t>
  </si>
  <si>
    <t>Tempo</t>
  </si>
  <si>
    <t>Status</t>
  </si>
  <si>
    <t>Ticket Bdesk</t>
  </si>
  <si>
    <t>REGIÃO</t>
  </si>
  <si>
    <t>MOP/EPS (Regra)</t>
  </si>
  <si>
    <t>SLA (h)</t>
  </si>
  <si>
    <t>SLA Formatado</t>
  </si>
  <si>
    <t>Status SLA</t>
  </si>
  <si>
    <t>AUX_SEQ_MOP</t>
  </si>
  <si>
    <t>AUX_COD_MOP</t>
  </si>
  <si>
    <t>AUX_CHAVE_NUM</t>
  </si>
  <si>
    <t>Link Atrix</t>
  </si>
  <si>
    <t> ID Ticket</t>
  </si>
  <si>
    <t> Abertura do Ticket</t>
  </si>
  <si>
    <t> Tempo</t>
  </si>
  <si>
    <t>FUNDO MUNICIPAL DE SAUDE DE SAO LUIS MARANHAO</t>
  </si>
  <si>
    <t>CMO - Reparo</t>
  </si>
  <si>
    <t>REPARO</t>
  </si>
  <si>
    <t>SAO LUIS</t>
  </si>
  <si>
    <t>MA</t>
  </si>
  <si>
    <t>https://atrix.mobtelecom.com.br/controle/addonmodules.php?module=helpdesk#/app/ticket/5981837</t>
  </si>
  <si>
    <t>Em atendimento</t>
  </si>
  <si>
    <t>https://atrix.mobtelecom.com.br/controle/addonmodules.php?module=helpdesk#/app/ticket/5981747</t>
  </si>
  <si>
    <t>MUNICIPIO DE SAO LUIS</t>
  </si>
  <si>
    <t>https://atrix.mobtelecom.com.br/controle/addonmodules.php?module=helpdesk#/app/ticket/5981589</t>
  </si>
  <si>
    <t>https://atrix.mobtelecom.com.br/controle/addonmodules.php?module=helpdesk#/app/ticket/5981503</t>
  </si>
  <si>
    <t>https://atrix.mobtelecom.com.br/controle/addonmodules.php?module=helpdesk#/app/ticket/5981465</t>
  </si>
  <si>
    <t>PA</t>
  </si>
  <si>
    <t>https://atrix.mobtelecom.com.br/controle/addonmodules.php?module=helpdesk#/app/ticket/5981391</t>
  </si>
  <si>
    <t>https://atrix.mobtelecom.com.br/controle/addonmodules.php?module=helpdesk#/app/ticket/5981213</t>
  </si>
  <si>
    <t>https://atrix.mobtelecom.com.br/controle/addonmodules.php?module=helpdesk#/app/ticket/5980941</t>
  </si>
  <si>
    <t>https://atrix.mobtelecom.com.br/controle/addonmodules.php?module=helpdesk#/app/ticket/5980901</t>
  </si>
  <si>
    <t>https://atrix.mobtelecom.com.br/controle/addonmodules.php?module=helpdesk#/app/ticket/5980883</t>
  </si>
  <si>
    <t>Em Espera</t>
  </si>
  <si>
    <t>AGUARDANDO LIBERAÇÃO DE ACESSO</t>
  </si>
  <si>
    <t>PI</t>
  </si>
  <si>
    <t>https://atrix.mobtelecom.com.br/controle/addonmodules.php?module=helpdesk#/app/ticket/5980545</t>
  </si>
  <si>
    <t>https://atrix.mobtelecom.com.br/controle/addonmodules.php?module=helpdesk#/app/ticket/5980479</t>
  </si>
  <si>
    <t>https://atrix.mobtelecom.com.br/controle/addonmodules.php?module=helpdesk#/app/ticket/5980397</t>
  </si>
  <si>
    <t>https://atrix.mobtelecom.com.br/controle/addonmodules.php?module=helpdesk#/app/ticket/5980393</t>
  </si>
  <si>
    <t>https://atrix.mobtelecom.com.br/controle/addonmodules.php?module=helpdesk#/app/ticket/5980243</t>
  </si>
  <si>
    <t>https://atrix.mobtelecom.com.br/controle/addonmodules.php?module=helpdesk#/app/ticket/5980133</t>
  </si>
  <si>
    <t>https://atrix.mobtelecom.com.br/controle/addonmodules.php?module=helpdesk#/app/ticket/5980007</t>
  </si>
  <si>
    <t>https://atrix.mobtelecom.com.br/controle/addonmodules.php?module=helpdesk#/app/ticket/5979953</t>
  </si>
  <si>
    <t>https://atrix.mobtelecom.com.br/controle/addonmodules.php?module=helpdesk#/app/ticket/5979745</t>
  </si>
  <si>
    <t>https://atrix.mobtelecom.com.br/controle/addonmodules.php?module=helpdesk#/app/ticket/5978821</t>
  </si>
  <si>
    <t>PENDENTE AGENDAMENTO</t>
  </si>
  <si>
    <t>https://atrix.mobtelecom.com.br/controle/addonmodules.php?module=helpdesk#/app/ticket/5978747</t>
  </si>
  <si>
    <t>https://atrix.mobtelecom.com.br/controle/addonmodules.php?module=helpdesk#/app/ticket/5978199</t>
  </si>
  <si>
    <t>PENDENTE CLIENTE</t>
  </si>
  <si>
    <t>https://atrix.mobtelecom.com.br/controle/addonmodules.php?module=helpdesk#/app/ticket/5977847</t>
  </si>
  <si>
    <t>https://atrix.mobtelecom.com.br/controle/addonmodules.php?module=helpdesk#/app/ticket/5977345</t>
  </si>
  <si>
    <t>https://atrix.mobtelecom.com.br/controle/addonmodules.php?module=helpdesk#/app/ticket/5977049</t>
  </si>
  <si>
    <t>https://atrix.mobtelecom.com.br/controle/addonmodules.php?module=helpdesk#/app/ticket/5977029</t>
  </si>
  <si>
    <t>https://atrix.mobtelecom.com.br/controle/addonmodules.php?module=helpdesk#/app/ticket/5976823</t>
  </si>
  <si>
    <t>https://atrix.mobtelecom.com.br/controle/addonmodules.php?module=helpdesk#/app/ticket/5975445</t>
  </si>
  <si>
    <t>https://atrix.mobtelecom.com.br/controle/addonmodules.php?module=helpdesk#/app/ticket/5974917</t>
  </si>
  <si>
    <t>https://atrix.mobtelecom.com.br/controle/addonmodules.php?module=helpdesk#/app/ticket/5971347</t>
  </si>
  <si>
    <t>https://atrix.mobtelecom.com.br/controle/addonmodules.php?module=helpdesk#/app/ticket/5970019</t>
  </si>
  <si>
    <t>  15052026-24054</t>
  </si>
  <si>
    <t>VENTOS DE SANTO ONOFRE</t>
  </si>
  <si>
    <t>VENTOS DE SANTO ONOFRE ENERGIAS RENOVAVEIS S A | INDISPONIBILIDADE | SYS/IPD/209717/1</t>
  </si>
  <si>
    <t>SIMOES</t>
  </si>
  <si>
    <t>https://atrix.mobtelecom.com.br/controle/addonmodules.php?module=helpdesk#/app/ticket/5963393</t>
  </si>
  <si>
    <t>https://atrix.mobtelecom.com.br/controle/addonmodules.php?module=helpdesk#/app/ticket/5924145</t>
  </si>
  <si>
    <t>ATRIX — Painel de Acompanhamento</t>
  </si>
  <si>
    <t>TOTAL DE CHAMADOS</t>
  </si>
  <si>
    <t>FORA DO PRAZO</t>
  </si>
  <si>
    <t>SLA MÉDIO</t>
  </si>
  <si>
    <t>MAIOR SLA</t>
  </si>
  <si>
    <t>Distribuição por Faixa de SLA</t>
  </si>
  <si>
    <t xml:space="preserve">  🔴   Maior que 24h</t>
  </si>
  <si>
    <t xml:space="preserve">  🟠   Entre 12h e 24h</t>
  </si>
  <si>
    <t xml:space="preserve">  🟡   Entre 8h e 12h</t>
  </si>
  <si>
    <t xml:space="preserve">  🟢   Entre 4h e 8h</t>
  </si>
  <si>
    <t xml:space="preserve">  🔵   Até 4h</t>
  </si>
  <si>
    <t>Por Substatus</t>
  </si>
  <si>
    <t>Por Região</t>
  </si>
  <si>
    <t>MA CAP</t>
  </si>
  <si>
    <t>MA INT</t>
  </si>
  <si>
    <t>PA CAP</t>
  </si>
  <si>
    <t>PA INT</t>
  </si>
  <si>
    <t>PI CAP</t>
  </si>
  <si>
    <t>PI INT</t>
  </si>
  <si>
    <t>AM INT</t>
  </si>
  <si>
    <t>AP</t>
  </si>
  <si>
    <t>Distribuição MOP/EPS por Substatus e UF</t>
  </si>
  <si>
    <t>SUBSTATUS / MOP/EPS</t>
  </si>
  <si>
    <t>TOTAL</t>
  </si>
  <si>
    <t xml:space="preserve">   └  GIGA+ MA</t>
  </si>
  <si>
    <t xml:space="preserve">   └  SLN MA</t>
  </si>
  <si>
    <t xml:space="preserve">   └  SLN PA</t>
  </si>
  <si>
    <t xml:space="preserve">   └  ADX</t>
  </si>
  <si>
    <t>TOTAL GERAL</t>
  </si>
  <si>
    <t>Data</t>
  </si>
  <si>
    <t>Descrição</t>
  </si>
  <si>
    <t>Confraternização Universal</t>
  </si>
  <si>
    <t>Carnaval</t>
  </si>
  <si>
    <t>Sexta-feira Santa</t>
  </si>
  <si>
    <t>Tiradentes</t>
  </si>
  <si>
    <t>Dia do Trabalho</t>
  </si>
  <si>
    <t>Corpus Christi</t>
  </si>
  <si>
    <t>Independência</t>
  </si>
  <si>
    <t>N. Sra. Aparecida</t>
  </si>
  <si>
    <t>Finados</t>
  </si>
  <si>
    <t>Proclamação da República</t>
  </si>
  <si>
    <t>Consciência Negra</t>
  </si>
  <si>
    <t>Natal</t>
  </si>
  <si>
    <t>Adesão do MA</t>
  </si>
  <si>
    <t>Adesão do PA</t>
  </si>
  <si>
    <t>Dia do Piauí</t>
  </si>
  <si>
    <t>Observações</t>
  </si>
  <si>
    <t>  31052026-18776</t>
  </si>
  <si>
    <t>Atendimento para: CREAS COROADINHO - VLAN 3737 SLS-216233-00150</t>
  </si>
  <si>
    <t>  31052026-98262</t>
  </si>
  <si>
    <t>Atendimento para: CRAS COROADINHO - VLAN 3736 SLS-216233-00392</t>
  </si>
  <si>
    <t>  31052026-95072</t>
  </si>
  <si>
    <t>Atendimento para: CS Dr. ANTONIO GUANARE - VLAN 3622 SLS-216233-00120</t>
  </si>
  <si>
    <t>  30052026-59919</t>
  </si>
  <si>
    <t>TRIBUNAL REGIONAL DO TRABALHO DA 16 REGIAO</t>
  </si>
  <si>
    <t>ALERTA: CLI | TRT16.SLS.SAO.LUIS.SLAVE.RB.IPD.202555.39 - FALHA</t>
  </si>
  <si>
    <t>  29052026-25755</t>
  </si>
  <si>
    <t>Atendimento para: RESIDENCIA INCLUSIVA - VLAN-3784 SLS-216233-00144</t>
  </si>
  <si>
    <t>  01062026-79927</t>
  </si>
  <si>
    <t>Atendimento para: SEMFAZ CENTRO - SLS-216233-00020</t>
  </si>
  <si>
    <t>  01062026-23199</t>
  </si>
  <si>
    <t>SERVIS ELETRONICA DEFENSE LTDA MA</t>
  </si>
  <si>
    <t>SERVIS ELETRONICA DEFENSE LTDA MA GRUPO SERVIS | 218497/765 | OSCILAÇÂO</t>
  </si>
  <si>
    <t>  01062026-53277</t>
  </si>
  <si>
    <t>TECFIBRA ISP LTDA</t>
  </si>
  <si>
    <t>TECFIBRA ISP LTDA TECFIBRA | PERFORMACE | ETO/IPT/229109/4</t>
  </si>
  <si>
    <t>AGUARDANDO DISPONIBILIDADE TECNICA</t>
  </si>
  <si>
    <t>ESTREITO</t>
  </si>
  <si>
    <t>  01062026-69651</t>
  </si>
  <si>
    <t>Atendimento para: CRAS CIDADE OLIMPICA - VLAN 3834 SLS-216233-00102</t>
  </si>
  <si>
    <t>  01062026-46968</t>
  </si>
  <si>
    <t>Atendimento para: C.T. SAO CRISTOVAO - SAO RAIMUNDO - VLAN-3838 SLS-216233-00017</t>
  </si>
  <si>
    <t>  01062026-33369</t>
  </si>
  <si>
    <t>  01062026-68538</t>
  </si>
  <si>
    <t>Atendimento para: HOSPITAL DA CRIANCA LINK 03 - LINK PRINCIPAL - SLS-IPD-218791-525</t>
  </si>
  <si>
    <t>  01062026-25089</t>
  </si>
  <si>
    <t>RCR LOCACAO LTDA</t>
  </si>
  <si>
    <t>RCR LOCACAO LTDA | Indisponibilidade | SLS/IPD/226111/1 - IP 177.200.80.221</t>
  </si>
  <si>
    <t>  01062026-48590</t>
  </si>
  <si>
    <t>COMPUSERVICE EMPREENDIMENTOS LTDA</t>
  </si>
  <si>
    <t>COMPUSERVICE EMPREENDIMENTOS LTDA | Indisponibilidade | FLA/IPD/117133/4</t>
  </si>
  <si>
    <t>  31052026-18085</t>
  </si>
  <si>
    <t>Atendimento para: UEB ENS FUND JOSEFINA SERRAO - SLS-218787-00361</t>
  </si>
  <si>
    <t>PENDENTE VALIDAÇÃO</t>
  </si>
  <si>
    <t>  28052026-26217</t>
  </si>
  <si>
    <t>SERVICO SOCIAL DO TRANSPORTE SEST SAO LUIS</t>
  </si>
  <si>
    <t>EQUIPAMENTO</t>
  </si>
  <si>
    <t>#25052026-72931 - SERVICO SOCIAL DO TRANSPORTE SEST SAO LUIS | PERFORMACE | SLS/IPD/227969/1</t>
  </si>
  <si>
    <t>  27052026-71809</t>
  </si>
  <si>
    <t>SERVICO NACIONAL DE APRENDIZAGEM COMERCIAL SENAC</t>
  </si>
  <si>
    <t>SERVICO NACIONAL DE APRENDIZAGEM COMERCIAL | INDISPONIBILIDADE | CXS/IPD/201697/7</t>
  </si>
  <si>
    <t>CAXIAS</t>
  </si>
  <si>
    <t>ALMERIM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</si>
</sst>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5" x14ac:knownFonts="1">
    <font>
      <sz val="11"/>
      <color theme="1"/>
      <name val="Calibri"/>
      <charset val="1"/>
    </font>
    <font>
      <sz val="11"/>
      <color theme="10"/>
      <name val="Calibri"/>
      <family val="2"/>
    </font>
    <font>
      <b/>
      <sz val="10"/>
      <color rgb="FFFFFFFF"/>
      <name val="Calibri"/>
      <family val="2"/>
    </font>
    <font>
      <sz val="10"/>
      <color rgb="FF0F172A"/>
      <name val="Calibri"/>
      <family val="2"/>
    </font>
    <font>
      <b/>
      <sz val="20"/>
      <color rgb="FF6366F1"/>
      <name val="Calibri"/>
      <family val="2"/>
    </font>
    <font>
      <i/>
      <sz val="10"/>
      <color rgb="FF64748B"/>
      <name val="Calibri"/>
      <family val="2"/>
    </font>
    <font>
      <b/>
      <sz val="9"/>
      <color rgb="FF64748B"/>
      <name val="Calibri"/>
      <family val="2"/>
    </font>
    <font>
      <b/>
      <sz val="24"/>
      <color rgb="FF6366F1"/>
      <name val="Calibri"/>
      <family val="2"/>
    </font>
    <font>
      <b/>
      <sz val="24"/>
      <color rgb="FFDC2626"/>
      <name val="Calibri"/>
      <family val="2"/>
    </font>
    <font>
      <b/>
      <sz val="24"/>
      <color rgb="FFF59E0B"/>
      <name val="Calibri"/>
      <family val="2"/>
    </font>
    <font>
      <b/>
      <sz val="24"/>
      <color rgb="FF334155"/>
      <name val="Calibri"/>
      <family val="2"/>
    </font>
    <font>
      <b/>
      <sz val="13"/>
      <color rgb="FF0F172A"/>
      <name val="Calibri"/>
      <family val="2"/>
    </font>
    <font>
      <b/>
      <sz val="11"/>
      <color rgb="FF991B1B"/>
      <name val="Calibri"/>
      <family val="2"/>
    </font>
    <font>
      <sz val="11"/>
      <color rgb="FF991B1B"/>
      <name val="Calibri"/>
      <family val="2"/>
    </font>
    <font>
      <b/>
      <sz val="12"/>
      <color rgb="FF991B1B"/>
      <name val="Calibri"/>
      <family val="2"/>
    </font>
    <font>
      <b/>
      <sz val="11"/>
      <color rgb="FF9A3412"/>
      <name val="Calibri"/>
      <family val="2"/>
    </font>
    <font>
      <sz val="11"/>
      <color rgb="FF9A3412"/>
      <name val="Calibri"/>
      <family val="2"/>
    </font>
    <font>
      <b/>
      <sz val="12"/>
      <color rgb="FF9A3412"/>
      <name val="Calibri"/>
      <family val="2"/>
    </font>
    <font>
      <b/>
      <sz val="11"/>
      <color rgb="FF92400E"/>
      <name val="Calibri"/>
      <family val="2"/>
    </font>
    <font>
      <sz val="11"/>
      <color rgb="FF92400E"/>
      <name val="Calibri"/>
      <family val="2"/>
    </font>
    <font>
      <b/>
      <sz val="12"/>
      <color rgb="FF92400E"/>
      <name val="Calibri"/>
      <family val="2"/>
    </font>
    <font>
      <b/>
      <sz val="11"/>
      <color rgb="FF065F46"/>
      <name val="Calibri"/>
      <family val="2"/>
    </font>
    <font>
      <sz val="11"/>
      <color rgb="FF065F46"/>
      <name val="Calibri"/>
      <family val="2"/>
    </font>
    <font>
      <b/>
      <sz val="12"/>
      <color rgb="FF065F46"/>
      <name val="Calibri"/>
      <family val="2"/>
    </font>
    <font>
      <b/>
      <sz val="11"/>
      <color rgb="FF1E40AF"/>
      <name val="Calibri"/>
      <family val="2"/>
    </font>
    <font>
      <sz val="11"/>
      <color rgb="FF1E40AF"/>
      <name val="Calibri"/>
      <family val="2"/>
    </font>
    <font>
      <b/>
      <sz val="12"/>
      <color rgb="FF1E40AF"/>
      <name val="Calibri"/>
      <family val="2"/>
    </font>
    <font>
      <b/>
      <sz val="11"/>
      <color rgb="FFDC2626"/>
      <name val="Calibri"/>
      <family val="2"/>
    </font>
    <font>
      <b/>
      <sz val="11"/>
      <color rgb="FF6366F1"/>
      <name val="Calibri"/>
      <family val="2"/>
    </font>
    <font>
      <b/>
      <sz val="16"/>
      <color rgb="FF6366F1"/>
      <name val="Calibri"/>
      <family val="2"/>
    </font>
    <font>
      <b/>
      <sz val="10"/>
      <color rgb="FF4338CA"/>
      <name val="Calibri"/>
      <family val="2"/>
    </font>
    <font>
      <b/>
      <sz val="10"/>
      <color rgb="FF0F172A"/>
      <name val="Calibri"/>
      <family val="2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b/>
      <sz val="12"/>
      <color rgb="FFFFFFFF"/>
      <name val="Calibri"/>
      <family val="2"/>
    </font>
    <font>
      <b/>
      <sz val="10"/>
      <color rgb="FF1E293B"/>
      <name val="Calibri"/>
      <family val="2"/>
    </font>
    <font>
      <b/>
      <sz val="12"/>
      <color rgb="FF334155"/>
      <name val="Calibri"/>
      <family val="2"/>
    </font>
    <font>
      <b/>
      <sz val="11"/>
      <color rgb="FF1F4E78"/>
      <name val="Calibri"/>
      <family val="2"/>
    </font>
    <font>
      <b/>
      <sz val="11"/>
      <color rgb="FF333333"/>
      <name val="Source Sans Pro"/>
      <family val="2"/>
    </font>
    <font>
      <sz val="11"/>
      <color rgb="FF333333"/>
      <name val="Source Sans Pro"/>
      <family val="2"/>
    </font>
    <font>
      <sz val="11"/>
      <color rgb="FF000000"/>
      <name val="Source Sans Pro"/>
      <family val="2"/>
    </font>
    <font>
      <b/>
      <sz val="10"/>
      <color rgb="FFFF0000"/>
      <name val="Calibri"/>
      <family val="2"/>
    </font>
    <font>
      <sz val="12"/>
      <color theme="10"/>
      <name val="Calibri"/>
      <family val="2"/>
      <scheme val="minor"/>
    </font>
    <font>
      <i/>
      <sz val="10"/>
      <color theme="0"/>
      <name val="Calibri"/>
      <family val="2"/>
    </font>
    <font>
      <sz val="11"/>
      <color theme="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F4E78"/>
        <bgColor rgb="FF334155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9F9F9"/>
      </patternFill>
    </fill>
    <fill>
      <patternFill patternType="solid">
        <fgColor rgb="FFFEE2E2"/>
        <bgColor rgb="FFFFEDD5"/>
      </patternFill>
    </fill>
    <fill>
      <patternFill patternType="solid">
        <fgColor rgb="FFFFEDD5"/>
        <bgColor rgb="FFFEF3C7"/>
      </patternFill>
    </fill>
    <fill>
      <patternFill patternType="solid">
        <fgColor rgb="FFFEF3C7"/>
        <bgColor rgb="FFFFEDD5"/>
      </patternFill>
    </fill>
    <fill>
      <patternFill patternType="solid">
        <fgColor rgb="FFD1FAE5"/>
        <bgColor rgb="FFD9EAF7"/>
      </patternFill>
    </fill>
    <fill>
      <patternFill patternType="solid">
        <fgColor rgb="FFDBEAFE"/>
        <bgColor rgb="FFD9EAF7"/>
      </patternFill>
    </fill>
    <fill>
      <patternFill patternType="solid">
        <fgColor rgb="FFEEF2FF"/>
        <bgColor rgb="FFF1F5F9"/>
      </patternFill>
    </fill>
    <fill>
      <patternFill patternType="solid">
        <fgColor rgb="FFF1F5F9"/>
        <bgColor rgb="FFF4F4F4"/>
      </patternFill>
    </fill>
    <fill>
      <patternFill patternType="solid">
        <fgColor rgb="FF6366F1"/>
        <bgColor rgb="FF64748B"/>
      </patternFill>
    </fill>
    <fill>
      <patternFill patternType="solid">
        <fgColor rgb="FF4338CA"/>
        <bgColor rgb="FF1E40AF"/>
      </patternFill>
    </fill>
    <fill>
      <patternFill patternType="solid">
        <fgColor rgb="FFD9EAF7"/>
        <bgColor rgb="FFDBEAFE"/>
      </patternFill>
    </fill>
    <fill>
      <patternFill patternType="solid">
        <fgColor rgb="FFE2E8F0"/>
        <bgColor rgb="FFD9EAF7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00"/>
        <bgColor rgb="FF334155"/>
      </patternFill>
    </fill>
    <fill>
      <patternFill patternType="solid">
        <fgColor rgb="FFF5F5F5"/>
        <bgColor indexed="64"/>
      </patternFill>
    </fill>
  </fills>
  <borders count="2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F4F4F4"/>
      </left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/>
      <right/>
      <top/>
      <bottom style="thin">
        <color rgb="FFE2E8F0"/>
      </bottom>
      <diagonal/>
    </border>
    <border>
      <left style="medium">
        <color rgb="FFF4F4F4"/>
      </left>
      <right/>
      <top/>
      <bottom style="medium">
        <color rgb="FFF4F4F4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/>
      <bottom style="thick">
        <color rgb="FF6366F1"/>
      </bottom>
      <diagonal/>
    </border>
    <border>
      <left style="thin">
        <color rgb="FFE2E8F0"/>
      </left>
      <right style="thin">
        <color rgb="FFE2E8F0"/>
      </right>
      <top/>
      <bottom style="thick">
        <color rgb="FFDC2626"/>
      </bottom>
      <diagonal/>
    </border>
    <border>
      <left style="thin">
        <color rgb="FFE2E8F0"/>
      </left>
      <right style="thin">
        <color rgb="FFE2E8F0"/>
      </right>
      <top/>
      <bottom style="thick">
        <color rgb="FFF59E0B"/>
      </bottom>
      <diagonal/>
    </border>
    <border>
      <left style="thin">
        <color rgb="FFE2E8F0"/>
      </left>
      <right style="thin">
        <color rgb="FFE2E8F0"/>
      </right>
      <top/>
      <bottom style="thick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medium">
        <color rgb="FFF4F4F4"/>
      </left>
      <right style="medium">
        <color rgb="FF000000"/>
      </right>
      <top style="medium">
        <color rgb="FFF4F4F4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F4F4F4"/>
      </top>
      <bottom style="thick">
        <color rgb="FF000000"/>
      </bottom>
      <diagonal/>
    </border>
    <border>
      <left style="medium">
        <color rgb="FF000000"/>
      </left>
      <right style="medium">
        <color rgb="FFF4F4F4"/>
      </right>
      <top style="medium">
        <color rgb="FFF4F4F4"/>
      </top>
      <bottom style="thick">
        <color rgb="FF000000"/>
      </bottom>
      <diagonal/>
    </border>
    <border>
      <left/>
      <right style="thin">
        <color rgb="FFE2E8F0"/>
      </right>
      <top/>
      <bottom style="thick">
        <color rgb="FF6366F1"/>
      </bottom>
      <diagonal/>
    </border>
    <border>
      <left/>
      <right style="thin">
        <color rgb="FFE2E8F0"/>
      </right>
      <top/>
      <bottom style="thick">
        <color rgb="FFDC2626"/>
      </bottom>
      <diagonal/>
    </border>
    <border>
      <left/>
      <right style="thin">
        <color rgb="FFE2E8F0"/>
      </right>
      <top/>
      <bottom style="thick">
        <color rgb="FFF59E0B"/>
      </bottom>
      <diagonal/>
    </border>
    <border>
      <left/>
      <right style="thin">
        <color rgb="FFE2E8F0"/>
      </right>
      <top/>
      <bottom style="thick">
        <color rgb="FF334155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42" fillId="0" borderId="0"/>
  </cellStyleXfs>
  <cellXfs count="114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/>
    </xf>
    <xf numFmtId="2" fontId="3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2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0" fontId="2" fillId="12" borderId="11" xfId="0" applyFont="1" applyFill="1" applyBorder="1" applyAlignment="1">
      <alignment horizontal="left" vertical="center"/>
    </xf>
    <xf numFmtId="0" fontId="2" fillId="12" borderId="11" xfId="0" applyFont="1" applyFill="1" applyBorder="1" applyAlignment="1">
      <alignment horizontal="center" vertical="center"/>
    </xf>
    <xf numFmtId="0" fontId="2" fillId="13" borderId="11" xfId="0" applyFont="1" applyFill="1" applyBorder="1" applyAlignment="1">
      <alignment horizontal="center" vertical="center"/>
    </xf>
    <xf numFmtId="0" fontId="30" fillId="10" borderId="11" xfId="0" applyFont="1" applyFill="1" applyBorder="1" applyAlignment="1">
      <alignment horizontal="left" vertical="center"/>
    </xf>
    <xf numFmtId="0" fontId="30" fillId="10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center" vertical="center"/>
    </xf>
    <xf numFmtId="0" fontId="31" fillId="10" borderId="12" xfId="0" applyFont="1" applyFill="1" applyBorder="1" applyAlignment="1">
      <alignment horizontal="center" vertical="center"/>
    </xf>
    <xf numFmtId="0" fontId="32" fillId="13" borderId="11" xfId="0" applyFont="1" applyFill="1" applyBorder="1" applyAlignment="1">
      <alignment horizontal="left" vertical="center"/>
    </xf>
    <xf numFmtId="0" fontId="32" fillId="13" borderId="11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left" vertical="center" wrapText="1"/>
    </xf>
    <xf numFmtId="0" fontId="35" fillId="1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 indent="1"/>
    </xf>
    <xf numFmtId="0" fontId="3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3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4" borderId="4" xfId="0" applyNumberFormat="1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0" fontId="38" fillId="16" borderId="13" xfId="0" applyFont="1" applyFill="1" applyBorder="1" applyAlignment="1">
      <alignment horizontal="center" vertical="center"/>
    </xf>
    <xf numFmtId="0" fontId="38" fillId="16" borderId="14" xfId="0" applyFont="1" applyFill="1" applyBorder="1" applyAlignment="1">
      <alignment horizontal="center" vertical="center"/>
    </xf>
    <xf numFmtId="0" fontId="38" fillId="16" borderId="15" xfId="0" applyFont="1" applyFill="1" applyBorder="1" applyAlignment="1">
      <alignment horizontal="center" vertical="center"/>
    </xf>
    <xf numFmtId="0" fontId="39" fillId="17" borderId="3" xfId="0" applyFont="1" applyFill="1" applyBorder="1" applyAlignment="1">
      <alignment horizontal="center" vertical="top"/>
    </xf>
    <xf numFmtId="22" fontId="39" fillId="17" borderId="3" xfId="0" applyNumberFormat="1" applyFont="1" applyFill="1" applyBorder="1" applyAlignment="1">
      <alignment horizontal="center" vertical="top"/>
    </xf>
    <xf numFmtId="0" fontId="40" fillId="17" borderId="3" xfId="0" applyFont="1" applyFill="1" applyBorder="1" applyAlignment="1">
      <alignment horizontal="center" vertical="center"/>
    </xf>
    <xf numFmtId="0" fontId="39" fillId="16" borderId="3" xfId="0" applyFont="1" applyFill="1" applyBorder="1" applyAlignment="1">
      <alignment horizontal="center" vertical="top"/>
    </xf>
    <xf numFmtId="22" fontId="39" fillId="16" borderId="3" xfId="0" applyNumberFormat="1" applyFont="1" applyFill="1" applyBorder="1" applyAlignment="1">
      <alignment horizontal="center" vertical="top"/>
    </xf>
    <xf numFmtId="0" fontId="40" fillId="16" borderId="3" xfId="0" applyFont="1" applyFill="1" applyBorder="1" applyAlignment="1">
      <alignment horizontal="center" vertical="center"/>
    </xf>
    <xf numFmtId="0" fontId="41" fillId="18" borderId="1" xfId="0" applyFont="1" applyFill="1" applyBorder="1" applyAlignment="1">
      <alignment horizontal="center" vertical="center" wrapText="1"/>
    </xf>
    <xf numFmtId="0" fontId="1" fillId="0" borderId="2" xfId="1" applyFont="1" applyBorder="1"/>
    <xf numFmtId="0" fontId="1" fillId="0" borderId="5" xfId="1" applyFont="1" applyBorder="1"/>
    <xf numFmtId="0" fontId="0" fillId="0" borderId="0" xfId="0" applyAlignment="1">
      <alignment horizontal="left"/>
    </xf>
    <xf numFmtId="0" fontId="42" fillId="0" borderId="0" xfId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2" fillId="0" borderId="2" xfId="1" applyBorder="1"/>
    <xf numFmtId="0" fontId="42" fillId="0" borderId="5" xfId="1" applyBorder="1"/>
    <xf numFmtId="0" fontId="0" fillId="0" borderId="4" xfId="0" applyBorder="1" applyAlignment="1">
      <alignment vertical="center"/>
    </xf>
    <xf numFmtId="0" fontId="3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13" xfId="1" applyFont="1" applyBorder="1"/>
    <xf numFmtId="0" fontId="38" fillId="16" borderId="2" xfId="0" applyFont="1" applyFill="1" applyBorder="1" applyAlignment="1">
      <alignment horizontal="center" vertical="center"/>
    </xf>
    <xf numFmtId="0" fontId="39" fillId="16" borderId="3" xfId="0" applyFont="1" applyFill="1" applyBorder="1" applyAlignment="1">
      <alignment horizontal="center" vertical="top" wrapText="1"/>
    </xf>
    <xf numFmtId="0" fontId="39" fillId="17" borderId="3" xfId="0" applyFont="1" applyFill="1" applyBorder="1" applyAlignment="1">
      <alignment horizontal="center" vertical="top" wrapText="1"/>
    </xf>
    <xf numFmtId="0" fontId="39" fillId="16" borderId="3" xfId="0" applyFont="1" applyFill="1" applyBorder="1" applyAlignment="1">
      <alignment horizontal="left" vertical="top" wrapText="1"/>
    </xf>
    <xf numFmtId="0" fontId="39" fillId="17" borderId="3" xfId="0" applyFont="1" applyFill="1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40" fillId="16" borderId="3" xfId="0" applyFont="1" applyFill="1" applyBorder="1" applyAlignment="1">
      <alignment horizontal="center" vertical="top" wrapText="1"/>
    </xf>
    <xf numFmtId="0" fontId="40" fillId="17" borderId="3" xfId="0" applyFont="1" applyFill="1" applyBorder="1" applyAlignment="1">
      <alignment horizontal="center" vertical="top" wrapText="1"/>
    </xf>
    <xf numFmtId="0" fontId="34" fillId="2" borderId="0" xfId="0" applyFont="1" applyFill="1" applyAlignment="1">
      <alignment vertical="center"/>
    </xf>
    <xf numFmtId="0" fontId="40" fillId="17" borderId="3" xfId="0" applyFont="1" applyFill="1" applyBorder="1" applyAlignment="1">
      <alignment horizontal="center" vertical="top"/>
    </xf>
    <xf numFmtId="0" fontId="40" fillId="16" borderId="3" xfId="0" applyFont="1" applyFill="1" applyBorder="1" applyAlignment="1">
      <alignment horizontal="center" vertical="top"/>
    </xf>
    <xf numFmtId="0" fontId="39" fillId="19" borderId="3" xfId="0" applyFont="1" applyFill="1" applyBorder="1" applyAlignment="1">
      <alignment horizontal="center" vertical="top"/>
    </xf>
    <xf numFmtId="22" fontId="39" fillId="19" borderId="3" xfId="0" applyNumberFormat="1" applyFont="1" applyFill="1" applyBorder="1" applyAlignment="1">
      <alignment horizontal="center" vertical="top"/>
    </xf>
    <xf numFmtId="0" fontId="40" fillId="19" borderId="3" xfId="0" applyFont="1" applyFill="1" applyBorder="1" applyAlignment="1">
      <alignment horizontal="center" vertical="center"/>
    </xf>
    <xf numFmtId="0" fontId="40" fillId="19" borderId="3" xfId="0" applyFont="1" applyFill="1" applyBorder="1" applyAlignment="1">
      <alignment horizontal="center" vertical="top"/>
    </xf>
    <xf numFmtId="0" fontId="3" fillId="11" borderId="0" xfId="0" applyFont="1" applyFill="1" applyAlignment="1">
      <alignment horizontal="left" vertical="center"/>
    </xf>
    <xf numFmtId="0" fontId="0" fillId="0" borderId="0" xfId="0"/>
    <xf numFmtId="0" fontId="7" fillId="3" borderId="7" xfId="0" applyFont="1" applyFill="1" applyBorder="1" applyAlignment="1">
      <alignment horizontal="center" vertical="center"/>
    </xf>
    <xf numFmtId="0" fontId="0" fillId="0" borderId="16" xfId="0" applyBorder="1"/>
    <xf numFmtId="0" fontId="16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6" fillId="3" borderId="6" xfId="0" applyFont="1" applyFill="1" applyBorder="1" applyAlignment="1">
      <alignment horizontal="center" vertical="center"/>
    </xf>
    <xf numFmtId="0" fontId="0" fillId="0" borderId="20" xfId="0" applyBorder="1"/>
    <xf numFmtId="0" fontId="12" fillId="5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/>
    </xf>
    <xf numFmtId="0" fontId="27" fillId="10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left" vertical="center"/>
    </xf>
    <xf numFmtId="0" fontId="9" fillId="3" borderId="9" xfId="0" applyFont="1" applyFill="1" applyBorder="1" applyAlignment="1">
      <alignment horizontal="center" vertical="center"/>
    </xf>
    <xf numFmtId="0" fontId="0" fillId="0" borderId="18" xfId="0" applyBorder="1"/>
    <xf numFmtId="0" fontId="11" fillId="0" borderId="0" xfId="0" applyFont="1" applyAlignment="1">
      <alignment horizontal="left" vertical="center"/>
    </xf>
    <xf numFmtId="0" fontId="22" fillId="8" borderId="0" xfId="0" applyFont="1" applyFill="1" applyAlignment="1">
      <alignment horizontal="left" vertical="center"/>
    </xf>
    <xf numFmtId="0" fontId="10" fillId="3" borderId="10" xfId="0" applyFont="1" applyFill="1" applyBorder="1" applyAlignment="1">
      <alignment horizontal="center" vertical="center"/>
    </xf>
    <xf numFmtId="0" fontId="0" fillId="0" borderId="19" xfId="0" applyBorder="1"/>
    <xf numFmtId="0" fontId="8" fillId="3" borderId="8" xfId="0" applyFont="1" applyFill="1" applyBorder="1" applyAlignment="1">
      <alignment horizontal="center" vertical="center"/>
    </xf>
    <xf numFmtId="0" fontId="0" fillId="0" borderId="17" xfId="0" applyBorder="1"/>
    <xf numFmtId="0" fontId="24" fillId="9" borderId="0" xfId="0" applyFont="1" applyFill="1" applyAlignment="1">
      <alignment horizontal="left" vertical="center"/>
    </xf>
    <xf numFmtId="0" fontId="21" fillId="10" borderId="0" xfId="0" applyFont="1" applyFill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34" fillId="2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2"/>
    </xf>
    <xf numFmtId="0" fontId="0" fillId="0" borderId="21" xfId="0" applyBorder="1"/>
    <xf numFmtId="0" fontId="0" fillId="0" borderId="22" xfId="0" applyBorder="1"/>
    <xf numFmtId="0" fontId="33" fillId="12" borderId="0" xfId="0" applyFont="1" applyFill="1" applyAlignment="1">
      <alignment horizontal="left" vertical="center" indent="1"/>
    </xf>
    <xf numFmtId="0" fontId="36" fillId="15" borderId="0" xfId="0" applyFont="1" applyFill="1" applyAlignment="1">
      <alignment horizontal="left" vertical="center" indent="1"/>
    </xf>
    <xf numFmtId="0" fontId="43" fillId="0" borderId="0" xfId="0" applyFont="1" applyAlignment="1">
      <alignment horizontal="left" vertical="center" indent="1"/>
    </xf>
    <xf numFmtId="0" fontId="44" fillId="0" borderId="0" xfId="0" applyFont="1"/>
    <xf numFmtId="0" fontId="37" fillId="4" borderId="1" xfId="0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2"/>
    </xf>
  </cellXfs>
  <cellStyles count="2">
    <cellStyle name="Hiperlink" xfId="1" xr:uid="{00000000-0005-0000-0000-000001000000}"/>
    <cellStyle name="Normal" xfId="0" builtinId="0"/>
  </cellStyles>
  <dxfs count="7">
    <dxf>
      <font>
        <b/>
        <sz val="10"/>
        <color rgb="FF065F46"/>
        <name val="Calibri"/>
        <charset val="1"/>
      </font>
      <fill>
        <patternFill>
          <bgColor rgb="FFD1FAE5"/>
        </patternFill>
      </fill>
    </dxf>
    <dxf>
      <font>
        <b/>
        <sz val="10"/>
        <color rgb="FF991B1B"/>
        <name val="Calibri"/>
        <charset val="1"/>
      </font>
      <fill>
        <patternFill>
          <bgColor rgb="FFFEE2E2"/>
        </patternFill>
      </fill>
    </dxf>
    <dxf>
      <font>
        <b/>
        <sz val="10"/>
        <color rgb="FF1E40AF"/>
        <name val="Calibri"/>
        <charset val="1"/>
      </font>
      <fill>
        <patternFill>
          <bgColor rgb="FFDBEAFE"/>
        </patternFill>
      </fill>
    </dxf>
    <dxf>
      <font>
        <b/>
        <sz val="10"/>
        <color rgb="FF065F46"/>
        <name val="Calibri"/>
        <charset val="1"/>
      </font>
      <fill>
        <patternFill>
          <bgColor rgb="FFD1FAE5"/>
        </patternFill>
      </fill>
    </dxf>
    <dxf>
      <font>
        <b/>
        <sz val="10"/>
        <color rgb="FF92400E"/>
        <name val="Calibri"/>
        <charset val="1"/>
      </font>
      <fill>
        <patternFill>
          <bgColor rgb="FFFEF3C7"/>
        </patternFill>
      </fill>
    </dxf>
    <dxf>
      <font>
        <b/>
        <sz val="10"/>
        <color rgb="FF9A3412"/>
        <name val="Calibri"/>
        <charset val="1"/>
      </font>
      <fill>
        <patternFill>
          <bgColor rgb="FFFFEDD5"/>
        </patternFill>
      </fill>
    </dxf>
    <dxf>
      <font>
        <b/>
        <sz val="10"/>
        <color rgb="FF991B1B"/>
        <name val="Calibri"/>
        <charset val="1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9F9F9"/>
      <rgbColor rgb="FFFF00FF"/>
      <rgbColor rgb="FF00FFFF"/>
      <rgbColor rgb="FF991B1B"/>
      <rgbColor rgb="FF008000"/>
      <rgbColor rgb="FF000080"/>
      <rgbColor rgb="FF808000"/>
      <rgbColor rgb="FF800080"/>
      <rgbColor rgb="FF065F46"/>
      <rgbColor rgb="FFE2E8F0"/>
      <rgbColor rgb="FF808080"/>
      <rgbColor rgb="FF9999FF"/>
      <rgbColor rgb="FF92400E"/>
      <rgbColor rgb="FFFEF3C7"/>
      <rgbColor rgb="FFD9EAF7"/>
      <rgbColor rgb="FF4338CA"/>
      <rgbColor rgb="FFFF8080"/>
      <rgbColor rgb="FF1F4E78"/>
      <rgbColor rgb="FFCBD5E1"/>
      <rgbColor rgb="FF000080"/>
      <rgbColor rgb="FFFF00FF"/>
      <rgbColor rgb="FFF8FAFC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FEDD5"/>
      <rgbColor rgb="FFEEF2FF"/>
      <rgbColor rgb="FFF4F4F4"/>
      <rgbColor rgb="FFF1F5F9"/>
      <rgbColor rgb="FFFEE2E2"/>
      <rgbColor rgb="FF6366F1"/>
      <rgbColor rgb="FF33CCCC"/>
      <rgbColor rgb="FF99CC00"/>
      <rgbColor rgb="FFFFCC00"/>
      <rgbColor rgb="FFF59E0B"/>
      <rgbColor rgb="FFFF6600"/>
      <rgbColor rgb="FF64748B"/>
      <rgbColor rgb="FF969696"/>
      <rgbColor rgb="FF1E293B"/>
      <rgbColor rgb="FF339966"/>
      <rgbColor rgb="FF0F172A"/>
      <rgbColor rgb="FF334155"/>
      <rgbColor rgb="FF9A3412"/>
      <rgbColor rgb="FF993366"/>
      <rgbColor rgb="FF1E40A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trix.mobtelecom.com.br/controle/addonmodules.php?module=helpdesk" TargetMode="External"/><Relationship Id="rId13" Type="http://schemas.openxmlformats.org/officeDocument/2006/relationships/hyperlink" Target="https://atrix.mobtelecom.com.br/controle/addonmodules.php?module=helpdesk" TargetMode="External"/><Relationship Id="rId18" Type="http://schemas.openxmlformats.org/officeDocument/2006/relationships/hyperlink" Target="https://atrix.mobtelecom.com.br/controle/addonmodules.php?module=helpdesk" TargetMode="External"/><Relationship Id="rId3" Type="http://schemas.openxmlformats.org/officeDocument/2006/relationships/hyperlink" Target="https://atrix.mobtelecom.com.br/controle/addonmodules.php?module=helpdesk" TargetMode="External"/><Relationship Id="rId7" Type="http://schemas.openxmlformats.org/officeDocument/2006/relationships/hyperlink" Target="https://atrix.mobtelecom.com.br/controle/addonmodules.php?module=helpdesk" TargetMode="External"/><Relationship Id="rId12" Type="http://schemas.openxmlformats.org/officeDocument/2006/relationships/hyperlink" Target="https://atrix.mobtelecom.com.br/controle/addonmodules.php?module=helpdesk" TargetMode="External"/><Relationship Id="rId17" Type="http://schemas.openxmlformats.org/officeDocument/2006/relationships/hyperlink" Target="https://atrix.mobtelecom.com.br/controle/addonmodules.php?module=helpdesk" TargetMode="External"/><Relationship Id="rId2" Type="http://schemas.openxmlformats.org/officeDocument/2006/relationships/hyperlink" Target="https://atrix.mobtelecom.com.br/controle/addonmodules.php?module=helpdesk" TargetMode="External"/><Relationship Id="rId16" Type="http://schemas.openxmlformats.org/officeDocument/2006/relationships/hyperlink" Target="https://atrix.mobtelecom.com.br/controle/addonmodules.php?module=helpdesk" TargetMode="External"/><Relationship Id="rId1" Type="http://schemas.openxmlformats.org/officeDocument/2006/relationships/hyperlink" Target="https://atrix.mobtelecom.com.br/controle/addonmodules.php?module=helpdesk" TargetMode="External"/><Relationship Id="rId6" Type="http://schemas.openxmlformats.org/officeDocument/2006/relationships/hyperlink" Target="https://atrix.mobtelecom.com.br/controle/addonmodules.php?module=helpdesk" TargetMode="External"/><Relationship Id="rId11" Type="http://schemas.openxmlformats.org/officeDocument/2006/relationships/hyperlink" Target="https://atrix.mobtelecom.com.br/controle/addonmodules.php?module=helpdesk" TargetMode="External"/><Relationship Id="rId5" Type="http://schemas.openxmlformats.org/officeDocument/2006/relationships/hyperlink" Target="https://atrix.mobtelecom.com.br/controle/addonmodules.php?module=helpdesk" TargetMode="External"/><Relationship Id="rId15" Type="http://schemas.openxmlformats.org/officeDocument/2006/relationships/hyperlink" Target="https://atrix.mobtelecom.com.br/controle/addonmodules.php?module=helpdesk" TargetMode="External"/><Relationship Id="rId10" Type="http://schemas.openxmlformats.org/officeDocument/2006/relationships/hyperlink" Target="https://atrix.mobtelecom.com.br/controle/addonmodules.php?module=helpdesk" TargetMode="External"/><Relationship Id="rId4" Type="http://schemas.openxmlformats.org/officeDocument/2006/relationships/hyperlink" Target="https://atrix.mobtelecom.com.br/controle/addonmodules.php?module=helpdesk" TargetMode="External"/><Relationship Id="rId9" Type="http://schemas.openxmlformats.org/officeDocument/2006/relationships/hyperlink" Target="https://atrix.mobtelecom.com.br/controle/addonmodules.php?module=helpdesk" TargetMode="External"/><Relationship Id="rId14" Type="http://schemas.openxmlformats.org/officeDocument/2006/relationships/hyperlink" Target="https://atrix.mobtelecom.com.br/controle/addonmodules.php?module=helpdesk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atrix.mobtelecom.com.br/controle/addonmodules.php?module=helpdesk" TargetMode="External"/><Relationship Id="rId13" Type="http://schemas.openxmlformats.org/officeDocument/2006/relationships/hyperlink" Target="https://atrix.mobtelecom.com.br/controle/addonmodules.php?module=helpdesk" TargetMode="External"/><Relationship Id="rId18" Type="http://schemas.openxmlformats.org/officeDocument/2006/relationships/hyperlink" Target="https://atrix.mobtelecom.com.br/controle/addonmodules.php?module=helpdesk" TargetMode="External"/><Relationship Id="rId3" Type="http://schemas.openxmlformats.org/officeDocument/2006/relationships/hyperlink" Target="https://atrix.mobtelecom.com.br/controle/addonmodules.php?module=helpdesk" TargetMode="External"/><Relationship Id="rId7" Type="http://schemas.openxmlformats.org/officeDocument/2006/relationships/hyperlink" Target="https://atrix.mobtelecom.com.br/controle/addonmodules.php?module=helpdesk" TargetMode="External"/><Relationship Id="rId12" Type="http://schemas.openxmlformats.org/officeDocument/2006/relationships/hyperlink" Target="https://atrix.mobtelecom.com.br/controle/addonmodules.php?module=helpdesk" TargetMode="External"/><Relationship Id="rId17" Type="http://schemas.openxmlformats.org/officeDocument/2006/relationships/hyperlink" Target="https://atrix.mobtelecom.com.br/controle/addonmodules.php?module=helpdesk" TargetMode="External"/><Relationship Id="rId2" Type="http://schemas.openxmlformats.org/officeDocument/2006/relationships/hyperlink" Target="https://atrix.mobtelecom.com.br/controle/addonmodules.php?module=helpdesk" TargetMode="External"/><Relationship Id="rId16" Type="http://schemas.openxmlformats.org/officeDocument/2006/relationships/hyperlink" Target="https://atrix.mobtelecom.com.br/controle/addonmodules.php?module=helpdesk" TargetMode="External"/><Relationship Id="rId1" Type="http://schemas.openxmlformats.org/officeDocument/2006/relationships/hyperlink" Target="https://atrix.mobtelecom.com.br/controle/addonmodules.php?module=helpdesk" TargetMode="External"/><Relationship Id="rId6" Type="http://schemas.openxmlformats.org/officeDocument/2006/relationships/hyperlink" Target="https://atrix.mobtelecom.com.br/controle/addonmodules.php?module=helpdesk" TargetMode="External"/><Relationship Id="rId11" Type="http://schemas.openxmlformats.org/officeDocument/2006/relationships/hyperlink" Target="https://atrix.mobtelecom.com.br/controle/addonmodules.php?module=helpdesk" TargetMode="External"/><Relationship Id="rId5" Type="http://schemas.openxmlformats.org/officeDocument/2006/relationships/hyperlink" Target="https://atrix.mobtelecom.com.br/controle/addonmodules.php?module=helpdesk" TargetMode="External"/><Relationship Id="rId15" Type="http://schemas.openxmlformats.org/officeDocument/2006/relationships/hyperlink" Target="https://atrix.mobtelecom.com.br/controle/addonmodules.php?module=helpdesk" TargetMode="External"/><Relationship Id="rId10" Type="http://schemas.openxmlformats.org/officeDocument/2006/relationships/hyperlink" Target="https://atrix.mobtelecom.com.br/controle/addonmodules.php?module=helpdesk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atrix.mobtelecom.com.br/controle/addonmodules.php?module=helpdesk" TargetMode="External"/><Relationship Id="rId9" Type="http://schemas.openxmlformats.org/officeDocument/2006/relationships/hyperlink" Target="https://atrix.mobtelecom.com.br/controle/addonmodules.php?module=helpdesk" TargetMode="External"/><Relationship Id="rId14" Type="http://schemas.openxmlformats.org/officeDocument/2006/relationships/hyperlink" Target="https://atrix.mobtelecom.com.br/controle/addonmodules.php?module=helpde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5"/>
  <sheetViews>
    <sheetView topLeftCell="H8" zoomScaleNormal="100" workbookViewId="0">
      <selection activeCell="A2" sqref="A2:L19"/>
    </sheetView>
  </sheetViews>
  <sheetFormatPr defaultColWidth="8.6640625" defaultRowHeight="14.4" x14ac:dyDescent="0.3"/>
  <cols>
    <col min="1" max="1" width="18" style="1" bestFit="1" customWidth="1"/>
    <col min="2" max="2" width="32.6640625" style="65" customWidth="1"/>
    <col min="3" max="3" width="16.33203125" style="64" customWidth="1"/>
    <col min="4" max="4" width="15.33203125" style="1" customWidth="1"/>
    <col min="5" max="5" width="59.88671875" style="65" customWidth="1"/>
    <col min="6" max="6" width="20.33203125" style="1" bestFit="1" customWidth="1"/>
    <col min="7" max="7" width="9.109375" style="1" customWidth="1"/>
    <col min="8" max="8" width="17.33203125" style="1" customWidth="1"/>
    <col min="9" max="9" width="25.33203125" style="64" customWidth="1"/>
    <col min="10" max="10" width="15.109375" style="1" bestFit="1" customWidth="1"/>
    <col min="11" max="11" width="18.5546875" style="64" customWidth="1"/>
    <col min="12" max="12" width="7.5546875" style="1" bestFit="1" customWidth="1"/>
    <col min="13" max="13" width="11.44140625" style="1" bestFit="1" customWidth="1"/>
    <col min="14" max="14" width="13.44140625" style="1" bestFit="1" customWidth="1"/>
    <col min="15" max="15" width="11" style="1" bestFit="1" customWidth="1"/>
    <col min="16" max="16" width="17.44140625" style="1" bestFit="1" customWidth="1"/>
    <col min="17" max="17" width="16.88671875" style="1" bestFit="1" customWidth="1"/>
    <col min="18" max="18" width="14" style="1" customWidth="1"/>
    <col min="19" max="19" width="17.44140625" style="1" bestFit="1" customWidth="1"/>
    <col min="20" max="20" width="18" style="1" bestFit="1" customWidth="1"/>
    <col min="21" max="21" width="20" style="1" bestFit="1" customWidth="1"/>
    <col min="22" max="22" width="95.5546875" style="1" bestFit="1" customWidth="1"/>
    <col min="23" max="23" width="8.6640625" style="1" customWidth="1"/>
    <col min="24" max="16384" width="8.6640625" style="1"/>
  </cols>
  <sheetData>
    <row r="1" spans="1:22" ht="31.5" customHeight="1" thickBot="1" x14ac:dyDescent="0.35">
      <c r="A1" s="2" t="s">
        <v>2</v>
      </c>
      <c r="B1" s="2" t="s">
        <v>1</v>
      </c>
      <c r="C1" s="2" t="s">
        <v>4</v>
      </c>
      <c r="D1" s="2" t="s">
        <v>16</v>
      </c>
      <c r="E1" s="2" t="s">
        <v>3</v>
      </c>
      <c r="F1" s="2" t="s">
        <v>17</v>
      </c>
      <c r="G1" s="2" t="s">
        <v>18</v>
      </c>
      <c r="H1" s="2" t="s">
        <v>19</v>
      </c>
      <c r="I1" s="2" t="s">
        <v>9</v>
      </c>
      <c r="J1" s="2" t="s">
        <v>20</v>
      </c>
      <c r="K1" s="2" t="s">
        <v>7</v>
      </c>
      <c r="L1" s="2" t="s">
        <v>8</v>
      </c>
      <c r="M1" s="44" t="s">
        <v>21</v>
      </c>
      <c r="N1" s="44" t="s">
        <v>22</v>
      </c>
      <c r="O1" s="44" t="s">
        <v>23</v>
      </c>
      <c r="P1" s="44" t="s">
        <v>24</v>
      </c>
      <c r="Q1" s="44" t="s">
        <v>6</v>
      </c>
      <c r="R1" s="44" t="s">
        <v>25</v>
      </c>
      <c r="S1" s="44" t="s">
        <v>26</v>
      </c>
      <c r="T1" s="44" t="s">
        <v>27</v>
      </c>
      <c r="U1" s="44" t="s">
        <v>28</v>
      </c>
      <c r="V1" s="2" t="s">
        <v>29</v>
      </c>
    </row>
    <row r="2" spans="1:22" ht="15.75" customHeight="1" thickBot="1" x14ac:dyDescent="0.35">
      <c r="A2" s="51" t="s">
        <v>77</v>
      </c>
      <c r="B2" s="38" t="s">
        <v>78</v>
      </c>
      <c r="C2" s="38" t="s">
        <v>34</v>
      </c>
      <c r="D2" s="38" t="s">
        <v>35</v>
      </c>
      <c r="E2" s="38" t="s">
        <v>79</v>
      </c>
      <c r="F2" s="39">
        <v>46157.926666666666</v>
      </c>
      <c r="G2" s="38">
        <v>18</v>
      </c>
      <c r="H2" s="40" t="s">
        <v>51</v>
      </c>
      <c r="I2" s="69" t="s">
        <v>52</v>
      </c>
      <c r="J2" s="38"/>
      <c r="K2" s="38" t="s">
        <v>80</v>
      </c>
      <c r="L2" s="38" t="s">
        <v>53</v>
      </c>
      <c r="M2" s="6" t="str">
        <f t="shared" ref="M2:M65" si="0">IF($A2="","",IF($L2="MA",IF(OR(UPPER($K2)="SAO LUIS",UPPER($K2)="SÃO LUIS",UPPER($K2)="PACO DO LUMIAR",UPPER($K2)="PAÇO DO LUMIAR",UPPER($K2)="SAO JOSE DE RIBAMAR",UPPER($K2)="SÃO JOSÉ DE RIBAMAR"),"MA CAP","MA INT"),IF($L2="PA",IF(OR(UPPER($K2)="BELEM",UPPER($K2)="BELÉM",UPPER($K2)="ANANINDEUA"),"PA CAP","PA INT"),IF($L2="PI",IF(UPPER($K2)="TERESINA","PI CAP","PI INT"),IF($L2="AM","AM INT",IF($L2="AP","AP","OUTROS"))))))</f>
        <v>PI INT</v>
      </c>
      <c r="N2" s="6" t="str">
        <f t="shared" ref="N2:N65" si="1">IF($A2="","",IF($M2="PI CAP","GIGA+ PI",IF($M2="PI INT","GIGA+ PI",IF($M2="MA CAP","SLN MA",IF($M2="MA INT","GIGA+ MA",IF($M2="PA CAP","SLN PA",IF($M2="PA INT","SLN PA",IF($M2="AM INT","ADX",IF($M2="AP","ADX","OUTROS")))))))))</f>
        <v>GIGA+ PI</v>
      </c>
      <c r="O2" s="7">
        <f ca="1">IF(F2="","",IF(INT(F2)=INT(NOW()),IF(NETWORKDAYS.INTL(F2,F2,1,FERIADOS!$A$2:$A$50)=0,0,MAX(0,(MIN(NOW(),INT(NOW())+18/24)-MAX(F2,INT(F2)+8/24)))*24),MAX(0,(INT(F2)+18/24-MAX(F2,INT(F2)+8/24)))*24*NETWORKDAYS.INTL(F2,F2,1,FERIADOS!$A$2:$A$50)+MAX(0,NETWORKDAYS.INTL(F2+1,NOW()-1,1,FERIADOS!$A$2:$A$50))*10+MAX(0,(MIN(NOW(),INT(NOW())+18/24)-(INT(NOW())+8/24)))*24*NETWORKDAYS.INTL(NOW(),NOW(),1,FERIADOS!$A$2:$A$50)))</f>
        <v>120</v>
      </c>
      <c r="P2" s="8" t="str">
        <f t="shared" ref="P2:P65" ca="1" si="2">IF($A2="","",IF(OR(O2="",O2=0),"00h 00m",TEXT(INT(O2),"00") &amp; "h " &amp; TEXT(INT((O2-INT(O2))*60),"00") &amp; "m"))</f>
        <v>120h 00m</v>
      </c>
      <c r="Q2" s="8" t="str">
        <f t="shared" ref="Q2:Q65" ca="1" si="3">IF($A2="","",IF(OR(O2="",O2&lt;=4),"🔵 Até 4h",IF(O2&lt;=8,"🟢 Entre 4h e 8h",IF(O2&lt;=12,"🟡 Entre 8h e 12h",IF(O2&lt;=24,"🟠 Entre 12h e 24h","🔴 Maior que 24h")))))</f>
        <v>🔴 Maior que 24h</v>
      </c>
      <c r="R2" s="8" t="str">
        <f t="shared" ref="R2:R65" ca="1" si="4">IF($A2="","",IF(OR(O2="",O2&lt;=8),"NO PRAZO","FORA DO PRAZO"))</f>
        <v>FORA DO PRAZO</v>
      </c>
      <c r="S2" s="1">
        <f>IF($A2="","",COUNTIF($N$2:N2,$N2))</f>
        <v>1</v>
      </c>
      <c r="T2" s="1">
        <f t="shared" ref="T2:T65" si="5">IF($A2="","",IF($N2="SLN MA",1,IF($N2="GIGA+ MA",2,IF($N2="GIGA+ PI",3,IF($N2="SLN PA",4,IF($N2="ADX",5,6))))))</f>
        <v>3</v>
      </c>
      <c r="U2" s="1">
        <f t="shared" ref="U2:U65" si="6">IF($A2="","",$T2*10000+$S2)</f>
        <v>30001</v>
      </c>
      <c r="V2" s="58" t="s">
        <v>47</v>
      </c>
    </row>
    <row r="3" spans="1:22" ht="15.75" customHeight="1" thickBot="1" x14ac:dyDescent="0.35">
      <c r="A3" s="51" t="s">
        <v>171</v>
      </c>
      <c r="B3" s="41" t="s">
        <v>172</v>
      </c>
      <c r="C3" s="41" t="s">
        <v>34</v>
      </c>
      <c r="D3" s="41" t="s">
        <v>35</v>
      </c>
      <c r="E3" s="41" t="s">
        <v>173</v>
      </c>
      <c r="F3" s="42">
        <v>46169.679629629631</v>
      </c>
      <c r="G3" s="41">
        <v>6</v>
      </c>
      <c r="H3" s="43" t="s">
        <v>51</v>
      </c>
      <c r="I3" s="70" t="s">
        <v>64</v>
      </c>
      <c r="J3" s="41"/>
      <c r="K3" s="41" t="s">
        <v>174</v>
      </c>
      <c r="L3" s="41" t="s">
        <v>37</v>
      </c>
      <c r="M3" s="3" t="str">
        <f t="shared" si="0"/>
        <v>MA INT</v>
      </c>
      <c r="N3" s="3" t="str">
        <f t="shared" si="1"/>
        <v>GIGA+ MA</v>
      </c>
      <c r="O3" s="4">
        <f ca="1">IF(F3="","",IF(INT(F3)=INT(NOW()),IF(NETWORKDAYS.INTL(F3,F3,1,FERIADOS!$A$2:$A$50)=0,0,MAX(0,(MIN(NOW(),INT(NOW())+18/24)-MAX(F3,INT(F3)+8/24)))*24),MAX(0,(INT(F3)+18/24-MAX(F3,INT(F3)+8/24)))*24*NETWORKDAYS.INTL(F3,F3,1,FERIADOS!$A$2:$A$50)+MAX(0,NETWORKDAYS.INTL(F3+1,NOW()-1,1,FERIADOS!$A$2:$A$50))*10+MAX(0,(MIN(NOW(),INT(NOW())+18/24)-(INT(NOW())+8/24)))*24*NETWORKDAYS.INTL(NOW(),NOW(),1,FERIADOS!$A$2:$A$50)))</f>
        <v>41.688888888864312</v>
      </c>
      <c r="P3" s="5" t="str">
        <f t="shared" ca="1" si="2"/>
        <v>41h 41m</v>
      </c>
      <c r="Q3" s="5" t="str">
        <f t="shared" ca="1" si="3"/>
        <v>🔴 Maior que 24h</v>
      </c>
      <c r="R3" s="5" t="str">
        <f t="shared" ca="1" si="4"/>
        <v>FORA DO PRAZO</v>
      </c>
      <c r="S3" s="1">
        <f>IF($A3="","",COUNTIF($N$2:N3,$N3))</f>
        <v>1</v>
      </c>
      <c r="T3" s="1">
        <f t="shared" si="5"/>
        <v>2</v>
      </c>
      <c r="U3" s="1">
        <f t="shared" si="6"/>
        <v>20001</v>
      </c>
      <c r="V3" s="45" t="s">
        <v>46</v>
      </c>
    </row>
    <row r="4" spans="1:22" ht="15.75" customHeight="1" thickBot="1" x14ac:dyDescent="0.35">
      <c r="A4" s="51" t="s">
        <v>167</v>
      </c>
      <c r="B4" s="38" t="s">
        <v>168</v>
      </c>
      <c r="C4" s="38" t="s">
        <v>34</v>
      </c>
      <c r="D4" s="38" t="s">
        <v>169</v>
      </c>
      <c r="E4" s="38" t="s">
        <v>170</v>
      </c>
      <c r="F4" s="39">
        <v>46170.612442129626</v>
      </c>
      <c r="G4" s="38">
        <v>5</v>
      </c>
      <c r="H4" s="40" t="s">
        <v>51</v>
      </c>
      <c r="I4" s="69" t="s">
        <v>64</v>
      </c>
      <c r="J4" s="38"/>
      <c r="K4" s="38" t="s">
        <v>36</v>
      </c>
      <c r="L4" s="38" t="s">
        <v>37</v>
      </c>
      <c r="M4" s="6" t="str">
        <f t="shared" si="0"/>
        <v>MA CAP</v>
      </c>
      <c r="N4" s="6" t="str">
        <f t="shared" si="1"/>
        <v>SLN MA</v>
      </c>
      <c r="O4" s="7">
        <f ca="1">IF(F4="","",IF(INT(F4)=INT(NOW()),IF(NETWORKDAYS.INTL(F4,F4,1,FERIADOS!$A$2:$A$50)=0,0,MAX(0,(MIN(NOW(),INT(NOW())+18/24)-MAX(F4,INT(F4)+8/24)))*24),MAX(0,(INT(F4)+18/24-MAX(F4,INT(F4)+8/24)))*24*NETWORKDAYS.INTL(F4,F4,1,FERIADOS!$A$2:$A$50)+MAX(0,NETWORKDAYS.INTL(F4+1,NOW()-1,1,FERIADOS!$A$2:$A$50))*10+MAX(0,(MIN(NOW(),INT(NOW())+18/24)-(INT(NOW())+8/24)))*24*NETWORKDAYS.INTL(NOW(),NOW(),1,FERIADOS!$A$2:$A$50)))</f>
        <v>33.301388888969086</v>
      </c>
      <c r="P4" s="8" t="str">
        <f t="shared" ca="1" si="2"/>
        <v>33h 18m</v>
      </c>
      <c r="Q4" s="8" t="str">
        <f t="shared" ca="1" si="3"/>
        <v>🔴 Maior que 24h</v>
      </c>
      <c r="R4" s="8" t="str">
        <f t="shared" ca="1" si="4"/>
        <v>FORA DO PRAZO</v>
      </c>
      <c r="S4" s="1">
        <f>IF($A4="","",COUNTIF($N$2:N4,$N4))</f>
        <v>1</v>
      </c>
      <c r="T4" s="1">
        <f t="shared" si="5"/>
        <v>1</v>
      </c>
      <c r="U4" s="1">
        <f t="shared" si="6"/>
        <v>10001</v>
      </c>
      <c r="V4" s="45" t="s">
        <v>44</v>
      </c>
    </row>
    <row r="5" spans="1:22" ht="15.75" customHeight="1" thickBot="1" x14ac:dyDescent="0.35">
      <c r="A5" s="51" t="s">
        <v>139</v>
      </c>
      <c r="B5" s="41" t="s">
        <v>41</v>
      </c>
      <c r="C5" s="41" t="s">
        <v>34</v>
      </c>
      <c r="D5" s="41" t="s">
        <v>35</v>
      </c>
      <c r="E5" s="41" t="s">
        <v>140</v>
      </c>
      <c r="F5" s="42">
        <v>46171.597858796296</v>
      </c>
      <c r="G5" s="41">
        <v>4</v>
      </c>
      <c r="H5" s="43" t="s">
        <v>51</v>
      </c>
      <c r="I5" s="70" t="s">
        <v>64</v>
      </c>
      <c r="J5" s="41"/>
      <c r="K5" s="41" t="s">
        <v>36</v>
      </c>
      <c r="L5" s="41" t="s">
        <v>37</v>
      </c>
      <c r="M5" s="3" t="str">
        <f t="shared" si="0"/>
        <v>MA CAP</v>
      </c>
      <c r="N5" s="3" t="str">
        <f t="shared" si="1"/>
        <v>SLN MA</v>
      </c>
      <c r="O5" s="4">
        <f ca="1">IF(F5="","",IF(INT(F5)=INT(NOW()),IF(NETWORKDAYS.INTL(F5,F5,1,FERIADOS!$A$2:$A$50)=0,0,MAX(0,(MIN(NOW(),INT(NOW())+18/24)-MAX(F5,INT(F5)+8/24)))*24),MAX(0,(INT(F5)+18/24-MAX(F5,INT(F5)+8/24)))*24*NETWORKDAYS.INTL(F5,F5,1,FERIADOS!$A$2:$A$50)+MAX(0,NETWORKDAYS.INTL(F5+1,NOW()-1,1,FERIADOS!$A$2:$A$50))*10+MAX(0,(MIN(NOW(),INT(NOW())+18/24)-(INT(NOW())+8/24)))*24*NETWORKDAYS.INTL(NOW(),NOW(),1,FERIADOS!$A$2:$A$50)))</f>
        <v>23.651388888887595</v>
      </c>
      <c r="P5" s="5" t="str">
        <f t="shared" ca="1" si="2"/>
        <v>23h 39m</v>
      </c>
      <c r="Q5" s="5" t="str">
        <f t="shared" ca="1" si="3"/>
        <v>🟠 Entre 12h e 24h</v>
      </c>
      <c r="R5" s="5" t="str">
        <f t="shared" ca="1" si="4"/>
        <v>FORA DO PRAZO</v>
      </c>
      <c r="S5" s="1">
        <f>IF($A5="","",COUNTIF($N$2:N5,$N5))</f>
        <v>2</v>
      </c>
      <c r="T5" s="1">
        <f t="shared" si="5"/>
        <v>1</v>
      </c>
      <c r="U5" s="1">
        <f t="shared" si="6"/>
        <v>10002</v>
      </c>
      <c r="V5" s="45" t="s">
        <v>43</v>
      </c>
    </row>
    <row r="6" spans="1:22" ht="15.75" customHeight="1" thickBot="1" x14ac:dyDescent="0.35">
      <c r="A6" s="51" t="s">
        <v>136</v>
      </c>
      <c r="B6" s="38" t="s">
        <v>137</v>
      </c>
      <c r="C6" s="38" t="s">
        <v>34</v>
      </c>
      <c r="D6" s="38" t="s">
        <v>35</v>
      </c>
      <c r="E6" s="38" t="s">
        <v>138</v>
      </c>
      <c r="F6" s="39">
        <v>46172.542025462964</v>
      </c>
      <c r="G6" s="38">
        <v>3</v>
      </c>
      <c r="H6" s="40" t="s">
        <v>51</v>
      </c>
      <c r="I6" s="69" t="s">
        <v>64</v>
      </c>
      <c r="J6" s="38"/>
      <c r="K6" s="38" t="s">
        <v>36</v>
      </c>
      <c r="L6" s="38" t="s">
        <v>37</v>
      </c>
      <c r="M6" s="6" t="str">
        <f t="shared" si="0"/>
        <v>MA CAP</v>
      </c>
      <c r="N6" s="6" t="str">
        <f t="shared" si="1"/>
        <v>SLN MA</v>
      </c>
      <c r="O6" s="7">
        <f ca="1">IF(F6="","",IF(INT(F6)=INT(NOW()),IF(NETWORKDAYS.INTL(F6,F6,1,FERIADOS!$A$2:$A$50)=0,0,MAX(0,(MIN(NOW(),INT(NOW())+18/24)-MAX(F6,INT(F6)+8/24)))*24),MAX(0,(INT(F6)+18/24-MAX(F6,INT(F6)+8/24)))*24*NETWORKDAYS.INTL(F6,F6,1,FERIADOS!$A$2:$A$50)+MAX(0,NETWORKDAYS.INTL(F6+1,NOW()-1,1,FERIADOS!$A$2:$A$50))*10+MAX(0,(MIN(NOW(),INT(NOW())+18/24)-(INT(NOW())+8/24)))*24*NETWORKDAYS.INTL(NOW(),NOW(),1,FERIADOS!$A$2:$A$50)))</f>
        <v>20</v>
      </c>
      <c r="P6" s="8" t="str">
        <f t="shared" ca="1" si="2"/>
        <v>20h 00m</v>
      </c>
      <c r="Q6" s="8" t="str">
        <f t="shared" ca="1" si="3"/>
        <v>🟠 Entre 12h e 24h</v>
      </c>
      <c r="R6" s="8" t="str">
        <f t="shared" ca="1" si="4"/>
        <v>FORA DO PRAZO</v>
      </c>
      <c r="S6" s="1">
        <f>IF($A6="","",COUNTIF($N$2:N6,$N6))</f>
        <v>3</v>
      </c>
      <c r="T6" s="1">
        <f t="shared" si="5"/>
        <v>1</v>
      </c>
      <c r="U6" s="1">
        <f t="shared" si="6"/>
        <v>10003</v>
      </c>
      <c r="V6" s="45" t="s">
        <v>42</v>
      </c>
    </row>
    <row r="7" spans="1:22" ht="15.75" customHeight="1" thickBot="1" x14ac:dyDescent="0.35">
      <c r="A7" s="51" t="s">
        <v>164</v>
      </c>
      <c r="B7" s="38" t="s">
        <v>41</v>
      </c>
      <c r="C7" s="38" t="s">
        <v>34</v>
      </c>
      <c r="D7" s="38" t="s">
        <v>35</v>
      </c>
      <c r="E7" s="38" t="s">
        <v>165</v>
      </c>
      <c r="F7" s="39">
        <v>46173.806087962963</v>
      </c>
      <c r="G7" s="38">
        <v>2</v>
      </c>
      <c r="H7" s="40" t="s">
        <v>51</v>
      </c>
      <c r="I7" s="69" t="s">
        <v>64</v>
      </c>
      <c r="J7" s="38"/>
      <c r="K7" s="38" t="s">
        <v>36</v>
      </c>
      <c r="L7" s="38" t="s">
        <v>37</v>
      </c>
      <c r="M7" s="3" t="str">
        <f t="shared" si="0"/>
        <v>MA CAP</v>
      </c>
      <c r="N7" s="3" t="str">
        <f t="shared" si="1"/>
        <v>SLN MA</v>
      </c>
      <c r="O7" s="4">
        <f ca="1">IF(F7="","",IF(INT(F7)=INT(NOW()),IF(NETWORKDAYS.INTL(F7,F7,1,FERIADOS!$A$2:$A$50)=0,0,MAX(0,(MIN(NOW(),INT(NOW())+18/24)-MAX(F7,INT(F7)+8/24)))*24),MAX(0,(INT(F7)+18/24-MAX(F7,INT(F7)+8/24)))*24*NETWORKDAYS.INTL(F7,F7,1,FERIADOS!$A$2:$A$50)+MAX(0,NETWORKDAYS.INTL(F7+1,NOW()-1,1,FERIADOS!$A$2:$A$50))*10+MAX(0,(MIN(NOW(),INT(NOW())+18/24)-(INT(NOW())+8/24)))*24*NETWORKDAYS.INTL(NOW(),NOW(),1,FERIADOS!$A$2:$A$50)))</f>
        <v>20</v>
      </c>
      <c r="P7" s="5" t="str">
        <f t="shared" ca="1" si="2"/>
        <v>20h 00m</v>
      </c>
      <c r="Q7" s="5" t="str">
        <f t="shared" ca="1" si="3"/>
        <v>🟠 Entre 12h e 24h</v>
      </c>
      <c r="R7" s="5" t="str">
        <f t="shared" ca="1" si="4"/>
        <v>FORA DO PRAZO</v>
      </c>
      <c r="S7" s="1">
        <f>IF($A7="","",COUNTIF($N$2:N7,$N7))</f>
        <v>4</v>
      </c>
      <c r="T7" s="1">
        <f t="shared" si="5"/>
        <v>1</v>
      </c>
      <c r="U7" s="1">
        <f t="shared" si="6"/>
        <v>10004</v>
      </c>
      <c r="V7" s="59"/>
    </row>
    <row r="8" spans="1:22" ht="15.75" customHeight="1" thickBot="1" x14ac:dyDescent="0.35">
      <c r="A8" s="51" t="s">
        <v>130</v>
      </c>
      <c r="B8" s="41" t="s">
        <v>41</v>
      </c>
      <c r="C8" s="41" t="s">
        <v>34</v>
      </c>
      <c r="D8" s="41" t="s">
        <v>35</v>
      </c>
      <c r="E8" s="41" t="s">
        <v>131</v>
      </c>
      <c r="F8" s="42">
        <v>46173.208935185183</v>
      </c>
      <c r="G8" s="41">
        <v>2</v>
      </c>
      <c r="H8" s="43" t="s">
        <v>51</v>
      </c>
      <c r="I8" s="70" t="s">
        <v>166</v>
      </c>
      <c r="J8" s="41"/>
      <c r="K8" s="41" t="s">
        <v>36</v>
      </c>
      <c r="L8" s="41" t="s">
        <v>37</v>
      </c>
      <c r="M8" s="3" t="str">
        <f t="shared" si="0"/>
        <v>MA CAP</v>
      </c>
      <c r="N8" s="3" t="str">
        <f t="shared" si="1"/>
        <v>SLN MA</v>
      </c>
      <c r="O8" s="4">
        <f ca="1">IF(F8="","",IF(INT(F8)=INT(NOW()),IF(NETWORKDAYS.INTL(F8,F8,1,FERIADOS!$A$2:$A$50)=0,0,MAX(0,(MIN(NOW(),INT(NOW())+18/24)-MAX(F8,INT(F8)+8/24)))*24),MAX(0,(INT(F8)+18/24-MAX(F8,INT(F8)+8/24)))*24*NETWORKDAYS.INTL(F8,F8,1,FERIADOS!$A$2:$A$50)+MAX(0,NETWORKDAYS.INTL(F8+1,NOW()-1,1,FERIADOS!$A$2:$A$50))*10+MAX(0,(MIN(NOW(),INT(NOW())+18/24)-(INT(NOW())+8/24)))*24*NETWORKDAYS.INTL(NOW(),NOW(),1,FERIADOS!$A$2:$A$50)))</f>
        <v>20</v>
      </c>
      <c r="P8" s="5" t="str">
        <f t="shared" ca="1" si="2"/>
        <v>20h 00m</v>
      </c>
      <c r="Q8" s="5" t="str">
        <f t="shared" ca="1" si="3"/>
        <v>🟠 Entre 12h e 24h</v>
      </c>
      <c r="R8" s="5" t="str">
        <f t="shared" ca="1" si="4"/>
        <v>FORA DO PRAZO</v>
      </c>
      <c r="S8" s="1">
        <f>IF($A8="","",COUNTIF($N$2:N8,$N8))</f>
        <v>5</v>
      </c>
      <c r="T8" s="1">
        <f t="shared" si="5"/>
        <v>1</v>
      </c>
      <c r="U8" s="1">
        <f t="shared" si="6"/>
        <v>10005</v>
      </c>
      <c r="V8" s="45" t="s">
        <v>38</v>
      </c>
    </row>
    <row r="9" spans="1:22" ht="15.75" customHeight="1" thickBot="1" x14ac:dyDescent="0.35">
      <c r="A9" s="51" t="s">
        <v>132</v>
      </c>
      <c r="B9" s="71" t="s">
        <v>41</v>
      </c>
      <c r="C9" s="71" t="s">
        <v>34</v>
      </c>
      <c r="D9" s="71" t="s">
        <v>35</v>
      </c>
      <c r="E9" s="71" t="s">
        <v>133</v>
      </c>
      <c r="F9" s="72">
        <v>46173.208912037036</v>
      </c>
      <c r="G9" s="71">
        <v>2</v>
      </c>
      <c r="H9" s="73" t="s">
        <v>51</v>
      </c>
      <c r="I9" s="74" t="s">
        <v>64</v>
      </c>
      <c r="J9" s="71"/>
      <c r="K9" s="71" t="s">
        <v>36</v>
      </c>
      <c r="L9" s="71" t="s">
        <v>37</v>
      </c>
      <c r="M9" s="6" t="str">
        <f t="shared" si="0"/>
        <v>MA CAP</v>
      </c>
      <c r="N9" s="6" t="str">
        <f t="shared" si="1"/>
        <v>SLN MA</v>
      </c>
      <c r="O9" s="7">
        <f ca="1">IF(F9="","",IF(INT(F9)=INT(NOW()),IF(NETWORKDAYS.INTL(F9,F9,1,FERIADOS!$A$2:$A$50)=0,0,MAX(0,(MIN(NOW(),INT(NOW())+18/24)-MAX(F9,INT(F9)+8/24)))*24),MAX(0,(INT(F9)+18/24-MAX(F9,INT(F9)+8/24)))*24*NETWORKDAYS.INTL(F9,F9,1,FERIADOS!$A$2:$A$50)+MAX(0,NETWORKDAYS.INTL(F9+1,NOW()-1,1,FERIADOS!$A$2:$A$50))*10+MAX(0,(MIN(NOW(),INT(NOW())+18/24)-(INT(NOW())+8/24)))*24*NETWORKDAYS.INTL(NOW(),NOW(),1,FERIADOS!$A$2:$A$50)))</f>
        <v>20</v>
      </c>
      <c r="P9" s="8" t="str">
        <f t="shared" ca="1" si="2"/>
        <v>20h 00m</v>
      </c>
      <c r="Q9" s="8" t="str">
        <f t="shared" ca="1" si="3"/>
        <v>🟠 Entre 12h e 24h</v>
      </c>
      <c r="R9" s="8" t="str">
        <f t="shared" ca="1" si="4"/>
        <v>FORA DO PRAZO</v>
      </c>
      <c r="S9" s="1">
        <f>IF($A9="","",COUNTIF($N$2:N9,$N9))</f>
        <v>6</v>
      </c>
      <c r="T9" s="1">
        <f t="shared" si="5"/>
        <v>1</v>
      </c>
      <c r="U9" s="1">
        <f t="shared" si="6"/>
        <v>10006</v>
      </c>
      <c r="V9" s="45" t="s">
        <v>40</v>
      </c>
    </row>
    <row r="10" spans="1:22" ht="15.75" customHeight="1" thickBot="1" x14ac:dyDescent="0.35">
      <c r="A10" s="51" t="s">
        <v>134</v>
      </c>
      <c r="B10" s="41" t="s">
        <v>33</v>
      </c>
      <c r="C10" s="41" t="s">
        <v>34</v>
      </c>
      <c r="D10" s="41" t="s">
        <v>35</v>
      </c>
      <c r="E10" s="41" t="s">
        <v>135</v>
      </c>
      <c r="F10" s="42">
        <v>46173.208854166667</v>
      </c>
      <c r="G10" s="41">
        <v>2</v>
      </c>
      <c r="H10" s="43" t="s">
        <v>51</v>
      </c>
      <c r="I10" s="70" t="s">
        <v>166</v>
      </c>
      <c r="J10" s="41"/>
      <c r="K10" s="41" t="s">
        <v>36</v>
      </c>
      <c r="L10" s="41" t="s">
        <v>37</v>
      </c>
      <c r="M10" s="3" t="str">
        <f t="shared" si="0"/>
        <v>MA CAP</v>
      </c>
      <c r="N10" s="3" t="str">
        <f t="shared" si="1"/>
        <v>SLN MA</v>
      </c>
      <c r="O10" s="4">
        <f ca="1">IF(F10="","",IF(INT(F10)=INT(NOW()),IF(NETWORKDAYS.INTL(F10,F10,1,FERIADOS!$A$2:$A$50)=0,0,MAX(0,(MIN(NOW(),INT(NOW())+18/24)-MAX(F10,INT(F10)+8/24)))*24),MAX(0,(INT(F10)+18/24-MAX(F10,INT(F10)+8/24)))*24*NETWORKDAYS.INTL(F10,F10,1,FERIADOS!$A$2:$A$50)+MAX(0,NETWORKDAYS.INTL(F10+1,NOW()-1,1,FERIADOS!$A$2:$A$50))*10+MAX(0,(MIN(NOW(),INT(NOW())+18/24)-(INT(NOW())+8/24)))*24*NETWORKDAYS.INTL(NOW(),NOW(),1,FERIADOS!$A$2:$A$50)))</f>
        <v>20</v>
      </c>
      <c r="P10" s="5" t="str">
        <f t="shared" ca="1" si="2"/>
        <v>20h 00m</v>
      </c>
      <c r="Q10" s="5" t="str">
        <f t="shared" ca="1" si="3"/>
        <v>🟠 Entre 12h e 24h</v>
      </c>
      <c r="R10" s="5" t="str">
        <f t="shared" ca="1" si="4"/>
        <v>FORA DO PRAZO</v>
      </c>
      <c r="S10" s="1">
        <f>IF($A10="","",COUNTIF($N$2:N10,$N10))</f>
        <v>7</v>
      </c>
      <c r="T10" s="1">
        <f t="shared" si="5"/>
        <v>1</v>
      </c>
      <c r="U10" s="1">
        <f t="shared" si="6"/>
        <v>10007</v>
      </c>
      <c r="V10" s="45" t="s">
        <v>60</v>
      </c>
    </row>
    <row r="11" spans="1:22" ht="15.75" customHeight="1" thickBot="1" x14ac:dyDescent="0.35">
      <c r="A11" s="51" t="s">
        <v>141</v>
      </c>
      <c r="B11" s="38" t="s">
        <v>41</v>
      </c>
      <c r="C11" s="38" t="s">
        <v>34</v>
      </c>
      <c r="D11" s="38" t="s">
        <v>35</v>
      </c>
      <c r="E11" s="38" t="s">
        <v>142</v>
      </c>
      <c r="F11" s="39">
        <v>46174.95890046296</v>
      </c>
      <c r="G11" s="38">
        <v>1</v>
      </c>
      <c r="H11" s="40" t="s">
        <v>51</v>
      </c>
      <c r="I11" s="69" t="s">
        <v>64</v>
      </c>
      <c r="J11" s="38"/>
      <c r="K11" s="38" t="s">
        <v>36</v>
      </c>
      <c r="L11" s="38" t="s">
        <v>37</v>
      </c>
      <c r="M11" s="6" t="str">
        <f t="shared" si="0"/>
        <v>MA CAP</v>
      </c>
      <c r="N11" s="6" t="str">
        <f t="shared" si="1"/>
        <v>SLN MA</v>
      </c>
      <c r="O11" s="4">
        <f ca="1">IF(F11="","",IF(INT(F11)=INT(NOW()),IF(NETWORKDAYS.INTL(F11,F11,1,FERIADOS!$A$2:$A$50)=0,0,MAX(0,(MIN(NOW(),INT(NOW())+18/24)-MAX(F11,INT(F11)+8/24)))*24),MAX(0,(INT(F11)+18/24-MAX(F11,INT(F11)+8/24)))*24*NETWORKDAYS.INTL(F11,F11,1,FERIADOS!$A$2:$A$50)+MAX(0,NETWORKDAYS.INTL(F11+1,NOW()-1,1,FERIADOS!$A$2:$A$50))*10+MAX(0,(MIN(NOW(),INT(NOW())+18/24)-(INT(NOW())+8/24)))*24*NETWORKDAYS.INTL(NOW(),NOW(),1,FERIADOS!$A$2:$A$50)))</f>
        <v>10</v>
      </c>
      <c r="P11" s="5" t="str">
        <f t="shared" ca="1" si="2"/>
        <v>10h 00m</v>
      </c>
      <c r="Q11" s="5" t="str">
        <f t="shared" ca="1" si="3"/>
        <v>🟡 Entre 8h e 12h</v>
      </c>
      <c r="R11" s="5" t="str">
        <f t="shared" ca="1" si="4"/>
        <v>FORA DO PRAZO</v>
      </c>
      <c r="S11" s="1">
        <f>IF($A11="","",COUNTIF($N$2:N11,$N11))</f>
        <v>8</v>
      </c>
      <c r="T11" s="1">
        <f t="shared" si="5"/>
        <v>1</v>
      </c>
      <c r="U11" s="1">
        <f t="shared" si="6"/>
        <v>10008</v>
      </c>
      <c r="V11" s="45" t="s">
        <v>61</v>
      </c>
    </row>
    <row r="12" spans="1:22" ht="15.75" customHeight="1" thickBot="1" x14ac:dyDescent="0.35">
      <c r="A12" s="51" t="s">
        <v>143</v>
      </c>
      <c r="B12" s="41" t="s">
        <v>144</v>
      </c>
      <c r="C12" s="41" t="s">
        <v>34</v>
      </c>
      <c r="D12" s="41" t="s">
        <v>35</v>
      </c>
      <c r="E12" s="41" t="s">
        <v>145</v>
      </c>
      <c r="F12" s="42">
        <v>46174.879432870373</v>
      </c>
      <c r="G12" s="41">
        <v>1</v>
      </c>
      <c r="H12" s="43" t="s">
        <v>51</v>
      </c>
      <c r="I12" s="70" t="s">
        <v>64</v>
      </c>
      <c r="J12" s="41"/>
      <c r="K12" s="41" t="s">
        <v>36</v>
      </c>
      <c r="L12" s="41" t="s">
        <v>37</v>
      </c>
      <c r="M12" s="6" t="str">
        <f t="shared" si="0"/>
        <v>MA CAP</v>
      </c>
      <c r="N12" s="6" t="str">
        <f t="shared" si="1"/>
        <v>SLN MA</v>
      </c>
      <c r="O12" s="4">
        <f ca="1">IF(F12="","",IF(INT(F12)=INT(NOW()),IF(NETWORKDAYS.INTL(F12,F12,1,FERIADOS!$A$2:$A$50)=0,0,MAX(0,(MIN(NOW(),INT(NOW())+18/24)-MAX(F12,INT(F12)+8/24)))*24),MAX(0,(INT(F12)+18/24-MAX(F12,INT(F12)+8/24)))*24*NETWORKDAYS.INTL(F12,F12,1,FERIADOS!$A$2:$A$50)+MAX(0,NETWORKDAYS.INTL(F12+1,NOW()-1,1,FERIADOS!$A$2:$A$50))*10+MAX(0,(MIN(NOW(),INT(NOW())+18/24)-(INT(NOW())+8/24)))*24*NETWORKDAYS.INTL(NOW(),NOW(),1,FERIADOS!$A$2:$A$50)))</f>
        <v>10</v>
      </c>
      <c r="P12" s="5" t="str">
        <f t="shared" ca="1" si="2"/>
        <v>10h 00m</v>
      </c>
      <c r="Q12" s="5" t="str">
        <f t="shared" ca="1" si="3"/>
        <v>🟡 Entre 8h e 12h</v>
      </c>
      <c r="R12" s="5" t="str">
        <f t="shared" ca="1" si="4"/>
        <v>FORA DO PRAZO</v>
      </c>
      <c r="S12" s="1">
        <f>IF($A12="","",COUNTIF($N$2:N12,$N12))</f>
        <v>9</v>
      </c>
      <c r="T12" s="1">
        <f t="shared" si="5"/>
        <v>1</v>
      </c>
      <c r="U12" s="1">
        <f t="shared" si="6"/>
        <v>10009</v>
      </c>
      <c r="V12" s="45" t="s">
        <v>62</v>
      </c>
    </row>
    <row r="13" spans="1:22" ht="15.75" customHeight="1" thickBot="1" x14ac:dyDescent="0.35">
      <c r="A13" s="51" t="s">
        <v>146</v>
      </c>
      <c r="B13" s="38" t="s">
        <v>147</v>
      </c>
      <c r="C13" s="38" t="s">
        <v>34</v>
      </c>
      <c r="D13" s="38" t="s">
        <v>35</v>
      </c>
      <c r="E13" s="38" t="s">
        <v>148</v>
      </c>
      <c r="F13" s="39">
        <v>46174.827939814815</v>
      </c>
      <c r="G13" s="38">
        <v>1</v>
      </c>
      <c r="H13" s="40" t="s">
        <v>39</v>
      </c>
      <c r="I13" s="69" t="s">
        <v>149</v>
      </c>
      <c r="J13" s="38"/>
      <c r="K13" s="38" t="s">
        <v>150</v>
      </c>
      <c r="L13" s="38" t="s">
        <v>37</v>
      </c>
      <c r="M13" s="3" t="str">
        <f t="shared" si="0"/>
        <v>MA INT</v>
      </c>
      <c r="N13" s="3" t="str">
        <f t="shared" si="1"/>
        <v>GIGA+ MA</v>
      </c>
      <c r="O13" s="4">
        <f ca="1">IF(F13="","",IF(INT(F13)=INT(NOW()),IF(NETWORKDAYS.INTL(F13,F13,1,FERIADOS!$A$2:$A$50)=0,0,MAX(0,(MIN(NOW(),INT(NOW())+18/24)-MAX(F13,INT(F13)+8/24)))*24),MAX(0,(INT(F13)+18/24-MAX(F13,INT(F13)+8/24)))*24*NETWORKDAYS.INTL(F13,F13,1,FERIADOS!$A$2:$A$50)+MAX(0,NETWORKDAYS.INTL(F13+1,NOW()-1,1,FERIADOS!$A$2:$A$50))*10+MAX(0,(MIN(NOW(),INT(NOW())+18/24)-(INT(NOW())+8/24)))*24*NETWORKDAYS.INTL(NOW(),NOW(),1,FERIADOS!$A$2:$A$50)))</f>
        <v>10</v>
      </c>
      <c r="P13" s="5" t="str">
        <f t="shared" ca="1" si="2"/>
        <v>10h 00m</v>
      </c>
      <c r="Q13" s="5" t="str">
        <f t="shared" ca="1" si="3"/>
        <v>🟡 Entre 8h e 12h</v>
      </c>
      <c r="R13" s="5" t="str">
        <f t="shared" ca="1" si="4"/>
        <v>FORA DO PRAZO</v>
      </c>
      <c r="S13" s="1">
        <f>IF($A13="","",COUNTIF($N$2:N13,$N13))</f>
        <v>2</v>
      </c>
      <c r="T13" s="1">
        <f t="shared" si="5"/>
        <v>2</v>
      </c>
      <c r="U13" s="1">
        <f t="shared" si="6"/>
        <v>20002</v>
      </c>
      <c r="V13" s="45" t="s">
        <v>63</v>
      </c>
    </row>
    <row r="14" spans="1:22" ht="15.75" customHeight="1" thickBot="1" x14ac:dyDescent="0.35">
      <c r="A14" s="51" t="s">
        <v>151</v>
      </c>
      <c r="B14" s="41" t="s">
        <v>41</v>
      </c>
      <c r="C14" s="41" t="s">
        <v>34</v>
      </c>
      <c r="D14" s="41" t="s">
        <v>35</v>
      </c>
      <c r="E14" s="41" t="s">
        <v>152</v>
      </c>
      <c r="F14" s="42">
        <v>46174.709050925929</v>
      </c>
      <c r="G14" s="41">
        <v>1</v>
      </c>
      <c r="H14" s="43" t="s">
        <v>51</v>
      </c>
      <c r="I14" s="70" t="s">
        <v>64</v>
      </c>
      <c r="J14" s="41"/>
      <c r="K14" s="41" t="s">
        <v>36</v>
      </c>
      <c r="L14" s="41" t="s">
        <v>37</v>
      </c>
      <c r="M14" s="53" t="str">
        <f t="shared" si="0"/>
        <v>MA CAP</v>
      </c>
      <c r="N14" s="53" t="str">
        <f t="shared" si="1"/>
        <v>SLN MA</v>
      </c>
      <c r="O14" s="4">
        <f ca="1">IF(F14="","",IF(INT(F14)=INT(NOW()),IF(NETWORKDAYS.INTL(F14,F14,1,FERIADOS!$A$2:$A$50)=0,0,MAX(0,(MIN(NOW(),INT(NOW())+18/24)-MAX(F14,INT(F14)+8/24)))*24),MAX(0,(INT(F14)+18/24-MAX(F14,INT(F14)+8/24)))*24*NETWORKDAYS.INTL(F14,F14,1,FERIADOS!$A$2:$A$50)+MAX(0,NETWORKDAYS.INTL(F14+1,NOW()-1,1,FERIADOS!$A$2:$A$50))*10+MAX(0,(MIN(NOW(),INT(NOW())+18/24)-(INT(NOW())+8/24)))*24*NETWORKDAYS.INTL(NOW(),NOW(),1,FERIADOS!$A$2:$A$50)))</f>
        <v>10.982777777709998</v>
      </c>
      <c r="P14" s="53" t="str">
        <f t="shared" ca="1" si="2"/>
        <v>10h 58m</v>
      </c>
      <c r="Q14" s="5" t="str">
        <f t="shared" ca="1" si="3"/>
        <v>🟡 Entre 8h e 12h</v>
      </c>
      <c r="R14" s="5" t="str">
        <f t="shared" ca="1" si="4"/>
        <v>FORA DO PRAZO</v>
      </c>
      <c r="S14" s="1">
        <f>IF($A14="","",COUNTIF($N$2:N14,$N14))</f>
        <v>10</v>
      </c>
      <c r="T14" s="1">
        <f t="shared" si="5"/>
        <v>1</v>
      </c>
      <c r="U14" s="1">
        <f t="shared" si="6"/>
        <v>10010</v>
      </c>
      <c r="V14" s="45" t="s">
        <v>65</v>
      </c>
    </row>
    <row r="15" spans="1:22" ht="15.75" customHeight="1" thickBot="1" x14ac:dyDescent="0.35">
      <c r="A15" s="51" t="s">
        <v>153</v>
      </c>
      <c r="B15" s="38" t="s">
        <v>41</v>
      </c>
      <c r="C15" s="38" t="s">
        <v>34</v>
      </c>
      <c r="D15" s="38" t="s">
        <v>35</v>
      </c>
      <c r="E15" s="38" t="s">
        <v>154</v>
      </c>
      <c r="F15" s="39">
        <v>46174.702002314814</v>
      </c>
      <c r="G15" s="38">
        <v>1</v>
      </c>
      <c r="H15" s="40" t="s">
        <v>51</v>
      </c>
      <c r="I15" s="69" t="s">
        <v>64</v>
      </c>
      <c r="J15" s="38"/>
      <c r="K15" s="38" t="s">
        <v>36</v>
      </c>
      <c r="L15" s="38" t="s">
        <v>37</v>
      </c>
      <c r="M15" s="53" t="str">
        <f t="shared" si="0"/>
        <v>MA CAP</v>
      </c>
      <c r="N15" s="53" t="str">
        <f t="shared" si="1"/>
        <v>SLN MA</v>
      </c>
      <c r="O15" s="4">
        <f ca="1">IF(F15="","",IF(INT(F15)=INT(NOW()),IF(NETWORKDAYS.INTL(F15,F15,1,FERIADOS!$A$2:$A$50)=0,0,MAX(0,(MIN(NOW(),INT(NOW())+18/24)-MAX(F15,INT(F15)+8/24)))*24),MAX(0,(INT(F15)+18/24-MAX(F15,INT(F15)+8/24)))*24*NETWORKDAYS.INTL(F15,F15,1,FERIADOS!$A$2:$A$50)+MAX(0,NETWORKDAYS.INTL(F15+1,NOW()-1,1,FERIADOS!$A$2:$A$50))*10+MAX(0,(MIN(NOW(),INT(NOW())+18/24)-(INT(NOW())+8/24)))*24*NETWORKDAYS.INTL(NOW(),NOW(),1,FERIADOS!$A$2:$A$50)))</f>
        <v>11.151944444456603</v>
      </c>
      <c r="P15" s="53" t="str">
        <f t="shared" ca="1" si="2"/>
        <v>11h 09m</v>
      </c>
      <c r="Q15" s="5" t="str">
        <f t="shared" ca="1" si="3"/>
        <v>🟡 Entre 8h e 12h</v>
      </c>
      <c r="R15" s="5" t="str">
        <f t="shared" ca="1" si="4"/>
        <v>FORA DO PRAZO</v>
      </c>
      <c r="S15" s="1">
        <f>IF($A15="","",COUNTIF($N$2:N15,$N15))</f>
        <v>11</v>
      </c>
      <c r="T15" s="1">
        <f t="shared" si="5"/>
        <v>1</v>
      </c>
      <c r="U15" s="1">
        <f t="shared" si="6"/>
        <v>10011</v>
      </c>
      <c r="V15" s="45" t="s">
        <v>66</v>
      </c>
    </row>
    <row r="16" spans="1:22" ht="15.75" customHeight="1" thickBot="1" x14ac:dyDescent="0.35">
      <c r="A16" s="51" t="s">
        <v>155</v>
      </c>
      <c r="B16" s="41" t="s">
        <v>41</v>
      </c>
      <c r="C16" s="41" t="s">
        <v>34</v>
      </c>
      <c r="D16" s="41" t="s">
        <v>35</v>
      </c>
      <c r="E16" s="41" t="s">
        <v>154</v>
      </c>
      <c r="F16" s="42">
        <v>46174.681238425925</v>
      </c>
      <c r="G16" s="41">
        <v>1</v>
      </c>
      <c r="H16" s="43" t="s">
        <v>51</v>
      </c>
      <c r="I16" s="70" t="s">
        <v>64</v>
      </c>
      <c r="J16" s="41"/>
      <c r="K16" s="41" t="s">
        <v>36</v>
      </c>
      <c r="L16" s="41" t="s">
        <v>37</v>
      </c>
      <c r="M16" s="53" t="str">
        <f t="shared" si="0"/>
        <v>MA CAP</v>
      </c>
      <c r="N16" s="53" t="str">
        <f t="shared" si="1"/>
        <v>SLN MA</v>
      </c>
      <c r="O16" s="4">
        <f ca="1">IF(F16="","",IF(INT(F16)=INT(NOW()),IF(NETWORKDAYS.INTL(F16,F16,1,FERIADOS!$A$2:$A$50)=0,0,MAX(0,(MIN(NOW(),INT(NOW())+18/24)-MAX(F16,INT(F16)+8/24)))*24),MAX(0,(INT(F16)+18/24-MAX(F16,INT(F16)+8/24)))*24*NETWORKDAYS.INTL(F16,F16,1,FERIADOS!$A$2:$A$50)+MAX(0,NETWORKDAYS.INTL(F16+1,NOW()-1,1,FERIADOS!$A$2:$A$50))*10+MAX(0,(MIN(NOW(),INT(NOW())+18/24)-(INT(NOW())+8/24)))*24*NETWORKDAYS.INTL(NOW(),NOW(),1,FERIADOS!$A$2:$A$50)))</f>
        <v>11.650277777807787</v>
      </c>
      <c r="P16" s="53" t="str">
        <f t="shared" ca="1" si="2"/>
        <v>11h 39m</v>
      </c>
      <c r="Q16" s="5" t="str">
        <f t="shared" ca="1" si="3"/>
        <v>🟡 Entre 8h e 12h</v>
      </c>
      <c r="R16" s="5" t="str">
        <f t="shared" ca="1" si="4"/>
        <v>FORA DO PRAZO</v>
      </c>
      <c r="S16" s="1">
        <f>IF($A16="","",COUNTIF($N$2:N16,$N16))</f>
        <v>12</v>
      </c>
      <c r="T16" s="1">
        <f t="shared" si="5"/>
        <v>1</v>
      </c>
      <c r="U16" s="1">
        <f t="shared" si="6"/>
        <v>10012</v>
      </c>
      <c r="V16" s="45" t="s">
        <v>68</v>
      </c>
    </row>
    <row r="17" spans="1:22" ht="15.75" customHeight="1" thickBot="1" x14ac:dyDescent="0.35">
      <c r="A17" s="51" t="s">
        <v>156</v>
      </c>
      <c r="B17" s="38" t="s">
        <v>33</v>
      </c>
      <c r="C17" s="38" t="s">
        <v>34</v>
      </c>
      <c r="D17" s="38" t="s">
        <v>35</v>
      </c>
      <c r="E17" s="38" t="s">
        <v>157</v>
      </c>
      <c r="F17" s="39">
        <v>46174.500636574077</v>
      </c>
      <c r="G17" s="38">
        <v>1</v>
      </c>
      <c r="H17" s="40" t="s">
        <v>51</v>
      </c>
      <c r="I17" s="69" t="s">
        <v>64</v>
      </c>
      <c r="J17" s="38"/>
      <c r="K17" s="38" t="s">
        <v>36</v>
      </c>
      <c r="L17" s="38" t="s">
        <v>37</v>
      </c>
      <c r="M17" s="53" t="str">
        <f t="shared" si="0"/>
        <v>MA CAP</v>
      </c>
      <c r="N17" s="53" t="str">
        <f t="shared" si="1"/>
        <v>SLN MA</v>
      </c>
      <c r="O17" s="4">
        <f ca="1">IF(F17="","",IF(INT(F17)=INT(NOW()),IF(NETWORKDAYS.INTL(F17,F17,1,FERIADOS!$A$2:$A$50)=0,0,MAX(0,(MIN(NOW(),INT(NOW())+18/24)-MAX(F17,INT(F17)+8/24)))*24),MAX(0,(INT(F17)+18/24-MAX(F17,INT(F17)+8/24)))*24*NETWORKDAYS.INTL(F17,F17,1,FERIADOS!$A$2:$A$50)+MAX(0,NETWORKDAYS.INTL(F17+1,NOW()-1,1,FERIADOS!$A$2:$A$50))*10+MAX(0,(MIN(NOW(),INT(NOW())+18/24)-(INT(NOW())+8/24)))*24*NETWORKDAYS.INTL(NOW(),NOW(),1,FERIADOS!$A$2:$A$50)))</f>
        <v>15.984722222143319</v>
      </c>
      <c r="P17" s="53" t="str">
        <f t="shared" ca="1" si="2"/>
        <v>15h 59m</v>
      </c>
      <c r="Q17" s="5" t="str">
        <f t="shared" ca="1" si="3"/>
        <v>🟠 Entre 12h e 24h</v>
      </c>
      <c r="R17" s="5" t="str">
        <f t="shared" ca="1" si="4"/>
        <v>FORA DO PRAZO</v>
      </c>
      <c r="S17" s="1">
        <f>IF($A17="","",COUNTIF($N$2:N17,$N17))</f>
        <v>13</v>
      </c>
      <c r="T17" s="1">
        <f t="shared" si="5"/>
        <v>1</v>
      </c>
      <c r="U17" s="1">
        <f t="shared" si="6"/>
        <v>10013</v>
      </c>
      <c r="V17" s="45" t="s">
        <v>69</v>
      </c>
    </row>
    <row r="18" spans="1:22" ht="15.75" customHeight="1" thickBot="1" x14ac:dyDescent="0.35">
      <c r="A18" s="51" t="s">
        <v>158</v>
      </c>
      <c r="B18" s="41" t="s">
        <v>159</v>
      </c>
      <c r="C18" s="41" t="s">
        <v>34</v>
      </c>
      <c r="D18" s="41" t="s">
        <v>35</v>
      </c>
      <c r="E18" s="41" t="s">
        <v>160</v>
      </c>
      <c r="F18" s="42">
        <v>46174.40115740741</v>
      </c>
      <c r="G18" s="41">
        <v>1</v>
      </c>
      <c r="H18" s="43" t="s">
        <v>51</v>
      </c>
      <c r="I18" s="70" t="s">
        <v>64</v>
      </c>
      <c r="J18" s="41"/>
      <c r="K18" s="41" t="s">
        <v>36</v>
      </c>
      <c r="L18" s="41" t="s">
        <v>37</v>
      </c>
      <c r="M18" s="53" t="str">
        <f t="shared" si="0"/>
        <v>MA CAP</v>
      </c>
      <c r="N18" s="53" t="str">
        <f t="shared" si="1"/>
        <v>SLN MA</v>
      </c>
      <c r="O18" s="4">
        <f ca="1">IF(F18="","",IF(INT(F18)=INT(NOW()),IF(NETWORKDAYS.INTL(F18,F18,1,FERIADOS!$A$2:$A$50)=0,0,MAX(0,(MIN(NOW(),INT(NOW())+18/24)-MAX(F18,INT(F18)+8/24)))*24),MAX(0,(INT(F18)+18/24-MAX(F18,INT(F18)+8/24)))*24*NETWORKDAYS.INTL(F18,F18,1,FERIADOS!$A$2:$A$50)+MAX(0,NETWORKDAYS.INTL(F18+1,NOW()-1,1,FERIADOS!$A$2:$A$50))*10+MAX(0,(MIN(NOW(),INT(NOW())+18/24)-(INT(NOW())+8/24)))*24*NETWORKDAYS.INTL(NOW(),NOW(),1,FERIADOS!$A$2:$A$50)))</f>
        <v>18.37222222215496</v>
      </c>
      <c r="P18" s="53" t="str">
        <f t="shared" ca="1" si="2"/>
        <v>18h 22m</v>
      </c>
      <c r="Q18" s="5" t="str">
        <f t="shared" ca="1" si="3"/>
        <v>🟠 Entre 12h e 24h</v>
      </c>
      <c r="R18" s="5" t="str">
        <f t="shared" ca="1" si="4"/>
        <v>FORA DO PRAZO</v>
      </c>
      <c r="S18" s="1">
        <f>IF($A18="","",COUNTIF($N$2:N18,$N18))</f>
        <v>14</v>
      </c>
      <c r="T18" s="1">
        <f t="shared" si="5"/>
        <v>1</v>
      </c>
      <c r="U18" s="1">
        <f t="shared" si="6"/>
        <v>10014</v>
      </c>
      <c r="V18" s="45" t="s">
        <v>70</v>
      </c>
    </row>
    <row r="19" spans="1:22" ht="15.75" customHeight="1" thickBot="1" x14ac:dyDescent="0.35">
      <c r="A19" s="52" t="s">
        <v>161</v>
      </c>
      <c r="B19" s="41" t="s">
        <v>162</v>
      </c>
      <c r="C19" s="41" t="s">
        <v>34</v>
      </c>
      <c r="D19" s="41" t="s">
        <v>35</v>
      </c>
      <c r="E19" s="41" t="s">
        <v>163</v>
      </c>
      <c r="F19" s="42">
        <v>46174.353865740741</v>
      </c>
      <c r="G19" s="41">
        <v>1</v>
      </c>
      <c r="H19" s="43" t="s">
        <v>39</v>
      </c>
      <c r="I19" s="70" t="s">
        <v>149</v>
      </c>
      <c r="J19" s="41"/>
      <c r="K19" s="41" t="s">
        <v>175</v>
      </c>
      <c r="L19" s="41" t="s">
        <v>45</v>
      </c>
      <c r="M19" s="3" t="str">
        <f t="shared" si="0"/>
        <v>PA INT</v>
      </c>
      <c r="N19" s="3" t="str">
        <f t="shared" si="1"/>
        <v>SLN PA</v>
      </c>
      <c r="O19" s="4">
        <f ca="1">IF(F19="","",IF(INT(F19)=INT(NOW()),IF(NETWORKDAYS.INTL(F19,F19,1,FERIADOS!$A$2:$A$50)=0,0,MAX(0,(MIN(NOW(),INT(NOW())+18/24)-MAX(F19,INT(F19)+8/24)))*24),MAX(0,(INT(F19)+18/24-MAX(F19,INT(F19)+8/24)))*24*NETWORKDAYS.INTL(F19,F19,1,FERIADOS!$A$2:$A$50)+MAX(0,NETWORKDAYS.INTL(F19+1,NOW()-1,1,FERIADOS!$A$2:$A$50))*10+MAX(0,(MIN(NOW(),INT(NOW())+18/24)-(INT(NOW())+8/24)))*24*NETWORKDAYS.INTL(NOW(),NOW(),1,FERIADOS!$A$2:$A$50)))</f>
        <v>19.507222222222481</v>
      </c>
      <c r="P19" s="5" t="str">
        <f t="shared" ca="1" si="2"/>
        <v>19h 30m</v>
      </c>
      <c r="Q19" s="5" t="str">
        <f t="shared" ca="1" si="3"/>
        <v>🟠 Entre 12h e 24h</v>
      </c>
      <c r="R19" s="5" t="str">
        <f t="shared" ca="1" si="4"/>
        <v>FORA DO PRAZO</v>
      </c>
      <c r="S19" s="1">
        <f>IF($A19="","",COUNTIF($N$2:N19,$N19))</f>
        <v>1</v>
      </c>
      <c r="T19" s="1">
        <f t="shared" si="5"/>
        <v>4</v>
      </c>
      <c r="U19" s="1">
        <f t="shared" si="6"/>
        <v>40001</v>
      </c>
      <c r="V19" s="45" t="s">
        <v>48</v>
      </c>
    </row>
    <row r="20" spans="1:22" ht="15.75" customHeight="1" thickBot="1" x14ac:dyDescent="0.35">
      <c r="A20" s="51"/>
      <c r="B20" s="63"/>
      <c r="C20" s="61"/>
      <c r="D20" s="38"/>
      <c r="E20" s="63"/>
      <c r="F20" s="39"/>
      <c r="G20" s="38"/>
      <c r="H20" s="40"/>
      <c r="I20" s="67"/>
      <c r="J20" s="38"/>
      <c r="K20" s="61"/>
      <c r="L20" s="38"/>
      <c r="M20" s="6" t="str">
        <f t="shared" si="0"/>
        <v/>
      </c>
      <c r="N20" s="6" t="str">
        <f t="shared" si="1"/>
        <v/>
      </c>
      <c r="O20" s="7" t="str">
        <f ca="1">IF(F20="","",IF(INT(F20)=INT(NOW()),IF(NETWORKDAYS.INTL(F20,F20,1,FERIADOS!$A$2:$A$50)=0,0,MAX(0,(MIN(NOW(),INT(NOW())+18/24)-MAX(F20,INT(F20)+8/24)))*24),MAX(0,(INT(F20)+18/24-MAX(F20,INT(F20)+8/24)))*24*NETWORKDAYS.INTL(F20,F20,1,FERIADOS!$A$2:$A$50)+MAX(0,NETWORKDAYS.INTL(F20+1,NOW()-1,1,FERIADOS!$A$2:$A$50))*10+MAX(0,(MIN(NOW(),INT(NOW())+18/24)-(INT(NOW())+8/24)))*24*NETWORKDAYS.INTL(NOW(),NOW(),1,FERIADOS!$A$2:$A$50)))</f>
        <v/>
      </c>
      <c r="P20" s="8" t="str">
        <f t="shared" si="2"/>
        <v/>
      </c>
      <c r="Q20" s="8" t="str">
        <f t="shared" si="3"/>
        <v/>
      </c>
      <c r="R20" s="8" t="str">
        <f t="shared" si="4"/>
        <v/>
      </c>
      <c r="S20" s="1" t="str">
        <f>IF($A20="","",COUNTIF($N$2:N20,$N20))</f>
        <v/>
      </c>
      <c r="T20" s="1" t="str">
        <f t="shared" si="5"/>
        <v/>
      </c>
      <c r="U20" s="1" t="str">
        <f t="shared" si="6"/>
        <v/>
      </c>
      <c r="V20" s="45" t="s">
        <v>49</v>
      </c>
    </row>
    <row r="21" spans="1:22" ht="15.75" customHeight="1" thickBot="1" x14ac:dyDescent="0.35">
      <c r="A21" s="51"/>
      <c r="B21" s="62"/>
      <c r="C21" s="60"/>
      <c r="D21" s="41"/>
      <c r="E21" s="62"/>
      <c r="F21" s="42"/>
      <c r="G21" s="41"/>
      <c r="H21" s="43"/>
      <c r="I21" s="66"/>
      <c r="J21" s="41"/>
      <c r="K21" s="60"/>
      <c r="L21" s="41"/>
      <c r="M21" s="3" t="str">
        <f t="shared" si="0"/>
        <v/>
      </c>
      <c r="N21" s="3" t="str">
        <f t="shared" si="1"/>
        <v/>
      </c>
      <c r="O21" s="4" t="str">
        <f ca="1">IF(F21="","",IF(INT(F21)=INT(NOW()),IF(NETWORKDAYS.INTL(F21,F21,1,FERIADOS!$A$2:$A$50)=0,0,MAX(0,(MIN(NOW(),INT(NOW())+18/24)-MAX(F21,INT(F21)+8/24)))*24),MAX(0,(INT(F21)+18/24-MAX(F21,INT(F21)+8/24)))*24*NETWORKDAYS.INTL(F21,F21,1,FERIADOS!$A$2:$A$50)+MAX(0,NETWORKDAYS.INTL(F21+1,NOW()-1,1,FERIADOS!$A$2:$A$50))*10+MAX(0,(MIN(NOW(),INT(NOW())+18/24)-(INT(NOW())+8/24)))*24*NETWORKDAYS.INTL(NOW(),NOW(),1,FERIADOS!$A$2:$A$50)))</f>
        <v/>
      </c>
      <c r="P21" s="5" t="str">
        <f t="shared" si="2"/>
        <v/>
      </c>
      <c r="Q21" s="5" t="str">
        <f t="shared" si="3"/>
        <v/>
      </c>
      <c r="R21" s="5" t="str">
        <f t="shared" si="4"/>
        <v/>
      </c>
      <c r="S21" s="1" t="str">
        <f>IF($A21="","",COUNTIF($N$2:N21,$N21))</f>
        <v/>
      </c>
      <c r="T21" s="1" t="str">
        <f t="shared" si="5"/>
        <v/>
      </c>
      <c r="U21" s="1" t="str">
        <f t="shared" si="6"/>
        <v/>
      </c>
      <c r="V21" s="45" t="s">
        <v>50</v>
      </c>
    </row>
    <row r="22" spans="1:22" ht="15.75" customHeight="1" thickBot="1" x14ac:dyDescent="0.35">
      <c r="A22" s="51"/>
      <c r="B22" s="63"/>
      <c r="C22" s="61"/>
      <c r="D22" s="38"/>
      <c r="E22" s="63"/>
      <c r="F22" s="39"/>
      <c r="G22" s="38"/>
      <c r="H22" s="40"/>
      <c r="I22" s="67"/>
      <c r="J22" s="38"/>
      <c r="K22" s="61"/>
      <c r="L22" s="38"/>
      <c r="M22" s="6" t="str">
        <f t="shared" si="0"/>
        <v/>
      </c>
      <c r="N22" s="6" t="str">
        <f t="shared" si="1"/>
        <v/>
      </c>
      <c r="O22" s="7" t="str">
        <f ca="1">IF(F22="","",IF(INT(F22)=INT(NOW()),IF(NETWORKDAYS.INTL(F22,F22,1,FERIADOS!$A$2:$A$50)=0,0,MAX(0,(MIN(NOW(),INT(NOW())+18/24)-MAX(F22,INT(F22)+8/24)))*24),MAX(0,(INT(F22)+18/24-MAX(F22,INT(F22)+8/24)))*24*NETWORKDAYS.INTL(F22,F22,1,FERIADOS!$A$2:$A$50)+MAX(0,NETWORKDAYS.INTL(F22+1,NOW()-1,1,FERIADOS!$A$2:$A$50))*10+MAX(0,(MIN(NOW(),INT(NOW())+18/24)-(INT(NOW())+8/24)))*24*NETWORKDAYS.INTL(NOW(),NOW(),1,FERIADOS!$A$2:$A$50)))</f>
        <v/>
      </c>
      <c r="P22" s="8" t="str">
        <f t="shared" si="2"/>
        <v/>
      </c>
      <c r="Q22" s="8" t="str">
        <f t="shared" si="3"/>
        <v/>
      </c>
      <c r="R22" s="8" t="str">
        <f t="shared" si="4"/>
        <v/>
      </c>
      <c r="S22" s="1" t="str">
        <f>IF($A22="","",COUNTIF($N$2:N22,$N22))</f>
        <v/>
      </c>
      <c r="T22" s="1" t="str">
        <f t="shared" si="5"/>
        <v/>
      </c>
      <c r="U22" s="1" t="str">
        <f t="shared" si="6"/>
        <v/>
      </c>
      <c r="V22" s="45" t="s">
        <v>54</v>
      </c>
    </row>
    <row r="23" spans="1:22" ht="15.75" customHeight="1" thickBot="1" x14ac:dyDescent="0.35">
      <c r="A23" s="51"/>
      <c r="B23" s="62"/>
      <c r="C23" s="60"/>
      <c r="D23" s="41"/>
      <c r="E23" s="62"/>
      <c r="F23" s="42"/>
      <c r="G23" s="41"/>
      <c r="H23" s="43"/>
      <c r="I23" s="66"/>
      <c r="J23" s="41"/>
      <c r="K23" s="60"/>
      <c r="L23" s="41"/>
      <c r="M23" s="54" t="str">
        <f t="shared" si="0"/>
        <v/>
      </c>
      <c r="N23" s="54" t="str">
        <f t="shared" si="1"/>
        <v/>
      </c>
      <c r="O23" s="7" t="str">
        <f ca="1">IF(F23="","",IF(INT(F23)=INT(NOW()),IF(NETWORKDAYS.INTL(F23,F23,1,FERIADOS!$A$2:$A$50)=0,0,MAX(0,(MIN(NOW(),INT(NOW())+18/24)-MAX(F23,INT(F23)+8/24)))*24),MAX(0,(INT(F23)+18/24-MAX(F23,INT(F23)+8/24)))*24*NETWORKDAYS.INTL(F23,F23,1,FERIADOS!$A$2:$A$50)+MAX(0,NETWORKDAYS.INTL(F23+1,NOW()-1,1,FERIADOS!$A$2:$A$50))*10+MAX(0,(MIN(NOW(),INT(NOW())+18/24)-(INT(NOW())+8/24)))*24*NETWORKDAYS.INTL(NOW(),NOW(),1,FERIADOS!$A$2:$A$50)))</f>
        <v/>
      </c>
      <c r="P23" s="56" t="str">
        <f t="shared" si="2"/>
        <v/>
      </c>
      <c r="Q23" s="8" t="str">
        <f t="shared" si="3"/>
        <v/>
      </c>
      <c r="R23" s="8" t="str">
        <f t="shared" si="4"/>
        <v/>
      </c>
      <c r="S23" s="1" t="str">
        <f>IF($A23="","",COUNTIF($N$2:N23,$N23))</f>
        <v/>
      </c>
      <c r="T23" s="1" t="str">
        <f t="shared" si="5"/>
        <v/>
      </c>
      <c r="U23" s="1" t="str">
        <f t="shared" si="6"/>
        <v/>
      </c>
      <c r="V23" s="45" t="s">
        <v>55</v>
      </c>
    </row>
    <row r="24" spans="1:22" ht="15.75" customHeight="1" thickBot="1" x14ac:dyDescent="0.35">
      <c r="A24" s="51"/>
      <c r="B24" s="62"/>
      <c r="C24" s="60"/>
      <c r="D24" s="41"/>
      <c r="E24" s="62"/>
      <c r="F24" s="42"/>
      <c r="G24" s="41"/>
      <c r="H24" s="43"/>
      <c r="I24" s="66"/>
      <c r="J24" s="41"/>
      <c r="K24" s="60"/>
      <c r="L24" s="41"/>
      <c r="M24" s="55" t="str">
        <f t="shared" si="0"/>
        <v/>
      </c>
      <c r="N24" s="55" t="str">
        <f t="shared" si="1"/>
        <v/>
      </c>
      <c r="O24" s="4" t="str">
        <f ca="1">IF(F24="","",IF(INT(F24)=INT(NOW()),IF(NETWORKDAYS.INTL(F24,F24,1,FERIADOS!$A$2:$A$50)=0,0,MAX(0,(MIN(NOW(),INT(NOW())+18/24)-MAX(F24,INT(F24)+8/24)))*24),MAX(0,(INT(F24)+18/24-MAX(F24,INT(F24)+8/24)))*24*NETWORKDAYS.INTL(F24,F24,1,FERIADOS!$A$2:$A$50)+MAX(0,NETWORKDAYS.INTL(F24+1,NOW()-1,1,FERIADOS!$A$2:$A$50))*10+MAX(0,(MIN(NOW(),INT(NOW())+18/24)-(INT(NOW())+8/24)))*24*NETWORKDAYS.INTL(NOW(),NOW(),1,FERIADOS!$A$2:$A$50)))</f>
        <v/>
      </c>
      <c r="P24" s="57" t="str">
        <f t="shared" si="2"/>
        <v/>
      </c>
      <c r="Q24" s="5" t="str">
        <f t="shared" si="3"/>
        <v/>
      </c>
      <c r="R24" s="5" t="str">
        <f t="shared" si="4"/>
        <v/>
      </c>
      <c r="S24" s="1" t="str">
        <f>IF($A24="","",COUNTIF($N$2:N24,$N24))</f>
        <v/>
      </c>
      <c r="T24" s="1" t="str">
        <f t="shared" si="5"/>
        <v/>
      </c>
      <c r="U24" s="1" t="str">
        <f t="shared" si="6"/>
        <v/>
      </c>
      <c r="V24" s="45" t="s">
        <v>56</v>
      </c>
    </row>
    <row r="25" spans="1:22" ht="15.75" customHeight="1" thickBot="1" x14ac:dyDescent="0.35">
      <c r="A25" s="51"/>
      <c r="B25" s="63"/>
      <c r="C25" s="61"/>
      <c r="D25" s="38"/>
      <c r="E25" s="63"/>
      <c r="F25" s="39"/>
      <c r="G25" s="38"/>
      <c r="H25" s="40"/>
      <c r="I25" s="67"/>
      <c r="J25" s="38"/>
      <c r="K25" s="61"/>
      <c r="L25" s="38"/>
      <c r="M25" s="54" t="str">
        <f t="shared" si="0"/>
        <v/>
      </c>
      <c r="N25" s="54" t="str">
        <f t="shared" si="1"/>
        <v/>
      </c>
      <c r="O25" s="4" t="str">
        <f ca="1">IF(F25="","",IF(INT(F25)=INT(NOW()),IF(NETWORKDAYS.INTL(F25,F25,1,FERIADOS!$A$2:$A$50)=0,0,MAX(0,(MIN(NOW(),INT(NOW())+18/24)-MAX(F25,INT(F25)+8/24)))*24),MAX(0,(INT(F25)+18/24-MAX(F25,INT(F25)+8/24)))*24*NETWORKDAYS.INTL(F25,F25,1,FERIADOS!$A$2:$A$50)+MAX(0,NETWORKDAYS.INTL(F25+1,NOW()-1,1,FERIADOS!$A$2:$A$50))*10+MAX(0,(MIN(NOW(),INT(NOW())+18/24)-(INT(NOW())+8/24)))*24*NETWORKDAYS.INTL(NOW(),NOW(),1,FERIADOS!$A$2:$A$50)))</f>
        <v/>
      </c>
      <c r="P25" s="57" t="str">
        <f t="shared" si="2"/>
        <v/>
      </c>
      <c r="Q25" s="5" t="str">
        <f t="shared" si="3"/>
        <v/>
      </c>
      <c r="R25" s="5" t="str">
        <f t="shared" si="4"/>
        <v/>
      </c>
      <c r="S25" s="1" t="str">
        <f>IF($A25="","",COUNTIF($N$2:N25,$N25))</f>
        <v/>
      </c>
      <c r="T25" s="1" t="str">
        <f t="shared" si="5"/>
        <v/>
      </c>
      <c r="U25" s="1" t="str">
        <f t="shared" si="6"/>
        <v/>
      </c>
      <c r="V25" s="45" t="s">
        <v>57</v>
      </c>
    </row>
    <row r="26" spans="1:22" ht="15.75" customHeight="1" thickBot="1" x14ac:dyDescent="0.35">
      <c r="A26" s="51"/>
      <c r="B26" s="62"/>
      <c r="C26" s="60"/>
      <c r="D26" s="41"/>
      <c r="E26" s="62"/>
      <c r="F26" s="42"/>
      <c r="G26" s="41"/>
      <c r="H26" s="43"/>
      <c r="I26" s="66"/>
      <c r="J26" s="41"/>
      <c r="K26" s="60"/>
      <c r="L26" s="41"/>
      <c r="M26" s="55" t="str">
        <f t="shared" si="0"/>
        <v/>
      </c>
      <c r="N26" s="55" t="str">
        <f t="shared" si="1"/>
        <v/>
      </c>
      <c r="O26" s="4" t="str">
        <f ca="1">IF(F26="","",IF(INT(F26)=INT(NOW()),IF(NETWORKDAYS.INTL(F26,F26,1,FERIADOS!$A$2:$A$50)=0,0,MAX(0,(MIN(NOW(),INT(NOW())+18/24)-MAX(F26,INT(F26)+8/24)))*24),MAX(0,(INT(F26)+18/24-MAX(F26,INT(F26)+8/24)))*24*NETWORKDAYS.INTL(F26,F26,1,FERIADOS!$A$2:$A$50)+MAX(0,NETWORKDAYS.INTL(F26+1,NOW()-1,1,FERIADOS!$A$2:$A$50))*10+MAX(0,(MIN(NOW(),INT(NOW())+18/24)-(INT(NOW())+8/24)))*24*NETWORKDAYS.INTL(NOW(),NOW(),1,FERIADOS!$A$2:$A$50)))</f>
        <v/>
      </c>
      <c r="P26" s="57" t="str">
        <f t="shared" si="2"/>
        <v/>
      </c>
      <c r="Q26" s="5" t="str">
        <f t="shared" si="3"/>
        <v/>
      </c>
      <c r="R26" s="5" t="str">
        <f t="shared" si="4"/>
        <v/>
      </c>
      <c r="S26" s="1" t="str">
        <f>IF($A26="","",COUNTIF($N$2:N26,$N26))</f>
        <v/>
      </c>
      <c r="T26" s="1" t="str">
        <f t="shared" si="5"/>
        <v/>
      </c>
      <c r="U26" s="1" t="str">
        <f t="shared" si="6"/>
        <v/>
      </c>
      <c r="V26" s="45" t="s">
        <v>58</v>
      </c>
    </row>
    <row r="27" spans="1:22" ht="15.75" customHeight="1" thickBot="1" x14ac:dyDescent="0.35">
      <c r="A27" s="52"/>
      <c r="B27" s="63"/>
      <c r="C27" s="61"/>
      <c r="D27" s="38"/>
      <c r="E27" s="63"/>
      <c r="F27" s="39"/>
      <c r="G27" s="38"/>
      <c r="H27" s="40"/>
      <c r="I27" s="67"/>
      <c r="J27" s="38"/>
      <c r="K27" s="61"/>
      <c r="L27" s="38"/>
      <c r="M27" s="54" t="str">
        <f t="shared" si="0"/>
        <v/>
      </c>
      <c r="N27" s="54" t="str">
        <f t="shared" si="1"/>
        <v/>
      </c>
      <c r="O27" s="4" t="str">
        <f ca="1">IF(F27="","",IF(INT(F27)=INT(NOW()),IF(NETWORKDAYS.INTL(F27,F27,1,FERIADOS!$A$2:$A$50)=0,0,MAX(0,(MIN(NOW(),INT(NOW())+18/24)-MAX(F27,INT(F27)+8/24)))*24),MAX(0,(INT(F27)+18/24-MAX(F27,INT(F27)+8/24)))*24*NETWORKDAYS.INTL(F27,F27,1,FERIADOS!$A$2:$A$50)+MAX(0,NETWORKDAYS.INTL(F27+1,NOW()-1,1,FERIADOS!$A$2:$A$50))*10+MAX(0,(MIN(NOW(),INT(NOW())+18/24)-(INT(NOW())+8/24)))*24*NETWORKDAYS.INTL(NOW(),NOW(),1,FERIADOS!$A$2:$A$50)))</f>
        <v/>
      </c>
      <c r="P27" s="57" t="str">
        <f t="shared" si="2"/>
        <v/>
      </c>
      <c r="Q27" s="5" t="str">
        <f t="shared" si="3"/>
        <v/>
      </c>
      <c r="R27" s="5" t="str">
        <f t="shared" si="4"/>
        <v/>
      </c>
      <c r="S27" s="1" t="str">
        <f>IF($A27="","",COUNTIF($N$2:N27,$N27))</f>
        <v/>
      </c>
      <c r="T27" s="1" t="str">
        <f t="shared" si="5"/>
        <v/>
      </c>
      <c r="U27" s="1" t="str">
        <f t="shared" si="6"/>
        <v/>
      </c>
      <c r="V27" s="45" t="s">
        <v>59</v>
      </c>
    </row>
    <row r="28" spans="1:22" ht="15.75" customHeight="1" thickBot="1" x14ac:dyDescent="0.35">
      <c r="A28" s="45"/>
      <c r="B28" s="62"/>
      <c r="C28" s="60"/>
      <c r="D28" s="41"/>
      <c r="E28" s="62"/>
      <c r="F28" s="42"/>
      <c r="G28" s="41"/>
      <c r="H28" s="43"/>
      <c r="I28" s="66"/>
      <c r="J28" s="41"/>
      <c r="K28" s="60"/>
      <c r="L28" s="41"/>
      <c r="M28" s="1" t="str">
        <f t="shared" si="0"/>
        <v/>
      </c>
      <c r="N28" s="1" t="str">
        <f t="shared" si="1"/>
        <v/>
      </c>
      <c r="O28" s="4" t="str">
        <f ca="1">IF(F28="","",IF(INT(F28)=INT(NOW()),IF(NETWORKDAYS.INTL(F28,F28,1,FERIADOS!$A$2:$A$50)=0,0,MAX(0,(MIN(NOW(),INT(NOW())+18/24)-MAX(F28,INT(F28)+8/24)))*24),MAX(0,(INT(F28)+18/24-MAX(F28,INT(F28)+8/24)))*24*NETWORKDAYS.INTL(F28,F28,1,FERIADOS!$A$2:$A$50)+MAX(0,NETWORKDAYS.INTL(F28+1,NOW()-1,1,FERIADOS!$A$2:$A$50))*10+MAX(0,(MIN(NOW(),INT(NOW())+18/24)-(INT(NOW())+8/24)))*24*NETWORKDAYS.INTL(NOW(),NOW(),1,FERIADOS!$A$2:$A$50)))</f>
        <v/>
      </c>
      <c r="P28" s="1" t="str">
        <f t="shared" si="2"/>
        <v/>
      </c>
      <c r="Q28" s="5" t="str">
        <f t="shared" si="3"/>
        <v/>
      </c>
      <c r="R28" s="5" t="str">
        <f t="shared" si="4"/>
        <v/>
      </c>
      <c r="S28" s="1" t="str">
        <f>IF($A28="","",COUNTIF($N$2:N28,$N28))</f>
        <v/>
      </c>
      <c r="T28" s="1" t="str">
        <f t="shared" si="5"/>
        <v/>
      </c>
      <c r="U28" s="1" t="str">
        <f t="shared" si="6"/>
        <v/>
      </c>
      <c r="V28" s="45" t="s">
        <v>71</v>
      </c>
    </row>
    <row r="29" spans="1:22" ht="15.75" customHeight="1" thickBot="1" x14ac:dyDescent="0.35">
      <c r="A29" s="45"/>
      <c r="B29" s="63"/>
      <c r="C29" s="61"/>
      <c r="D29" s="38"/>
      <c r="E29" s="63"/>
      <c r="F29" s="39"/>
      <c r="G29" s="38"/>
      <c r="H29" s="40"/>
      <c r="I29" s="67"/>
      <c r="J29" s="38"/>
      <c r="K29" s="61"/>
      <c r="L29" s="38"/>
      <c r="M29" s="1" t="str">
        <f t="shared" si="0"/>
        <v/>
      </c>
      <c r="N29" s="1" t="str">
        <f t="shared" si="1"/>
        <v/>
      </c>
      <c r="O29" s="4" t="str">
        <f ca="1">IF(F29="","",IF(INT(F29)=INT(NOW()),IF(NETWORKDAYS.INTL(F29,F29,1,FERIADOS!$A$2:$A$50)=0,0,MAX(0,(MIN(NOW(),INT(NOW())+18/24)-MAX(F29,INT(F29)+8/24)))*24),MAX(0,(INT(F29)+18/24-MAX(F29,INT(F29)+8/24)))*24*NETWORKDAYS.INTL(F29,F29,1,FERIADOS!$A$2:$A$50)+MAX(0,NETWORKDAYS.INTL(F29+1,NOW()-1,1,FERIADOS!$A$2:$A$50))*10+MAX(0,(MIN(NOW(),INT(NOW())+18/24)-(INT(NOW())+8/24)))*24*NETWORKDAYS.INTL(NOW(),NOW(),1,FERIADOS!$A$2:$A$50)))</f>
        <v/>
      </c>
      <c r="P29" s="1" t="str">
        <f t="shared" si="2"/>
        <v/>
      </c>
      <c r="Q29" s="5" t="str">
        <f t="shared" si="3"/>
        <v/>
      </c>
      <c r="R29" s="5" t="str">
        <f t="shared" si="4"/>
        <v/>
      </c>
      <c r="S29" s="1" t="str">
        <f>IF($A29="","",COUNTIF($N$2:N29,$N29))</f>
        <v/>
      </c>
      <c r="T29" s="1" t="str">
        <f t="shared" si="5"/>
        <v/>
      </c>
      <c r="U29" s="1" t="str">
        <f t="shared" si="6"/>
        <v/>
      </c>
      <c r="V29" s="45" t="s">
        <v>72</v>
      </c>
    </row>
    <row r="30" spans="1:22" ht="15.75" customHeight="1" thickBot="1" x14ac:dyDescent="0.35">
      <c r="A30" s="45"/>
      <c r="B30" s="62"/>
      <c r="C30" s="60"/>
      <c r="D30" s="41"/>
      <c r="E30" s="62"/>
      <c r="F30" s="42"/>
      <c r="G30" s="41"/>
      <c r="H30" s="43"/>
      <c r="I30" s="66"/>
      <c r="J30" s="41"/>
      <c r="K30" s="60"/>
      <c r="L30" s="41"/>
      <c r="M30" s="1" t="str">
        <f t="shared" si="0"/>
        <v/>
      </c>
      <c r="N30" s="1" t="str">
        <f t="shared" si="1"/>
        <v/>
      </c>
      <c r="O30" s="4" t="str">
        <f ca="1">IF(F30="","",IF(INT(F30)=INT(NOW()),IF(NETWORKDAYS.INTL(F30,F30,1,FERIADOS!$A$2:$A$50)=0,0,MAX(0,(MIN(NOW(),INT(NOW())+18/24)-MAX(F30,INT(F30)+8/24)))*24),MAX(0,(INT(F30)+18/24-MAX(F30,INT(F30)+8/24)))*24*NETWORKDAYS.INTL(F30,F30,1,FERIADOS!$A$2:$A$50)+MAX(0,NETWORKDAYS.INTL(F30+1,NOW()-1,1,FERIADOS!$A$2:$A$50))*10+MAX(0,(MIN(NOW(),INT(NOW())+18/24)-(INT(NOW())+8/24)))*24*NETWORKDAYS.INTL(NOW(),NOW(),1,FERIADOS!$A$2:$A$50)))</f>
        <v/>
      </c>
      <c r="P30" s="1" t="str">
        <f t="shared" si="2"/>
        <v/>
      </c>
      <c r="Q30" s="5" t="str">
        <f t="shared" si="3"/>
        <v/>
      </c>
      <c r="R30" s="5" t="str">
        <f t="shared" si="4"/>
        <v/>
      </c>
      <c r="S30" s="1" t="str">
        <f>IF($A30="","",COUNTIF($N$2:N30,$N30))</f>
        <v/>
      </c>
      <c r="T30" s="1" t="str">
        <f t="shared" si="5"/>
        <v/>
      </c>
      <c r="U30" s="1" t="str">
        <f t="shared" si="6"/>
        <v/>
      </c>
      <c r="V30" s="45" t="s">
        <v>73</v>
      </c>
    </row>
    <row r="31" spans="1:22" ht="15.75" customHeight="1" thickBot="1" x14ac:dyDescent="0.35">
      <c r="A31" s="45"/>
      <c r="B31" s="62"/>
      <c r="C31" s="60"/>
      <c r="D31" s="41"/>
      <c r="E31" s="62"/>
      <c r="F31" s="42"/>
      <c r="G31" s="41"/>
      <c r="H31" s="43"/>
      <c r="I31" s="66"/>
      <c r="J31" s="41"/>
      <c r="K31" s="60"/>
      <c r="L31" s="41"/>
      <c r="M31" s="1" t="str">
        <f t="shared" si="0"/>
        <v/>
      </c>
      <c r="N31" s="1" t="str">
        <f t="shared" si="1"/>
        <v/>
      </c>
      <c r="O31" s="4" t="str">
        <f ca="1">IF(F31="","",IF(INT(F31)=INT(NOW()),IF(NETWORKDAYS.INTL(F31,F31,1,FERIADOS!$A$2:$A$50)=0,0,MAX(0,(MIN(NOW(),INT(NOW())+18/24)-MAX(F31,INT(F31)+8/24)))*24),MAX(0,(INT(F31)+18/24-MAX(F31,INT(F31)+8/24)))*24*NETWORKDAYS.INTL(F31,F31,1,FERIADOS!$A$2:$A$50)+MAX(0,NETWORKDAYS.INTL(F31+1,NOW()-1,1,FERIADOS!$A$2:$A$50))*10+MAX(0,(MIN(NOW(),INT(NOW())+18/24)-(INT(NOW())+8/24)))*24*NETWORKDAYS.INTL(NOW(),NOW(),1,FERIADOS!$A$2:$A$50)))</f>
        <v/>
      </c>
      <c r="P31" s="1" t="str">
        <f t="shared" si="2"/>
        <v/>
      </c>
      <c r="Q31" s="5" t="str">
        <f t="shared" si="3"/>
        <v/>
      </c>
      <c r="R31" s="5" t="str">
        <f t="shared" si="4"/>
        <v/>
      </c>
      <c r="S31" s="1" t="str">
        <f>IF($A31="","",COUNTIF($N$2:N31,$N31))</f>
        <v/>
      </c>
      <c r="T31" s="1" t="str">
        <f t="shared" si="5"/>
        <v/>
      </c>
      <c r="U31" s="1" t="str">
        <f t="shared" si="6"/>
        <v/>
      </c>
      <c r="V31" s="45" t="s">
        <v>74</v>
      </c>
    </row>
    <row r="32" spans="1:22" ht="15.75" customHeight="1" thickBot="1" x14ac:dyDescent="0.35">
      <c r="A32" s="45"/>
      <c r="B32" s="63"/>
      <c r="C32" s="61"/>
      <c r="D32" s="38"/>
      <c r="E32" s="63"/>
      <c r="F32" s="39"/>
      <c r="G32" s="38"/>
      <c r="H32" s="40"/>
      <c r="I32" s="61"/>
      <c r="J32" s="38"/>
      <c r="K32" s="61"/>
      <c r="L32" s="38"/>
      <c r="M32" s="1" t="str">
        <f t="shared" si="0"/>
        <v/>
      </c>
      <c r="N32" s="1" t="str">
        <f t="shared" si="1"/>
        <v/>
      </c>
      <c r="O32" s="1" t="str">
        <f ca="1">IF(F32="","",IF(INT(F32)=INT(NOW()),IF(NETWORKDAYS.INTL(F32,F32,1,FERIADOS!$A$2:$A$50)=0,0,MAX(0,(MIN(NOW(),INT(NOW())+18/24)-MAX(F32,INT(F32)+8/24)))*24),MAX(0,(INT(F32)+18/24-MAX(F32,INT(F32)+8/24)))*24*NETWORKDAYS.INTL(F32,F32,1,FERIADOS!$A$2:$A$50)+MAX(0,NETWORKDAYS.INTL(F32+1,NOW()-1,1,FERIADOS!$A$2:$A$50))*10+MAX(0,(MIN(NOW(),INT(NOW())+18/24)-(INT(NOW())+8/24)))*24*NETWORKDAYS.INTL(NOW(),NOW(),1,FERIADOS!$A$2:$A$50)))</f>
        <v/>
      </c>
      <c r="P32" s="1" t="str">
        <f t="shared" si="2"/>
        <v/>
      </c>
      <c r="Q32" s="1" t="str">
        <f t="shared" si="3"/>
        <v/>
      </c>
      <c r="R32" s="1" t="str">
        <f t="shared" si="4"/>
        <v/>
      </c>
      <c r="S32" s="1" t="str">
        <f>IF($A32="","",COUNTIF($N$2:N32,$N32))</f>
        <v/>
      </c>
      <c r="T32" s="1" t="str">
        <f t="shared" si="5"/>
        <v/>
      </c>
      <c r="U32" s="1" t="str">
        <f t="shared" si="6"/>
        <v/>
      </c>
      <c r="V32" s="45" t="s">
        <v>75</v>
      </c>
    </row>
    <row r="33" spans="1:22" ht="15.75" customHeight="1" thickBot="1" x14ac:dyDescent="0.35">
      <c r="A33" s="45"/>
      <c r="B33" s="62"/>
      <c r="C33" s="60"/>
      <c r="D33" s="41"/>
      <c r="E33" s="62"/>
      <c r="F33" s="42"/>
      <c r="G33" s="41"/>
      <c r="H33" s="43"/>
      <c r="I33" s="66"/>
      <c r="J33" s="41"/>
      <c r="K33" s="60"/>
      <c r="L33" s="41"/>
      <c r="M33" s="1" t="str">
        <f t="shared" si="0"/>
        <v/>
      </c>
      <c r="N33" s="1" t="str">
        <f t="shared" si="1"/>
        <v/>
      </c>
      <c r="O33" s="1" t="str">
        <f ca="1">IF(F33="","",IF(INT(F33)=INT(NOW()),IF(NETWORKDAYS.INTL(F33,F33,1,FERIADOS!$A$2:$A$50)=0,0,MAX(0,(MIN(NOW(),INT(NOW())+18/24)-MAX(F33,INT(F33)+8/24)))*24),MAX(0,(INT(F33)+18/24-MAX(F33,INT(F33)+8/24)))*24*NETWORKDAYS.INTL(F33,F33,1,FERIADOS!$A$2:$A$50)+MAX(0,NETWORKDAYS.INTL(F33+1,NOW()-1,1,FERIADOS!$A$2:$A$50))*10+MAX(0,(MIN(NOW(),INT(NOW())+18/24)-(INT(NOW())+8/24)))*24*NETWORKDAYS.INTL(NOW(),NOW(),1,FERIADOS!$A$2:$A$50)))</f>
        <v/>
      </c>
      <c r="P33" s="1" t="str">
        <f t="shared" si="2"/>
        <v/>
      </c>
      <c r="Q33" s="1" t="str">
        <f t="shared" si="3"/>
        <v/>
      </c>
      <c r="R33" s="1" t="str">
        <f t="shared" si="4"/>
        <v/>
      </c>
      <c r="S33" s="1" t="str">
        <f>IF($A33="","",COUNTIF($N$2:N33,$N33))</f>
        <v/>
      </c>
      <c r="T33" s="1" t="str">
        <f t="shared" si="5"/>
        <v/>
      </c>
      <c r="U33" s="1" t="str">
        <f t="shared" si="6"/>
        <v/>
      </c>
      <c r="V33" s="45" t="s">
        <v>76</v>
      </c>
    </row>
    <row r="34" spans="1:22" ht="15.75" customHeight="1" thickBot="1" x14ac:dyDescent="0.35">
      <c r="A34" s="45"/>
      <c r="B34" s="63"/>
      <c r="C34" s="61"/>
      <c r="D34" s="38"/>
      <c r="E34" s="63"/>
      <c r="F34" s="39"/>
      <c r="G34" s="38"/>
      <c r="H34" s="40"/>
      <c r="I34" s="67"/>
      <c r="J34" s="38"/>
      <c r="K34" s="61"/>
      <c r="L34" s="38"/>
      <c r="M34" s="1" t="str">
        <f t="shared" si="0"/>
        <v/>
      </c>
      <c r="N34" s="1" t="str">
        <f t="shared" si="1"/>
        <v/>
      </c>
      <c r="O34" s="1" t="str">
        <f ca="1">IF(F34="","",IF(INT(F34)=INT(NOW()),IF(NETWORKDAYS.INTL(F34,F34,1,FERIADOS!$A$2:$A$50)=0,0,MAX(0,(MIN(NOW(),INT(NOW())+18/24)-MAX(F34,INT(F34)+8/24)))*24),MAX(0,(INT(F34)+18/24-MAX(F34,INT(F34)+8/24)))*24*NETWORKDAYS.INTL(F34,F34,1,FERIADOS!$A$2:$A$50)+MAX(0,NETWORKDAYS.INTL(F34+1,NOW()-1,1,FERIADOS!$A$2:$A$50))*10+MAX(0,(MIN(NOW(),INT(NOW())+18/24)-(INT(NOW())+8/24)))*24*NETWORKDAYS.INTL(NOW(),NOW(),1,FERIADOS!$A$2:$A$50)))</f>
        <v/>
      </c>
      <c r="P34" s="1" t="str">
        <f t="shared" si="2"/>
        <v/>
      </c>
      <c r="Q34" s="1" t="str">
        <f t="shared" si="3"/>
        <v/>
      </c>
      <c r="R34" s="1" t="str">
        <f t="shared" si="4"/>
        <v/>
      </c>
      <c r="S34" s="1" t="str">
        <f>IF($A34="","",COUNTIF($N$2:N34,$N34))</f>
        <v/>
      </c>
      <c r="T34" s="1" t="str">
        <f t="shared" si="5"/>
        <v/>
      </c>
      <c r="U34" s="1" t="str">
        <f t="shared" si="6"/>
        <v/>
      </c>
      <c r="V34" s="45" t="s">
        <v>81</v>
      </c>
    </row>
    <row r="35" spans="1:22" ht="15.75" customHeight="1" thickBot="1" x14ac:dyDescent="0.35">
      <c r="A35" s="46"/>
      <c r="B35" s="62"/>
      <c r="C35" s="60"/>
      <c r="D35" s="41"/>
      <c r="E35" s="62"/>
      <c r="F35" s="42"/>
      <c r="G35" s="41"/>
      <c r="H35" s="43"/>
      <c r="I35" s="60"/>
      <c r="J35" s="41"/>
      <c r="K35" s="60"/>
      <c r="L35" s="41"/>
      <c r="M35" s="1" t="str">
        <f t="shared" si="0"/>
        <v/>
      </c>
      <c r="N35" s="1" t="str">
        <f t="shared" si="1"/>
        <v/>
      </c>
      <c r="O35" s="1" t="str">
        <f ca="1">IF(F35="","",IF(INT(F35)=INT(NOW()),IF(NETWORKDAYS.INTL(F35,F35,1,FERIADOS!$A$2:$A$50)=0,0,MAX(0,(MIN(NOW(),INT(NOW())+18/24)-MAX(F35,INT(F35)+8/24)))*24),MAX(0,(INT(F35)+18/24-MAX(F35,INT(F35)+8/24)))*24*NETWORKDAYS.INTL(F35,F35,1,FERIADOS!$A$2:$A$50)+MAX(0,NETWORKDAYS.INTL(F35+1,NOW()-1,1,FERIADOS!$A$2:$A$50))*10+MAX(0,(MIN(NOW(),INT(NOW())+18/24)-(INT(NOW())+8/24)))*24*NETWORKDAYS.INTL(NOW(),NOW(),1,FERIADOS!$A$2:$A$50)))</f>
        <v/>
      </c>
      <c r="P35" s="1" t="str">
        <f t="shared" si="2"/>
        <v/>
      </c>
      <c r="Q35" s="1" t="str">
        <f t="shared" si="3"/>
        <v/>
      </c>
      <c r="R35" s="1" t="str">
        <f t="shared" si="4"/>
        <v/>
      </c>
      <c r="S35" s="1" t="str">
        <f>IF($A35="","",COUNTIF($N$2:N35,$N35))</f>
        <v/>
      </c>
      <c r="T35" s="1" t="str">
        <f t="shared" si="5"/>
        <v/>
      </c>
      <c r="U35" s="1" t="str">
        <f t="shared" si="6"/>
        <v/>
      </c>
      <c r="V35" s="46" t="s">
        <v>82</v>
      </c>
    </row>
    <row r="36" spans="1:22" x14ac:dyDescent="0.3">
      <c r="M36" s="1" t="str">
        <f t="shared" si="0"/>
        <v/>
      </c>
      <c r="N36" s="1" t="str">
        <f t="shared" si="1"/>
        <v/>
      </c>
      <c r="O36" s="1" t="str">
        <f ca="1">IF(F36="","",IF(INT(F36)=INT(NOW()),IF(NETWORKDAYS.INTL(F36,F36,1,FERIADOS!$A$2:$A$50)=0,0,MAX(0,(MIN(NOW(),INT(NOW())+18/24)-MAX(F36,INT(F36)+8/24)))*24),MAX(0,(INT(F36)+18/24-MAX(F36,INT(F36)+8/24)))*24*NETWORKDAYS.INTL(F36,F36,1,FERIADOS!$A$2:$A$50)+MAX(0,NETWORKDAYS.INTL(F36+1,NOW()-1,1,FERIADOS!$A$2:$A$50))*10+MAX(0,(MIN(NOW(),INT(NOW())+18/24)-(INT(NOW())+8/24)))*24*NETWORKDAYS.INTL(NOW(),NOW(),1,FERIADOS!$A$2:$A$50)))</f>
        <v/>
      </c>
      <c r="P36" s="1" t="str">
        <f t="shared" si="2"/>
        <v/>
      </c>
      <c r="Q36" s="1" t="str">
        <f t="shared" si="3"/>
        <v/>
      </c>
      <c r="R36" s="1" t="str">
        <f t="shared" si="4"/>
        <v/>
      </c>
      <c r="S36" s="1" t="str">
        <f>IF($A36="","",COUNTIF($N$2:N36,$N36))</f>
        <v/>
      </c>
      <c r="T36" s="1" t="str">
        <f t="shared" si="5"/>
        <v/>
      </c>
      <c r="U36" s="1" t="str">
        <f t="shared" si="6"/>
        <v/>
      </c>
      <c r="V36"/>
    </row>
    <row r="37" spans="1:22" x14ac:dyDescent="0.3">
      <c r="M37" s="1" t="str">
        <f t="shared" si="0"/>
        <v/>
      </c>
      <c r="N37" s="1" t="str">
        <f t="shared" si="1"/>
        <v/>
      </c>
      <c r="O37" s="1" t="str">
        <f ca="1">IF(F37="","",IF(INT(F37)=INT(NOW()),IF(NETWORKDAYS.INTL(F37,F37,1,FERIADOS!$A$2:$A$50)=0,0,MAX(0,(MIN(NOW(),INT(NOW())+18/24)-MAX(F37,INT(F37)+8/24)))*24),MAX(0,(INT(F37)+18/24-MAX(F37,INT(F37)+8/24)))*24*NETWORKDAYS.INTL(F37,F37,1,FERIADOS!$A$2:$A$50)+MAX(0,NETWORKDAYS.INTL(F37+1,NOW()-1,1,FERIADOS!$A$2:$A$50))*10+MAX(0,(MIN(NOW(),INT(NOW())+18/24)-(INT(NOW())+8/24)))*24*NETWORKDAYS.INTL(NOW(),NOW(),1,FERIADOS!$A$2:$A$50)))</f>
        <v/>
      </c>
      <c r="P37" s="1" t="str">
        <f t="shared" si="2"/>
        <v/>
      </c>
      <c r="Q37" s="1" t="str">
        <f t="shared" si="3"/>
        <v/>
      </c>
      <c r="R37" s="1" t="str">
        <f t="shared" si="4"/>
        <v/>
      </c>
      <c r="S37" s="1" t="str">
        <f>IF($A37="","",COUNTIF($N$2:N37,$N37))</f>
        <v/>
      </c>
      <c r="T37" s="1" t="str">
        <f t="shared" si="5"/>
        <v/>
      </c>
      <c r="U37" s="1" t="str">
        <f t="shared" si="6"/>
        <v/>
      </c>
      <c r="V37"/>
    </row>
    <row r="38" spans="1:22" x14ac:dyDescent="0.3">
      <c r="M38" s="1" t="str">
        <f t="shared" si="0"/>
        <v/>
      </c>
      <c r="N38" s="1" t="str">
        <f t="shared" si="1"/>
        <v/>
      </c>
      <c r="O38" s="1" t="str">
        <f ca="1">IF(F38="","",IF(INT(F38)=INT(NOW()),IF(NETWORKDAYS.INTL(F38,F38,1,FERIADOS!$A$2:$A$50)=0,0,MAX(0,(MIN(NOW(),INT(NOW())+18/24)-MAX(F38,INT(F38)+8/24)))*24),MAX(0,(INT(F38)+18/24-MAX(F38,INT(F38)+8/24)))*24*NETWORKDAYS.INTL(F38,F38,1,FERIADOS!$A$2:$A$50)+MAX(0,NETWORKDAYS.INTL(F38+1,NOW()-1,1,FERIADOS!$A$2:$A$50))*10+MAX(0,(MIN(NOW(),INT(NOW())+18/24)-(INT(NOW())+8/24)))*24*NETWORKDAYS.INTL(NOW(),NOW(),1,FERIADOS!$A$2:$A$50)))</f>
        <v/>
      </c>
      <c r="P38" s="1" t="str">
        <f t="shared" si="2"/>
        <v/>
      </c>
      <c r="Q38" s="1" t="str">
        <f t="shared" si="3"/>
        <v/>
      </c>
      <c r="R38" s="1" t="str">
        <f t="shared" si="4"/>
        <v/>
      </c>
      <c r="S38" s="1" t="str">
        <f>IF($A38="","",COUNTIF($N$2:N38,$N38))</f>
        <v/>
      </c>
      <c r="T38" s="1" t="str">
        <f t="shared" si="5"/>
        <v/>
      </c>
      <c r="U38" s="1" t="str">
        <f t="shared" si="6"/>
        <v/>
      </c>
      <c r="V38"/>
    </row>
    <row r="39" spans="1:22" x14ac:dyDescent="0.3">
      <c r="M39" s="1" t="str">
        <f t="shared" si="0"/>
        <v/>
      </c>
      <c r="N39" s="1" t="str">
        <f t="shared" si="1"/>
        <v/>
      </c>
      <c r="O39" s="1" t="str">
        <f ca="1">IF(F39="","",IF(INT(F39)=INT(NOW()),IF(NETWORKDAYS.INTL(F39,F39,1,FERIADOS!$A$2:$A$50)=0,0,MAX(0,(MIN(NOW(),INT(NOW())+18/24)-MAX(F39,INT(F39)+8/24)))*24),MAX(0,(INT(F39)+18/24-MAX(F39,INT(F39)+8/24)))*24*NETWORKDAYS.INTL(F39,F39,1,FERIADOS!$A$2:$A$50)+MAX(0,NETWORKDAYS.INTL(F39+1,NOW()-1,1,FERIADOS!$A$2:$A$50))*10+MAX(0,(MIN(NOW(),INT(NOW())+18/24)-(INT(NOW())+8/24)))*24*NETWORKDAYS.INTL(NOW(),NOW(),1,FERIADOS!$A$2:$A$50)))</f>
        <v/>
      </c>
      <c r="P39" s="1" t="str">
        <f t="shared" si="2"/>
        <v/>
      </c>
      <c r="Q39" s="1" t="str">
        <f t="shared" si="3"/>
        <v/>
      </c>
      <c r="R39" s="1" t="str">
        <f t="shared" si="4"/>
        <v/>
      </c>
      <c r="S39" s="1" t="str">
        <f>IF($A39="","",COUNTIF($N$2:N39,$N39))</f>
        <v/>
      </c>
      <c r="T39" s="1" t="str">
        <f t="shared" si="5"/>
        <v/>
      </c>
      <c r="U39" s="1" t="str">
        <f t="shared" si="6"/>
        <v/>
      </c>
      <c r="V39"/>
    </row>
    <row r="40" spans="1:22" x14ac:dyDescent="0.3">
      <c r="M40" s="1" t="str">
        <f t="shared" si="0"/>
        <v/>
      </c>
      <c r="N40" s="1" t="str">
        <f t="shared" si="1"/>
        <v/>
      </c>
      <c r="O40" s="1" t="str">
        <f ca="1">IF(F40="","",IF(INT(F40)=INT(NOW()),IF(NETWORKDAYS.INTL(F40,F40,1,FERIADOS!$A$2:$A$50)=0,0,MAX(0,(MIN(NOW(),INT(NOW())+18/24)-MAX(F40,INT(F40)+8/24)))*24),MAX(0,(INT(F40)+18/24-MAX(F40,INT(F40)+8/24)))*24*NETWORKDAYS.INTL(F40,F40,1,FERIADOS!$A$2:$A$50)+MAX(0,NETWORKDAYS.INTL(F40+1,NOW()-1,1,FERIADOS!$A$2:$A$50))*10+MAX(0,(MIN(NOW(),INT(NOW())+18/24)-(INT(NOW())+8/24)))*24*NETWORKDAYS.INTL(NOW(),NOW(),1,FERIADOS!$A$2:$A$50)))</f>
        <v/>
      </c>
      <c r="P40" s="1" t="str">
        <f t="shared" si="2"/>
        <v/>
      </c>
      <c r="Q40" s="1" t="str">
        <f t="shared" si="3"/>
        <v/>
      </c>
      <c r="R40" s="1" t="str">
        <f t="shared" si="4"/>
        <v/>
      </c>
      <c r="S40" s="1" t="str">
        <f>IF($A40="","",COUNTIF($N$2:N40,$N40))</f>
        <v/>
      </c>
      <c r="T40" s="1" t="str">
        <f t="shared" si="5"/>
        <v/>
      </c>
      <c r="U40" s="1" t="str">
        <f t="shared" si="6"/>
        <v/>
      </c>
      <c r="V40"/>
    </row>
    <row r="41" spans="1:22" x14ac:dyDescent="0.3">
      <c r="M41" s="1" t="str">
        <f t="shared" si="0"/>
        <v/>
      </c>
      <c r="N41" s="1" t="str">
        <f t="shared" si="1"/>
        <v/>
      </c>
      <c r="O41" s="1" t="str">
        <f ca="1">IF(F41="","",IF(INT(F41)=INT(NOW()),IF(NETWORKDAYS.INTL(F41,F41,1,FERIADOS!$A$2:$A$50)=0,0,MAX(0,(MIN(NOW(),INT(NOW())+18/24)-MAX(F41,INT(F41)+8/24)))*24),MAX(0,(INT(F41)+18/24-MAX(F41,INT(F41)+8/24)))*24*NETWORKDAYS.INTL(F41,F41,1,FERIADOS!$A$2:$A$50)+MAX(0,NETWORKDAYS.INTL(F41+1,NOW()-1,1,FERIADOS!$A$2:$A$50))*10+MAX(0,(MIN(NOW(),INT(NOW())+18/24)-(INT(NOW())+8/24)))*24*NETWORKDAYS.INTL(NOW(),NOW(),1,FERIADOS!$A$2:$A$50)))</f>
        <v/>
      </c>
      <c r="P41" s="1" t="str">
        <f t="shared" si="2"/>
        <v/>
      </c>
      <c r="Q41" s="1" t="str">
        <f t="shared" si="3"/>
        <v/>
      </c>
      <c r="R41" s="1" t="str">
        <f t="shared" si="4"/>
        <v/>
      </c>
      <c r="S41" s="1" t="str">
        <f>IF($A41="","",COUNTIF($N$2:N41,$N41))</f>
        <v/>
      </c>
      <c r="T41" s="1" t="str">
        <f t="shared" si="5"/>
        <v/>
      </c>
      <c r="U41" s="1" t="str">
        <f t="shared" si="6"/>
        <v/>
      </c>
      <c r="V41"/>
    </row>
    <row r="42" spans="1:22" x14ac:dyDescent="0.3">
      <c r="M42" s="1" t="str">
        <f t="shared" si="0"/>
        <v/>
      </c>
      <c r="N42" s="1" t="str">
        <f t="shared" si="1"/>
        <v/>
      </c>
      <c r="O42" s="1" t="str">
        <f ca="1">IF(F42="","",IF(INT(F42)=INT(NOW()),IF(NETWORKDAYS.INTL(F42,F42,1,FERIADOS!$A$2:$A$50)=0,0,MAX(0,(MIN(NOW(),INT(NOW())+18/24)-MAX(F42,INT(F42)+8/24)))*24),MAX(0,(INT(F42)+18/24-MAX(F42,INT(F42)+8/24)))*24*NETWORKDAYS.INTL(F42,F42,1,FERIADOS!$A$2:$A$50)+MAX(0,NETWORKDAYS.INTL(F42+1,NOW()-1,1,FERIADOS!$A$2:$A$50))*10+MAX(0,(MIN(NOW(),INT(NOW())+18/24)-(INT(NOW())+8/24)))*24*NETWORKDAYS.INTL(NOW(),NOW(),1,FERIADOS!$A$2:$A$50)))</f>
        <v/>
      </c>
      <c r="P42" s="1" t="str">
        <f t="shared" si="2"/>
        <v/>
      </c>
      <c r="Q42" s="1" t="str">
        <f t="shared" si="3"/>
        <v/>
      </c>
      <c r="R42" s="1" t="str">
        <f t="shared" si="4"/>
        <v/>
      </c>
      <c r="S42" s="1" t="str">
        <f>IF($A42="","",COUNTIF($N$2:N42,$N42))</f>
        <v/>
      </c>
      <c r="T42" s="1" t="str">
        <f t="shared" si="5"/>
        <v/>
      </c>
      <c r="U42" s="1" t="str">
        <f t="shared" si="6"/>
        <v/>
      </c>
      <c r="V42"/>
    </row>
    <row r="43" spans="1:22" x14ac:dyDescent="0.3">
      <c r="M43" s="1" t="str">
        <f t="shared" si="0"/>
        <v/>
      </c>
      <c r="N43" s="1" t="str">
        <f t="shared" si="1"/>
        <v/>
      </c>
      <c r="O43" s="1" t="str">
        <f ca="1">IF(F43="","",IF(INT(F43)=INT(NOW()),IF(NETWORKDAYS.INTL(F43,F43,1,FERIADOS!$A$2:$A$50)=0,0,MAX(0,(MIN(NOW(),INT(NOW())+18/24)-MAX(F43,INT(F43)+8/24)))*24),MAX(0,(INT(F43)+18/24-MAX(F43,INT(F43)+8/24)))*24*NETWORKDAYS.INTL(F43,F43,1,FERIADOS!$A$2:$A$50)+MAX(0,NETWORKDAYS.INTL(F43+1,NOW()-1,1,FERIADOS!$A$2:$A$50))*10+MAX(0,(MIN(NOW(),INT(NOW())+18/24)-(INT(NOW())+8/24)))*24*NETWORKDAYS.INTL(NOW(),NOW(),1,FERIADOS!$A$2:$A$50)))</f>
        <v/>
      </c>
      <c r="P43" s="1" t="str">
        <f t="shared" si="2"/>
        <v/>
      </c>
      <c r="Q43" s="1" t="str">
        <f t="shared" si="3"/>
        <v/>
      </c>
      <c r="R43" s="1" t="str">
        <f t="shared" si="4"/>
        <v/>
      </c>
      <c r="S43" s="1" t="str">
        <f>IF($A43="","",COUNTIF($N$2:N43,$N43))</f>
        <v/>
      </c>
      <c r="T43" s="1" t="str">
        <f t="shared" si="5"/>
        <v/>
      </c>
      <c r="U43" s="1" t="str">
        <f t="shared" si="6"/>
        <v/>
      </c>
      <c r="V43"/>
    </row>
    <row r="44" spans="1:22" x14ac:dyDescent="0.3">
      <c r="M44" s="1" t="str">
        <f t="shared" si="0"/>
        <v/>
      </c>
      <c r="N44" s="1" t="str">
        <f t="shared" si="1"/>
        <v/>
      </c>
      <c r="O44" s="1" t="str">
        <f ca="1">IF(F44="","",IF(INT(F44)=INT(NOW()),IF(NETWORKDAYS.INTL(F44,F44,1,FERIADOS!$A$2:$A$50)=0,0,MAX(0,(MIN(NOW(),INT(NOW())+18/24)-MAX(F44,INT(F44)+8/24)))*24),MAX(0,(INT(F44)+18/24-MAX(F44,INT(F44)+8/24)))*24*NETWORKDAYS.INTL(F44,F44,1,FERIADOS!$A$2:$A$50)+MAX(0,NETWORKDAYS.INTL(F44+1,NOW()-1,1,FERIADOS!$A$2:$A$50))*10+MAX(0,(MIN(NOW(),INT(NOW())+18/24)-(INT(NOW())+8/24)))*24*NETWORKDAYS.INTL(NOW(),NOW(),1,FERIADOS!$A$2:$A$50)))</f>
        <v/>
      </c>
      <c r="P44" s="1" t="str">
        <f t="shared" si="2"/>
        <v/>
      </c>
      <c r="Q44" s="1" t="str">
        <f t="shared" si="3"/>
        <v/>
      </c>
      <c r="R44" s="1" t="str">
        <f t="shared" si="4"/>
        <v/>
      </c>
      <c r="S44" s="1" t="str">
        <f>IF($A44="","",COUNTIF($N$2:N44,$N44))</f>
        <v/>
      </c>
      <c r="T44" s="1" t="str">
        <f t="shared" si="5"/>
        <v/>
      </c>
      <c r="U44" s="1" t="str">
        <f t="shared" si="6"/>
        <v/>
      </c>
      <c r="V44"/>
    </row>
    <row r="45" spans="1:22" x14ac:dyDescent="0.3">
      <c r="M45" s="1" t="str">
        <f t="shared" si="0"/>
        <v/>
      </c>
      <c r="N45" s="1" t="str">
        <f t="shared" si="1"/>
        <v/>
      </c>
      <c r="O45" s="1" t="str">
        <f ca="1">IF(F45="","",IF(INT(F45)=INT(NOW()),IF(NETWORKDAYS.INTL(F45,F45,1,FERIADOS!$A$2:$A$50)=0,0,MAX(0,(MIN(NOW(),INT(NOW())+18/24)-MAX(F45,INT(F45)+8/24)))*24),MAX(0,(INT(F45)+18/24-MAX(F45,INT(F45)+8/24)))*24*NETWORKDAYS.INTL(F45,F45,1,FERIADOS!$A$2:$A$50)+MAX(0,NETWORKDAYS.INTL(F45+1,NOW()-1,1,FERIADOS!$A$2:$A$50))*10+MAX(0,(MIN(NOW(),INT(NOW())+18/24)-(INT(NOW())+8/24)))*24*NETWORKDAYS.INTL(NOW(),NOW(),1,FERIADOS!$A$2:$A$50)))</f>
        <v/>
      </c>
      <c r="P45" s="1" t="str">
        <f t="shared" si="2"/>
        <v/>
      </c>
      <c r="Q45" s="1" t="str">
        <f t="shared" si="3"/>
        <v/>
      </c>
      <c r="R45" s="1" t="str">
        <f t="shared" si="4"/>
        <v/>
      </c>
      <c r="S45" s="1" t="str">
        <f>IF($A45="","",COUNTIF($N$2:N45,$N45))</f>
        <v/>
      </c>
      <c r="T45" s="1" t="str">
        <f t="shared" si="5"/>
        <v/>
      </c>
      <c r="U45" s="1" t="str">
        <f t="shared" si="6"/>
        <v/>
      </c>
      <c r="V45"/>
    </row>
    <row r="46" spans="1:22" x14ac:dyDescent="0.3">
      <c r="M46" s="1" t="str">
        <f t="shared" si="0"/>
        <v/>
      </c>
      <c r="N46" s="1" t="str">
        <f t="shared" si="1"/>
        <v/>
      </c>
      <c r="O46" s="1" t="str">
        <f ca="1">IF(F46="","",IF(INT(F46)=INT(NOW()),IF(NETWORKDAYS.INTL(F46,F46,1,FERIADOS!$A$2:$A$50)=0,0,MAX(0,(MIN(NOW(),INT(NOW())+18/24)-MAX(F46,INT(F46)+8/24)))*24),MAX(0,(INT(F46)+18/24-MAX(F46,INT(F46)+8/24)))*24*NETWORKDAYS.INTL(F46,F46,1,FERIADOS!$A$2:$A$50)+MAX(0,NETWORKDAYS.INTL(F46+1,NOW()-1,1,FERIADOS!$A$2:$A$50))*10+MAX(0,(MIN(NOW(),INT(NOW())+18/24)-(INT(NOW())+8/24)))*24*NETWORKDAYS.INTL(NOW(),NOW(),1,FERIADOS!$A$2:$A$50)))</f>
        <v/>
      </c>
      <c r="P46" s="1" t="str">
        <f t="shared" si="2"/>
        <v/>
      </c>
      <c r="Q46" s="1" t="str">
        <f t="shared" si="3"/>
        <v/>
      </c>
      <c r="R46" s="1" t="str">
        <f t="shared" si="4"/>
        <v/>
      </c>
      <c r="S46" s="1" t="str">
        <f>IF($A46="","",COUNTIF($N$2:N46,$N46))</f>
        <v/>
      </c>
      <c r="T46" s="1" t="str">
        <f t="shared" si="5"/>
        <v/>
      </c>
      <c r="U46" s="1" t="str">
        <f t="shared" si="6"/>
        <v/>
      </c>
      <c r="V46"/>
    </row>
    <row r="47" spans="1:22" x14ac:dyDescent="0.3">
      <c r="M47" s="1" t="str">
        <f t="shared" si="0"/>
        <v/>
      </c>
      <c r="N47" s="1" t="str">
        <f t="shared" si="1"/>
        <v/>
      </c>
      <c r="O47" s="1" t="str">
        <f ca="1">IF(F47="","",IF(INT(F47)=INT(NOW()),IF(NETWORKDAYS.INTL(F47,F47,1,FERIADOS!$A$2:$A$50)=0,0,MAX(0,(MIN(NOW(),INT(NOW())+18/24)-MAX(F47,INT(F47)+8/24)))*24),MAX(0,(INT(F47)+18/24-MAX(F47,INT(F47)+8/24)))*24*NETWORKDAYS.INTL(F47,F47,1,FERIADOS!$A$2:$A$50)+MAX(0,NETWORKDAYS.INTL(F47+1,NOW()-1,1,FERIADOS!$A$2:$A$50))*10+MAX(0,(MIN(NOW(),INT(NOW())+18/24)-(INT(NOW())+8/24)))*24*NETWORKDAYS.INTL(NOW(),NOW(),1,FERIADOS!$A$2:$A$50)))</f>
        <v/>
      </c>
      <c r="P47" s="1" t="str">
        <f t="shared" si="2"/>
        <v/>
      </c>
      <c r="Q47" s="1" t="str">
        <f t="shared" si="3"/>
        <v/>
      </c>
      <c r="R47" s="1" t="str">
        <f t="shared" si="4"/>
        <v/>
      </c>
      <c r="S47" s="1" t="str">
        <f>IF($A47="","",COUNTIF($N$2:N47,$N47))</f>
        <v/>
      </c>
      <c r="T47" s="1" t="str">
        <f t="shared" si="5"/>
        <v/>
      </c>
      <c r="U47" s="1" t="str">
        <f t="shared" si="6"/>
        <v/>
      </c>
      <c r="V47"/>
    </row>
    <row r="48" spans="1:22" x14ac:dyDescent="0.3">
      <c r="M48" s="1" t="str">
        <f t="shared" si="0"/>
        <v/>
      </c>
      <c r="N48" s="1" t="str">
        <f t="shared" si="1"/>
        <v/>
      </c>
      <c r="O48" s="1" t="str">
        <f ca="1">IF(F48="","",IF(INT(F48)=INT(NOW()),IF(NETWORKDAYS.INTL(F48,F48,1,FERIADOS!$A$2:$A$50)=0,0,MAX(0,(MIN(NOW(),INT(NOW())+18/24)-MAX(F48,INT(F48)+8/24)))*24),MAX(0,(INT(F48)+18/24-MAX(F48,INT(F48)+8/24)))*24*NETWORKDAYS.INTL(F48,F48,1,FERIADOS!$A$2:$A$50)+MAX(0,NETWORKDAYS.INTL(F48+1,NOW()-1,1,FERIADOS!$A$2:$A$50))*10+MAX(0,(MIN(NOW(),INT(NOW())+18/24)-(INT(NOW())+8/24)))*24*NETWORKDAYS.INTL(NOW(),NOW(),1,FERIADOS!$A$2:$A$50)))</f>
        <v/>
      </c>
      <c r="P48" s="1" t="str">
        <f t="shared" si="2"/>
        <v/>
      </c>
      <c r="Q48" s="1" t="str">
        <f t="shared" si="3"/>
        <v/>
      </c>
      <c r="R48" s="1" t="str">
        <f t="shared" si="4"/>
        <v/>
      </c>
      <c r="S48" s="1" t="str">
        <f>IF($A48="","",COUNTIF($N$2:N48,$N48))</f>
        <v/>
      </c>
      <c r="T48" s="1" t="str">
        <f t="shared" si="5"/>
        <v/>
      </c>
      <c r="U48" s="1" t="str">
        <f t="shared" si="6"/>
        <v/>
      </c>
      <c r="V48"/>
    </row>
    <row r="49" spans="13:22" x14ac:dyDescent="0.3">
      <c r="M49" s="1" t="str">
        <f t="shared" si="0"/>
        <v/>
      </c>
      <c r="N49" s="1" t="str">
        <f t="shared" si="1"/>
        <v/>
      </c>
      <c r="O49" s="1" t="str">
        <f ca="1">IF(F49="","",IF(INT(F49)=INT(NOW()),IF(NETWORKDAYS.INTL(F49,F49,1,FERIADOS!$A$2:$A$50)=0,0,MAX(0,(MIN(NOW(),INT(NOW())+18/24)-MAX(F49,INT(F49)+8/24)))*24),MAX(0,(INT(F49)+18/24-MAX(F49,INT(F49)+8/24)))*24*NETWORKDAYS.INTL(F49,F49,1,FERIADOS!$A$2:$A$50)+MAX(0,NETWORKDAYS.INTL(F49+1,NOW()-1,1,FERIADOS!$A$2:$A$50))*10+MAX(0,(MIN(NOW(),INT(NOW())+18/24)-(INT(NOW())+8/24)))*24*NETWORKDAYS.INTL(NOW(),NOW(),1,FERIADOS!$A$2:$A$50)))</f>
        <v/>
      </c>
      <c r="P49" s="1" t="str">
        <f t="shared" si="2"/>
        <v/>
      </c>
      <c r="Q49" s="1" t="str">
        <f t="shared" si="3"/>
        <v/>
      </c>
      <c r="R49" s="1" t="str">
        <f t="shared" si="4"/>
        <v/>
      </c>
      <c r="S49" s="1" t="str">
        <f>IF($A49="","",COUNTIF($N$2:N49,$N49))</f>
        <v/>
      </c>
      <c r="T49" s="1" t="str">
        <f t="shared" si="5"/>
        <v/>
      </c>
      <c r="U49" s="1" t="str">
        <f t="shared" si="6"/>
        <v/>
      </c>
      <c r="V49"/>
    </row>
    <row r="50" spans="13:22" x14ac:dyDescent="0.3">
      <c r="M50" s="1" t="str">
        <f t="shared" si="0"/>
        <v/>
      </c>
      <c r="N50" s="1" t="str">
        <f t="shared" si="1"/>
        <v/>
      </c>
      <c r="O50" s="1" t="str">
        <f ca="1">IF(F50="","",IF(INT(F50)=INT(NOW()),IF(NETWORKDAYS.INTL(F50,F50,1,FERIADOS!$A$2:$A$50)=0,0,MAX(0,(MIN(NOW(),INT(NOW())+18/24)-MAX(F50,INT(F50)+8/24)))*24),MAX(0,(INT(F50)+18/24-MAX(F50,INT(F50)+8/24)))*24*NETWORKDAYS.INTL(F50,F50,1,FERIADOS!$A$2:$A$50)+MAX(0,NETWORKDAYS.INTL(F50+1,NOW()-1,1,FERIADOS!$A$2:$A$50))*10+MAX(0,(MIN(NOW(),INT(NOW())+18/24)-(INT(NOW())+8/24)))*24*NETWORKDAYS.INTL(NOW(),NOW(),1,FERIADOS!$A$2:$A$50)))</f>
        <v/>
      </c>
      <c r="P50" s="1" t="str">
        <f t="shared" si="2"/>
        <v/>
      </c>
      <c r="Q50" s="1" t="str">
        <f t="shared" si="3"/>
        <v/>
      </c>
      <c r="R50" s="1" t="str">
        <f t="shared" si="4"/>
        <v/>
      </c>
      <c r="S50" s="1" t="str">
        <f>IF($A50="","",COUNTIF($N$2:N50,$N50))</f>
        <v/>
      </c>
      <c r="T50" s="1" t="str">
        <f t="shared" si="5"/>
        <v/>
      </c>
      <c r="U50" s="1" t="str">
        <f t="shared" si="6"/>
        <v/>
      </c>
      <c r="V50"/>
    </row>
    <row r="51" spans="13:22" x14ac:dyDescent="0.3">
      <c r="M51" s="1" t="str">
        <f t="shared" si="0"/>
        <v/>
      </c>
      <c r="N51" s="1" t="str">
        <f t="shared" si="1"/>
        <v/>
      </c>
      <c r="O51" s="1" t="str">
        <f ca="1">IF(F51="","",IF(INT(F51)=INT(NOW()),IF(NETWORKDAYS.INTL(F51,F51,1,FERIADOS!$A$2:$A$50)=0,0,MAX(0,(MIN(NOW(),INT(NOW())+18/24)-MAX(F51,INT(F51)+8/24)))*24),MAX(0,(INT(F51)+18/24-MAX(F51,INT(F51)+8/24)))*24*NETWORKDAYS.INTL(F51,F51,1,FERIADOS!$A$2:$A$50)+MAX(0,NETWORKDAYS.INTL(F51+1,NOW()-1,1,FERIADOS!$A$2:$A$50))*10+MAX(0,(MIN(NOW(),INT(NOW())+18/24)-(INT(NOW())+8/24)))*24*NETWORKDAYS.INTL(NOW(),NOW(),1,FERIADOS!$A$2:$A$50)))</f>
        <v/>
      </c>
      <c r="P51" s="1" t="str">
        <f t="shared" si="2"/>
        <v/>
      </c>
      <c r="Q51" s="1" t="str">
        <f t="shared" si="3"/>
        <v/>
      </c>
      <c r="R51" s="1" t="str">
        <f t="shared" si="4"/>
        <v/>
      </c>
      <c r="S51" s="1" t="str">
        <f>IF($A51="","",COUNTIF($N$2:N51,$N51))</f>
        <v/>
      </c>
      <c r="T51" s="1" t="str">
        <f t="shared" si="5"/>
        <v/>
      </c>
      <c r="U51" s="1" t="str">
        <f t="shared" si="6"/>
        <v/>
      </c>
      <c r="V51"/>
    </row>
    <row r="52" spans="13:22" x14ac:dyDescent="0.3">
      <c r="M52" s="1" t="str">
        <f t="shared" si="0"/>
        <v/>
      </c>
      <c r="N52" s="1" t="str">
        <f t="shared" si="1"/>
        <v/>
      </c>
      <c r="O52" s="1" t="str">
        <f ca="1">IF(F52="","",IF(INT(F52)=INT(NOW()),IF(NETWORKDAYS.INTL(F52,F52,1,FERIADOS!$A$2:$A$50)=0,0,MAX(0,(MIN(NOW(),INT(NOW())+18/24)-MAX(F52,INT(F52)+8/24)))*24),MAX(0,(INT(F52)+18/24-MAX(F52,INT(F52)+8/24)))*24*NETWORKDAYS.INTL(F52,F52,1,FERIADOS!$A$2:$A$50)+MAX(0,NETWORKDAYS.INTL(F52+1,NOW()-1,1,FERIADOS!$A$2:$A$50))*10+MAX(0,(MIN(NOW(),INT(NOW())+18/24)-(INT(NOW())+8/24)))*24*NETWORKDAYS.INTL(NOW(),NOW(),1,FERIADOS!$A$2:$A$50)))</f>
        <v/>
      </c>
      <c r="P52" s="1" t="str">
        <f t="shared" si="2"/>
        <v/>
      </c>
      <c r="Q52" s="1" t="str">
        <f t="shared" si="3"/>
        <v/>
      </c>
      <c r="R52" s="1" t="str">
        <f t="shared" si="4"/>
        <v/>
      </c>
      <c r="S52" s="1" t="str">
        <f>IF($A52="","",COUNTIF($N$2:N52,$N52))</f>
        <v/>
      </c>
      <c r="T52" s="1" t="str">
        <f t="shared" si="5"/>
        <v/>
      </c>
      <c r="U52" s="1" t="str">
        <f t="shared" si="6"/>
        <v/>
      </c>
      <c r="V52"/>
    </row>
    <row r="53" spans="13:22" x14ac:dyDescent="0.3">
      <c r="M53" s="1" t="str">
        <f t="shared" si="0"/>
        <v/>
      </c>
      <c r="N53" s="1" t="str">
        <f t="shared" si="1"/>
        <v/>
      </c>
      <c r="O53" s="1" t="str">
        <f ca="1">IF(F53="","",IF(INT(F53)=INT(NOW()),IF(NETWORKDAYS.INTL(F53,F53,1,FERIADOS!$A$2:$A$50)=0,0,MAX(0,(MIN(NOW(),INT(NOW())+18/24)-MAX(F53,INT(F53)+8/24)))*24),MAX(0,(INT(F53)+18/24-MAX(F53,INT(F53)+8/24)))*24*NETWORKDAYS.INTL(F53,F53,1,FERIADOS!$A$2:$A$50)+MAX(0,NETWORKDAYS.INTL(F53+1,NOW()-1,1,FERIADOS!$A$2:$A$50))*10+MAX(0,(MIN(NOW(),INT(NOW())+18/24)-(INT(NOW())+8/24)))*24*NETWORKDAYS.INTL(NOW(),NOW(),1,FERIADOS!$A$2:$A$50)))</f>
        <v/>
      </c>
      <c r="P53" s="1" t="str">
        <f t="shared" si="2"/>
        <v/>
      </c>
      <c r="Q53" s="1" t="str">
        <f t="shared" si="3"/>
        <v/>
      </c>
      <c r="R53" s="1" t="str">
        <f t="shared" si="4"/>
        <v/>
      </c>
      <c r="S53" s="1" t="str">
        <f>IF($A53="","",COUNTIF($N$2:N53,$N53))</f>
        <v/>
      </c>
      <c r="T53" s="1" t="str">
        <f t="shared" si="5"/>
        <v/>
      </c>
      <c r="U53" s="1" t="str">
        <f t="shared" si="6"/>
        <v/>
      </c>
      <c r="V53"/>
    </row>
    <row r="54" spans="13:22" x14ac:dyDescent="0.3">
      <c r="M54" s="1" t="str">
        <f t="shared" si="0"/>
        <v/>
      </c>
      <c r="N54" s="1" t="str">
        <f t="shared" si="1"/>
        <v/>
      </c>
      <c r="O54" s="1" t="str">
        <f ca="1">IF(F54="","",IF(INT(F54)=INT(NOW()),IF(NETWORKDAYS.INTL(F54,F54,1,FERIADOS!$A$2:$A$50)=0,0,MAX(0,(MIN(NOW(),INT(NOW())+18/24)-MAX(F54,INT(F54)+8/24)))*24),MAX(0,(INT(F54)+18/24-MAX(F54,INT(F54)+8/24)))*24*NETWORKDAYS.INTL(F54,F54,1,FERIADOS!$A$2:$A$50)+MAX(0,NETWORKDAYS.INTL(F54+1,NOW()-1,1,FERIADOS!$A$2:$A$50))*10+MAX(0,(MIN(NOW(),INT(NOW())+18/24)-(INT(NOW())+8/24)))*24*NETWORKDAYS.INTL(NOW(),NOW(),1,FERIADOS!$A$2:$A$50)))</f>
        <v/>
      </c>
      <c r="P54" s="1" t="str">
        <f t="shared" si="2"/>
        <v/>
      </c>
      <c r="Q54" s="1" t="str">
        <f t="shared" si="3"/>
        <v/>
      </c>
      <c r="R54" s="1" t="str">
        <f t="shared" si="4"/>
        <v/>
      </c>
      <c r="S54" s="1" t="str">
        <f>IF($A54="","",COUNTIF($N$2:N54,$N54))</f>
        <v/>
      </c>
      <c r="T54" s="1" t="str">
        <f t="shared" si="5"/>
        <v/>
      </c>
      <c r="U54" s="1" t="str">
        <f t="shared" si="6"/>
        <v/>
      </c>
      <c r="V54"/>
    </row>
    <row r="55" spans="13:22" x14ac:dyDescent="0.3">
      <c r="M55" s="1" t="str">
        <f t="shared" si="0"/>
        <v/>
      </c>
      <c r="N55" s="1" t="str">
        <f t="shared" si="1"/>
        <v/>
      </c>
      <c r="O55" s="1" t="str">
        <f ca="1">IF(F55="","",IF(INT(F55)=INT(NOW()),IF(NETWORKDAYS.INTL(F55,F55,1,FERIADOS!$A$2:$A$50)=0,0,MAX(0,(MIN(NOW(),INT(NOW())+18/24)-MAX(F55,INT(F55)+8/24)))*24),MAX(0,(INT(F55)+18/24-MAX(F55,INT(F55)+8/24)))*24*NETWORKDAYS.INTL(F55,F55,1,FERIADOS!$A$2:$A$50)+MAX(0,NETWORKDAYS.INTL(F55+1,NOW()-1,1,FERIADOS!$A$2:$A$50))*10+MAX(0,(MIN(NOW(),INT(NOW())+18/24)-(INT(NOW())+8/24)))*24*NETWORKDAYS.INTL(NOW(),NOW(),1,FERIADOS!$A$2:$A$50)))</f>
        <v/>
      </c>
      <c r="P55" s="1" t="str">
        <f t="shared" si="2"/>
        <v/>
      </c>
      <c r="Q55" s="1" t="str">
        <f t="shared" si="3"/>
        <v/>
      </c>
      <c r="R55" s="1" t="str">
        <f t="shared" si="4"/>
        <v/>
      </c>
      <c r="S55" s="1" t="str">
        <f>IF($A55="","",COUNTIF($N$2:N55,$N55))</f>
        <v/>
      </c>
      <c r="T55" s="1" t="str">
        <f t="shared" si="5"/>
        <v/>
      </c>
      <c r="U55" s="1" t="str">
        <f t="shared" si="6"/>
        <v/>
      </c>
      <c r="V55"/>
    </row>
    <row r="56" spans="13:22" x14ac:dyDescent="0.3">
      <c r="M56" s="1" t="str">
        <f t="shared" si="0"/>
        <v/>
      </c>
      <c r="N56" s="1" t="str">
        <f t="shared" si="1"/>
        <v/>
      </c>
      <c r="O56" s="1" t="str">
        <f ca="1">IF(F56="","",IF(INT(F56)=INT(NOW()),IF(NETWORKDAYS.INTL(F56,F56,1,FERIADOS!$A$2:$A$50)=0,0,MAX(0,(MIN(NOW(),INT(NOW())+18/24)-MAX(F56,INT(F56)+8/24)))*24),MAX(0,(INT(F56)+18/24-MAX(F56,INT(F56)+8/24)))*24*NETWORKDAYS.INTL(F56,F56,1,FERIADOS!$A$2:$A$50)+MAX(0,NETWORKDAYS.INTL(F56+1,NOW()-1,1,FERIADOS!$A$2:$A$50))*10+MAX(0,(MIN(NOW(),INT(NOW())+18/24)-(INT(NOW())+8/24)))*24*NETWORKDAYS.INTL(NOW(),NOW(),1,FERIADOS!$A$2:$A$50)))</f>
        <v/>
      </c>
      <c r="P56" s="1" t="str">
        <f t="shared" si="2"/>
        <v/>
      </c>
      <c r="Q56" s="1" t="str">
        <f t="shared" si="3"/>
        <v/>
      </c>
      <c r="R56" s="1" t="str">
        <f t="shared" si="4"/>
        <v/>
      </c>
      <c r="S56" s="1" t="str">
        <f>IF($A56="","",COUNTIF($N$2:N56,$N56))</f>
        <v/>
      </c>
      <c r="T56" s="1" t="str">
        <f t="shared" si="5"/>
        <v/>
      </c>
      <c r="U56" s="1" t="str">
        <f t="shared" si="6"/>
        <v/>
      </c>
      <c r="V56"/>
    </row>
    <row r="57" spans="13:22" x14ac:dyDescent="0.3">
      <c r="M57" s="1" t="str">
        <f t="shared" si="0"/>
        <v/>
      </c>
      <c r="N57" s="1" t="str">
        <f t="shared" si="1"/>
        <v/>
      </c>
      <c r="O57" s="1" t="str">
        <f ca="1">IF(F57="","",IF(INT(F57)=INT(NOW()),IF(NETWORKDAYS.INTL(F57,F57,1,FERIADOS!$A$2:$A$50)=0,0,MAX(0,(MIN(NOW(),INT(NOW())+18/24)-MAX(F57,INT(F57)+8/24)))*24),MAX(0,(INT(F57)+18/24-MAX(F57,INT(F57)+8/24)))*24*NETWORKDAYS.INTL(F57,F57,1,FERIADOS!$A$2:$A$50)+MAX(0,NETWORKDAYS.INTL(F57+1,NOW()-1,1,FERIADOS!$A$2:$A$50))*10+MAX(0,(MIN(NOW(),INT(NOW())+18/24)-(INT(NOW())+8/24)))*24*NETWORKDAYS.INTL(NOW(),NOW(),1,FERIADOS!$A$2:$A$50)))</f>
        <v/>
      </c>
      <c r="P57" s="1" t="str">
        <f t="shared" si="2"/>
        <v/>
      </c>
      <c r="Q57" s="1" t="str">
        <f t="shared" si="3"/>
        <v/>
      </c>
      <c r="R57" s="1" t="str">
        <f t="shared" si="4"/>
        <v/>
      </c>
      <c r="S57" s="1" t="str">
        <f>IF($A57="","",COUNTIF($N$2:N57,$N57))</f>
        <v/>
      </c>
      <c r="T57" s="1" t="str">
        <f t="shared" si="5"/>
        <v/>
      </c>
      <c r="U57" s="1" t="str">
        <f t="shared" si="6"/>
        <v/>
      </c>
      <c r="V57"/>
    </row>
    <row r="58" spans="13:22" x14ac:dyDescent="0.3">
      <c r="M58" s="1" t="str">
        <f t="shared" si="0"/>
        <v/>
      </c>
      <c r="N58" s="1" t="str">
        <f t="shared" si="1"/>
        <v/>
      </c>
      <c r="O58" s="1" t="str">
        <f ca="1">IF(F58="","",IF(INT(F58)=INT(NOW()),IF(NETWORKDAYS.INTL(F58,F58,1,FERIADOS!$A$2:$A$50)=0,0,MAX(0,(MIN(NOW(),INT(NOW())+18/24)-MAX(F58,INT(F58)+8/24)))*24),MAX(0,(INT(F58)+18/24-MAX(F58,INT(F58)+8/24)))*24*NETWORKDAYS.INTL(F58,F58,1,FERIADOS!$A$2:$A$50)+MAX(0,NETWORKDAYS.INTL(F58+1,NOW()-1,1,FERIADOS!$A$2:$A$50))*10+MAX(0,(MIN(NOW(),INT(NOW())+18/24)-(INT(NOW())+8/24)))*24*NETWORKDAYS.INTL(NOW(),NOW(),1,FERIADOS!$A$2:$A$50)))</f>
        <v/>
      </c>
      <c r="P58" s="1" t="str">
        <f t="shared" si="2"/>
        <v/>
      </c>
      <c r="Q58" s="1" t="str">
        <f t="shared" si="3"/>
        <v/>
      </c>
      <c r="R58" s="1" t="str">
        <f t="shared" si="4"/>
        <v/>
      </c>
      <c r="S58" s="1" t="str">
        <f>IF($A58="","",COUNTIF($N$2:N58,$N58))</f>
        <v/>
      </c>
      <c r="T58" s="1" t="str">
        <f t="shared" si="5"/>
        <v/>
      </c>
      <c r="U58" s="1" t="str">
        <f t="shared" si="6"/>
        <v/>
      </c>
      <c r="V58"/>
    </row>
    <row r="59" spans="13:22" x14ac:dyDescent="0.3">
      <c r="M59" s="1" t="str">
        <f t="shared" si="0"/>
        <v/>
      </c>
      <c r="N59" s="1" t="str">
        <f t="shared" si="1"/>
        <v/>
      </c>
      <c r="O59" s="1" t="str">
        <f ca="1">IF(F59="","",IF(INT(F59)=INT(NOW()),IF(NETWORKDAYS.INTL(F59,F59,1,FERIADOS!$A$2:$A$50)=0,0,MAX(0,(MIN(NOW(),INT(NOW())+18/24)-MAX(F59,INT(F59)+8/24)))*24),MAX(0,(INT(F59)+18/24-MAX(F59,INT(F59)+8/24)))*24*NETWORKDAYS.INTL(F59,F59,1,FERIADOS!$A$2:$A$50)+MAX(0,NETWORKDAYS.INTL(F59+1,NOW()-1,1,FERIADOS!$A$2:$A$50))*10+MAX(0,(MIN(NOW(),INT(NOW())+18/24)-(INT(NOW())+8/24)))*24*NETWORKDAYS.INTL(NOW(),NOW(),1,FERIADOS!$A$2:$A$50)))</f>
        <v/>
      </c>
      <c r="P59" s="1" t="str">
        <f t="shared" si="2"/>
        <v/>
      </c>
      <c r="Q59" s="1" t="str">
        <f t="shared" si="3"/>
        <v/>
      </c>
      <c r="R59" s="1" t="str">
        <f t="shared" si="4"/>
        <v/>
      </c>
      <c r="S59" s="1" t="str">
        <f>IF($A59="","",COUNTIF($N$2:N59,$N59))</f>
        <v/>
      </c>
      <c r="T59" s="1" t="str">
        <f t="shared" si="5"/>
        <v/>
      </c>
      <c r="U59" s="1" t="str">
        <f t="shared" si="6"/>
        <v/>
      </c>
      <c r="V59"/>
    </row>
    <row r="60" spans="13:22" x14ac:dyDescent="0.3">
      <c r="M60" s="1" t="str">
        <f t="shared" si="0"/>
        <v/>
      </c>
      <c r="N60" s="1" t="str">
        <f t="shared" si="1"/>
        <v/>
      </c>
      <c r="O60" s="1" t="str">
        <f ca="1">IF(F60="","",IF(INT(F60)=INT(NOW()),IF(NETWORKDAYS.INTL(F60,F60,1,FERIADOS!$A$2:$A$50)=0,0,MAX(0,(MIN(NOW(),INT(NOW())+18/24)-MAX(F60,INT(F60)+8/24)))*24),MAX(0,(INT(F60)+18/24-MAX(F60,INT(F60)+8/24)))*24*NETWORKDAYS.INTL(F60,F60,1,FERIADOS!$A$2:$A$50)+MAX(0,NETWORKDAYS.INTL(F60+1,NOW()-1,1,FERIADOS!$A$2:$A$50))*10+MAX(0,(MIN(NOW(),INT(NOW())+18/24)-(INT(NOW())+8/24)))*24*NETWORKDAYS.INTL(NOW(),NOW(),1,FERIADOS!$A$2:$A$50)))</f>
        <v/>
      </c>
      <c r="P60" s="1" t="str">
        <f t="shared" si="2"/>
        <v/>
      </c>
      <c r="Q60" s="1" t="str">
        <f t="shared" si="3"/>
        <v/>
      </c>
      <c r="R60" s="1" t="str">
        <f t="shared" si="4"/>
        <v/>
      </c>
      <c r="S60" s="1" t="str">
        <f>IF($A60="","",COUNTIF($N$2:N60,$N60))</f>
        <v/>
      </c>
      <c r="T60" s="1" t="str">
        <f t="shared" si="5"/>
        <v/>
      </c>
      <c r="U60" s="1" t="str">
        <f t="shared" si="6"/>
        <v/>
      </c>
      <c r="V60"/>
    </row>
    <row r="61" spans="13:22" x14ac:dyDescent="0.3">
      <c r="M61" s="1" t="str">
        <f t="shared" si="0"/>
        <v/>
      </c>
      <c r="N61" s="1" t="str">
        <f t="shared" si="1"/>
        <v/>
      </c>
      <c r="O61" s="1" t="str">
        <f ca="1">IF(F61="","",IF(INT(F61)=INT(NOW()),IF(NETWORKDAYS.INTL(F61,F61,1,FERIADOS!$A$2:$A$50)=0,0,MAX(0,(MIN(NOW(),INT(NOW())+18/24)-MAX(F61,INT(F61)+8/24)))*24),MAX(0,(INT(F61)+18/24-MAX(F61,INT(F61)+8/24)))*24*NETWORKDAYS.INTL(F61,F61,1,FERIADOS!$A$2:$A$50)+MAX(0,NETWORKDAYS.INTL(F61+1,NOW()-1,1,FERIADOS!$A$2:$A$50))*10+MAX(0,(MIN(NOW(),INT(NOW())+18/24)-(INT(NOW())+8/24)))*24*NETWORKDAYS.INTL(NOW(),NOW(),1,FERIADOS!$A$2:$A$50)))</f>
        <v/>
      </c>
      <c r="P61" s="1" t="str">
        <f t="shared" si="2"/>
        <v/>
      </c>
      <c r="Q61" s="1" t="str">
        <f t="shared" si="3"/>
        <v/>
      </c>
      <c r="R61" s="1" t="str">
        <f t="shared" si="4"/>
        <v/>
      </c>
      <c r="S61" s="1" t="str">
        <f>IF($A61="","",COUNTIF($N$2:N61,$N61))</f>
        <v/>
      </c>
      <c r="T61" s="1" t="str">
        <f t="shared" si="5"/>
        <v/>
      </c>
      <c r="U61" s="1" t="str">
        <f t="shared" si="6"/>
        <v/>
      </c>
      <c r="V61"/>
    </row>
    <row r="62" spans="13:22" x14ac:dyDescent="0.3">
      <c r="M62" s="1" t="str">
        <f t="shared" si="0"/>
        <v/>
      </c>
      <c r="N62" s="1" t="str">
        <f t="shared" si="1"/>
        <v/>
      </c>
      <c r="O62" s="1" t="str">
        <f ca="1">IF(F62="","",IF(INT(F62)=INT(NOW()),IF(NETWORKDAYS.INTL(F62,F62,1,FERIADOS!$A$2:$A$50)=0,0,MAX(0,(MIN(NOW(),INT(NOW())+18/24)-MAX(F62,INT(F62)+8/24)))*24),MAX(0,(INT(F62)+18/24-MAX(F62,INT(F62)+8/24)))*24*NETWORKDAYS.INTL(F62,F62,1,FERIADOS!$A$2:$A$50)+MAX(0,NETWORKDAYS.INTL(F62+1,NOW()-1,1,FERIADOS!$A$2:$A$50))*10+MAX(0,(MIN(NOW(),INT(NOW())+18/24)-(INT(NOW())+8/24)))*24*NETWORKDAYS.INTL(NOW(),NOW(),1,FERIADOS!$A$2:$A$50)))</f>
        <v/>
      </c>
      <c r="P62" s="1" t="str">
        <f t="shared" si="2"/>
        <v/>
      </c>
      <c r="Q62" s="1" t="str">
        <f t="shared" si="3"/>
        <v/>
      </c>
      <c r="R62" s="1" t="str">
        <f t="shared" si="4"/>
        <v/>
      </c>
      <c r="S62" s="1" t="str">
        <f>IF($A62="","",COUNTIF($N$2:N62,$N62))</f>
        <v/>
      </c>
      <c r="T62" s="1" t="str">
        <f t="shared" si="5"/>
        <v/>
      </c>
      <c r="U62" s="1" t="str">
        <f t="shared" si="6"/>
        <v/>
      </c>
      <c r="V62"/>
    </row>
    <row r="63" spans="13:22" x14ac:dyDescent="0.3">
      <c r="M63" s="1" t="str">
        <f t="shared" si="0"/>
        <v/>
      </c>
      <c r="N63" s="1" t="str">
        <f t="shared" si="1"/>
        <v/>
      </c>
      <c r="O63" s="1" t="str">
        <f ca="1">IF(F63="","",IF(INT(F63)=INT(NOW()),IF(NETWORKDAYS.INTL(F63,F63,1,FERIADOS!$A$2:$A$50)=0,0,MAX(0,(MIN(NOW(),INT(NOW())+18/24)-MAX(F63,INT(F63)+8/24)))*24),MAX(0,(INT(F63)+18/24-MAX(F63,INT(F63)+8/24)))*24*NETWORKDAYS.INTL(F63,F63,1,FERIADOS!$A$2:$A$50)+MAX(0,NETWORKDAYS.INTL(F63+1,NOW()-1,1,FERIADOS!$A$2:$A$50))*10+MAX(0,(MIN(NOW(),INT(NOW())+18/24)-(INT(NOW())+8/24)))*24*NETWORKDAYS.INTL(NOW(),NOW(),1,FERIADOS!$A$2:$A$50)))</f>
        <v/>
      </c>
      <c r="P63" s="1" t="str">
        <f t="shared" si="2"/>
        <v/>
      </c>
      <c r="Q63" s="1" t="str">
        <f t="shared" si="3"/>
        <v/>
      </c>
      <c r="R63" s="1" t="str">
        <f t="shared" si="4"/>
        <v/>
      </c>
      <c r="S63" s="1" t="str">
        <f>IF($A63="","",COUNTIF($N$2:N63,$N63))</f>
        <v/>
      </c>
      <c r="T63" s="1" t="str">
        <f t="shared" si="5"/>
        <v/>
      </c>
      <c r="U63" s="1" t="str">
        <f t="shared" si="6"/>
        <v/>
      </c>
      <c r="V63"/>
    </row>
    <row r="64" spans="13:22" x14ac:dyDescent="0.3">
      <c r="M64" s="1" t="str">
        <f t="shared" si="0"/>
        <v/>
      </c>
      <c r="N64" s="1" t="str">
        <f t="shared" si="1"/>
        <v/>
      </c>
      <c r="O64" s="1" t="str">
        <f ca="1">IF(F64="","",IF(INT(F64)=INT(NOW()),IF(NETWORKDAYS.INTL(F64,F64,1,FERIADOS!$A$2:$A$50)=0,0,MAX(0,(MIN(NOW(),INT(NOW())+18/24)-MAX(F64,INT(F64)+8/24)))*24),MAX(0,(INT(F64)+18/24-MAX(F64,INT(F64)+8/24)))*24*NETWORKDAYS.INTL(F64,F64,1,FERIADOS!$A$2:$A$50)+MAX(0,NETWORKDAYS.INTL(F64+1,NOW()-1,1,FERIADOS!$A$2:$A$50))*10+MAX(0,(MIN(NOW(),INT(NOW())+18/24)-(INT(NOW())+8/24)))*24*NETWORKDAYS.INTL(NOW(),NOW(),1,FERIADOS!$A$2:$A$50)))</f>
        <v/>
      </c>
      <c r="P64" s="1" t="str">
        <f t="shared" si="2"/>
        <v/>
      </c>
      <c r="Q64" s="1" t="str">
        <f t="shared" si="3"/>
        <v/>
      </c>
      <c r="R64" s="1" t="str">
        <f t="shared" si="4"/>
        <v/>
      </c>
      <c r="S64" s="1" t="str">
        <f>IF($A64="","",COUNTIF($N$2:N64,$N64))</f>
        <v/>
      </c>
      <c r="T64" s="1" t="str">
        <f t="shared" si="5"/>
        <v/>
      </c>
      <c r="U64" s="1" t="str">
        <f t="shared" si="6"/>
        <v/>
      </c>
      <c r="V64"/>
    </row>
    <row r="65" spans="13:22" x14ac:dyDescent="0.3">
      <c r="M65" s="1" t="str">
        <f t="shared" si="0"/>
        <v/>
      </c>
      <c r="N65" s="1" t="str">
        <f t="shared" si="1"/>
        <v/>
      </c>
      <c r="O65" s="1" t="str">
        <f ca="1">IF(F65="","",IF(INT(F65)=INT(NOW()),IF(NETWORKDAYS.INTL(F65,F65,1,FERIADOS!$A$2:$A$50)=0,0,MAX(0,(MIN(NOW(),INT(NOW())+18/24)-MAX(F65,INT(F65)+8/24)))*24),MAX(0,(INT(F65)+18/24-MAX(F65,INT(F65)+8/24)))*24*NETWORKDAYS.INTL(F65,F65,1,FERIADOS!$A$2:$A$50)+MAX(0,NETWORKDAYS.INTL(F65+1,NOW()-1,1,FERIADOS!$A$2:$A$50))*10+MAX(0,(MIN(NOW(),INT(NOW())+18/24)-(INT(NOW())+8/24)))*24*NETWORKDAYS.INTL(NOW(),NOW(),1,FERIADOS!$A$2:$A$50)))</f>
        <v/>
      </c>
      <c r="P65" s="1" t="str">
        <f t="shared" si="2"/>
        <v/>
      </c>
      <c r="Q65" s="1" t="str">
        <f t="shared" si="3"/>
        <v/>
      </c>
      <c r="R65" s="1" t="str">
        <f t="shared" si="4"/>
        <v/>
      </c>
      <c r="S65" s="1" t="str">
        <f>IF($A65="","",COUNTIF($N$2:N65,$N65))</f>
        <v/>
      </c>
      <c r="T65" s="1" t="str">
        <f t="shared" si="5"/>
        <v/>
      </c>
      <c r="U65" s="1" t="str">
        <f t="shared" si="6"/>
        <v/>
      </c>
      <c r="V65"/>
    </row>
    <row r="66" spans="13:22" x14ac:dyDescent="0.3">
      <c r="M66" s="1" t="str">
        <f t="shared" ref="M66:M129" si="7">IF($A66="","",IF($L66="MA",IF(OR(UPPER($K66)="SAO LUIS",UPPER($K66)="SÃO LUIS",UPPER($K66)="PACO DO LUMIAR",UPPER($K66)="PAÇO DO LUMIAR",UPPER($K66)="SAO JOSE DE RIBAMAR",UPPER($K66)="SÃO JOSÉ DE RIBAMAR"),"MA CAP","MA INT"),IF($L66="PA",IF(OR(UPPER($K66)="BELEM",UPPER($K66)="BELÉM",UPPER($K66)="ANANINDEUA"),"PA CAP","PA INT"),IF($L66="PI",IF(UPPER($K66)="TERESINA","PI CAP","PI INT"),IF($L66="AM","AM INT",IF($L66="AP","AP","OUTROS"))))))</f>
        <v/>
      </c>
      <c r="N66" s="1" t="str">
        <f t="shared" ref="N66:N129" si="8">IF($A66="","",IF($M66="PI CAP","GIGA+ PI",IF($M66="PI INT","GIGA+ PI",IF($M66="MA CAP","SLN MA",IF($M66="MA INT","GIGA+ MA",IF($M66="PA CAP","SLN PA",IF($M66="PA INT","SLN PA",IF($M66="AM INT","ADX",IF($M66="AP","ADX","OUTROS")))))))))</f>
        <v/>
      </c>
      <c r="O66" s="1" t="str">
        <f ca="1">IF(F66="","",IF(INT(F66)=INT(NOW()),IF(NETWORKDAYS.INTL(F66,F66,1,FERIADOS!$A$2:$A$50)=0,0,MAX(0,(MIN(NOW(),INT(NOW())+18/24)-MAX(F66,INT(F66)+8/24)))*24),MAX(0,(INT(F66)+18/24-MAX(F66,INT(F66)+8/24)))*24*NETWORKDAYS.INTL(F66,F66,1,FERIADOS!$A$2:$A$50)+MAX(0,NETWORKDAYS.INTL(F66+1,NOW()-1,1,FERIADOS!$A$2:$A$50))*10+MAX(0,(MIN(NOW(),INT(NOW())+18/24)-(INT(NOW())+8/24)))*24*NETWORKDAYS.INTL(NOW(),NOW(),1,FERIADOS!$A$2:$A$50)))</f>
        <v/>
      </c>
      <c r="P66" s="1" t="str">
        <f t="shared" ref="P66:P129" si="9">IF($A66="","",IF(OR(O66="",O66=0),"00h 00m",TEXT(INT(O66),"00") &amp; "h " &amp; TEXT(INT((O66-INT(O66))*60),"00") &amp; "m"))</f>
        <v/>
      </c>
      <c r="Q66" s="1" t="str">
        <f t="shared" ref="Q66:Q129" si="10">IF($A66="","",IF(OR(O66="",O66&lt;=4),"🔵 Até 4h",IF(O66&lt;=8,"🟢 Entre 4h e 8h",IF(O66&lt;=12,"🟡 Entre 8h e 12h",IF(O66&lt;=24,"🟠 Entre 12h e 24h","🔴 Maior que 24h")))))</f>
        <v/>
      </c>
      <c r="R66" s="1" t="str">
        <f t="shared" ref="R66:R129" si="11">IF($A66="","",IF(OR(O66="",O66&lt;=8),"NO PRAZO","FORA DO PRAZO"))</f>
        <v/>
      </c>
      <c r="S66" s="1" t="str">
        <f>IF($A66="","",COUNTIF($N$2:N66,$N66))</f>
        <v/>
      </c>
      <c r="T66" s="1" t="str">
        <f t="shared" ref="T66:T129" si="12">IF($A66="","",IF($N66="SLN MA",1,IF($N66="GIGA+ MA",2,IF($N66="GIGA+ PI",3,IF($N66="SLN PA",4,IF($N66="ADX",5,6))))))</f>
        <v/>
      </c>
      <c r="U66" s="1" t="str">
        <f t="shared" ref="U66:U129" si="13">IF($A66="","",$T66*10000+$S66)</f>
        <v/>
      </c>
      <c r="V66"/>
    </row>
    <row r="67" spans="13:22" x14ac:dyDescent="0.3">
      <c r="M67" s="1" t="str">
        <f t="shared" si="7"/>
        <v/>
      </c>
      <c r="N67" s="1" t="str">
        <f t="shared" si="8"/>
        <v/>
      </c>
      <c r="O67" s="1" t="str">
        <f ca="1">IF(F67="","",IF(INT(F67)=INT(NOW()),IF(NETWORKDAYS.INTL(F67,F67,1,FERIADOS!$A$2:$A$50)=0,0,MAX(0,(MIN(NOW(),INT(NOW())+18/24)-MAX(F67,INT(F67)+8/24)))*24),MAX(0,(INT(F67)+18/24-MAX(F67,INT(F67)+8/24)))*24*NETWORKDAYS.INTL(F67,F67,1,FERIADOS!$A$2:$A$50)+MAX(0,NETWORKDAYS.INTL(F67+1,NOW()-1,1,FERIADOS!$A$2:$A$50))*10+MAX(0,(MIN(NOW(),INT(NOW())+18/24)-(INT(NOW())+8/24)))*24*NETWORKDAYS.INTL(NOW(),NOW(),1,FERIADOS!$A$2:$A$50)))</f>
        <v/>
      </c>
      <c r="P67" s="1" t="str">
        <f t="shared" si="9"/>
        <v/>
      </c>
      <c r="Q67" s="1" t="str">
        <f t="shared" si="10"/>
        <v/>
      </c>
      <c r="R67" s="1" t="str">
        <f t="shared" si="11"/>
        <v/>
      </c>
      <c r="S67" s="1" t="str">
        <f>IF($A67="","",COUNTIF($N$2:N67,$N67))</f>
        <v/>
      </c>
      <c r="T67" s="1" t="str">
        <f t="shared" si="12"/>
        <v/>
      </c>
      <c r="U67" s="1" t="str">
        <f t="shared" si="13"/>
        <v/>
      </c>
      <c r="V67"/>
    </row>
    <row r="68" spans="13:22" x14ac:dyDescent="0.3">
      <c r="M68" s="1" t="str">
        <f t="shared" si="7"/>
        <v/>
      </c>
      <c r="N68" s="1" t="str">
        <f t="shared" si="8"/>
        <v/>
      </c>
      <c r="O68" s="1" t="str">
        <f ca="1">IF(F68="","",IF(INT(F68)=INT(NOW()),IF(NETWORKDAYS.INTL(F68,F68,1,FERIADOS!$A$2:$A$50)=0,0,MAX(0,(MIN(NOW(),INT(NOW())+18/24)-MAX(F68,INT(F68)+8/24)))*24),MAX(0,(INT(F68)+18/24-MAX(F68,INT(F68)+8/24)))*24*NETWORKDAYS.INTL(F68,F68,1,FERIADOS!$A$2:$A$50)+MAX(0,NETWORKDAYS.INTL(F68+1,NOW()-1,1,FERIADOS!$A$2:$A$50))*10+MAX(0,(MIN(NOW(),INT(NOW())+18/24)-(INT(NOW())+8/24)))*24*NETWORKDAYS.INTL(NOW(),NOW(),1,FERIADOS!$A$2:$A$50)))</f>
        <v/>
      </c>
      <c r="P68" s="1" t="str">
        <f t="shared" si="9"/>
        <v/>
      </c>
      <c r="Q68" s="1" t="str">
        <f t="shared" si="10"/>
        <v/>
      </c>
      <c r="R68" s="1" t="str">
        <f t="shared" si="11"/>
        <v/>
      </c>
      <c r="S68" s="1" t="str">
        <f>IF($A68="","",COUNTIF($N$2:N68,$N68))</f>
        <v/>
      </c>
      <c r="T68" s="1" t="str">
        <f t="shared" si="12"/>
        <v/>
      </c>
      <c r="U68" s="1" t="str">
        <f t="shared" si="13"/>
        <v/>
      </c>
      <c r="V68"/>
    </row>
    <row r="69" spans="13:22" x14ac:dyDescent="0.3">
      <c r="M69" s="1" t="str">
        <f t="shared" si="7"/>
        <v/>
      </c>
      <c r="N69" s="1" t="str">
        <f t="shared" si="8"/>
        <v/>
      </c>
      <c r="O69" s="1" t="str">
        <f ca="1">IF(F69="","",IF(INT(F69)=INT(NOW()),IF(NETWORKDAYS.INTL(F69,F69,1,FERIADOS!$A$2:$A$50)=0,0,MAX(0,(MIN(NOW(),INT(NOW())+18/24)-MAX(F69,INT(F69)+8/24)))*24),MAX(0,(INT(F69)+18/24-MAX(F69,INT(F69)+8/24)))*24*NETWORKDAYS.INTL(F69,F69,1,FERIADOS!$A$2:$A$50)+MAX(0,NETWORKDAYS.INTL(F69+1,NOW()-1,1,FERIADOS!$A$2:$A$50))*10+MAX(0,(MIN(NOW(),INT(NOW())+18/24)-(INT(NOW())+8/24)))*24*NETWORKDAYS.INTL(NOW(),NOW(),1,FERIADOS!$A$2:$A$50)))</f>
        <v/>
      </c>
      <c r="P69" s="1" t="str">
        <f t="shared" si="9"/>
        <v/>
      </c>
      <c r="Q69" s="1" t="str">
        <f t="shared" si="10"/>
        <v/>
      </c>
      <c r="R69" s="1" t="str">
        <f t="shared" si="11"/>
        <v/>
      </c>
      <c r="S69" s="1" t="str">
        <f>IF($A69="","",COUNTIF($N$2:N69,$N69))</f>
        <v/>
      </c>
      <c r="T69" s="1" t="str">
        <f t="shared" si="12"/>
        <v/>
      </c>
      <c r="U69" s="1" t="str">
        <f t="shared" si="13"/>
        <v/>
      </c>
      <c r="V69"/>
    </row>
    <row r="70" spans="13:22" x14ac:dyDescent="0.3">
      <c r="M70" s="1" t="str">
        <f t="shared" si="7"/>
        <v/>
      </c>
      <c r="N70" s="1" t="str">
        <f t="shared" si="8"/>
        <v/>
      </c>
      <c r="O70" s="1" t="str">
        <f ca="1">IF(F70="","",IF(INT(F70)=INT(NOW()),IF(NETWORKDAYS.INTL(F70,F70,1,FERIADOS!$A$2:$A$50)=0,0,MAX(0,(MIN(NOW(),INT(NOW())+18/24)-MAX(F70,INT(F70)+8/24)))*24),MAX(0,(INT(F70)+18/24-MAX(F70,INT(F70)+8/24)))*24*NETWORKDAYS.INTL(F70,F70,1,FERIADOS!$A$2:$A$50)+MAX(0,NETWORKDAYS.INTL(F70+1,NOW()-1,1,FERIADOS!$A$2:$A$50))*10+MAX(0,(MIN(NOW(),INT(NOW())+18/24)-(INT(NOW())+8/24)))*24*NETWORKDAYS.INTL(NOW(),NOW(),1,FERIADOS!$A$2:$A$50)))</f>
        <v/>
      </c>
      <c r="P70" s="1" t="str">
        <f t="shared" si="9"/>
        <v/>
      </c>
      <c r="Q70" s="1" t="str">
        <f t="shared" si="10"/>
        <v/>
      </c>
      <c r="R70" s="1" t="str">
        <f t="shared" si="11"/>
        <v/>
      </c>
      <c r="S70" s="1" t="str">
        <f>IF($A70="","",COUNTIF($N$2:N70,$N70))</f>
        <v/>
      </c>
      <c r="T70" s="1" t="str">
        <f t="shared" si="12"/>
        <v/>
      </c>
      <c r="U70" s="1" t="str">
        <f t="shared" si="13"/>
        <v/>
      </c>
      <c r="V70"/>
    </row>
    <row r="71" spans="13:22" x14ac:dyDescent="0.3">
      <c r="M71" s="1" t="str">
        <f t="shared" si="7"/>
        <v/>
      </c>
      <c r="N71" s="1" t="str">
        <f t="shared" si="8"/>
        <v/>
      </c>
      <c r="O71" s="1" t="str">
        <f ca="1">IF(F71="","",IF(INT(F71)=INT(NOW()),IF(NETWORKDAYS.INTL(F71,F71,1,FERIADOS!$A$2:$A$50)=0,0,MAX(0,(MIN(NOW(),INT(NOW())+18/24)-MAX(F71,INT(F71)+8/24)))*24),MAX(0,(INT(F71)+18/24-MAX(F71,INT(F71)+8/24)))*24*NETWORKDAYS.INTL(F71,F71,1,FERIADOS!$A$2:$A$50)+MAX(0,NETWORKDAYS.INTL(F71+1,NOW()-1,1,FERIADOS!$A$2:$A$50))*10+MAX(0,(MIN(NOW(),INT(NOW())+18/24)-(INT(NOW())+8/24)))*24*NETWORKDAYS.INTL(NOW(),NOW(),1,FERIADOS!$A$2:$A$50)))</f>
        <v/>
      </c>
      <c r="P71" s="1" t="str">
        <f t="shared" si="9"/>
        <v/>
      </c>
      <c r="Q71" s="1" t="str">
        <f t="shared" si="10"/>
        <v/>
      </c>
      <c r="R71" s="1" t="str">
        <f t="shared" si="11"/>
        <v/>
      </c>
      <c r="S71" s="1" t="str">
        <f>IF($A71="","",COUNTIF($N$2:N71,$N71))</f>
        <v/>
      </c>
      <c r="T71" s="1" t="str">
        <f t="shared" si="12"/>
        <v/>
      </c>
      <c r="U71" s="1" t="str">
        <f t="shared" si="13"/>
        <v/>
      </c>
      <c r="V71"/>
    </row>
    <row r="72" spans="13:22" x14ac:dyDescent="0.3">
      <c r="M72" s="1" t="str">
        <f t="shared" si="7"/>
        <v/>
      </c>
      <c r="N72" s="1" t="str">
        <f t="shared" si="8"/>
        <v/>
      </c>
      <c r="O72" s="1" t="str">
        <f ca="1">IF(F72="","",IF(INT(F72)=INT(NOW()),IF(NETWORKDAYS.INTL(F72,F72,1,FERIADOS!$A$2:$A$50)=0,0,MAX(0,(MIN(NOW(),INT(NOW())+18/24)-MAX(F72,INT(F72)+8/24)))*24),MAX(0,(INT(F72)+18/24-MAX(F72,INT(F72)+8/24)))*24*NETWORKDAYS.INTL(F72,F72,1,FERIADOS!$A$2:$A$50)+MAX(0,NETWORKDAYS.INTL(F72+1,NOW()-1,1,FERIADOS!$A$2:$A$50))*10+MAX(0,(MIN(NOW(),INT(NOW())+18/24)-(INT(NOW())+8/24)))*24*NETWORKDAYS.INTL(NOW(),NOW(),1,FERIADOS!$A$2:$A$50)))</f>
        <v/>
      </c>
      <c r="P72" s="1" t="str">
        <f t="shared" si="9"/>
        <v/>
      </c>
      <c r="Q72" s="1" t="str">
        <f t="shared" si="10"/>
        <v/>
      </c>
      <c r="R72" s="1" t="str">
        <f t="shared" si="11"/>
        <v/>
      </c>
      <c r="S72" s="1" t="str">
        <f>IF($A72="","",COUNTIF($N$2:N72,$N72))</f>
        <v/>
      </c>
      <c r="T72" s="1" t="str">
        <f t="shared" si="12"/>
        <v/>
      </c>
      <c r="U72" s="1" t="str">
        <f t="shared" si="13"/>
        <v/>
      </c>
      <c r="V72"/>
    </row>
    <row r="73" spans="13:22" x14ac:dyDescent="0.3">
      <c r="M73" s="1" t="str">
        <f t="shared" si="7"/>
        <v/>
      </c>
      <c r="N73" s="1" t="str">
        <f t="shared" si="8"/>
        <v/>
      </c>
      <c r="O73" s="1" t="str">
        <f ca="1">IF(F73="","",IF(INT(F73)=INT(NOW()),IF(NETWORKDAYS.INTL(F73,F73,1,FERIADOS!$A$2:$A$50)=0,0,MAX(0,(MIN(NOW(),INT(NOW())+18/24)-MAX(F73,INT(F73)+8/24)))*24),MAX(0,(INT(F73)+18/24-MAX(F73,INT(F73)+8/24)))*24*NETWORKDAYS.INTL(F73,F73,1,FERIADOS!$A$2:$A$50)+MAX(0,NETWORKDAYS.INTL(F73+1,NOW()-1,1,FERIADOS!$A$2:$A$50))*10+MAX(0,(MIN(NOW(),INT(NOW())+18/24)-(INT(NOW())+8/24)))*24*NETWORKDAYS.INTL(NOW(),NOW(),1,FERIADOS!$A$2:$A$50)))</f>
        <v/>
      </c>
      <c r="P73" s="1" t="str">
        <f t="shared" si="9"/>
        <v/>
      </c>
      <c r="Q73" s="1" t="str">
        <f t="shared" si="10"/>
        <v/>
      </c>
      <c r="R73" s="1" t="str">
        <f t="shared" si="11"/>
        <v/>
      </c>
      <c r="S73" s="1" t="str">
        <f>IF($A73="","",COUNTIF($N$2:N73,$N73))</f>
        <v/>
      </c>
      <c r="T73" s="1" t="str">
        <f t="shared" si="12"/>
        <v/>
      </c>
      <c r="U73" s="1" t="str">
        <f t="shared" si="13"/>
        <v/>
      </c>
      <c r="V73"/>
    </row>
    <row r="74" spans="13:22" x14ac:dyDescent="0.3">
      <c r="M74" s="1" t="str">
        <f t="shared" si="7"/>
        <v/>
      </c>
      <c r="N74" s="1" t="str">
        <f t="shared" si="8"/>
        <v/>
      </c>
      <c r="O74" s="1" t="str">
        <f ca="1">IF(F74="","",IF(INT(F74)=INT(NOW()),IF(NETWORKDAYS.INTL(F74,F74,1,FERIADOS!$A$2:$A$50)=0,0,MAX(0,(MIN(NOW(),INT(NOW())+18/24)-MAX(F74,INT(F74)+8/24)))*24),MAX(0,(INT(F74)+18/24-MAX(F74,INT(F74)+8/24)))*24*NETWORKDAYS.INTL(F74,F74,1,FERIADOS!$A$2:$A$50)+MAX(0,NETWORKDAYS.INTL(F74+1,NOW()-1,1,FERIADOS!$A$2:$A$50))*10+MAX(0,(MIN(NOW(),INT(NOW())+18/24)-(INT(NOW())+8/24)))*24*NETWORKDAYS.INTL(NOW(),NOW(),1,FERIADOS!$A$2:$A$50)))</f>
        <v/>
      </c>
      <c r="P74" s="1" t="str">
        <f t="shared" si="9"/>
        <v/>
      </c>
      <c r="Q74" s="1" t="str">
        <f t="shared" si="10"/>
        <v/>
      </c>
      <c r="R74" s="1" t="str">
        <f t="shared" si="11"/>
        <v/>
      </c>
      <c r="S74" s="1" t="str">
        <f>IF($A74="","",COUNTIF($N$2:N74,$N74))</f>
        <v/>
      </c>
      <c r="T74" s="1" t="str">
        <f t="shared" si="12"/>
        <v/>
      </c>
      <c r="U74" s="1" t="str">
        <f t="shared" si="13"/>
        <v/>
      </c>
      <c r="V74"/>
    </row>
    <row r="75" spans="13:22" x14ac:dyDescent="0.3">
      <c r="M75" s="1" t="str">
        <f t="shared" si="7"/>
        <v/>
      </c>
      <c r="N75" s="1" t="str">
        <f t="shared" si="8"/>
        <v/>
      </c>
      <c r="O75" s="1" t="str">
        <f ca="1">IF(F75="","",IF(INT(F75)=INT(NOW()),IF(NETWORKDAYS.INTL(F75,F75,1,FERIADOS!$A$2:$A$50)=0,0,MAX(0,(MIN(NOW(),INT(NOW())+18/24)-MAX(F75,INT(F75)+8/24)))*24),MAX(0,(INT(F75)+18/24-MAX(F75,INT(F75)+8/24)))*24*NETWORKDAYS.INTL(F75,F75,1,FERIADOS!$A$2:$A$50)+MAX(0,NETWORKDAYS.INTL(F75+1,NOW()-1,1,FERIADOS!$A$2:$A$50))*10+MAX(0,(MIN(NOW(),INT(NOW())+18/24)-(INT(NOW())+8/24)))*24*NETWORKDAYS.INTL(NOW(),NOW(),1,FERIADOS!$A$2:$A$50)))</f>
        <v/>
      </c>
      <c r="P75" s="1" t="str">
        <f t="shared" si="9"/>
        <v/>
      </c>
      <c r="Q75" s="1" t="str">
        <f t="shared" si="10"/>
        <v/>
      </c>
      <c r="R75" s="1" t="str">
        <f t="shared" si="11"/>
        <v/>
      </c>
      <c r="S75" s="1" t="str">
        <f>IF($A75="","",COUNTIF($N$2:N75,$N75))</f>
        <v/>
      </c>
      <c r="T75" s="1" t="str">
        <f t="shared" si="12"/>
        <v/>
      </c>
      <c r="U75" s="1" t="str">
        <f t="shared" si="13"/>
        <v/>
      </c>
      <c r="V75"/>
    </row>
    <row r="76" spans="13:22" x14ac:dyDescent="0.3">
      <c r="M76" s="1" t="str">
        <f t="shared" si="7"/>
        <v/>
      </c>
      <c r="N76" s="1" t="str">
        <f t="shared" si="8"/>
        <v/>
      </c>
      <c r="O76" s="1" t="str">
        <f ca="1">IF(F76="","",IF(INT(F76)=INT(NOW()),IF(NETWORKDAYS.INTL(F76,F76,1,FERIADOS!$A$2:$A$50)=0,0,MAX(0,(MIN(NOW(),INT(NOW())+18/24)-MAX(F76,INT(F76)+8/24)))*24),MAX(0,(INT(F76)+18/24-MAX(F76,INT(F76)+8/24)))*24*NETWORKDAYS.INTL(F76,F76,1,FERIADOS!$A$2:$A$50)+MAX(0,NETWORKDAYS.INTL(F76+1,NOW()-1,1,FERIADOS!$A$2:$A$50))*10+MAX(0,(MIN(NOW(),INT(NOW())+18/24)-(INT(NOW())+8/24)))*24*NETWORKDAYS.INTL(NOW(),NOW(),1,FERIADOS!$A$2:$A$50)))</f>
        <v/>
      </c>
      <c r="P76" s="1" t="str">
        <f t="shared" si="9"/>
        <v/>
      </c>
      <c r="Q76" s="1" t="str">
        <f t="shared" si="10"/>
        <v/>
      </c>
      <c r="R76" s="1" t="str">
        <f t="shared" si="11"/>
        <v/>
      </c>
      <c r="S76" s="1" t="str">
        <f>IF($A76="","",COUNTIF($N$2:N76,$N76))</f>
        <v/>
      </c>
      <c r="T76" s="1" t="str">
        <f t="shared" si="12"/>
        <v/>
      </c>
      <c r="U76" s="1" t="str">
        <f t="shared" si="13"/>
        <v/>
      </c>
      <c r="V76"/>
    </row>
    <row r="77" spans="13:22" x14ac:dyDescent="0.3">
      <c r="M77" s="1" t="str">
        <f t="shared" si="7"/>
        <v/>
      </c>
      <c r="N77" s="1" t="str">
        <f t="shared" si="8"/>
        <v/>
      </c>
      <c r="O77" s="1" t="str">
        <f ca="1">IF(F77="","",IF(INT(F77)=INT(NOW()),IF(NETWORKDAYS.INTL(F77,F77,1,FERIADOS!$A$2:$A$50)=0,0,MAX(0,(MIN(NOW(),INT(NOW())+18/24)-MAX(F77,INT(F77)+8/24)))*24),MAX(0,(INT(F77)+18/24-MAX(F77,INT(F77)+8/24)))*24*NETWORKDAYS.INTL(F77,F77,1,FERIADOS!$A$2:$A$50)+MAX(0,NETWORKDAYS.INTL(F77+1,NOW()-1,1,FERIADOS!$A$2:$A$50))*10+MAX(0,(MIN(NOW(),INT(NOW())+18/24)-(INT(NOW())+8/24)))*24*NETWORKDAYS.INTL(NOW(),NOW(),1,FERIADOS!$A$2:$A$50)))</f>
        <v/>
      </c>
      <c r="P77" s="1" t="str">
        <f t="shared" si="9"/>
        <v/>
      </c>
      <c r="Q77" s="1" t="str">
        <f t="shared" si="10"/>
        <v/>
      </c>
      <c r="R77" s="1" t="str">
        <f t="shared" si="11"/>
        <v/>
      </c>
      <c r="S77" s="1" t="str">
        <f>IF($A77="","",COUNTIF($N$2:N77,$N77))</f>
        <v/>
      </c>
      <c r="T77" s="1" t="str">
        <f t="shared" si="12"/>
        <v/>
      </c>
      <c r="U77" s="1" t="str">
        <f t="shared" si="13"/>
        <v/>
      </c>
      <c r="V77"/>
    </row>
    <row r="78" spans="13:22" x14ac:dyDescent="0.3">
      <c r="M78" s="1" t="str">
        <f t="shared" si="7"/>
        <v/>
      </c>
      <c r="N78" s="1" t="str">
        <f t="shared" si="8"/>
        <v/>
      </c>
      <c r="O78" s="1" t="str">
        <f ca="1">IF(F78="","",IF(INT(F78)=INT(NOW()),IF(NETWORKDAYS.INTL(F78,F78,1,FERIADOS!$A$2:$A$50)=0,0,MAX(0,(MIN(NOW(),INT(NOW())+18/24)-MAX(F78,INT(F78)+8/24)))*24),MAX(0,(INT(F78)+18/24-MAX(F78,INT(F78)+8/24)))*24*NETWORKDAYS.INTL(F78,F78,1,FERIADOS!$A$2:$A$50)+MAX(0,NETWORKDAYS.INTL(F78+1,NOW()-1,1,FERIADOS!$A$2:$A$50))*10+MAX(0,(MIN(NOW(),INT(NOW())+18/24)-(INT(NOW())+8/24)))*24*NETWORKDAYS.INTL(NOW(),NOW(),1,FERIADOS!$A$2:$A$50)))</f>
        <v/>
      </c>
      <c r="P78" s="1" t="str">
        <f t="shared" si="9"/>
        <v/>
      </c>
      <c r="Q78" s="1" t="str">
        <f t="shared" si="10"/>
        <v/>
      </c>
      <c r="R78" s="1" t="str">
        <f t="shared" si="11"/>
        <v/>
      </c>
      <c r="S78" s="1" t="str">
        <f>IF($A78="","",COUNTIF($N$2:N78,$N78))</f>
        <v/>
      </c>
      <c r="T78" s="1" t="str">
        <f t="shared" si="12"/>
        <v/>
      </c>
      <c r="U78" s="1" t="str">
        <f t="shared" si="13"/>
        <v/>
      </c>
      <c r="V78"/>
    </row>
    <row r="79" spans="13:22" x14ac:dyDescent="0.3">
      <c r="M79" s="1" t="str">
        <f t="shared" si="7"/>
        <v/>
      </c>
      <c r="N79" s="1" t="str">
        <f t="shared" si="8"/>
        <v/>
      </c>
      <c r="O79" s="1" t="str">
        <f ca="1">IF(F79="","",IF(INT(F79)=INT(NOW()),IF(NETWORKDAYS.INTL(F79,F79,1,FERIADOS!$A$2:$A$50)=0,0,MAX(0,(MIN(NOW(),INT(NOW())+18/24)-MAX(F79,INT(F79)+8/24)))*24),MAX(0,(INT(F79)+18/24-MAX(F79,INT(F79)+8/24)))*24*NETWORKDAYS.INTL(F79,F79,1,FERIADOS!$A$2:$A$50)+MAX(0,NETWORKDAYS.INTL(F79+1,NOW()-1,1,FERIADOS!$A$2:$A$50))*10+MAX(0,(MIN(NOW(),INT(NOW())+18/24)-(INT(NOW())+8/24)))*24*NETWORKDAYS.INTL(NOW(),NOW(),1,FERIADOS!$A$2:$A$50)))</f>
        <v/>
      </c>
      <c r="P79" s="1" t="str">
        <f t="shared" si="9"/>
        <v/>
      </c>
      <c r="Q79" s="1" t="str">
        <f t="shared" si="10"/>
        <v/>
      </c>
      <c r="R79" s="1" t="str">
        <f t="shared" si="11"/>
        <v/>
      </c>
      <c r="S79" s="1" t="str">
        <f>IF($A79="","",COUNTIF($N$2:N79,$N79))</f>
        <v/>
      </c>
      <c r="T79" s="1" t="str">
        <f t="shared" si="12"/>
        <v/>
      </c>
      <c r="U79" s="1" t="str">
        <f t="shared" si="13"/>
        <v/>
      </c>
      <c r="V79"/>
    </row>
    <row r="80" spans="13:22" x14ac:dyDescent="0.3">
      <c r="M80" s="1" t="str">
        <f t="shared" si="7"/>
        <v/>
      </c>
      <c r="N80" s="1" t="str">
        <f t="shared" si="8"/>
        <v/>
      </c>
      <c r="O80" s="1" t="str">
        <f ca="1">IF(F80="","",IF(INT(F80)=INT(NOW()),IF(NETWORKDAYS.INTL(F80,F80,1,FERIADOS!$A$2:$A$50)=0,0,MAX(0,(MIN(NOW(),INT(NOW())+18/24)-MAX(F80,INT(F80)+8/24)))*24),MAX(0,(INT(F80)+18/24-MAX(F80,INT(F80)+8/24)))*24*NETWORKDAYS.INTL(F80,F80,1,FERIADOS!$A$2:$A$50)+MAX(0,NETWORKDAYS.INTL(F80+1,NOW()-1,1,FERIADOS!$A$2:$A$50))*10+MAX(0,(MIN(NOW(),INT(NOW())+18/24)-(INT(NOW())+8/24)))*24*NETWORKDAYS.INTL(NOW(),NOW(),1,FERIADOS!$A$2:$A$50)))</f>
        <v/>
      </c>
      <c r="P80" s="1" t="str">
        <f t="shared" si="9"/>
        <v/>
      </c>
      <c r="Q80" s="1" t="str">
        <f t="shared" si="10"/>
        <v/>
      </c>
      <c r="R80" s="1" t="str">
        <f t="shared" si="11"/>
        <v/>
      </c>
      <c r="S80" s="1" t="str">
        <f>IF($A80="","",COUNTIF($N$2:N80,$N80))</f>
        <v/>
      </c>
      <c r="T80" s="1" t="str">
        <f t="shared" si="12"/>
        <v/>
      </c>
      <c r="U80" s="1" t="str">
        <f t="shared" si="13"/>
        <v/>
      </c>
      <c r="V80"/>
    </row>
    <row r="81" spans="13:22" x14ac:dyDescent="0.3">
      <c r="M81" s="1" t="str">
        <f t="shared" si="7"/>
        <v/>
      </c>
      <c r="N81" s="1" t="str">
        <f t="shared" si="8"/>
        <v/>
      </c>
      <c r="O81" s="1" t="str">
        <f ca="1">IF(F81="","",IF(INT(F81)=INT(NOW()),IF(NETWORKDAYS.INTL(F81,F81,1,FERIADOS!$A$2:$A$50)=0,0,MAX(0,(MIN(NOW(),INT(NOW())+18/24)-MAX(F81,INT(F81)+8/24)))*24),MAX(0,(INT(F81)+18/24-MAX(F81,INT(F81)+8/24)))*24*NETWORKDAYS.INTL(F81,F81,1,FERIADOS!$A$2:$A$50)+MAX(0,NETWORKDAYS.INTL(F81+1,NOW()-1,1,FERIADOS!$A$2:$A$50))*10+MAX(0,(MIN(NOW(),INT(NOW())+18/24)-(INT(NOW())+8/24)))*24*NETWORKDAYS.INTL(NOW(),NOW(),1,FERIADOS!$A$2:$A$50)))</f>
        <v/>
      </c>
      <c r="P81" s="1" t="str">
        <f t="shared" si="9"/>
        <v/>
      </c>
      <c r="Q81" s="1" t="str">
        <f t="shared" si="10"/>
        <v/>
      </c>
      <c r="R81" s="1" t="str">
        <f t="shared" si="11"/>
        <v/>
      </c>
      <c r="S81" s="1" t="str">
        <f>IF($A81="","",COUNTIF($N$2:N81,$N81))</f>
        <v/>
      </c>
      <c r="T81" s="1" t="str">
        <f t="shared" si="12"/>
        <v/>
      </c>
      <c r="U81" s="1" t="str">
        <f t="shared" si="13"/>
        <v/>
      </c>
      <c r="V81"/>
    </row>
    <row r="82" spans="13:22" x14ac:dyDescent="0.3">
      <c r="M82" s="1" t="str">
        <f t="shared" si="7"/>
        <v/>
      </c>
      <c r="N82" s="1" t="str">
        <f t="shared" si="8"/>
        <v/>
      </c>
      <c r="O82" s="1" t="str">
        <f ca="1">IF(F82="","",IF(INT(F82)=INT(NOW()),IF(NETWORKDAYS.INTL(F82,F82,1,FERIADOS!$A$2:$A$50)=0,0,MAX(0,(MIN(NOW(),INT(NOW())+18/24)-MAX(F82,INT(F82)+8/24)))*24),MAX(0,(INT(F82)+18/24-MAX(F82,INT(F82)+8/24)))*24*NETWORKDAYS.INTL(F82,F82,1,FERIADOS!$A$2:$A$50)+MAX(0,NETWORKDAYS.INTL(F82+1,NOW()-1,1,FERIADOS!$A$2:$A$50))*10+MAX(0,(MIN(NOW(),INT(NOW())+18/24)-(INT(NOW())+8/24)))*24*NETWORKDAYS.INTL(NOW(),NOW(),1,FERIADOS!$A$2:$A$50)))</f>
        <v/>
      </c>
      <c r="P82" s="1" t="str">
        <f t="shared" si="9"/>
        <v/>
      </c>
      <c r="Q82" s="1" t="str">
        <f t="shared" si="10"/>
        <v/>
      </c>
      <c r="R82" s="1" t="str">
        <f t="shared" si="11"/>
        <v/>
      </c>
      <c r="S82" s="1" t="str">
        <f>IF($A82="","",COUNTIF($N$2:N82,$N82))</f>
        <v/>
      </c>
      <c r="T82" s="1" t="str">
        <f t="shared" si="12"/>
        <v/>
      </c>
      <c r="U82" s="1" t="str">
        <f t="shared" si="13"/>
        <v/>
      </c>
      <c r="V82"/>
    </row>
    <row r="83" spans="13:22" x14ac:dyDescent="0.3">
      <c r="M83" s="1" t="str">
        <f t="shared" si="7"/>
        <v/>
      </c>
      <c r="N83" s="1" t="str">
        <f t="shared" si="8"/>
        <v/>
      </c>
      <c r="O83" s="1" t="str">
        <f ca="1">IF(F83="","",IF(INT(F83)=INT(NOW()),IF(NETWORKDAYS.INTL(F83,F83,1,FERIADOS!$A$2:$A$50)=0,0,MAX(0,(MIN(NOW(),INT(NOW())+18/24)-MAX(F83,INT(F83)+8/24)))*24),MAX(0,(INT(F83)+18/24-MAX(F83,INT(F83)+8/24)))*24*NETWORKDAYS.INTL(F83,F83,1,FERIADOS!$A$2:$A$50)+MAX(0,NETWORKDAYS.INTL(F83+1,NOW()-1,1,FERIADOS!$A$2:$A$50))*10+MAX(0,(MIN(NOW(),INT(NOW())+18/24)-(INT(NOW())+8/24)))*24*NETWORKDAYS.INTL(NOW(),NOW(),1,FERIADOS!$A$2:$A$50)))</f>
        <v/>
      </c>
      <c r="P83" s="1" t="str">
        <f t="shared" si="9"/>
        <v/>
      </c>
      <c r="Q83" s="1" t="str">
        <f t="shared" si="10"/>
        <v/>
      </c>
      <c r="R83" s="1" t="str">
        <f t="shared" si="11"/>
        <v/>
      </c>
      <c r="S83" s="1" t="str">
        <f>IF($A83="","",COUNTIF($N$2:N83,$N83))</f>
        <v/>
      </c>
      <c r="T83" s="1" t="str">
        <f t="shared" si="12"/>
        <v/>
      </c>
      <c r="U83" s="1" t="str">
        <f t="shared" si="13"/>
        <v/>
      </c>
      <c r="V83"/>
    </row>
    <row r="84" spans="13:22" x14ac:dyDescent="0.3">
      <c r="M84" s="1" t="str">
        <f t="shared" si="7"/>
        <v/>
      </c>
      <c r="N84" s="1" t="str">
        <f t="shared" si="8"/>
        <v/>
      </c>
      <c r="O84" s="1" t="str">
        <f ca="1">IF(F84="","",IF(INT(F84)=INT(NOW()),IF(NETWORKDAYS.INTL(F84,F84,1,FERIADOS!$A$2:$A$50)=0,0,MAX(0,(MIN(NOW(),INT(NOW())+18/24)-MAX(F84,INT(F84)+8/24)))*24),MAX(0,(INT(F84)+18/24-MAX(F84,INT(F84)+8/24)))*24*NETWORKDAYS.INTL(F84,F84,1,FERIADOS!$A$2:$A$50)+MAX(0,NETWORKDAYS.INTL(F84+1,NOW()-1,1,FERIADOS!$A$2:$A$50))*10+MAX(0,(MIN(NOW(),INT(NOW())+18/24)-(INT(NOW())+8/24)))*24*NETWORKDAYS.INTL(NOW(),NOW(),1,FERIADOS!$A$2:$A$50)))</f>
        <v/>
      </c>
      <c r="P84" s="1" t="str">
        <f t="shared" si="9"/>
        <v/>
      </c>
      <c r="Q84" s="1" t="str">
        <f t="shared" si="10"/>
        <v/>
      </c>
      <c r="R84" s="1" t="str">
        <f t="shared" si="11"/>
        <v/>
      </c>
      <c r="S84" s="1" t="str">
        <f>IF($A84="","",COUNTIF($N$2:N84,$N84))</f>
        <v/>
      </c>
      <c r="T84" s="1" t="str">
        <f t="shared" si="12"/>
        <v/>
      </c>
      <c r="U84" s="1" t="str">
        <f t="shared" si="13"/>
        <v/>
      </c>
      <c r="V84"/>
    </row>
    <row r="85" spans="13:22" x14ac:dyDescent="0.3">
      <c r="M85" s="1" t="str">
        <f t="shared" si="7"/>
        <v/>
      </c>
      <c r="N85" s="1" t="str">
        <f t="shared" si="8"/>
        <v/>
      </c>
      <c r="O85" s="1" t="str">
        <f ca="1">IF(F85="","",IF(INT(F85)=INT(NOW()),IF(NETWORKDAYS.INTL(F85,F85,1,FERIADOS!$A$2:$A$50)=0,0,MAX(0,(MIN(NOW(),INT(NOW())+18/24)-MAX(F85,INT(F85)+8/24)))*24),MAX(0,(INT(F85)+18/24-MAX(F85,INT(F85)+8/24)))*24*NETWORKDAYS.INTL(F85,F85,1,FERIADOS!$A$2:$A$50)+MAX(0,NETWORKDAYS.INTL(F85+1,NOW()-1,1,FERIADOS!$A$2:$A$50))*10+MAX(0,(MIN(NOW(),INT(NOW())+18/24)-(INT(NOW())+8/24)))*24*NETWORKDAYS.INTL(NOW(),NOW(),1,FERIADOS!$A$2:$A$50)))</f>
        <v/>
      </c>
      <c r="P85" s="1" t="str">
        <f t="shared" si="9"/>
        <v/>
      </c>
      <c r="Q85" s="1" t="str">
        <f t="shared" si="10"/>
        <v/>
      </c>
      <c r="R85" s="1" t="str">
        <f t="shared" si="11"/>
        <v/>
      </c>
      <c r="S85" s="1" t="str">
        <f>IF($A85="","",COUNTIF($N$2:N85,$N85))</f>
        <v/>
      </c>
      <c r="T85" s="1" t="str">
        <f t="shared" si="12"/>
        <v/>
      </c>
      <c r="U85" s="1" t="str">
        <f t="shared" si="13"/>
        <v/>
      </c>
      <c r="V85"/>
    </row>
    <row r="86" spans="13:22" x14ac:dyDescent="0.3">
      <c r="M86" s="1" t="str">
        <f t="shared" si="7"/>
        <v/>
      </c>
      <c r="N86" s="1" t="str">
        <f t="shared" si="8"/>
        <v/>
      </c>
      <c r="O86" s="1" t="str">
        <f ca="1">IF(F86="","",IF(INT(F86)=INT(NOW()),IF(NETWORKDAYS.INTL(F86,F86,1,FERIADOS!$A$2:$A$50)=0,0,MAX(0,(MIN(NOW(),INT(NOW())+18/24)-MAX(F86,INT(F86)+8/24)))*24),MAX(0,(INT(F86)+18/24-MAX(F86,INT(F86)+8/24)))*24*NETWORKDAYS.INTL(F86,F86,1,FERIADOS!$A$2:$A$50)+MAX(0,NETWORKDAYS.INTL(F86+1,NOW()-1,1,FERIADOS!$A$2:$A$50))*10+MAX(0,(MIN(NOW(),INT(NOW())+18/24)-(INT(NOW())+8/24)))*24*NETWORKDAYS.INTL(NOW(),NOW(),1,FERIADOS!$A$2:$A$50)))</f>
        <v/>
      </c>
      <c r="P86" s="1" t="str">
        <f t="shared" si="9"/>
        <v/>
      </c>
      <c r="Q86" s="1" t="str">
        <f t="shared" si="10"/>
        <v/>
      </c>
      <c r="R86" s="1" t="str">
        <f t="shared" si="11"/>
        <v/>
      </c>
      <c r="S86" s="1" t="str">
        <f>IF($A86="","",COUNTIF($N$2:N86,$N86))</f>
        <v/>
      </c>
      <c r="T86" s="1" t="str">
        <f t="shared" si="12"/>
        <v/>
      </c>
      <c r="U86" s="1" t="str">
        <f t="shared" si="13"/>
        <v/>
      </c>
      <c r="V86"/>
    </row>
    <row r="87" spans="13:22" x14ac:dyDescent="0.3">
      <c r="M87" s="1" t="str">
        <f t="shared" si="7"/>
        <v/>
      </c>
      <c r="N87" s="1" t="str">
        <f t="shared" si="8"/>
        <v/>
      </c>
      <c r="O87" s="1" t="str">
        <f ca="1">IF(F87="","",IF(INT(F87)=INT(NOW()),IF(NETWORKDAYS.INTL(F87,F87,1,FERIADOS!$A$2:$A$50)=0,0,MAX(0,(MIN(NOW(),INT(NOW())+18/24)-MAX(F87,INT(F87)+8/24)))*24),MAX(0,(INT(F87)+18/24-MAX(F87,INT(F87)+8/24)))*24*NETWORKDAYS.INTL(F87,F87,1,FERIADOS!$A$2:$A$50)+MAX(0,NETWORKDAYS.INTL(F87+1,NOW()-1,1,FERIADOS!$A$2:$A$50))*10+MAX(0,(MIN(NOW(),INT(NOW())+18/24)-(INT(NOW())+8/24)))*24*NETWORKDAYS.INTL(NOW(),NOW(),1,FERIADOS!$A$2:$A$50)))</f>
        <v/>
      </c>
      <c r="P87" s="1" t="str">
        <f t="shared" si="9"/>
        <v/>
      </c>
      <c r="Q87" s="1" t="str">
        <f t="shared" si="10"/>
        <v/>
      </c>
      <c r="R87" s="1" t="str">
        <f t="shared" si="11"/>
        <v/>
      </c>
      <c r="S87" s="1" t="str">
        <f>IF($A87="","",COUNTIF($N$2:N87,$N87))</f>
        <v/>
      </c>
      <c r="T87" s="1" t="str">
        <f t="shared" si="12"/>
        <v/>
      </c>
      <c r="U87" s="1" t="str">
        <f t="shared" si="13"/>
        <v/>
      </c>
      <c r="V87"/>
    </row>
    <row r="88" spans="13:22" x14ac:dyDescent="0.3">
      <c r="M88" s="1" t="str">
        <f t="shared" si="7"/>
        <v/>
      </c>
      <c r="N88" s="1" t="str">
        <f t="shared" si="8"/>
        <v/>
      </c>
      <c r="O88" s="1" t="str">
        <f ca="1">IF(F88="","",IF(INT(F88)=INT(NOW()),IF(NETWORKDAYS.INTL(F88,F88,1,FERIADOS!$A$2:$A$50)=0,0,MAX(0,(MIN(NOW(),INT(NOW())+18/24)-MAX(F88,INT(F88)+8/24)))*24),MAX(0,(INT(F88)+18/24-MAX(F88,INT(F88)+8/24)))*24*NETWORKDAYS.INTL(F88,F88,1,FERIADOS!$A$2:$A$50)+MAX(0,NETWORKDAYS.INTL(F88+1,NOW()-1,1,FERIADOS!$A$2:$A$50))*10+MAX(0,(MIN(NOW(),INT(NOW())+18/24)-(INT(NOW())+8/24)))*24*NETWORKDAYS.INTL(NOW(),NOW(),1,FERIADOS!$A$2:$A$50)))</f>
        <v/>
      </c>
      <c r="P88" s="1" t="str">
        <f t="shared" si="9"/>
        <v/>
      </c>
      <c r="Q88" s="1" t="str">
        <f t="shared" si="10"/>
        <v/>
      </c>
      <c r="R88" s="1" t="str">
        <f t="shared" si="11"/>
        <v/>
      </c>
      <c r="S88" s="1" t="str">
        <f>IF($A88="","",COUNTIF($N$2:N88,$N88))</f>
        <v/>
      </c>
      <c r="T88" s="1" t="str">
        <f t="shared" si="12"/>
        <v/>
      </c>
      <c r="U88" s="1" t="str">
        <f t="shared" si="13"/>
        <v/>
      </c>
      <c r="V88"/>
    </row>
    <row r="89" spans="13:22" x14ac:dyDescent="0.3">
      <c r="M89" s="1" t="str">
        <f t="shared" si="7"/>
        <v/>
      </c>
      <c r="N89" s="1" t="str">
        <f t="shared" si="8"/>
        <v/>
      </c>
      <c r="O89" s="1" t="str">
        <f ca="1">IF(F89="","",IF(INT(F89)=INT(NOW()),IF(NETWORKDAYS.INTL(F89,F89,1,FERIADOS!$A$2:$A$50)=0,0,MAX(0,(MIN(NOW(),INT(NOW())+18/24)-MAX(F89,INT(F89)+8/24)))*24),MAX(0,(INT(F89)+18/24-MAX(F89,INT(F89)+8/24)))*24*NETWORKDAYS.INTL(F89,F89,1,FERIADOS!$A$2:$A$50)+MAX(0,NETWORKDAYS.INTL(F89+1,NOW()-1,1,FERIADOS!$A$2:$A$50))*10+MAX(0,(MIN(NOW(),INT(NOW())+18/24)-(INT(NOW())+8/24)))*24*NETWORKDAYS.INTL(NOW(),NOW(),1,FERIADOS!$A$2:$A$50)))</f>
        <v/>
      </c>
      <c r="P89" s="1" t="str">
        <f t="shared" si="9"/>
        <v/>
      </c>
      <c r="Q89" s="1" t="str">
        <f t="shared" si="10"/>
        <v/>
      </c>
      <c r="R89" s="1" t="str">
        <f t="shared" si="11"/>
        <v/>
      </c>
      <c r="S89" s="1" t="str">
        <f>IF($A89="","",COUNTIF($N$2:N89,$N89))</f>
        <v/>
      </c>
      <c r="T89" s="1" t="str">
        <f t="shared" si="12"/>
        <v/>
      </c>
      <c r="U89" s="1" t="str">
        <f t="shared" si="13"/>
        <v/>
      </c>
      <c r="V89"/>
    </row>
    <row r="90" spans="13:22" x14ac:dyDescent="0.3">
      <c r="M90" s="1" t="str">
        <f t="shared" si="7"/>
        <v/>
      </c>
      <c r="N90" s="1" t="str">
        <f t="shared" si="8"/>
        <v/>
      </c>
      <c r="O90" s="1" t="str">
        <f ca="1">IF(F90="","",IF(INT(F90)=INT(NOW()),IF(NETWORKDAYS.INTL(F90,F90,1,FERIADOS!$A$2:$A$50)=0,0,MAX(0,(MIN(NOW(),INT(NOW())+18/24)-MAX(F90,INT(F90)+8/24)))*24),MAX(0,(INT(F90)+18/24-MAX(F90,INT(F90)+8/24)))*24*NETWORKDAYS.INTL(F90,F90,1,FERIADOS!$A$2:$A$50)+MAX(0,NETWORKDAYS.INTL(F90+1,NOW()-1,1,FERIADOS!$A$2:$A$50))*10+MAX(0,(MIN(NOW(),INT(NOW())+18/24)-(INT(NOW())+8/24)))*24*NETWORKDAYS.INTL(NOW(),NOW(),1,FERIADOS!$A$2:$A$50)))</f>
        <v/>
      </c>
      <c r="P90" s="1" t="str">
        <f t="shared" si="9"/>
        <v/>
      </c>
      <c r="Q90" s="1" t="str">
        <f t="shared" si="10"/>
        <v/>
      </c>
      <c r="R90" s="1" t="str">
        <f t="shared" si="11"/>
        <v/>
      </c>
      <c r="S90" s="1" t="str">
        <f>IF($A90="","",COUNTIF($N$2:N90,$N90))</f>
        <v/>
      </c>
      <c r="T90" s="1" t="str">
        <f t="shared" si="12"/>
        <v/>
      </c>
      <c r="U90" s="1" t="str">
        <f t="shared" si="13"/>
        <v/>
      </c>
      <c r="V90"/>
    </row>
    <row r="91" spans="13:22" x14ac:dyDescent="0.3">
      <c r="M91" s="1" t="str">
        <f t="shared" si="7"/>
        <v/>
      </c>
      <c r="N91" s="1" t="str">
        <f t="shared" si="8"/>
        <v/>
      </c>
      <c r="O91" s="1" t="str">
        <f ca="1">IF(F91="","",IF(INT(F91)=INT(NOW()),IF(NETWORKDAYS.INTL(F91,F91,1,FERIADOS!$A$2:$A$50)=0,0,MAX(0,(MIN(NOW(),INT(NOW())+18/24)-MAX(F91,INT(F91)+8/24)))*24),MAX(0,(INT(F91)+18/24-MAX(F91,INT(F91)+8/24)))*24*NETWORKDAYS.INTL(F91,F91,1,FERIADOS!$A$2:$A$50)+MAX(0,NETWORKDAYS.INTL(F91+1,NOW()-1,1,FERIADOS!$A$2:$A$50))*10+MAX(0,(MIN(NOW(),INT(NOW())+18/24)-(INT(NOW())+8/24)))*24*NETWORKDAYS.INTL(NOW(),NOW(),1,FERIADOS!$A$2:$A$50)))</f>
        <v/>
      </c>
      <c r="P91" s="1" t="str">
        <f t="shared" si="9"/>
        <v/>
      </c>
      <c r="Q91" s="1" t="str">
        <f t="shared" si="10"/>
        <v/>
      </c>
      <c r="R91" s="1" t="str">
        <f t="shared" si="11"/>
        <v/>
      </c>
      <c r="S91" s="1" t="str">
        <f>IF($A91="","",COUNTIF($N$2:N91,$N91))</f>
        <v/>
      </c>
      <c r="T91" s="1" t="str">
        <f t="shared" si="12"/>
        <v/>
      </c>
      <c r="U91" s="1" t="str">
        <f t="shared" si="13"/>
        <v/>
      </c>
      <c r="V91"/>
    </row>
    <row r="92" spans="13:22" x14ac:dyDescent="0.3">
      <c r="M92" s="1" t="str">
        <f t="shared" si="7"/>
        <v/>
      </c>
      <c r="N92" s="1" t="str">
        <f t="shared" si="8"/>
        <v/>
      </c>
      <c r="O92" s="1" t="str">
        <f ca="1">IF(F92="","",IF(INT(F92)=INT(NOW()),IF(NETWORKDAYS.INTL(F92,F92,1,FERIADOS!$A$2:$A$50)=0,0,MAX(0,(MIN(NOW(),INT(NOW())+18/24)-MAX(F92,INT(F92)+8/24)))*24),MAX(0,(INT(F92)+18/24-MAX(F92,INT(F92)+8/24)))*24*NETWORKDAYS.INTL(F92,F92,1,FERIADOS!$A$2:$A$50)+MAX(0,NETWORKDAYS.INTL(F92+1,NOW()-1,1,FERIADOS!$A$2:$A$50))*10+MAX(0,(MIN(NOW(),INT(NOW())+18/24)-(INT(NOW())+8/24)))*24*NETWORKDAYS.INTL(NOW(),NOW(),1,FERIADOS!$A$2:$A$50)))</f>
        <v/>
      </c>
      <c r="P92" s="1" t="str">
        <f t="shared" si="9"/>
        <v/>
      </c>
      <c r="Q92" s="1" t="str">
        <f t="shared" si="10"/>
        <v/>
      </c>
      <c r="R92" s="1" t="str">
        <f t="shared" si="11"/>
        <v/>
      </c>
      <c r="S92" s="1" t="str">
        <f>IF($A92="","",COUNTIF($N$2:N92,$N92))</f>
        <v/>
      </c>
      <c r="T92" s="1" t="str">
        <f t="shared" si="12"/>
        <v/>
      </c>
      <c r="U92" s="1" t="str">
        <f t="shared" si="13"/>
        <v/>
      </c>
      <c r="V92"/>
    </row>
    <row r="93" spans="13:22" x14ac:dyDescent="0.3">
      <c r="M93" s="1" t="str">
        <f t="shared" si="7"/>
        <v/>
      </c>
      <c r="N93" s="1" t="str">
        <f t="shared" si="8"/>
        <v/>
      </c>
      <c r="O93" s="1" t="str">
        <f ca="1">IF(F93="","",IF(INT(F93)=INT(NOW()),IF(NETWORKDAYS.INTL(F93,F93,1,FERIADOS!$A$2:$A$50)=0,0,MAX(0,(MIN(NOW(),INT(NOW())+18/24)-MAX(F93,INT(F93)+8/24)))*24),MAX(0,(INT(F93)+18/24-MAX(F93,INT(F93)+8/24)))*24*NETWORKDAYS.INTL(F93,F93,1,FERIADOS!$A$2:$A$50)+MAX(0,NETWORKDAYS.INTL(F93+1,NOW()-1,1,FERIADOS!$A$2:$A$50))*10+MAX(0,(MIN(NOW(),INT(NOW())+18/24)-(INT(NOW())+8/24)))*24*NETWORKDAYS.INTL(NOW(),NOW(),1,FERIADOS!$A$2:$A$50)))</f>
        <v/>
      </c>
      <c r="P93" s="1" t="str">
        <f t="shared" si="9"/>
        <v/>
      </c>
      <c r="Q93" s="1" t="str">
        <f t="shared" si="10"/>
        <v/>
      </c>
      <c r="R93" s="1" t="str">
        <f t="shared" si="11"/>
        <v/>
      </c>
      <c r="S93" s="1" t="str">
        <f>IF($A93="","",COUNTIF($N$2:N93,$N93))</f>
        <v/>
      </c>
      <c r="T93" s="1" t="str">
        <f t="shared" si="12"/>
        <v/>
      </c>
      <c r="U93" s="1" t="str">
        <f t="shared" si="13"/>
        <v/>
      </c>
      <c r="V93"/>
    </row>
    <row r="94" spans="13:22" x14ac:dyDescent="0.3">
      <c r="M94" s="1" t="str">
        <f t="shared" si="7"/>
        <v/>
      </c>
      <c r="N94" s="1" t="str">
        <f t="shared" si="8"/>
        <v/>
      </c>
      <c r="O94" s="1" t="str">
        <f ca="1">IF(F94="","",IF(INT(F94)=INT(NOW()),IF(NETWORKDAYS.INTL(F94,F94,1,FERIADOS!$A$2:$A$50)=0,0,MAX(0,(MIN(NOW(),INT(NOW())+18/24)-MAX(F94,INT(F94)+8/24)))*24),MAX(0,(INT(F94)+18/24-MAX(F94,INT(F94)+8/24)))*24*NETWORKDAYS.INTL(F94,F94,1,FERIADOS!$A$2:$A$50)+MAX(0,NETWORKDAYS.INTL(F94+1,NOW()-1,1,FERIADOS!$A$2:$A$50))*10+MAX(0,(MIN(NOW(),INT(NOW())+18/24)-(INT(NOW())+8/24)))*24*NETWORKDAYS.INTL(NOW(),NOW(),1,FERIADOS!$A$2:$A$50)))</f>
        <v/>
      </c>
      <c r="P94" s="1" t="str">
        <f t="shared" si="9"/>
        <v/>
      </c>
      <c r="Q94" s="1" t="str">
        <f t="shared" si="10"/>
        <v/>
      </c>
      <c r="R94" s="1" t="str">
        <f t="shared" si="11"/>
        <v/>
      </c>
      <c r="S94" s="1" t="str">
        <f>IF($A94="","",COUNTIF($N$2:N94,$N94))</f>
        <v/>
      </c>
      <c r="T94" s="1" t="str">
        <f t="shared" si="12"/>
        <v/>
      </c>
      <c r="U94" s="1" t="str">
        <f t="shared" si="13"/>
        <v/>
      </c>
      <c r="V94"/>
    </row>
    <row r="95" spans="13:22" x14ac:dyDescent="0.3">
      <c r="M95" s="1" t="str">
        <f t="shared" si="7"/>
        <v/>
      </c>
      <c r="N95" s="1" t="str">
        <f t="shared" si="8"/>
        <v/>
      </c>
      <c r="O95" s="1" t="str">
        <f ca="1">IF(F95="","",IF(INT(F95)=INT(NOW()),IF(NETWORKDAYS.INTL(F95,F95,1,FERIADOS!$A$2:$A$50)=0,0,MAX(0,(MIN(NOW(),INT(NOW())+18/24)-MAX(F95,INT(F95)+8/24)))*24),MAX(0,(INT(F95)+18/24-MAX(F95,INT(F95)+8/24)))*24*NETWORKDAYS.INTL(F95,F95,1,FERIADOS!$A$2:$A$50)+MAX(0,NETWORKDAYS.INTL(F95+1,NOW()-1,1,FERIADOS!$A$2:$A$50))*10+MAX(0,(MIN(NOW(),INT(NOW())+18/24)-(INT(NOW())+8/24)))*24*NETWORKDAYS.INTL(NOW(),NOW(),1,FERIADOS!$A$2:$A$50)))</f>
        <v/>
      </c>
      <c r="P95" s="1" t="str">
        <f t="shared" si="9"/>
        <v/>
      </c>
      <c r="Q95" s="1" t="str">
        <f t="shared" si="10"/>
        <v/>
      </c>
      <c r="R95" s="1" t="str">
        <f t="shared" si="11"/>
        <v/>
      </c>
      <c r="S95" s="1" t="str">
        <f>IF($A95="","",COUNTIF($N$2:N95,$N95))</f>
        <v/>
      </c>
      <c r="T95" s="1" t="str">
        <f t="shared" si="12"/>
        <v/>
      </c>
      <c r="U95" s="1" t="str">
        <f t="shared" si="13"/>
        <v/>
      </c>
      <c r="V95"/>
    </row>
    <row r="96" spans="13:22" x14ac:dyDescent="0.3">
      <c r="M96" s="1" t="str">
        <f t="shared" si="7"/>
        <v/>
      </c>
      <c r="N96" s="1" t="str">
        <f t="shared" si="8"/>
        <v/>
      </c>
      <c r="O96" s="1" t="str">
        <f ca="1">IF(F96="","",IF(INT(F96)=INT(NOW()),IF(NETWORKDAYS.INTL(F96,F96,1,FERIADOS!$A$2:$A$50)=0,0,MAX(0,(MIN(NOW(),INT(NOW())+18/24)-MAX(F96,INT(F96)+8/24)))*24),MAX(0,(INT(F96)+18/24-MAX(F96,INT(F96)+8/24)))*24*NETWORKDAYS.INTL(F96,F96,1,FERIADOS!$A$2:$A$50)+MAX(0,NETWORKDAYS.INTL(F96+1,NOW()-1,1,FERIADOS!$A$2:$A$50))*10+MAX(0,(MIN(NOW(),INT(NOW())+18/24)-(INT(NOW())+8/24)))*24*NETWORKDAYS.INTL(NOW(),NOW(),1,FERIADOS!$A$2:$A$50)))</f>
        <v/>
      </c>
      <c r="P96" s="1" t="str">
        <f t="shared" si="9"/>
        <v/>
      </c>
      <c r="Q96" s="1" t="str">
        <f t="shared" si="10"/>
        <v/>
      </c>
      <c r="R96" s="1" t="str">
        <f t="shared" si="11"/>
        <v/>
      </c>
      <c r="S96" s="1" t="str">
        <f>IF($A96="","",COUNTIF($N$2:N96,$N96))</f>
        <v/>
      </c>
      <c r="T96" s="1" t="str">
        <f t="shared" si="12"/>
        <v/>
      </c>
      <c r="U96" s="1" t="str">
        <f t="shared" si="13"/>
        <v/>
      </c>
      <c r="V96"/>
    </row>
    <row r="97" spans="13:22" x14ac:dyDescent="0.3">
      <c r="M97" s="1" t="str">
        <f t="shared" si="7"/>
        <v/>
      </c>
      <c r="N97" s="1" t="str">
        <f t="shared" si="8"/>
        <v/>
      </c>
      <c r="O97" s="1" t="str">
        <f ca="1">IF(F97="","",IF(INT(F97)=INT(NOW()),IF(NETWORKDAYS.INTL(F97,F97,1,FERIADOS!$A$2:$A$50)=0,0,MAX(0,(MIN(NOW(),INT(NOW())+18/24)-MAX(F97,INT(F97)+8/24)))*24),MAX(0,(INT(F97)+18/24-MAX(F97,INT(F97)+8/24)))*24*NETWORKDAYS.INTL(F97,F97,1,FERIADOS!$A$2:$A$50)+MAX(0,NETWORKDAYS.INTL(F97+1,NOW()-1,1,FERIADOS!$A$2:$A$50))*10+MAX(0,(MIN(NOW(),INT(NOW())+18/24)-(INT(NOW())+8/24)))*24*NETWORKDAYS.INTL(NOW(),NOW(),1,FERIADOS!$A$2:$A$50)))</f>
        <v/>
      </c>
      <c r="P97" s="1" t="str">
        <f t="shared" si="9"/>
        <v/>
      </c>
      <c r="Q97" s="1" t="str">
        <f t="shared" si="10"/>
        <v/>
      </c>
      <c r="R97" s="1" t="str">
        <f t="shared" si="11"/>
        <v/>
      </c>
      <c r="S97" s="1" t="str">
        <f>IF($A97="","",COUNTIF($N$2:N97,$N97))</f>
        <v/>
      </c>
      <c r="T97" s="1" t="str">
        <f t="shared" si="12"/>
        <v/>
      </c>
      <c r="U97" s="1" t="str">
        <f t="shared" si="13"/>
        <v/>
      </c>
      <c r="V97"/>
    </row>
    <row r="98" spans="13:22" x14ac:dyDescent="0.3">
      <c r="M98" s="1" t="str">
        <f t="shared" si="7"/>
        <v/>
      </c>
      <c r="N98" s="1" t="str">
        <f t="shared" si="8"/>
        <v/>
      </c>
      <c r="O98" s="1" t="str">
        <f ca="1">IF(F98="","",IF(INT(F98)=INT(NOW()),IF(NETWORKDAYS.INTL(F98,F98,1,FERIADOS!$A$2:$A$50)=0,0,MAX(0,(MIN(NOW(),INT(NOW())+18/24)-MAX(F98,INT(F98)+8/24)))*24),MAX(0,(INT(F98)+18/24-MAX(F98,INT(F98)+8/24)))*24*NETWORKDAYS.INTL(F98,F98,1,FERIADOS!$A$2:$A$50)+MAX(0,NETWORKDAYS.INTL(F98+1,NOW()-1,1,FERIADOS!$A$2:$A$50))*10+MAX(0,(MIN(NOW(),INT(NOW())+18/24)-(INT(NOW())+8/24)))*24*NETWORKDAYS.INTL(NOW(),NOW(),1,FERIADOS!$A$2:$A$50)))</f>
        <v/>
      </c>
      <c r="P98" s="1" t="str">
        <f t="shared" si="9"/>
        <v/>
      </c>
      <c r="Q98" s="1" t="str">
        <f t="shared" si="10"/>
        <v/>
      </c>
      <c r="R98" s="1" t="str">
        <f t="shared" si="11"/>
        <v/>
      </c>
      <c r="S98" s="1" t="str">
        <f>IF($A98="","",COUNTIF($N$2:N98,$N98))</f>
        <v/>
      </c>
      <c r="T98" s="1" t="str">
        <f t="shared" si="12"/>
        <v/>
      </c>
      <c r="U98" s="1" t="str">
        <f t="shared" si="13"/>
        <v/>
      </c>
      <c r="V98"/>
    </row>
    <row r="99" spans="13:22" x14ac:dyDescent="0.3">
      <c r="M99" s="1" t="str">
        <f t="shared" si="7"/>
        <v/>
      </c>
      <c r="N99" s="1" t="str">
        <f t="shared" si="8"/>
        <v/>
      </c>
      <c r="O99" s="1" t="str">
        <f ca="1">IF(F99="","",IF(INT(F99)=INT(NOW()),IF(NETWORKDAYS.INTL(F99,F99,1,FERIADOS!$A$2:$A$50)=0,0,MAX(0,(MIN(NOW(),INT(NOW())+18/24)-MAX(F99,INT(F99)+8/24)))*24),MAX(0,(INT(F99)+18/24-MAX(F99,INT(F99)+8/24)))*24*NETWORKDAYS.INTL(F99,F99,1,FERIADOS!$A$2:$A$50)+MAX(0,NETWORKDAYS.INTL(F99+1,NOW()-1,1,FERIADOS!$A$2:$A$50))*10+MAX(0,(MIN(NOW(),INT(NOW())+18/24)-(INT(NOW())+8/24)))*24*NETWORKDAYS.INTL(NOW(),NOW(),1,FERIADOS!$A$2:$A$50)))</f>
        <v/>
      </c>
      <c r="P99" s="1" t="str">
        <f t="shared" si="9"/>
        <v/>
      </c>
      <c r="Q99" s="1" t="str">
        <f t="shared" si="10"/>
        <v/>
      </c>
      <c r="R99" s="1" t="str">
        <f t="shared" si="11"/>
        <v/>
      </c>
      <c r="S99" s="1" t="str">
        <f>IF($A99="","",COUNTIF($N$2:N99,$N99))</f>
        <v/>
      </c>
      <c r="T99" s="1" t="str">
        <f t="shared" si="12"/>
        <v/>
      </c>
      <c r="U99" s="1" t="str">
        <f t="shared" si="13"/>
        <v/>
      </c>
      <c r="V99"/>
    </row>
    <row r="100" spans="13:22" x14ac:dyDescent="0.3">
      <c r="M100" s="1" t="str">
        <f t="shared" si="7"/>
        <v/>
      </c>
      <c r="N100" s="1" t="str">
        <f t="shared" si="8"/>
        <v/>
      </c>
      <c r="O100" s="1" t="str">
        <f ca="1">IF(F100="","",IF(INT(F100)=INT(NOW()),IF(NETWORKDAYS.INTL(F100,F100,1,FERIADOS!$A$2:$A$50)=0,0,MAX(0,(MIN(NOW(),INT(NOW())+18/24)-MAX(F100,INT(F100)+8/24)))*24),MAX(0,(INT(F100)+18/24-MAX(F100,INT(F100)+8/24)))*24*NETWORKDAYS.INTL(F100,F100,1,FERIADOS!$A$2:$A$50)+MAX(0,NETWORKDAYS.INTL(F100+1,NOW()-1,1,FERIADOS!$A$2:$A$50))*10+MAX(0,(MIN(NOW(),INT(NOW())+18/24)-(INT(NOW())+8/24)))*24*NETWORKDAYS.INTL(NOW(),NOW(),1,FERIADOS!$A$2:$A$50)))</f>
        <v/>
      </c>
      <c r="P100" s="1" t="str">
        <f t="shared" si="9"/>
        <v/>
      </c>
      <c r="Q100" s="1" t="str">
        <f t="shared" si="10"/>
        <v/>
      </c>
      <c r="R100" s="1" t="str">
        <f t="shared" si="11"/>
        <v/>
      </c>
      <c r="S100" s="1" t="str">
        <f>IF($A100="","",COUNTIF($N$2:N100,$N100))</f>
        <v/>
      </c>
      <c r="T100" s="1" t="str">
        <f t="shared" si="12"/>
        <v/>
      </c>
      <c r="U100" s="1" t="str">
        <f t="shared" si="13"/>
        <v/>
      </c>
      <c r="V100"/>
    </row>
    <row r="101" spans="13:22" x14ac:dyDescent="0.3">
      <c r="M101" s="1" t="str">
        <f t="shared" si="7"/>
        <v/>
      </c>
      <c r="N101" s="1" t="str">
        <f t="shared" si="8"/>
        <v/>
      </c>
      <c r="O101" s="1" t="str">
        <f ca="1">IF(F101="","",IF(INT(F101)=INT(NOW()),IF(NETWORKDAYS.INTL(F101,F101,1,FERIADOS!$A$2:$A$50)=0,0,MAX(0,(MIN(NOW(),INT(NOW())+18/24)-MAX(F101,INT(F101)+8/24)))*24),MAX(0,(INT(F101)+18/24-MAX(F101,INT(F101)+8/24)))*24*NETWORKDAYS.INTL(F101,F101,1,FERIADOS!$A$2:$A$50)+MAX(0,NETWORKDAYS.INTL(F101+1,NOW()-1,1,FERIADOS!$A$2:$A$50))*10+MAX(0,(MIN(NOW(),INT(NOW())+18/24)-(INT(NOW())+8/24)))*24*NETWORKDAYS.INTL(NOW(),NOW(),1,FERIADOS!$A$2:$A$50)))</f>
        <v/>
      </c>
      <c r="P101" s="1" t="str">
        <f t="shared" si="9"/>
        <v/>
      </c>
      <c r="Q101" s="1" t="str">
        <f t="shared" si="10"/>
        <v/>
      </c>
      <c r="R101" s="1" t="str">
        <f t="shared" si="11"/>
        <v/>
      </c>
      <c r="S101" s="1" t="str">
        <f>IF($A101="","",COUNTIF($N$2:N101,$N101))</f>
        <v/>
      </c>
      <c r="T101" s="1" t="str">
        <f t="shared" si="12"/>
        <v/>
      </c>
      <c r="U101" s="1" t="str">
        <f t="shared" si="13"/>
        <v/>
      </c>
      <c r="V101"/>
    </row>
    <row r="102" spans="13:22" x14ac:dyDescent="0.3">
      <c r="M102" s="1" t="str">
        <f t="shared" si="7"/>
        <v/>
      </c>
      <c r="N102" s="1" t="str">
        <f t="shared" si="8"/>
        <v/>
      </c>
      <c r="O102" s="1" t="str">
        <f ca="1">IF(F102="","",IF(INT(F102)=INT(NOW()),IF(NETWORKDAYS.INTL(F102,F102,1,FERIADOS!$A$2:$A$50)=0,0,MAX(0,(MIN(NOW(),INT(NOW())+18/24)-MAX(F102,INT(F102)+8/24)))*24),MAX(0,(INT(F102)+18/24-MAX(F102,INT(F102)+8/24)))*24*NETWORKDAYS.INTL(F102,F102,1,FERIADOS!$A$2:$A$50)+MAX(0,NETWORKDAYS.INTL(F102+1,NOW()-1,1,FERIADOS!$A$2:$A$50))*10+MAX(0,(MIN(NOW(),INT(NOW())+18/24)-(INT(NOW())+8/24)))*24*NETWORKDAYS.INTL(NOW(),NOW(),1,FERIADOS!$A$2:$A$50)))</f>
        <v/>
      </c>
      <c r="P102" s="1" t="str">
        <f t="shared" si="9"/>
        <v/>
      </c>
      <c r="Q102" s="1" t="str">
        <f t="shared" si="10"/>
        <v/>
      </c>
      <c r="R102" s="1" t="str">
        <f t="shared" si="11"/>
        <v/>
      </c>
      <c r="S102" s="1" t="str">
        <f>IF($A102="","",COUNTIF($N$2:N102,$N102))</f>
        <v/>
      </c>
      <c r="T102" s="1" t="str">
        <f t="shared" si="12"/>
        <v/>
      </c>
      <c r="U102" s="1" t="str">
        <f t="shared" si="13"/>
        <v/>
      </c>
      <c r="V102"/>
    </row>
    <row r="103" spans="13:22" x14ac:dyDescent="0.3">
      <c r="M103" s="1" t="str">
        <f t="shared" si="7"/>
        <v/>
      </c>
      <c r="N103" s="1" t="str">
        <f t="shared" si="8"/>
        <v/>
      </c>
      <c r="O103" s="1" t="str">
        <f ca="1">IF(F103="","",IF(INT(F103)=INT(NOW()),IF(NETWORKDAYS.INTL(F103,F103,1,FERIADOS!$A$2:$A$50)=0,0,MAX(0,(MIN(NOW(),INT(NOW())+18/24)-MAX(F103,INT(F103)+8/24)))*24),MAX(0,(INT(F103)+18/24-MAX(F103,INT(F103)+8/24)))*24*NETWORKDAYS.INTL(F103,F103,1,FERIADOS!$A$2:$A$50)+MAX(0,NETWORKDAYS.INTL(F103+1,NOW()-1,1,FERIADOS!$A$2:$A$50))*10+MAX(0,(MIN(NOW(),INT(NOW())+18/24)-(INT(NOW())+8/24)))*24*NETWORKDAYS.INTL(NOW(),NOW(),1,FERIADOS!$A$2:$A$50)))</f>
        <v/>
      </c>
      <c r="P103" s="1" t="str">
        <f t="shared" si="9"/>
        <v/>
      </c>
      <c r="Q103" s="1" t="str">
        <f t="shared" si="10"/>
        <v/>
      </c>
      <c r="R103" s="1" t="str">
        <f t="shared" si="11"/>
        <v/>
      </c>
      <c r="S103" s="1" t="str">
        <f>IF($A103="","",COUNTIF($N$2:N103,$N103))</f>
        <v/>
      </c>
      <c r="T103" s="1" t="str">
        <f t="shared" si="12"/>
        <v/>
      </c>
      <c r="U103" s="1" t="str">
        <f t="shared" si="13"/>
        <v/>
      </c>
      <c r="V103"/>
    </row>
    <row r="104" spans="13:22" x14ac:dyDescent="0.3">
      <c r="M104" s="1" t="str">
        <f t="shared" si="7"/>
        <v/>
      </c>
      <c r="N104" s="1" t="str">
        <f t="shared" si="8"/>
        <v/>
      </c>
      <c r="O104" s="1" t="str">
        <f ca="1">IF(F104="","",IF(INT(F104)=INT(NOW()),IF(NETWORKDAYS.INTL(F104,F104,1,FERIADOS!$A$2:$A$50)=0,0,MAX(0,(MIN(NOW(),INT(NOW())+18/24)-MAX(F104,INT(F104)+8/24)))*24),MAX(0,(INT(F104)+18/24-MAX(F104,INT(F104)+8/24)))*24*NETWORKDAYS.INTL(F104,F104,1,FERIADOS!$A$2:$A$50)+MAX(0,NETWORKDAYS.INTL(F104+1,NOW()-1,1,FERIADOS!$A$2:$A$50))*10+MAX(0,(MIN(NOW(),INT(NOW())+18/24)-(INT(NOW())+8/24)))*24*NETWORKDAYS.INTL(NOW(),NOW(),1,FERIADOS!$A$2:$A$50)))</f>
        <v/>
      </c>
      <c r="P104" s="1" t="str">
        <f t="shared" si="9"/>
        <v/>
      </c>
      <c r="Q104" s="1" t="str">
        <f t="shared" si="10"/>
        <v/>
      </c>
      <c r="R104" s="1" t="str">
        <f t="shared" si="11"/>
        <v/>
      </c>
      <c r="S104" s="1" t="str">
        <f>IF($A104="","",COUNTIF($N$2:N104,$N104))</f>
        <v/>
      </c>
      <c r="T104" s="1" t="str">
        <f t="shared" si="12"/>
        <v/>
      </c>
      <c r="U104" s="1" t="str">
        <f t="shared" si="13"/>
        <v/>
      </c>
      <c r="V104"/>
    </row>
    <row r="105" spans="13:22" x14ac:dyDescent="0.3">
      <c r="M105" s="1" t="str">
        <f t="shared" si="7"/>
        <v/>
      </c>
      <c r="N105" s="1" t="str">
        <f t="shared" si="8"/>
        <v/>
      </c>
      <c r="O105" s="1" t="str">
        <f ca="1">IF(F105="","",IF(INT(F105)=INT(NOW()),IF(NETWORKDAYS.INTL(F105,F105,1,FERIADOS!$A$2:$A$50)=0,0,MAX(0,(MIN(NOW(),INT(NOW())+18/24)-MAX(F105,INT(F105)+8/24)))*24),MAX(0,(INT(F105)+18/24-MAX(F105,INT(F105)+8/24)))*24*NETWORKDAYS.INTL(F105,F105,1,FERIADOS!$A$2:$A$50)+MAX(0,NETWORKDAYS.INTL(F105+1,NOW()-1,1,FERIADOS!$A$2:$A$50))*10+MAX(0,(MIN(NOW(),INT(NOW())+18/24)-(INT(NOW())+8/24)))*24*NETWORKDAYS.INTL(NOW(),NOW(),1,FERIADOS!$A$2:$A$50)))</f>
        <v/>
      </c>
      <c r="P105" s="1" t="str">
        <f t="shared" si="9"/>
        <v/>
      </c>
      <c r="Q105" s="1" t="str">
        <f t="shared" si="10"/>
        <v/>
      </c>
      <c r="R105" s="1" t="str">
        <f t="shared" si="11"/>
        <v/>
      </c>
      <c r="S105" s="1" t="str">
        <f>IF($A105="","",COUNTIF($N$2:N105,$N105))</f>
        <v/>
      </c>
      <c r="T105" s="1" t="str">
        <f t="shared" si="12"/>
        <v/>
      </c>
      <c r="U105" s="1" t="str">
        <f t="shared" si="13"/>
        <v/>
      </c>
      <c r="V105"/>
    </row>
    <row r="106" spans="13:22" x14ac:dyDescent="0.3">
      <c r="M106" s="1" t="str">
        <f t="shared" si="7"/>
        <v/>
      </c>
      <c r="N106" s="1" t="str">
        <f t="shared" si="8"/>
        <v/>
      </c>
      <c r="O106" s="1" t="str">
        <f ca="1">IF(F106="","",IF(INT(F106)=INT(NOW()),IF(NETWORKDAYS.INTL(F106,F106,1,FERIADOS!$A$2:$A$50)=0,0,MAX(0,(MIN(NOW(),INT(NOW())+18/24)-MAX(F106,INT(F106)+8/24)))*24),MAX(0,(INT(F106)+18/24-MAX(F106,INT(F106)+8/24)))*24*NETWORKDAYS.INTL(F106,F106,1,FERIADOS!$A$2:$A$50)+MAX(0,NETWORKDAYS.INTL(F106+1,NOW()-1,1,FERIADOS!$A$2:$A$50))*10+MAX(0,(MIN(NOW(),INT(NOW())+18/24)-(INT(NOW())+8/24)))*24*NETWORKDAYS.INTL(NOW(),NOW(),1,FERIADOS!$A$2:$A$50)))</f>
        <v/>
      </c>
      <c r="P106" s="1" t="str">
        <f t="shared" si="9"/>
        <v/>
      </c>
      <c r="Q106" s="1" t="str">
        <f t="shared" si="10"/>
        <v/>
      </c>
      <c r="R106" s="1" t="str">
        <f t="shared" si="11"/>
        <v/>
      </c>
      <c r="S106" s="1" t="str">
        <f>IF($A106="","",COUNTIF($N$2:N106,$N106))</f>
        <v/>
      </c>
      <c r="T106" s="1" t="str">
        <f t="shared" si="12"/>
        <v/>
      </c>
      <c r="U106" s="1" t="str">
        <f t="shared" si="13"/>
        <v/>
      </c>
      <c r="V106"/>
    </row>
    <row r="107" spans="13:22" x14ac:dyDescent="0.3">
      <c r="M107" s="1" t="str">
        <f t="shared" si="7"/>
        <v/>
      </c>
      <c r="N107" s="1" t="str">
        <f t="shared" si="8"/>
        <v/>
      </c>
      <c r="O107" s="1" t="str">
        <f ca="1">IF(F107="","",IF(INT(F107)=INT(NOW()),IF(NETWORKDAYS.INTL(F107,F107,1,FERIADOS!$A$2:$A$50)=0,0,MAX(0,(MIN(NOW(),INT(NOW())+18/24)-MAX(F107,INT(F107)+8/24)))*24),MAX(0,(INT(F107)+18/24-MAX(F107,INT(F107)+8/24)))*24*NETWORKDAYS.INTL(F107,F107,1,FERIADOS!$A$2:$A$50)+MAX(0,NETWORKDAYS.INTL(F107+1,NOW()-1,1,FERIADOS!$A$2:$A$50))*10+MAX(0,(MIN(NOW(),INT(NOW())+18/24)-(INT(NOW())+8/24)))*24*NETWORKDAYS.INTL(NOW(),NOW(),1,FERIADOS!$A$2:$A$50)))</f>
        <v/>
      </c>
      <c r="P107" s="1" t="str">
        <f t="shared" si="9"/>
        <v/>
      </c>
      <c r="Q107" s="1" t="str">
        <f t="shared" si="10"/>
        <v/>
      </c>
      <c r="R107" s="1" t="str">
        <f t="shared" si="11"/>
        <v/>
      </c>
      <c r="S107" s="1" t="str">
        <f>IF($A107="","",COUNTIF($N$2:N107,$N107))</f>
        <v/>
      </c>
      <c r="T107" s="1" t="str">
        <f t="shared" si="12"/>
        <v/>
      </c>
      <c r="U107" s="1" t="str">
        <f t="shared" si="13"/>
        <v/>
      </c>
      <c r="V107"/>
    </row>
    <row r="108" spans="13:22" x14ac:dyDescent="0.3">
      <c r="M108" s="1" t="str">
        <f t="shared" si="7"/>
        <v/>
      </c>
      <c r="N108" s="1" t="str">
        <f t="shared" si="8"/>
        <v/>
      </c>
      <c r="O108" s="1" t="str">
        <f ca="1">IF(F108="","",IF(INT(F108)=INT(NOW()),IF(NETWORKDAYS.INTL(F108,F108,1,FERIADOS!$A$2:$A$50)=0,0,MAX(0,(MIN(NOW(),INT(NOW())+18/24)-MAX(F108,INT(F108)+8/24)))*24),MAX(0,(INT(F108)+18/24-MAX(F108,INT(F108)+8/24)))*24*NETWORKDAYS.INTL(F108,F108,1,FERIADOS!$A$2:$A$50)+MAX(0,NETWORKDAYS.INTL(F108+1,NOW()-1,1,FERIADOS!$A$2:$A$50))*10+MAX(0,(MIN(NOW(),INT(NOW())+18/24)-(INT(NOW())+8/24)))*24*NETWORKDAYS.INTL(NOW(),NOW(),1,FERIADOS!$A$2:$A$50)))</f>
        <v/>
      </c>
      <c r="P108" s="1" t="str">
        <f t="shared" si="9"/>
        <v/>
      </c>
      <c r="Q108" s="1" t="str">
        <f t="shared" si="10"/>
        <v/>
      </c>
      <c r="R108" s="1" t="str">
        <f t="shared" si="11"/>
        <v/>
      </c>
      <c r="S108" s="1" t="str">
        <f>IF($A108="","",COUNTIF($N$2:N108,$N108))</f>
        <v/>
      </c>
      <c r="T108" s="1" t="str">
        <f t="shared" si="12"/>
        <v/>
      </c>
      <c r="U108" s="1" t="str">
        <f t="shared" si="13"/>
        <v/>
      </c>
      <c r="V108"/>
    </row>
    <row r="109" spans="13:22" x14ac:dyDescent="0.3">
      <c r="M109" s="1" t="str">
        <f t="shared" si="7"/>
        <v/>
      </c>
      <c r="N109" s="1" t="str">
        <f t="shared" si="8"/>
        <v/>
      </c>
      <c r="O109" s="1" t="str">
        <f ca="1">IF(F109="","",IF(INT(F109)=INT(NOW()),IF(NETWORKDAYS.INTL(F109,F109,1,FERIADOS!$A$2:$A$50)=0,0,MAX(0,(MIN(NOW(),INT(NOW())+18/24)-MAX(F109,INT(F109)+8/24)))*24),MAX(0,(INT(F109)+18/24-MAX(F109,INT(F109)+8/24)))*24*NETWORKDAYS.INTL(F109,F109,1,FERIADOS!$A$2:$A$50)+MAX(0,NETWORKDAYS.INTL(F109+1,NOW()-1,1,FERIADOS!$A$2:$A$50))*10+MAX(0,(MIN(NOW(),INT(NOW())+18/24)-(INT(NOW())+8/24)))*24*NETWORKDAYS.INTL(NOW(),NOW(),1,FERIADOS!$A$2:$A$50)))</f>
        <v/>
      </c>
      <c r="P109" s="1" t="str">
        <f t="shared" si="9"/>
        <v/>
      </c>
      <c r="Q109" s="1" t="str">
        <f t="shared" si="10"/>
        <v/>
      </c>
      <c r="R109" s="1" t="str">
        <f t="shared" si="11"/>
        <v/>
      </c>
      <c r="S109" s="1" t="str">
        <f>IF($A109="","",COUNTIF($N$2:N109,$N109))</f>
        <v/>
      </c>
      <c r="T109" s="1" t="str">
        <f t="shared" si="12"/>
        <v/>
      </c>
      <c r="U109" s="1" t="str">
        <f t="shared" si="13"/>
        <v/>
      </c>
      <c r="V109"/>
    </row>
    <row r="110" spans="13:22" x14ac:dyDescent="0.3">
      <c r="M110" s="1" t="str">
        <f t="shared" si="7"/>
        <v/>
      </c>
      <c r="N110" s="1" t="str">
        <f t="shared" si="8"/>
        <v/>
      </c>
      <c r="O110" s="1" t="str">
        <f ca="1">IF(F110="","",IF(INT(F110)=INT(NOW()),IF(NETWORKDAYS.INTL(F110,F110,1,FERIADOS!$A$2:$A$50)=0,0,MAX(0,(MIN(NOW(),INT(NOW())+18/24)-MAX(F110,INT(F110)+8/24)))*24),MAX(0,(INT(F110)+18/24-MAX(F110,INT(F110)+8/24)))*24*NETWORKDAYS.INTL(F110,F110,1,FERIADOS!$A$2:$A$50)+MAX(0,NETWORKDAYS.INTL(F110+1,NOW()-1,1,FERIADOS!$A$2:$A$50))*10+MAX(0,(MIN(NOW(),INT(NOW())+18/24)-(INT(NOW())+8/24)))*24*NETWORKDAYS.INTL(NOW(),NOW(),1,FERIADOS!$A$2:$A$50)))</f>
        <v/>
      </c>
      <c r="P110" s="1" t="str">
        <f t="shared" si="9"/>
        <v/>
      </c>
      <c r="Q110" s="1" t="str">
        <f t="shared" si="10"/>
        <v/>
      </c>
      <c r="R110" s="1" t="str">
        <f t="shared" si="11"/>
        <v/>
      </c>
      <c r="S110" s="1" t="str">
        <f>IF($A110="","",COUNTIF($N$2:N110,$N110))</f>
        <v/>
      </c>
      <c r="T110" s="1" t="str">
        <f t="shared" si="12"/>
        <v/>
      </c>
      <c r="U110" s="1" t="str">
        <f t="shared" si="13"/>
        <v/>
      </c>
      <c r="V110"/>
    </row>
    <row r="111" spans="13:22" x14ac:dyDescent="0.3">
      <c r="M111" s="1" t="str">
        <f t="shared" si="7"/>
        <v/>
      </c>
      <c r="N111" s="1" t="str">
        <f t="shared" si="8"/>
        <v/>
      </c>
      <c r="O111" s="1" t="str">
        <f ca="1">IF(F111="","",IF(INT(F111)=INT(NOW()),IF(NETWORKDAYS.INTL(F111,F111,1,FERIADOS!$A$2:$A$50)=0,0,MAX(0,(MIN(NOW(),INT(NOW())+18/24)-MAX(F111,INT(F111)+8/24)))*24),MAX(0,(INT(F111)+18/24-MAX(F111,INT(F111)+8/24)))*24*NETWORKDAYS.INTL(F111,F111,1,FERIADOS!$A$2:$A$50)+MAX(0,NETWORKDAYS.INTL(F111+1,NOW()-1,1,FERIADOS!$A$2:$A$50))*10+MAX(0,(MIN(NOW(),INT(NOW())+18/24)-(INT(NOW())+8/24)))*24*NETWORKDAYS.INTL(NOW(),NOW(),1,FERIADOS!$A$2:$A$50)))</f>
        <v/>
      </c>
      <c r="P111" s="1" t="str">
        <f t="shared" si="9"/>
        <v/>
      </c>
      <c r="Q111" s="1" t="str">
        <f t="shared" si="10"/>
        <v/>
      </c>
      <c r="R111" s="1" t="str">
        <f t="shared" si="11"/>
        <v/>
      </c>
      <c r="S111" s="1" t="str">
        <f>IF($A111="","",COUNTIF($N$2:N111,$N111))</f>
        <v/>
      </c>
      <c r="T111" s="1" t="str">
        <f t="shared" si="12"/>
        <v/>
      </c>
      <c r="U111" s="1" t="str">
        <f t="shared" si="13"/>
        <v/>
      </c>
      <c r="V111"/>
    </row>
    <row r="112" spans="13:22" x14ac:dyDescent="0.3">
      <c r="M112" s="1" t="str">
        <f t="shared" si="7"/>
        <v/>
      </c>
      <c r="N112" s="1" t="str">
        <f t="shared" si="8"/>
        <v/>
      </c>
      <c r="O112" s="1" t="str">
        <f ca="1">IF(F112="","",IF(INT(F112)=INT(NOW()),IF(NETWORKDAYS.INTL(F112,F112,1,FERIADOS!$A$2:$A$50)=0,0,MAX(0,(MIN(NOW(),INT(NOW())+18/24)-MAX(F112,INT(F112)+8/24)))*24),MAX(0,(INT(F112)+18/24-MAX(F112,INT(F112)+8/24)))*24*NETWORKDAYS.INTL(F112,F112,1,FERIADOS!$A$2:$A$50)+MAX(0,NETWORKDAYS.INTL(F112+1,NOW()-1,1,FERIADOS!$A$2:$A$50))*10+MAX(0,(MIN(NOW(),INT(NOW())+18/24)-(INT(NOW())+8/24)))*24*NETWORKDAYS.INTL(NOW(),NOW(),1,FERIADOS!$A$2:$A$50)))</f>
        <v/>
      </c>
      <c r="P112" s="1" t="str">
        <f t="shared" si="9"/>
        <v/>
      </c>
      <c r="Q112" s="1" t="str">
        <f t="shared" si="10"/>
        <v/>
      </c>
      <c r="R112" s="1" t="str">
        <f t="shared" si="11"/>
        <v/>
      </c>
      <c r="S112" s="1" t="str">
        <f>IF($A112="","",COUNTIF($N$2:N112,$N112))</f>
        <v/>
      </c>
      <c r="T112" s="1" t="str">
        <f t="shared" si="12"/>
        <v/>
      </c>
      <c r="U112" s="1" t="str">
        <f t="shared" si="13"/>
        <v/>
      </c>
      <c r="V112"/>
    </row>
    <row r="113" spans="13:22" x14ac:dyDescent="0.3">
      <c r="M113" s="1" t="str">
        <f t="shared" si="7"/>
        <v/>
      </c>
      <c r="N113" s="1" t="str">
        <f t="shared" si="8"/>
        <v/>
      </c>
      <c r="O113" s="1" t="str">
        <f ca="1">IF(F113="","",IF(INT(F113)=INT(NOW()),IF(NETWORKDAYS.INTL(F113,F113,1,FERIADOS!$A$2:$A$50)=0,0,MAX(0,(MIN(NOW(),INT(NOW())+18/24)-MAX(F113,INT(F113)+8/24)))*24),MAX(0,(INT(F113)+18/24-MAX(F113,INT(F113)+8/24)))*24*NETWORKDAYS.INTL(F113,F113,1,FERIADOS!$A$2:$A$50)+MAX(0,NETWORKDAYS.INTL(F113+1,NOW()-1,1,FERIADOS!$A$2:$A$50))*10+MAX(0,(MIN(NOW(),INT(NOW())+18/24)-(INT(NOW())+8/24)))*24*NETWORKDAYS.INTL(NOW(),NOW(),1,FERIADOS!$A$2:$A$50)))</f>
        <v/>
      </c>
      <c r="P113" s="1" t="str">
        <f t="shared" si="9"/>
        <v/>
      </c>
      <c r="Q113" s="1" t="str">
        <f t="shared" si="10"/>
        <v/>
      </c>
      <c r="R113" s="1" t="str">
        <f t="shared" si="11"/>
        <v/>
      </c>
      <c r="S113" s="1" t="str">
        <f>IF($A113="","",COUNTIF($N$2:N113,$N113))</f>
        <v/>
      </c>
      <c r="T113" s="1" t="str">
        <f t="shared" si="12"/>
        <v/>
      </c>
      <c r="U113" s="1" t="str">
        <f t="shared" si="13"/>
        <v/>
      </c>
      <c r="V113"/>
    </row>
    <row r="114" spans="13:22" x14ac:dyDescent="0.3">
      <c r="M114" s="1" t="str">
        <f t="shared" si="7"/>
        <v/>
      </c>
      <c r="N114" s="1" t="str">
        <f t="shared" si="8"/>
        <v/>
      </c>
      <c r="O114" s="1" t="str">
        <f ca="1">IF(F114="","",IF(INT(F114)=INT(NOW()),IF(NETWORKDAYS.INTL(F114,F114,1,FERIADOS!$A$2:$A$50)=0,0,MAX(0,(MIN(NOW(),INT(NOW())+18/24)-MAX(F114,INT(F114)+8/24)))*24),MAX(0,(INT(F114)+18/24-MAX(F114,INT(F114)+8/24)))*24*NETWORKDAYS.INTL(F114,F114,1,FERIADOS!$A$2:$A$50)+MAX(0,NETWORKDAYS.INTL(F114+1,NOW()-1,1,FERIADOS!$A$2:$A$50))*10+MAX(0,(MIN(NOW(),INT(NOW())+18/24)-(INT(NOW())+8/24)))*24*NETWORKDAYS.INTL(NOW(),NOW(),1,FERIADOS!$A$2:$A$50)))</f>
        <v/>
      </c>
      <c r="P114" s="1" t="str">
        <f t="shared" si="9"/>
        <v/>
      </c>
      <c r="Q114" s="1" t="str">
        <f t="shared" si="10"/>
        <v/>
      </c>
      <c r="R114" s="1" t="str">
        <f t="shared" si="11"/>
        <v/>
      </c>
      <c r="S114" s="1" t="str">
        <f>IF($A114="","",COUNTIF($N$2:N114,$N114))</f>
        <v/>
      </c>
      <c r="T114" s="1" t="str">
        <f t="shared" si="12"/>
        <v/>
      </c>
      <c r="U114" s="1" t="str">
        <f t="shared" si="13"/>
        <v/>
      </c>
      <c r="V114"/>
    </row>
    <row r="115" spans="13:22" x14ac:dyDescent="0.3">
      <c r="M115" s="1" t="str">
        <f t="shared" si="7"/>
        <v/>
      </c>
      <c r="N115" s="1" t="str">
        <f t="shared" si="8"/>
        <v/>
      </c>
      <c r="O115" s="1" t="str">
        <f ca="1">IF(F115="","",IF(INT(F115)=INT(NOW()),IF(NETWORKDAYS.INTL(F115,F115,1,FERIADOS!$A$2:$A$50)=0,0,MAX(0,(MIN(NOW(),INT(NOW())+18/24)-MAX(F115,INT(F115)+8/24)))*24),MAX(0,(INT(F115)+18/24-MAX(F115,INT(F115)+8/24)))*24*NETWORKDAYS.INTL(F115,F115,1,FERIADOS!$A$2:$A$50)+MAX(0,NETWORKDAYS.INTL(F115+1,NOW()-1,1,FERIADOS!$A$2:$A$50))*10+MAX(0,(MIN(NOW(),INT(NOW())+18/24)-(INT(NOW())+8/24)))*24*NETWORKDAYS.INTL(NOW(),NOW(),1,FERIADOS!$A$2:$A$50)))</f>
        <v/>
      </c>
      <c r="P115" s="1" t="str">
        <f t="shared" si="9"/>
        <v/>
      </c>
      <c r="Q115" s="1" t="str">
        <f t="shared" si="10"/>
        <v/>
      </c>
      <c r="R115" s="1" t="str">
        <f t="shared" si="11"/>
        <v/>
      </c>
      <c r="S115" s="1" t="str">
        <f>IF($A115="","",COUNTIF($N$2:N115,$N115))</f>
        <v/>
      </c>
      <c r="T115" s="1" t="str">
        <f t="shared" si="12"/>
        <v/>
      </c>
      <c r="U115" s="1" t="str">
        <f t="shared" si="13"/>
        <v/>
      </c>
      <c r="V115"/>
    </row>
    <row r="116" spans="13:22" x14ac:dyDescent="0.3">
      <c r="M116" s="1" t="str">
        <f t="shared" si="7"/>
        <v/>
      </c>
      <c r="N116" s="1" t="str">
        <f t="shared" si="8"/>
        <v/>
      </c>
      <c r="O116" s="1" t="str">
        <f ca="1">IF(F116="","",IF(INT(F116)=INT(NOW()),IF(NETWORKDAYS.INTL(F116,F116,1,FERIADOS!$A$2:$A$50)=0,0,MAX(0,(MIN(NOW(),INT(NOW())+18/24)-MAX(F116,INT(F116)+8/24)))*24),MAX(0,(INT(F116)+18/24-MAX(F116,INT(F116)+8/24)))*24*NETWORKDAYS.INTL(F116,F116,1,FERIADOS!$A$2:$A$50)+MAX(0,NETWORKDAYS.INTL(F116+1,NOW()-1,1,FERIADOS!$A$2:$A$50))*10+MAX(0,(MIN(NOW(),INT(NOW())+18/24)-(INT(NOW())+8/24)))*24*NETWORKDAYS.INTL(NOW(),NOW(),1,FERIADOS!$A$2:$A$50)))</f>
        <v/>
      </c>
      <c r="P116" s="1" t="str">
        <f t="shared" si="9"/>
        <v/>
      </c>
      <c r="Q116" s="1" t="str">
        <f t="shared" si="10"/>
        <v/>
      </c>
      <c r="R116" s="1" t="str">
        <f t="shared" si="11"/>
        <v/>
      </c>
      <c r="S116" s="1" t="str">
        <f>IF($A116="","",COUNTIF($N$2:N116,$N116))</f>
        <v/>
      </c>
      <c r="T116" s="1" t="str">
        <f t="shared" si="12"/>
        <v/>
      </c>
      <c r="U116" s="1" t="str">
        <f t="shared" si="13"/>
        <v/>
      </c>
      <c r="V116"/>
    </row>
    <row r="117" spans="13:22" x14ac:dyDescent="0.3">
      <c r="M117" s="1" t="str">
        <f t="shared" si="7"/>
        <v/>
      </c>
      <c r="N117" s="1" t="str">
        <f t="shared" si="8"/>
        <v/>
      </c>
      <c r="O117" s="1" t="str">
        <f ca="1">IF(F117="","",IF(INT(F117)=INT(NOW()),IF(NETWORKDAYS.INTL(F117,F117,1,FERIADOS!$A$2:$A$50)=0,0,MAX(0,(MIN(NOW(),INT(NOW())+18/24)-MAX(F117,INT(F117)+8/24)))*24),MAX(0,(INT(F117)+18/24-MAX(F117,INT(F117)+8/24)))*24*NETWORKDAYS.INTL(F117,F117,1,FERIADOS!$A$2:$A$50)+MAX(0,NETWORKDAYS.INTL(F117+1,NOW()-1,1,FERIADOS!$A$2:$A$50))*10+MAX(0,(MIN(NOW(),INT(NOW())+18/24)-(INT(NOW())+8/24)))*24*NETWORKDAYS.INTL(NOW(),NOW(),1,FERIADOS!$A$2:$A$50)))</f>
        <v/>
      </c>
      <c r="P117" s="1" t="str">
        <f t="shared" si="9"/>
        <v/>
      </c>
      <c r="Q117" s="1" t="str">
        <f t="shared" si="10"/>
        <v/>
      </c>
      <c r="R117" s="1" t="str">
        <f t="shared" si="11"/>
        <v/>
      </c>
      <c r="S117" s="1" t="str">
        <f>IF($A117="","",COUNTIF($N$2:N117,$N117))</f>
        <v/>
      </c>
      <c r="T117" s="1" t="str">
        <f t="shared" si="12"/>
        <v/>
      </c>
      <c r="U117" s="1" t="str">
        <f t="shared" si="13"/>
        <v/>
      </c>
      <c r="V117"/>
    </row>
    <row r="118" spans="13:22" x14ac:dyDescent="0.3">
      <c r="M118" s="1" t="str">
        <f t="shared" si="7"/>
        <v/>
      </c>
      <c r="N118" s="1" t="str">
        <f t="shared" si="8"/>
        <v/>
      </c>
      <c r="O118" s="1" t="str">
        <f ca="1">IF(F118="","",IF(INT(F118)=INT(NOW()),IF(NETWORKDAYS.INTL(F118,F118,1,FERIADOS!$A$2:$A$50)=0,0,MAX(0,(MIN(NOW(),INT(NOW())+18/24)-MAX(F118,INT(F118)+8/24)))*24),MAX(0,(INT(F118)+18/24-MAX(F118,INT(F118)+8/24)))*24*NETWORKDAYS.INTL(F118,F118,1,FERIADOS!$A$2:$A$50)+MAX(0,NETWORKDAYS.INTL(F118+1,NOW()-1,1,FERIADOS!$A$2:$A$50))*10+MAX(0,(MIN(NOW(),INT(NOW())+18/24)-(INT(NOW())+8/24)))*24*NETWORKDAYS.INTL(NOW(),NOW(),1,FERIADOS!$A$2:$A$50)))</f>
        <v/>
      </c>
      <c r="P118" s="1" t="str">
        <f t="shared" si="9"/>
        <v/>
      </c>
      <c r="Q118" s="1" t="str">
        <f t="shared" si="10"/>
        <v/>
      </c>
      <c r="R118" s="1" t="str">
        <f t="shared" si="11"/>
        <v/>
      </c>
      <c r="S118" s="1" t="str">
        <f>IF($A118="","",COUNTIF($N$2:N118,$N118))</f>
        <v/>
      </c>
      <c r="T118" s="1" t="str">
        <f t="shared" si="12"/>
        <v/>
      </c>
      <c r="U118" s="1" t="str">
        <f t="shared" si="13"/>
        <v/>
      </c>
      <c r="V118"/>
    </row>
    <row r="119" spans="13:22" x14ac:dyDescent="0.3">
      <c r="M119" s="1" t="str">
        <f t="shared" si="7"/>
        <v/>
      </c>
      <c r="N119" s="1" t="str">
        <f t="shared" si="8"/>
        <v/>
      </c>
      <c r="O119" s="1" t="str">
        <f ca="1">IF(F119="","",IF(INT(F119)=INT(NOW()),IF(NETWORKDAYS.INTL(F119,F119,1,FERIADOS!$A$2:$A$50)=0,0,MAX(0,(MIN(NOW(),INT(NOW())+18/24)-MAX(F119,INT(F119)+8/24)))*24),MAX(0,(INT(F119)+18/24-MAX(F119,INT(F119)+8/24)))*24*NETWORKDAYS.INTL(F119,F119,1,FERIADOS!$A$2:$A$50)+MAX(0,NETWORKDAYS.INTL(F119+1,NOW()-1,1,FERIADOS!$A$2:$A$50))*10+MAX(0,(MIN(NOW(),INT(NOW())+18/24)-(INT(NOW())+8/24)))*24*NETWORKDAYS.INTL(NOW(),NOW(),1,FERIADOS!$A$2:$A$50)))</f>
        <v/>
      </c>
      <c r="P119" s="1" t="str">
        <f t="shared" si="9"/>
        <v/>
      </c>
      <c r="Q119" s="1" t="str">
        <f t="shared" si="10"/>
        <v/>
      </c>
      <c r="R119" s="1" t="str">
        <f t="shared" si="11"/>
        <v/>
      </c>
      <c r="S119" s="1" t="str">
        <f>IF($A119="","",COUNTIF($N$2:N119,$N119))</f>
        <v/>
      </c>
      <c r="T119" s="1" t="str">
        <f t="shared" si="12"/>
        <v/>
      </c>
      <c r="U119" s="1" t="str">
        <f t="shared" si="13"/>
        <v/>
      </c>
      <c r="V119"/>
    </row>
    <row r="120" spans="13:22" x14ac:dyDescent="0.3">
      <c r="M120" s="1" t="str">
        <f t="shared" si="7"/>
        <v/>
      </c>
      <c r="N120" s="1" t="str">
        <f t="shared" si="8"/>
        <v/>
      </c>
      <c r="O120" s="1" t="str">
        <f ca="1">IF(F120="","",IF(INT(F120)=INT(NOW()),IF(NETWORKDAYS.INTL(F120,F120,1,FERIADOS!$A$2:$A$50)=0,0,MAX(0,(MIN(NOW(),INT(NOW())+18/24)-MAX(F120,INT(F120)+8/24)))*24),MAX(0,(INT(F120)+18/24-MAX(F120,INT(F120)+8/24)))*24*NETWORKDAYS.INTL(F120,F120,1,FERIADOS!$A$2:$A$50)+MAX(0,NETWORKDAYS.INTL(F120+1,NOW()-1,1,FERIADOS!$A$2:$A$50))*10+MAX(0,(MIN(NOW(),INT(NOW())+18/24)-(INT(NOW())+8/24)))*24*NETWORKDAYS.INTL(NOW(),NOW(),1,FERIADOS!$A$2:$A$50)))</f>
        <v/>
      </c>
      <c r="P120" s="1" t="str">
        <f t="shared" si="9"/>
        <v/>
      </c>
      <c r="Q120" s="1" t="str">
        <f t="shared" si="10"/>
        <v/>
      </c>
      <c r="R120" s="1" t="str">
        <f t="shared" si="11"/>
        <v/>
      </c>
      <c r="S120" s="1" t="str">
        <f>IF($A120="","",COUNTIF($N$2:N120,$N120))</f>
        <v/>
      </c>
      <c r="T120" s="1" t="str">
        <f t="shared" si="12"/>
        <v/>
      </c>
      <c r="U120" s="1" t="str">
        <f t="shared" si="13"/>
        <v/>
      </c>
      <c r="V120"/>
    </row>
    <row r="121" spans="13:22" x14ac:dyDescent="0.3">
      <c r="M121" s="1" t="str">
        <f t="shared" si="7"/>
        <v/>
      </c>
      <c r="N121" s="1" t="str">
        <f t="shared" si="8"/>
        <v/>
      </c>
      <c r="O121" s="1" t="str">
        <f ca="1">IF(F121="","",IF(INT(F121)=INT(NOW()),IF(NETWORKDAYS.INTL(F121,F121,1,FERIADOS!$A$2:$A$50)=0,0,MAX(0,(MIN(NOW(),INT(NOW())+18/24)-MAX(F121,INT(F121)+8/24)))*24),MAX(0,(INT(F121)+18/24-MAX(F121,INT(F121)+8/24)))*24*NETWORKDAYS.INTL(F121,F121,1,FERIADOS!$A$2:$A$50)+MAX(0,NETWORKDAYS.INTL(F121+1,NOW()-1,1,FERIADOS!$A$2:$A$50))*10+MAX(0,(MIN(NOW(),INT(NOW())+18/24)-(INT(NOW())+8/24)))*24*NETWORKDAYS.INTL(NOW(),NOW(),1,FERIADOS!$A$2:$A$50)))</f>
        <v/>
      </c>
      <c r="P121" s="1" t="str">
        <f t="shared" si="9"/>
        <v/>
      </c>
      <c r="Q121" s="1" t="str">
        <f t="shared" si="10"/>
        <v/>
      </c>
      <c r="R121" s="1" t="str">
        <f t="shared" si="11"/>
        <v/>
      </c>
      <c r="S121" s="1" t="str">
        <f>IF($A121="","",COUNTIF($N$2:N121,$N121))</f>
        <v/>
      </c>
      <c r="T121" s="1" t="str">
        <f t="shared" si="12"/>
        <v/>
      </c>
      <c r="U121" s="1" t="str">
        <f t="shared" si="13"/>
        <v/>
      </c>
      <c r="V121"/>
    </row>
    <row r="122" spans="13:22" x14ac:dyDescent="0.3">
      <c r="M122" s="1" t="str">
        <f t="shared" si="7"/>
        <v/>
      </c>
      <c r="N122" s="1" t="str">
        <f t="shared" si="8"/>
        <v/>
      </c>
      <c r="O122" s="1" t="str">
        <f ca="1">IF(F122="","",IF(INT(F122)=INT(NOW()),IF(NETWORKDAYS.INTL(F122,F122,1,FERIADOS!$A$2:$A$50)=0,0,MAX(0,(MIN(NOW(),INT(NOW())+18/24)-MAX(F122,INT(F122)+8/24)))*24),MAX(0,(INT(F122)+18/24-MAX(F122,INT(F122)+8/24)))*24*NETWORKDAYS.INTL(F122,F122,1,FERIADOS!$A$2:$A$50)+MAX(0,NETWORKDAYS.INTL(F122+1,NOW()-1,1,FERIADOS!$A$2:$A$50))*10+MAX(0,(MIN(NOW(),INT(NOW())+18/24)-(INT(NOW())+8/24)))*24*NETWORKDAYS.INTL(NOW(),NOW(),1,FERIADOS!$A$2:$A$50)))</f>
        <v/>
      </c>
      <c r="P122" s="1" t="str">
        <f t="shared" si="9"/>
        <v/>
      </c>
      <c r="Q122" s="1" t="str">
        <f t="shared" si="10"/>
        <v/>
      </c>
      <c r="R122" s="1" t="str">
        <f t="shared" si="11"/>
        <v/>
      </c>
      <c r="S122" s="1" t="str">
        <f>IF($A122="","",COUNTIF($N$2:N122,$N122))</f>
        <v/>
      </c>
      <c r="T122" s="1" t="str">
        <f t="shared" si="12"/>
        <v/>
      </c>
      <c r="U122" s="1" t="str">
        <f t="shared" si="13"/>
        <v/>
      </c>
      <c r="V122"/>
    </row>
    <row r="123" spans="13:22" x14ac:dyDescent="0.3">
      <c r="M123" s="1" t="str">
        <f t="shared" si="7"/>
        <v/>
      </c>
      <c r="N123" s="1" t="str">
        <f t="shared" si="8"/>
        <v/>
      </c>
      <c r="O123" s="1" t="str">
        <f ca="1">IF(F123="","",IF(INT(F123)=INT(NOW()),IF(NETWORKDAYS.INTL(F123,F123,1,FERIADOS!$A$2:$A$50)=0,0,MAX(0,(MIN(NOW(),INT(NOW())+18/24)-MAX(F123,INT(F123)+8/24)))*24),MAX(0,(INT(F123)+18/24-MAX(F123,INT(F123)+8/24)))*24*NETWORKDAYS.INTL(F123,F123,1,FERIADOS!$A$2:$A$50)+MAX(0,NETWORKDAYS.INTL(F123+1,NOW()-1,1,FERIADOS!$A$2:$A$50))*10+MAX(0,(MIN(NOW(),INT(NOW())+18/24)-(INT(NOW())+8/24)))*24*NETWORKDAYS.INTL(NOW(),NOW(),1,FERIADOS!$A$2:$A$50)))</f>
        <v/>
      </c>
      <c r="P123" s="1" t="str">
        <f t="shared" si="9"/>
        <v/>
      </c>
      <c r="Q123" s="1" t="str">
        <f t="shared" si="10"/>
        <v/>
      </c>
      <c r="R123" s="1" t="str">
        <f t="shared" si="11"/>
        <v/>
      </c>
      <c r="S123" s="1" t="str">
        <f>IF($A123="","",COUNTIF($N$2:N123,$N123))</f>
        <v/>
      </c>
      <c r="T123" s="1" t="str">
        <f t="shared" si="12"/>
        <v/>
      </c>
      <c r="U123" s="1" t="str">
        <f t="shared" si="13"/>
        <v/>
      </c>
      <c r="V123"/>
    </row>
    <row r="124" spans="13:22" x14ac:dyDescent="0.3">
      <c r="M124" s="1" t="str">
        <f t="shared" si="7"/>
        <v/>
      </c>
      <c r="N124" s="1" t="str">
        <f t="shared" si="8"/>
        <v/>
      </c>
      <c r="O124" s="1" t="str">
        <f ca="1">IF(F124="","",IF(INT(F124)=INT(NOW()),IF(NETWORKDAYS.INTL(F124,F124,1,FERIADOS!$A$2:$A$50)=0,0,MAX(0,(MIN(NOW(),INT(NOW())+18/24)-MAX(F124,INT(F124)+8/24)))*24),MAX(0,(INT(F124)+18/24-MAX(F124,INT(F124)+8/24)))*24*NETWORKDAYS.INTL(F124,F124,1,FERIADOS!$A$2:$A$50)+MAX(0,NETWORKDAYS.INTL(F124+1,NOW()-1,1,FERIADOS!$A$2:$A$50))*10+MAX(0,(MIN(NOW(),INT(NOW())+18/24)-(INT(NOW())+8/24)))*24*NETWORKDAYS.INTL(NOW(),NOW(),1,FERIADOS!$A$2:$A$50)))</f>
        <v/>
      </c>
      <c r="P124" s="1" t="str">
        <f t="shared" si="9"/>
        <v/>
      </c>
      <c r="Q124" s="1" t="str">
        <f t="shared" si="10"/>
        <v/>
      </c>
      <c r="R124" s="1" t="str">
        <f t="shared" si="11"/>
        <v/>
      </c>
      <c r="S124" s="1" t="str">
        <f>IF($A124="","",COUNTIF($N$2:N124,$N124))</f>
        <v/>
      </c>
      <c r="T124" s="1" t="str">
        <f t="shared" si="12"/>
        <v/>
      </c>
      <c r="U124" s="1" t="str">
        <f t="shared" si="13"/>
        <v/>
      </c>
      <c r="V124"/>
    </row>
    <row r="125" spans="13:22" x14ac:dyDescent="0.3">
      <c r="M125" s="1" t="str">
        <f t="shared" si="7"/>
        <v/>
      </c>
      <c r="N125" s="1" t="str">
        <f t="shared" si="8"/>
        <v/>
      </c>
      <c r="O125" s="1" t="str">
        <f ca="1">IF(F125="","",IF(INT(F125)=INT(NOW()),IF(NETWORKDAYS.INTL(F125,F125,1,FERIADOS!$A$2:$A$50)=0,0,MAX(0,(MIN(NOW(),INT(NOW())+18/24)-MAX(F125,INT(F125)+8/24)))*24),MAX(0,(INT(F125)+18/24-MAX(F125,INT(F125)+8/24)))*24*NETWORKDAYS.INTL(F125,F125,1,FERIADOS!$A$2:$A$50)+MAX(0,NETWORKDAYS.INTL(F125+1,NOW()-1,1,FERIADOS!$A$2:$A$50))*10+MAX(0,(MIN(NOW(),INT(NOW())+18/24)-(INT(NOW())+8/24)))*24*NETWORKDAYS.INTL(NOW(),NOW(),1,FERIADOS!$A$2:$A$50)))</f>
        <v/>
      </c>
      <c r="P125" s="1" t="str">
        <f t="shared" si="9"/>
        <v/>
      </c>
      <c r="Q125" s="1" t="str">
        <f t="shared" si="10"/>
        <v/>
      </c>
      <c r="R125" s="1" t="str">
        <f t="shared" si="11"/>
        <v/>
      </c>
      <c r="S125" s="1" t="str">
        <f>IF($A125="","",COUNTIF($N$2:N125,$N125))</f>
        <v/>
      </c>
      <c r="T125" s="1" t="str">
        <f t="shared" si="12"/>
        <v/>
      </c>
      <c r="U125" s="1" t="str">
        <f t="shared" si="13"/>
        <v/>
      </c>
      <c r="V125"/>
    </row>
    <row r="126" spans="13:22" x14ac:dyDescent="0.3">
      <c r="M126" s="1" t="str">
        <f t="shared" si="7"/>
        <v/>
      </c>
      <c r="N126" s="1" t="str">
        <f t="shared" si="8"/>
        <v/>
      </c>
      <c r="O126" s="1" t="str">
        <f ca="1">IF(F126="","",IF(INT(F126)=INT(NOW()),IF(NETWORKDAYS.INTL(F126,F126,1,FERIADOS!$A$2:$A$50)=0,0,MAX(0,(MIN(NOW(),INT(NOW())+18/24)-MAX(F126,INT(F126)+8/24)))*24),MAX(0,(INT(F126)+18/24-MAX(F126,INT(F126)+8/24)))*24*NETWORKDAYS.INTL(F126,F126,1,FERIADOS!$A$2:$A$50)+MAX(0,NETWORKDAYS.INTL(F126+1,NOW()-1,1,FERIADOS!$A$2:$A$50))*10+MAX(0,(MIN(NOW(),INT(NOW())+18/24)-(INT(NOW())+8/24)))*24*NETWORKDAYS.INTL(NOW(),NOW(),1,FERIADOS!$A$2:$A$50)))</f>
        <v/>
      </c>
      <c r="P126" s="1" t="str">
        <f t="shared" si="9"/>
        <v/>
      </c>
      <c r="Q126" s="1" t="str">
        <f t="shared" si="10"/>
        <v/>
      </c>
      <c r="R126" s="1" t="str">
        <f t="shared" si="11"/>
        <v/>
      </c>
      <c r="S126" s="1" t="str">
        <f>IF($A126="","",COUNTIF($N$2:N126,$N126))</f>
        <v/>
      </c>
      <c r="T126" s="1" t="str">
        <f t="shared" si="12"/>
        <v/>
      </c>
      <c r="U126" s="1" t="str">
        <f t="shared" si="13"/>
        <v/>
      </c>
      <c r="V126"/>
    </row>
    <row r="127" spans="13:22" x14ac:dyDescent="0.3">
      <c r="M127" s="1" t="str">
        <f t="shared" si="7"/>
        <v/>
      </c>
      <c r="N127" s="1" t="str">
        <f t="shared" si="8"/>
        <v/>
      </c>
      <c r="O127" s="1" t="str">
        <f ca="1">IF(F127="","",IF(INT(F127)=INT(NOW()),IF(NETWORKDAYS.INTL(F127,F127,1,FERIADOS!$A$2:$A$50)=0,0,MAX(0,(MIN(NOW(),INT(NOW())+18/24)-MAX(F127,INT(F127)+8/24)))*24),MAX(0,(INT(F127)+18/24-MAX(F127,INT(F127)+8/24)))*24*NETWORKDAYS.INTL(F127,F127,1,FERIADOS!$A$2:$A$50)+MAX(0,NETWORKDAYS.INTL(F127+1,NOW()-1,1,FERIADOS!$A$2:$A$50))*10+MAX(0,(MIN(NOW(),INT(NOW())+18/24)-(INT(NOW())+8/24)))*24*NETWORKDAYS.INTL(NOW(),NOW(),1,FERIADOS!$A$2:$A$50)))</f>
        <v/>
      </c>
      <c r="P127" s="1" t="str">
        <f t="shared" si="9"/>
        <v/>
      </c>
      <c r="Q127" s="1" t="str">
        <f t="shared" si="10"/>
        <v/>
      </c>
      <c r="R127" s="1" t="str">
        <f t="shared" si="11"/>
        <v/>
      </c>
      <c r="S127" s="1" t="str">
        <f>IF($A127="","",COUNTIF($N$2:N127,$N127))</f>
        <v/>
      </c>
      <c r="T127" s="1" t="str">
        <f t="shared" si="12"/>
        <v/>
      </c>
      <c r="U127" s="1" t="str">
        <f t="shared" si="13"/>
        <v/>
      </c>
      <c r="V127"/>
    </row>
    <row r="128" spans="13:22" x14ac:dyDescent="0.3">
      <c r="M128" s="1" t="str">
        <f t="shared" si="7"/>
        <v/>
      </c>
      <c r="N128" s="1" t="str">
        <f t="shared" si="8"/>
        <v/>
      </c>
      <c r="O128" s="1" t="str">
        <f ca="1">IF(F128="","",IF(INT(F128)=INT(NOW()),IF(NETWORKDAYS.INTL(F128,F128,1,FERIADOS!$A$2:$A$50)=0,0,MAX(0,(MIN(NOW(),INT(NOW())+18/24)-MAX(F128,INT(F128)+8/24)))*24),MAX(0,(INT(F128)+18/24-MAX(F128,INT(F128)+8/24)))*24*NETWORKDAYS.INTL(F128,F128,1,FERIADOS!$A$2:$A$50)+MAX(0,NETWORKDAYS.INTL(F128+1,NOW()-1,1,FERIADOS!$A$2:$A$50))*10+MAX(0,(MIN(NOW(),INT(NOW())+18/24)-(INT(NOW())+8/24)))*24*NETWORKDAYS.INTL(NOW(),NOW(),1,FERIADOS!$A$2:$A$50)))</f>
        <v/>
      </c>
      <c r="P128" s="1" t="str">
        <f t="shared" si="9"/>
        <v/>
      </c>
      <c r="Q128" s="1" t="str">
        <f t="shared" si="10"/>
        <v/>
      </c>
      <c r="R128" s="1" t="str">
        <f t="shared" si="11"/>
        <v/>
      </c>
      <c r="S128" s="1" t="str">
        <f>IF($A128="","",COUNTIF($N$2:N128,$N128))</f>
        <v/>
      </c>
      <c r="T128" s="1" t="str">
        <f t="shared" si="12"/>
        <v/>
      </c>
      <c r="U128" s="1" t="str">
        <f t="shared" si="13"/>
        <v/>
      </c>
      <c r="V128"/>
    </row>
    <row r="129" spans="13:22" x14ac:dyDescent="0.3">
      <c r="M129" s="1" t="str">
        <f t="shared" si="7"/>
        <v/>
      </c>
      <c r="N129" s="1" t="str">
        <f t="shared" si="8"/>
        <v/>
      </c>
      <c r="O129" s="1" t="str">
        <f ca="1">IF(F129="","",IF(INT(F129)=INT(NOW()),IF(NETWORKDAYS.INTL(F129,F129,1,FERIADOS!$A$2:$A$50)=0,0,MAX(0,(MIN(NOW(),INT(NOW())+18/24)-MAX(F129,INT(F129)+8/24)))*24),MAX(0,(INT(F129)+18/24-MAX(F129,INT(F129)+8/24)))*24*NETWORKDAYS.INTL(F129,F129,1,FERIADOS!$A$2:$A$50)+MAX(0,NETWORKDAYS.INTL(F129+1,NOW()-1,1,FERIADOS!$A$2:$A$50))*10+MAX(0,(MIN(NOW(),INT(NOW())+18/24)-(INT(NOW())+8/24)))*24*NETWORKDAYS.INTL(NOW(),NOW(),1,FERIADOS!$A$2:$A$50)))</f>
        <v/>
      </c>
      <c r="P129" s="1" t="str">
        <f t="shared" si="9"/>
        <v/>
      </c>
      <c r="Q129" s="1" t="str">
        <f t="shared" si="10"/>
        <v/>
      </c>
      <c r="R129" s="1" t="str">
        <f t="shared" si="11"/>
        <v/>
      </c>
      <c r="S129" s="1" t="str">
        <f>IF($A129="","",COUNTIF($N$2:N129,$N129))</f>
        <v/>
      </c>
      <c r="T129" s="1" t="str">
        <f t="shared" si="12"/>
        <v/>
      </c>
      <c r="U129" s="1" t="str">
        <f t="shared" si="13"/>
        <v/>
      </c>
      <c r="V129"/>
    </row>
    <row r="130" spans="13:22" x14ac:dyDescent="0.3">
      <c r="M130" s="1" t="str">
        <f t="shared" ref="M130:M193" si="14">IF($A130="","",IF($L130="MA",IF(OR(UPPER($K130)="SAO LUIS",UPPER($K130)="SÃO LUIS",UPPER($K130)="PACO DO LUMIAR",UPPER($K130)="PAÇO DO LUMIAR",UPPER($K130)="SAO JOSE DE RIBAMAR",UPPER($K130)="SÃO JOSÉ DE RIBAMAR"),"MA CAP","MA INT"),IF($L130="PA",IF(OR(UPPER($K130)="BELEM",UPPER($K130)="BELÉM",UPPER($K130)="ANANINDEUA"),"PA CAP","PA INT"),IF($L130="PI",IF(UPPER($K130)="TERESINA","PI CAP","PI INT"),IF($L130="AM","AM INT",IF($L130="AP","AP","OUTROS"))))))</f>
        <v/>
      </c>
      <c r="N130" s="1" t="str">
        <f t="shared" ref="N130:N193" si="15">IF($A130="","",IF($M130="PI CAP","GIGA+ PI",IF($M130="PI INT","GIGA+ PI",IF($M130="MA CAP","SLN MA",IF($M130="MA INT","GIGA+ MA",IF($M130="PA CAP","SLN PA",IF($M130="PA INT","SLN PA",IF($M130="AM INT","ADX",IF($M130="AP","ADX","OUTROS")))))))))</f>
        <v/>
      </c>
      <c r="O130" s="1" t="str">
        <f ca="1">IF(F130="","",IF(INT(F130)=INT(NOW()),IF(NETWORKDAYS.INTL(F130,F130,1,FERIADOS!$A$2:$A$50)=0,0,MAX(0,(MIN(NOW(),INT(NOW())+18/24)-MAX(F130,INT(F130)+8/24)))*24),MAX(0,(INT(F130)+18/24-MAX(F130,INT(F130)+8/24)))*24*NETWORKDAYS.INTL(F130,F130,1,FERIADOS!$A$2:$A$50)+MAX(0,NETWORKDAYS.INTL(F130+1,NOW()-1,1,FERIADOS!$A$2:$A$50))*10+MAX(0,(MIN(NOW(),INT(NOW())+18/24)-(INT(NOW())+8/24)))*24*NETWORKDAYS.INTL(NOW(),NOW(),1,FERIADOS!$A$2:$A$50)))</f>
        <v/>
      </c>
      <c r="P130" s="1" t="str">
        <f t="shared" ref="P130:P193" si="16">IF($A130="","",IF(OR(O130="",O130=0),"00h 00m",TEXT(INT(O130),"00") &amp; "h " &amp; TEXT(INT((O130-INT(O130))*60),"00") &amp; "m"))</f>
        <v/>
      </c>
      <c r="Q130" s="1" t="str">
        <f t="shared" ref="Q130:Q193" si="17">IF($A130="","",IF(OR(O130="",O130&lt;=4),"🔵 Até 4h",IF(O130&lt;=8,"🟢 Entre 4h e 8h",IF(O130&lt;=12,"🟡 Entre 8h e 12h",IF(O130&lt;=24,"🟠 Entre 12h e 24h","🔴 Maior que 24h")))))</f>
        <v/>
      </c>
      <c r="R130" s="1" t="str">
        <f t="shared" ref="R130:R193" si="18">IF($A130="","",IF(OR(O130="",O130&lt;=8),"NO PRAZO","FORA DO PRAZO"))</f>
        <v/>
      </c>
      <c r="S130" s="1" t="str">
        <f>IF($A130="","",COUNTIF($N$2:N130,$N130))</f>
        <v/>
      </c>
      <c r="T130" s="1" t="str">
        <f t="shared" ref="T130:T193" si="19">IF($A130="","",IF($N130="SLN MA",1,IF($N130="GIGA+ MA",2,IF($N130="GIGA+ PI",3,IF($N130="SLN PA",4,IF($N130="ADX",5,6))))))</f>
        <v/>
      </c>
      <c r="U130" s="1" t="str">
        <f t="shared" ref="U130:U193" si="20">IF($A130="","",$T130*10000+$S130)</f>
        <v/>
      </c>
      <c r="V130"/>
    </row>
    <row r="131" spans="13:22" x14ac:dyDescent="0.3">
      <c r="M131" s="1" t="str">
        <f t="shared" si="14"/>
        <v/>
      </c>
      <c r="N131" s="1" t="str">
        <f t="shared" si="15"/>
        <v/>
      </c>
      <c r="O131" s="1" t="str">
        <f ca="1">IF(F131="","",IF(INT(F131)=INT(NOW()),IF(NETWORKDAYS.INTL(F131,F131,1,FERIADOS!$A$2:$A$50)=0,0,MAX(0,(MIN(NOW(),INT(NOW())+18/24)-MAX(F131,INT(F131)+8/24)))*24),MAX(0,(INT(F131)+18/24-MAX(F131,INT(F131)+8/24)))*24*NETWORKDAYS.INTL(F131,F131,1,FERIADOS!$A$2:$A$50)+MAX(0,NETWORKDAYS.INTL(F131+1,NOW()-1,1,FERIADOS!$A$2:$A$50))*10+MAX(0,(MIN(NOW(),INT(NOW())+18/24)-(INT(NOW())+8/24)))*24*NETWORKDAYS.INTL(NOW(),NOW(),1,FERIADOS!$A$2:$A$50)))</f>
        <v/>
      </c>
      <c r="P131" s="1" t="str">
        <f t="shared" si="16"/>
        <v/>
      </c>
      <c r="Q131" s="1" t="str">
        <f t="shared" si="17"/>
        <v/>
      </c>
      <c r="R131" s="1" t="str">
        <f t="shared" si="18"/>
        <v/>
      </c>
      <c r="S131" s="1" t="str">
        <f>IF($A131="","",COUNTIF($N$2:N131,$N131))</f>
        <v/>
      </c>
      <c r="T131" s="1" t="str">
        <f t="shared" si="19"/>
        <v/>
      </c>
      <c r="U131" s="1" t="str">
        <f t="shared" si="20"/>
        <v/>
      </c>
      <c r="V131"/>
    </row>
    <row r="132" spans="13:22" x14ac:dyDescent="0.3">
      <c r="M132" s="1" t="str">
        <f t="shared" si="14"/>
        <v/>
      </c>
      <c r="N132" s="1" t="str">
        <f t="shared" si="15"/>
        <v/>
      </c>
      <c r="O132" s="1" t="str">
        <f ca="1">IF(F132="","",IF(INT(F132)=INT(NOW()),IF(NETWORKDAYS.INTL(F132,F132,1,FERIADOS!$A$2:$A$50)=0,0,MAX(0,(MIN(NOW(),INT(NOW())+18/24)-MAX(F132,INT(F132)+8/24)))*24),MAX(0,(INT(F132)+18/24-MAX(F132,INT(F132)+8/24)))*24*NETWORKDAYS.INTL(F132,F132,1,FERIADOS!$A$2:$A$50)+MAX(0,NETWORKDAYS.INTL(F132+1,NOW()-1,1,FERIADOS!$A$2:$A$50))*10+MAX(0,(MIN(NOW(),INT(NOW())+18/24)-(INT(NOW())+8/24)))*24*NETWORKDAYS.INTL(NOW(),NOW(),1,FERIADOS!$A$2:$A$50)))</f>
        <v/>
      </c>
      <c r="P132" s="1" t="str">
        <f t="shared" si="16"/>
        <v/>
      </c>
      <c r="Q132" s="1" t="str">
        <f t="shared" si="17"/>
        <v/>
      </c>
      <c r="R132" s="1" t="str">
        <f t="shared" si="18"/>
        <v/>
      </c>
      <c r="S132" s="1" t="str">
        <f>IF($A132="","",COUNTIF($N$2:N132,$N132))</f>
        <v/>
      </c>
      <c r="T132" s="1" t="str">
        <f t="shared" si="19"/>
        <v/>
      </c>
      <c r="U132" s="1" t="str">
        <f t="shared" si="20"/>
        <v/>
      </c>
      <c r="V132"/>
    </row>
    <row r="133" spans="13:22" x14ac:dyDescent="0.3">
      <c r="M133" s="1" t="str">
        <f t="shared" si="14"/>
        <v/>
      </c>
      <c r="N133" s="1" t="str">
        <f t="shared" si="15"/>
        <v/>
      </c>
      <c r="O133" s="1" t="str">
        <f ca="1">IF(F133="","",IF(INT(F133)=INT(NOW()),IF(NETWORKDAYS.INTL(F133,F133,1,FERIADOS!$A$2:$A$50)=0,0,MAX(0,(MIN(NOW(),INT(NOW())+18/24)-MAX(F133,INT(F133)+8/24)))*24),MAX(0,(INT(F133)+18/24-MAX(F133,INT(F133)+8/24)))*24*NETWORKDAYS.INTL(F133,F133,1,FERIADOS!$A$2:$A$50)+MAX(0,NETWORKDAYS.INTL(F133+1,NOW()-1,1,FERIADOS!$A$2:$A$50))*10+MAX(0,(MIN(NOW(),INT(NOW())+18/24)-(INT(NOW())+8/24)))*24*NETWORKDAYS.INTL(NOW(),NOW(),1,FERIADOS!$A$2:$A$50)))</f>
        <v/>
      </c>
      <c r="P133" s="1" t="str">
        <f t="shared" si="16"/>
        <v/>
      </c>
      <c r="Q133" s="1" t="str">
        <f t="shared" si="17"/>
        <v/>
      </c>
      <c r="R133" s="1" t="str">
        <f t="shared" si="18"/>
        <v/>
      </c>
      <c r="S133" s="1" t="str">
        <f>IF($A133="","",COUNTIF($N$2:N133,$N133))</f>
        <v/>
      </c>
      <c r="T133" s="1" t="str">
        <f t="shared" si="19"/>
        <v/>
      </c>
      <c r="U133" s="1" t="str">
        <f t="shared" si="20"/>
        <v/>
      </c>
      <c r="V133"/>
    </row>
    <row r="134" spans="13:22" x14ac:dyDescent="0.3">
      <c r="M134" s="1" t="str">
        <f t="shared" si="14"/>
        <v/>
      </c>
      <c r="N134" s="1" t="str">
        <f t="shared" si="15"/>
        <v/>
      </c>
      <c r="O134" s="1" t="str">
        <f ca="1">IF(F134="","",IF(INT(F134)=INT(NOW()),IF(NETWORKDAYS.INTL(F134,F134,1,FERIADOS!$A$2:$A$50)=0,0,MAX(0,(MIN(NOW(),INT(NOW())+18/24)-MAX(F134,INT(F134)+8/24)))*24),MAX(0,(INT(F134)+18/24-MAX(F134,INT(F134)+8/24)))*24*NETWORKDAYS.INTL(F134,F134,1,FERIADOS!$A$2:$A$50)+MAX(0,NETWORKDAYS.INTL(F134+1,NOW()-1,1,FERIADOS!$A$2:$A$50))*10+MAX(0,(MIN(NOW(),INT(NOW())+18/24)-(INT(NOW())+8/24)))*24*NETWORKDAYS.INTL(NOW(),NOW(),1,FERIADOS!$A$2:$A$50)))</f>
        <v/>
      </c>
      <c r="P134" s="1" t="str">
        <f t="shared" si="16"/>
        <v/>
      </c>
      <c r="Q134" s="1" t="str">
        <f t="shared" si="17"/>
        <v/>
      </c>
      <c r="R134" s="1" t="str">
        <f t="shared" si="18"/>
        <v/>
      </c>
      <c r="S134" s="1" t="str">
        <f>IF($A134="","",COUNTIF($N$2:N134,$N134))</f>
        <v/>
      </c>
      <c r="T134" s="1" t="str">
        <f t="shared" si="19"/>
        <v/>
      </c>
      <c r="U134" s="1" t="str">
        <f t="shared" si="20"/>
        <v/>
      </c>
      <c r="V134"/>
    </row>
    <row r="135" spans="13:22" x14ac:dyDescent="0.3">
      <c r="M135" s="1" t="str">
        <f t="shared" si="14"/>
        <v/>
      </c>
      <c r="N135" s="1" t="str">
        <f t="shared" si="15"/>
        <v/>
      </c>
      <c r="O135" s="1" t="str">
        <f ca="1">IF(F135="","",IF(INT(F135)=INT(NOW()),IF(NETWORKDAYS.INTL(F135,F135,1,FERIADOS!$A$2:$A$50)=0,0,MAX(0,(MIN(NOW(),INT(NOW())+18/24)-MAX(F135,INT(F135)+8/24)))*24),MAX(0,(INT(F135)+18/24-MAX(F135,INT(F135)+8/24)))*24*NETWORKDAYS.INTL(F135,F135,1,FERIADOS!$A$2:$A$50)+MAX(0,NETWORKDAYS.INTL(F135+1,NOW()-1,1,FERIADOS!$A$2:$A$50))*10+MAX(0,(MIN(NOW(),INT(NOW())+18/24)-(INT(NOW())+8/24)))*24*NETWORKDAYS.INTL(NOW(),NOW(),1,FERIADOS!$A$2:$A$50)))</f>
        <v/>
      </c>
      <c r="P135" s="1" t="str">
        <f t="shared" si="16"/>
        <v/>
      </c>
      <c r="Q135" s="1" t="str">
        <f t="shared" si="17"/>
        <v/>
      </c>
      <c r="R135" s="1" t="str">
        <f t="shared" si="18"/>
        <v/>
      </c>
      <c r="S135" s="1" t="str">
        <f>IF($A135="","",COUNTIF($N$2:N135,$N135))</f>
        <v/>
      </c>
      <c r="T135" s="1" t="str">
        <f t="shared" si="19"/>
        <v/>
      </c>
      <c r="U135" s="1" t="str">
        <f t="shared" si="20"/>
        <v/>
      </c>
      <c r="V135"/>
    </row>
    <row r="136" spans="13:22" x14ac:dyDescent="0.3">
      <c r="M136" s="1" t="str">
        <f t="shared" si="14"/>
        <v/>
      </c>
      <c r="N136" s="1" t="str">
        <f t="shared" si="15"/>
        <v/>
      </c>
      <c r="O136" s="1" t="str">
        <f ca="1">IF(F136="","",IF(INT(F136)=INT(NOW()),IF(NETWORKDAYS.INTL(F136,F136,1,FERIADOS!$A$2:$A$50)=0,0,MAX(0,(MIN(NOW(),INT(NOW())+18/24)-MAX(F136,INT(F136)+8/24)))*24),MAX(0,(INT(F136)+18/24-MAX(F136,INT(F136)+8/24)))*24*NETWORKDAYS.INTL(F136,F136,1,FERIADOS!$A$2:$A$50)+MAX(0,NETWORKDAYS.INTL(F136+1,NOW()-1,1,FERIADOS!$A$2:$A$50))*10+MAX(0,(MIN(NOW(),INT(NOW())+18/24)-(INT(NOW())+8/24)))*24*NETWORKDAYS.INTL(NOW(),NOW(),1,FERIADOS!$A$2:$A$50)))</f>
        <v/>
      </c>
      <c r="P136" s="1" t="str">
        <f t="shared" si="16"/>
        <v/>
      </c>
      <c r="Q136" s="1" t="str">
        <f t="shared" si="17"/>
        <v/>
      </c>
      <c r="R136" s="1" t="str">
        <f t="shared" si="18"/>
        <v/>
      </c>
      <c r="S136" s="1" t="str">
        <f>IF($A136="","",COUNTIF($N$2:N136,$N136))</f>
        <v/>
      </c>
      <c r="T136" s="1" t="str">
        <f t="shared" si="19"/>
        <v/>
      </c>
      <c r="U136" s="1" t="str">
        <f t="shared" si="20"/>
        <v/>
      </c>
      <c r="V136"/>
    </row>
    <row r="137" spans="13:22" x14ac:dyDescent="0.3">
      <c r="M137" s="1" t="str">
        <f t="shared" si="14"/>
        <v/>
      </c>
      <c r="N137" s="1" t="str">
        <f t="shared" si="15"/>
        <v/>
      </c>
      <c r="O137" s="1" t="str">
        <f ca="1">IF(F137="","",IF(INT(F137)=INT(NOW()),IF(NETWORKDAYS.INTL(F137,F137,1,FERIADOS!$A$2:$A$50)=0,0,MAX(0,(MIN(NOW(),INT(NOW())+18/24)-MAX(F137,INT(F137)+8/24)))*24),MAX(0,(INT(F137)+18/24-MAX(F137,INT(F137)+8/24)))*24*NETWORKDAYS.INTL(F137,F137,1,FERIADOS!$A$2:$A$50)+MAX(0,NETWORKDAYS.INTL(F137+1,NOW()-1,1,FERIADOS!$A$2:$A$50))*10+MAX(0,(MIN(NOW(),INT(NOW())+18/24)-(INT(NOW())+8/24)))*24*NETWORKDAYS.INTL(NOW(),NOW(),1,FERIADOS!$A$2:$A$50)))</f>
        <v/>
      </c>
      <c r="P137" s="1" t="str">
        <f t="shared" si="16"/>
        <v/>
      </c>
      <c r="Q137" s="1" t="str">
        <f t="shared" si="17"/>
        <v/>
      </c>
      <c r="R137" s="1" t="str">
        <f t="shared" si="18"/>
        <v/>
      </c>
      <c r="S137" s="1" t="str">
        <f>IF($A137="","",COUNTIF($N$2:N137,$N137))</f>
        <v/>
      </c>
      <c r="T137" s="1" t="str">
        <f t="shared" si="19"/>
        <v/>
      </c>
      <c r="U137" s="1" t="str">
        <f t="shared" si="20"/>
        <v/>
      </c>
      <c r="V137"/>
    </row>
    <row r="138" spans="13:22" x14ac:dyDescent="0.3">
      <c r="M138" s="1" t="str">
        <f t="shared" si="14"/>
        <v/>
      </c>
      <c r="N138" s="1" t="str">
        <f t="shared" si="15"/>
        <v/>
      </c>
      <c r="O138" s="1" t="str">
        <f ca="1">IF(F138="","",IF(INT(F138)=INT(NOW()),IF(NETWORKDAYS.INTL(F138,F138,1,FERIADOS!$A$2:$A$50)=0,0,MAX(0,(MIN(NOW(),INT(NOW())+18/24)-MAX(F138,INT(F138)+8/24)))*24),MAX(0,(INT(F138)+18/24-MAX(F138,INT(F138)+8/24)))*24*NETWORKDAYS.INTL(F138,F138,1,FERIADOS!$A$2:$A$50)+MAX(0,NETWORKDAYS.INTL(F138+1,NOW()-1,1,FERIADOS!$A$2:$A$50))*10+MAX(0,(MIN(NOW(),INT(NOW())+18/24)-(INT(NOW())+8/24)))*24*NETWORKDAYS.INTL(NOW(),NOW(),1,FERIADOS!$A$2:$A$50)))</f>
        <v/>
      </c>
      <c r="P138" s="1" t="str">
        <f t="shared" si="16"/>
        <v/>
      </c>
      <c r="Q138" s="1" t="str">
        <f t="shared" si="17"/>
        <v/>
      </c>
      <c r="R138" s="1" t="str">
        <f t="shared" si="18"/>
        <v/>
      </c>
      <c r="S138" s="1" t="str">
        <f>IF($A138="","",COUNTIF($N$2:N138,$N138))</f>
        <v/>
      </c>
      <c r="T138" s="1" t="str">
        <f t="shared" si="19"/>
        <v/>
      </c>
      <c r="U138" s="1" t="str">
        <f t="shared" si="20"/>
        <v/>
      </c>
      <c r="V138"/>
    </row>
    <row r="139" spans="13:22" x14ac:dyDescent="0.3">
      <c r="M139" s="1" t="str">
        <f t="shared" si="14"/>
        <v/>
      </c>
      <c r="N139" s="1" t="str">
        <f t="shared" si="15"/>
        <v/>
      </c>
      <c r="O139" s="1" t="str">
        <f ca="1">IF(F139="","",IF(INT(F139)=INT(NOW()),IF(NETWORKDAYS.INTL(F139,F139,1,FERIADOS!$A$2:$A$50)=0,0,MAX(0,(MIN(NOW(),INT(NOW())+18/24)-MAX(F139,INT(F139)+8/24)))*24),MAX(0,(INT(F139)+18/24-MAX(F139,INT(F139)+8/24)))*24*NETWORKDAYS.INTL(F139,F139,1,FERIADOS!$A$2:$A$50)+MAX(0,NETWORKDAYS.INTL(F139+1,NOW()-1,1,FERIADOS!$A$2:$A$50))*10+MAX(0,(MIN(NOW(),INT(NOW())+18/24)-(INT(NOW())+8/24)))*24*NETWORKDAYS.INTL(NOW(),NOW(),1,FERIADOS!$A$2:$A$50)))</f>
        <v/>
      </c>
      <c r="P139" s="1" t="str">
        <f t="shared" si="16"/>
        <v/>
      </c>
      <c r="Q139" s="1" t="str">
        <f t="shared" si="17"/>
        <v/>
      </c>
      <c r="R139" s="1" t="str">
        <f t="shared" si="18"/>
        <v/>
      </c>
      <c r="S139" s="1" t="str">
        <f>IF($A139="","",COUNTIF($N$2:N139,$N139))</f>
        <v/>
      </c>
      <c r="T139" s="1" t="str">
        <f t="shared" si="19"/>
        <v/>
      </c>
      <c r="U139" s="1" t="str">
        <f t="shared" si="20"/>
        <v/>
      </c>
      <c r="V139"/>
    </row>
    <row r="140" spans="13:22" x14ac:dyDescent="0.3">
      <c r="M140" s="1" t="str">
        <f t="shared" si="14"/>
        <v/>
      </c>
      <c r="N140" s="1" t="str">
        <f t="shared" si="15"/>
        <v/>
      </c>
      <c r="O140" s="1" t="str">
        <f ca="1">IF(F140="","",IF(INT(F140)=INT(NOW()),IF(NETWORKDAYS.INTL(F140,F140,1,FERIADOS!$A$2:$A$50)=0,0,MAX(0,(MIN(NOW(),INT(NOW())+18/24)-MAX(F140,INT(F140)+8/24)))*24),MAX(0,(INT(F140)+18/24-MAX(F140,INT(F140)+8/24)))*24*NETWORKDAYS.INTL(F140,F140,1,FERIADOS!$A$2:$A$50)+MAX(0,NETWORKDAYS.INTL(F140+1,NOW()-1,1,FERIADOS!$A$2:$A$50))*10+MAX(0,(MIN(NOW(),INT(NOW())+18/24)-(INT(NOW())+8/24)))*24*NETWORKDAYS.INTL(NOW(),NOW(),1,FERIADOS!$A$2:$A$50)))</f>
        <v/>
      </c>
      <c r="P140" s="1" t="str">
        <f t="shared" si="16"/>
        <v/>
      </c>
      <c r="Q140" s="1" t="str">
        <f t="shared" si="17"/>
        <v/>
      </c>
      <c r="R140" s="1" t="str">
        <f t="shared" si="18"/>
        <v/>
      </c>
      <c r="S140" s="1" t="str">
        <f>IF($A140="","",COUNTIF($N$2:N140,$N140))</f>
        <v/>
      </c>
      <c r="T140" s="1" t="str">
        <f t="shared" si="19"/>
        <v/>
      </c>
      <c r="U140" s="1" t="str">
        <f t="shared" si="20"/>
        <v/>
      </c>
      <c r="V140"/>
    </row>
    <row r="141" spans="13:22" x14ac:dyDescent="0.3">
      <c r="M141" s="1" t="str">
        <f t="shared" si="14"/>
        <v/>
      </c>
      <c r="N141" s="1" t="str">
        <f t="shared" si="15"/>
        <v/>
      </c>
      <c r="O141" s="1" t="str">
        <f ca="1">IF(F141="","",IF(INT(F141)=INT(NOW()),IF(NETWORKDAYS.INTL(F141,F141,1,FERIADOS!$A$2:$A$50)=0,0,MAX(0,(MIN(NOW(),INT(NOW())+18/24)-MAX(F141,INT(F141)+8/24)))*24),MAX(0,(INT(F141)+18/24-MAX(F141,INT(F141)+8/24)))*24*NETWORKDAYS.INTL(F141,F141,1,FERIADOS!$A$2:$A$50)+MAX(0,NETWORKDAYS.INTL(F141+1,NOW()-1,1,FERIADOS!$A$2:$A$50))*10+MAX(0,(MIN(NOW(),INT(NOW())+18/24)-(INT(NOW())+8/24)))*24*NETWORKDAYS.INTL(NOW(),NOW(),1,FERIADOS!$A$2:$A$50)))</f>
        <v/>
      </c>
      <c r="P141" s="1" t="str">
        <f t="shared" si="16"/>
        <v/>
      </c>
      <c r="Q141" s="1" t="str">
        <f t="shared" si="17"/>
        <v/>
      </c>
      <c r="R141" s="1" t="str">
        <f t="shared" si="18"/>
        <v/>
      </c>
      <c r="S141" s="1" t="str">
        <f>IF($A141="","",COUNTIF($N$2:N141,$N141))</f>
        <v/>
      </c>
      <c r="T141" s="1" t="str">
        <f t="shared" si="19"/>
        <v/>
      </c>
      <c r="U141" s="1" t="str">
        <f t="shared" si="20"/>
        <v/>
      </c>
      <c r="V141"/>
    </row>
    <row r="142" spans="13:22" x14ac:dyDescent="0.3">
      <c r="M142" s="1" t="str">
        <f t="shared" si="14"/>
        <v/>
      </c>
      <c r="N142" s="1" t="str">
        <f t="shared" si="15"/>
        <v/>
      </c>
      <c r="O142" s="1" t="str">
        <f ca="1">IF(F142="","",IF(INT(F142)=INT(NOW()),IF(NETWORKDAYS.INTL(F142,F142,1,FERIADOS!$A$2:$A$50)=0,0,MAX(0,(MIN(NOW(),INT(NOW())+18/24)-MAX(F142,INT(F142)+8/24)))*24),MAX(0,(INT(F142)+18/24-MAX(F142,INT(F142)+8/24)))*24*NETWORKDAYS.INTL(F142,F142,1,FERIADOS!$A$2:$A$50)+MAX(0,NETWORKDAYS.INTL(F142+1,NOW()-1,1,FERIADOS!$A$2:$A$50))*10+MAX(0,(MIN(NOW(),INT(NOW())+18/24)-(INT(NOW())+8/24)))*24*NETWORKDAYS.INTL(NOW(),NOW(),1,FERIADOS!$A$2:$A$50)))</f>
        <v/>
      </c>
      <c r="P142" s="1" t="str">
        <f t="shared" si="16"/>
        <v/>
      </c>
      <c r="Q142" s="1" t="str">
        <f t="shared" si="17"/>
        <v/>
      </c>
      <c r="R142" s="1" t="str">
        <f t="shared" si="18"/>
        <v/>
      </c>
      <c r="S142" s="1" t="str">
        <f>IF($A142="","",COUNTIF($N$2:N142,$N142))</f>
        <v/>
      </c>
      <c r="T142" s="1" t="str">
        <f t="shared" si="19"/>
        <v/>
      </c>
      <c r="U142" s="1" t="str">
        <f t="shared" si="20"/>
        <v/>
      </c>
      <c r="V142"/>
    </row>
    <row r="143" spans="13:22" x14ac:dyDescent="0.3">
      <c r="M143" s="1" t="str">
        <f t="shared" si="14"/>
        <v/>
      </c>
      <c r="N143" s="1" t="str">
        <f t="shared" si="15"/>
        <v/>
      </c>
      <c r="O143" s="1" t="str">
        <f ca="1">IF(F143="","",IF(INT(F143)=INT(NOW()),IF(NETWORKDAYS.INTL(F143,F143,1,FERIADOS!$A$2:$A$50)=0,0,MAX(0,(MIN(NOW(),INT(NOW())+18/24)-MAX(F143,INT(F143)+8/24)))*24),MAX(0,(INT(F143)+18/24-MAX(F143,INT(F143)+8/24)))*24*NETWORKDAYS.INTL(F143,F143,1,FERIADOS!$A$2:$A$50)+MAX(0,NETWORKDAYS.INTL(F143+1,NOW()-1,1,FERIADOS!$A$2:$A$50))*10+MAX(0,(MIN(NOW(),INT(NOW())+18/24)-(INT(NOW())+8/24)))*24*NETWORKDAYS.INTL(NOW(),NOW(),1,FERIADOS!$A$2:$A$50)))</f>
        <v/>
      </c>
      <c r="P143" s="1" t="str">
        <f t="shared" si="16"/>
        <v/>
      </c>
      <c r="Q143" s="1" t="str">
        <f t="shared" si="17"/>
        <v/>
      </c>
      <c r="R143" s="1" t="str">
        <f t="shared" si="18"/>
        <v/>
      </c>
      <c r="S143" s="1" t="str">
        <f>IF($A143="","",COUNTIF($N$2:N143,$N143))</f>
        <v/>
      </c>
      <c r="T143" s="1" t="str">
        <f t="shared" si="19"/>
        <v/>
      </c>
      <c r="U143" s="1" t="str">
        <f t="shared" si="20"/>
        <v/>
      </c>
      <c r="V143"/>
    </row>
    <row r="144" spans="13:22" x14ac:dyDescent="0.3">
      <c r="M144" s="1" t="str">
        <f t="shared" si="14"/>
        <v/>
      </c>
      <c r="N144" s="1" t="str">
        <f t="shared" si="15"/>
        <v/>
      </c>
      <c r="O144" s="1" t="str">
        <f ca="1">IF(F144="","",IF(INT(F144)=INT(NOW()),IF(NETWORKDAYS.INTL(F144,F144,1,FERIADOS!$A$2:$A$50)=0,0,MAX(0,(MIN(NOW(),INT(NOW())+18/24)-MAX(F144,INT(F144)+8/24)))*24),MAX(0,(INT(F144)+18/24-MAX(F144,INT(F144)+8/24)))*24*NETWORKDAYS.INTL(F144,F144,1,FERIADOS!$A$2:$A$50)+MAX(0,NETWORKDAYS.INTL(F144+1,NOW()-1,1,FERIADOS!$A$2:$A$50))*10+MAX(0,(MIN(NOW(),INT(NOW())+18/24)-(INT(NOW())+8/24)))*24*NETWORKDAYS.INTL(NOW(),NOW(),1,FERIADOS!$A$2:$A$50)))</f>
        <v/>
      </c>
      <c r="P144" s="1" t="str">
        <f t="shared" si="16"/>
        <v/>
      </c>
      <c r="Q144" s="1" t="str">
        <f t="shared" si="17"/>
        <v/>
      </c>
      <c r="R144" s="1" t="str">
        <f t="shared" si="18"/>
        <v/>
      </c>
      <c r="S144" s="1" t="str">
        <f>IF($A144="","",COUNTIF($N$2:N144,$N144))</f>
        <v/>
      </c>
      <c r="T144" s="1" t="str">
        <f t="shared" si="19"/>
        <v/>
      </c>
      <c r="U144" s="1" t="str">
        <f t="shared" si="20"/>
        <v/>
      </c>
      <c r="V144"/>
    </row>
    <row r="145" spans="13:22" x14ac:dyDescent="0.3">
      <c r="M145" s="1" t="str">
        <f t="shared" si="14"/>
        <v/>
      </c>
      <c r="N145" s="1" t="str">
        <f t="shared" si="15"/>
        <v/>
      </c>
      <c r="O145" s="1" t="str">
        <f ca="1">IF(F145="","",IF(INT(F145)=INT(NOW()),IF(NETWORKDAYS.INTL(F145,F145,1,FERIADOS!$A$2:$A$50)=0,0,MAX(0,(MIN(NOW(),INT(NOW())+18/24)-MAX(F145,INT(F145)+8/24)))*24),MAX(0,(INT(F145)+18/24-MAX(F145,INT(F145)+8/24)))*24*NETWORKDAYS.INTL(F145,F145,1,FERIADOS!$A$2:$A$50)+MAX(0,NETWORKDAYS.INTL(F145+1,NOW()-1,1,FERIADOS!$A$2:$A$50))*10+MAX(0,(MIN(NOW(),INT(NOW())+18/24)-(INT(NOW())+8/24)))*24*NETWORKDAYS.INTL(NOW(),NOW(),1,FERIADOS!$A$2:$A$50)))</f>
        <v/>
      </c>
      <c r="P145" s="1" t="str">
        <f t="shared" si="16"/>
        <v/>
      </c>
      <c r="Q145" s="1" t="str">
        <f t="shared" si="17"/>
        <v/>
      </c>
      <c r="R145" s="1" t="str">
        <f t="shared" si="18"/>
        <v/>
      </c>
      <c r="S145" s="1" t="str">
        <f>IF($A145="","",COUNTIF($N$2:N145,$N145))</f>
        <v/>
      </c>
      <c r="T145" s="1" t="str">
        <f t="shared" si="19"/>
        <v/>
      </c>
      <c r="U145" s="1" t="str">
        <f t="shared" si="20"/>
        <v/>
      </c>
      <c r="V145"/>
    </row>
    <row r="146" spans="13:22" x14ac:dyDescent="0.3">
      <c r="M146" s="1" t="str">
        <f t="shared" si="14"/>
        <v/>
      </c>
      <c r="N146" s="1" t="str">
        <f t="shared" si="15"/>
        <v/>
      </c>
      <c r="O146" s="1" t="str">
        <f ca="1">IF(F146="","",IF(INT(F146)=INT(NOW()),IF(NETWORKDAYS.INTL(F146,F146,1,FERIADOS!$A$2:$A$50)=0,0,MAX(0,(MIN(NOW(),INT(NOW())+18/24)-MAX(F146,INT(F146)+8/24)))*24),MAX(0,(INT(F146)+18/24-MAX(F146,INT(F146)+8/24)))*24*NETWORKDAYS.INTL(F146,F146,1,FERIADOS!$A$2:$A$50)+MAX(0,NETWORKDAYS.INTL(F146+1,NOW()-1,1,FERIADOS!$A$2:$A$50))*10+MAX(0,(MIN(NOW(),INT(NOW())+18/24)-(INT(NOW())+8/24)))*24*NETWORKDAYS.INTL(NOW(),NOW(),1,FERIADOS!$A$2:$A$50)))</f>
        <v/>
      </c>
      <c r="P146" s="1" t="str">
        <f t="shared" si="16"/>
        <v/>
      </c>
      <c r="Q146" s="1" t="str">
        <f t="shared" si="17"/>
        <v/>
      </c>
      <c r="R146" s="1" t="str">
        <f t="shared" si="18"/>
        <v/>
      </c>
      <c r="S146" s="1" t="str">
        <f>IF($A146="","",COUNTIF($N$2:N146,$N146))</f>
        <v/>
      </c>
      <c r="T146" s="1" t="str">
        <f t="shared" si="19"/>
        <v/>
      </c>
      <c r="U146" s="1" t="str">
        <f t="shared" si="20"/>
        <v/>
      </c>
      <c r="V146"/>
    </row>
    <row r="147" spans="13:22" x14ac:dyDescent="0.3">
      <c r="M147" s="1" t="str">
        <f t="shared" si="14"/>
        <v/>
      </c>
      <c r="N147" s="1" t="str">
        <f t="shared" si="15"/>
        <v/>
      </c>
      <c r="O147" s="1" t="str">
        <f ca="1">IF(F147="","",IF(INT(F147)=INT(NOW()),IF(NETWORKDAYS.INTL(F147,F147,1,FERIADOS!$A$2:$A$50)=0,0,MAX(0,(MIN(NOW(),INT(NOW())+18/24)-MAX(F147,INT(F147)+8/24)))*24),MAX(0,(INT(F147)+18/24-MAX(F147,INT(F147)+8/24)))*24*NETWORKDAYS.INTL(F147,F147,1,FERIADOS!$A$2:$A$50)+MAX(0,NETWORKDAYS.INTL(F147+1,NOW()-1,1,FERIADOS!$A$2:$A$50))*10+MAX(0,(MIN(NOW(),INT(NOW())+18/24)-(INT(NOW())+8/24)))*24*NETWORKDAYS.INTL(NOW(),NOW(),1,FERIADOS!$A$2:$A$50)))</f>
        <v/>
      </c>
      <c r="P147" s="1" t="str">
        <f t="shared" si="16"/>
        <v/>
      </c>
      <c r="Q147" s="1" t="str">
        <f t="shared" si="17"/>
        <v/>
      </c>
      <c r="R147" s="1" t="str">
        <f t="shared" si="18"/>
        <v/>
      </c>
      <c r="S147" s="1" t="str">
        <f>IF($A147="","",COUNTIF($N$2:N147,$N147))</f>
        <v/>
      </c>
      <c r="T147" s="1" t="str">
        <f t="shared" si="19"/>
        <v/>
      </c>
      <c r="U147" s="1" t="str">
        <f t="shared" si="20"/>
        <v/>
      </c>
      <c r="V147"/>
    </row>
    <row r="148" spans="13:22" x14ac:dyDescent="0.3">
      <c r="M148" s="1" t="str">
        <f t="shared" si="14"/>
        <v/>
      </c>
      <c r="N148" s="1" t="str">
        <f t="shared" si="15"/>
        <v/>
      </c>
      <c r="O148" s="1" t="str">
        <f ca="1">IF(F148="","",IF(INT(F148)=INT(NOW()),IF(NETWORKDAYS.INTL(F148,F148,1,FERIADOS!$A$2:$A$50)=0,0,MAX(0,(MIN(NOW(),INT(NOW())+18/24)-MAX(F148,INT(F148)+8/24)))*24),MAX(0,(INT(F148)+18/24-MAX(F148,INT(F148)+8/24)))*24*NETWORKDAYS.INTL(F148,F148,1,FERIADOS!$A$2:$A$50)+MAX(0,NETWORKDAYS.INTL(F148+1,NOW()-1,1,FERIADOS!$A$2:$A$50))*10+MAX(0,(MIN(NOW(),INT(NOW())+18/24)-(INT(NOW())+8/24)))*24*NETWORKDAYS.INTL(NOW(),NOW(),1,FERIADOS!$A$2:$A$50)))</f>
        <v/>
      </c>
      <c r="P148" s="1" t="str">
        <f t="shared" si="16"/>
        <v/>
      </c>
      <c r="Q148" s="1" t="str">
        <f t="shared" si="17"/>
        <v/>
      </c>
      <c r="R148" s="1" t="str">
        <f t="shared" si="18"/>
        <v/>
      </c>
      <c r="S148" s="1" t="str">
        <f>IF($A148="","",COUNTIF($N$2:N148,$N148))</f>
        <v/>
      </c>
      <c r="T148" s="1" t="str">
        <f t="shared" si="19"/>
        <v/>
      </c>
      <c r="U148" s="1" t="str">
        <f t="shared" si="20"/>
        <v/>
      </c>
      <c r="V148"/>
    </row>
    <row r="149" spans="13:22" x14ac:dyDescent="0.3">
      <c r="M149" s="1" t="str">
        <f t="shared" si="14"/>
        <v/>
      </c>
      <c r="N149" s="1" t="str">
        <f t="shared" si="15"/>
        <v/>
      </c>
      <c r="O149" s="1" t="str">
        <f ca="1">IF(F149="","",IF(INT(F149)=INT(NOW()),IF(NETWORKDAYS.INTL(F149,F149,1,FERIADOS!$A$2:$A$50)=0,0,MAX(0,(MIN(NOW(),INT(NOW())+18/24)-MAX(F149,INT(F149)+8/24)))*24),MAX(0,(INT(F149)+18/24-MAX(F149,INT(F149)+8/24)))*24*NETWORKDAYS.INTL(F149,F149,1,FERIADOS!$A$2:$A$50)+MAX(0,NETWORKDAYS.INTL(F149+1,NOW()-1,1,FERIADOS!$A$2:$A$50))*10+MAX(0,(MIN(NOW(),INT(NOW())+18/24)-(INT(NOW())+8/24)))*24*NETWORKDAYS.INTL(NOW(),NOW(),1,FERIADOS!$A$2:$A$50)))</f>
        <v/>
      </c>
      <c r="P149" s="1" t="str">
        <f t="shared" si="16"/>
        <v/>
      </c>
      <c r="Q149" s="1" t="str">
        <f t="shared" si="17"/>
        <v/>
      </c>
      <c r="R149" s="1" t="str">
        <f t="shared" si="18"/>
        <v/>
      </c>
      <c r="S149" s="1" t="str">
        <f>IF($A149="","",COUNTIF($N$2:N149,$N149))</f>
        <v/>
      </c>
      <c r="T149" s="1" t="str">
        <f t="shared" si="19"/>
        <v/>
      </c>
      <c r="U149" s="1" t="str">
        <f t="shared" si="20"/>
        <v/>
      </c>
      <c r="V149"/>
    </row>
    <row r="150" spans="13:22" x14ac:dyDescent="0.3">
      <c r="M150" s="1" t="str">
        <f t="shared" si="14"/>
        <v/>
      </c>
      <c r="N150" s="1" t="str">
        <f t="shared" si="15"/>
        <v/>
      </c>
      <c r="O150" s="1" t="str">
        <f ca="1">IF(F150="","",IF(INT(F150)=INT(NOW()),IF(NETWORKDAYS.INTL(F150,F150,1,FERIADOS!$A$2:$A$50)=0,0,MAX(0,(MIN(NOW(),INT(NOW())+18/24)-MAX(F150,INT(F150)+8/24)))*24),MAX(0,(INT(F150)+18/24-MAX(F150,INT(F150)+8/24)))*24*NETWORKDAYS.INTL(F150,F150,1,FERIADOS!$A$2:$A$50)+MAX(0,NETWORKDAYS.INTL(F150+1,NOW()-1,1,FERIADOS!$A$2:$A$50))*10+MAX(0,(MIN(NOW(),INT(NOW())+18/24)-(INT(NOW())+8/24)))*24*NETWORKDAYS.INTL(NOW(),NOW(),1,FERIADOS!$A$2:$A$50)))</f>
        <v/>
      </c>
      <c r="P150" s="1" t="str">
        <f t="shared" si="16"/>
        <v/>
      </c>
      <c r="Q150" s="1" t="str">
        <f t="shared" si="17"/>
        <v/>
      </c>
      <c r="R150" s="1" t="str">
        <f t="shared" si="18"/>
        <v/>
      </c>
      <c r="S150" s="1" t="str">
        <f>IF($A150="","",COUNTIF($N$2:N150,$N150))</f>
        <v/>
      </c>
      <c r="T150" s="1" t="str">
        <f t="shared" si="19"/>
        <v/>
      </c>
      <c r="U150" s="1" t="str">
        <f t="shared" si="20"/>
        <v/>
      </c>
      <c r="V150"/>
    </row>
    <row r="151" spans="13:22" x14ac:dyDescent="0.3">
      <c r="M151" s="1" t="str">
        <f t="shared" si="14"/>
        <v/>
      </c>
      <c r="N151" s="1" t="str">
        <f t="shared" si="15"/>
        <v/>
      </c>
      <c r="O151" s="1" t="str">
        <f ca="1">IF(F151="","",IF(INT(F151)=INT(NOW()),IF(NETWORKDAYS.INTL(F151,F151,1,FERIADOS!$A$2:$A$50)=0,0,MAX(0,(MIN(NOW(),INT(NOW())+18/24)-MAX(F151,INT(F151)+8/24)))*24),MAX(0,(INT(F151)+18/24-MAX(F151,INT(F151)+8/24)))*24*NETWORKDAYS.INTL(F151,F151,1,FERIADOS!$A$2:$A$50)+MAX(0,NETWORKDAYS.INTL(F151+1,NOW()-1,1,FERIADOS!$A$2:$A$50))*10+MAX(0,(MIN(NOW(),INT(NOW())+18/24)-(INT(NOW())+8/24)))*24*NETWORKDAYS.INTL(NOW(),NOW(),1,FERIADOS!$A$2:$A$50)))</f>
        <v/>
      </c>
      <c r="P151" s="1" t="str">
        <f t="shared" si="16"/>
        <v/>
      </c>
      <c r="Q151" s="1" t="str">
        <f t="shared" si="17"/>
        <v/>
      </c>
      <c r="R151" s="1" t="str">
        <f t="shared" si="18"/>
        <v/>
      </c>
      <c r="S151" s="1" t="str">
        <f>IF($A151="","",COUNTIF($N$2:N151,$N151))</f>
        <v/>
      </c>
      <c r="T151" s="1" t="str">
        <f t="shared" si="19"/>
        <v/>
      </c>
      <c r="U151" s="1" t="str">
        <f t="shared" si="20"/>
        <v/>
      </c>
      <c r="V151"/>
    </row>
    <row r="152" spans="13:22" x14ac:dyDescent="0.3">
      <c r="M152" s="1" t="str">
        <f t="shared" si="14"/>
        <v/>
      </c>
      <c r="N152" s="1" t="str">
        <f t="shared" si="15"/>
        <v/>
      </c>
      <c r="O152" s="1" t="str">
        <f ca="1">IF(F152="","",IF(INT(F152)=INT(NOW()),IF(NETWORKDAYS.INTL(F152,F152,1,FERIADOS!$A$2:$A$50)=0,0,MAX(0,(MIN(NOW(),INT(NOW())+18/24)-MAX(F152,INT(F152)+8/24)))*24),MAX(0,(INT(F152)+18/24-MAX(F152,INT(F152)+8/24)))*24*NETWORKDAYS.INTL(F152,F152,1,FERIADOS!$A$2:$A$50)+MAX(0,NETWORKDAYS.INTL(F152+1,NOW()-1,1,FERIADOS!$A$2:$A$50))*10+MAX(0,(MIN(NOW(),INT(NOW())+18/24)-(INT(NOW())+8/24)))*24*NETWORKDAYS.INTL(NOW(),NOW(),1,FERIADOS!$A$2:$A$50)))</f>
        <v/>
      </c>
      <c r="P152" s="1" t="str">
        <f t="shared" si="16"/>
        <v/>
      </c>
      <c r="Q152" s="1" t="str">
        <f t="shared" si="17"/>
        <v/>
      </c>
      <c r="R152" s="1" t="str">
        <f t="shared" si="18"/>
        <v/>
      </c>
      <c r="S152" s="1" t="str">
        <f>IF($A152="","",COUNTIF($N$2:N152,$N152))</f>
        <v/>
      </c>
      <c r="T152" s="1" t="str">
        <f t="shared" si="19"/>
        <v/>
      </c>
      <c r="U152" s="1" t="str">
        <f t="shared" si="20"/>
        <v/>
      </c>
      <c r="V152"/>
    </row>
    <row r="153" spans="13:22" x14ac:dyDescent="0.3">
      <c r="M153" s="1" t="str">
        <f t="shared" si="14"/>
        <v/>
      </c>
      <c r="N153" s="1" t="str">
        <f t="shared" si="15"/>
        <v/>
      </c>
      <c r="O153" s="1" t="str">
        <f ca="1">IF(F153="","",IF(INT(F153)=INT(NOW()),IF(NETWORKDAYS.INTL(F153,F153,1,FERIADOS!$A$2:$A$50)=0,0,MAX(0,(MIN(NOW(),INT(NOW())+18/24)-MAX(F153,INT(F153)+8/24)))*24),MAX(0,(INT(F153)+18/24-MAX(F153,INT(F153)+8/24)))*24*NETWORKDAYS.INTL(F153,F153,1,FERIADOS!$A$2:$A$50)+MAX(0,NETWORKDAYS.INTL(F153+1,NOW()-1,1,FERIADOS!$A$2:$A$50))*10+MAX(0,(MIN(NOW(),INT(NOW())+18/24)-(INT(NOW())+8/24)))*24*NETWORKDAYS.INTL(NOW(),NOW(),1,FERIADOS!$A$2:$A$50)))</f>
        <v/>
      </c>
      <c r="P153" s="1" t="str">
        <f t="shared" si="16"/>
        <v/>
      </c>
      <c r="Q153" s="1" t="str">
        <f t="shared" si="17"/>
        <v/>
      </c>
      <c r="R153" s="1" t="str">
        <f t="shared" si="18"/>
        <v/>
      </c>
      <c r="S153" s="1" t="str">
        <f>IF($A153="","",COUNTIF($N$2:N153,$N153))</f>
        <v/>
      </c>
      <c r="T153" s="1" t="str">
        <f t="shared" si="19"/>
        <v/>
      </c>
      <c r="U153" s="1" t="str">
        <f t="shared" si="20"/>
        <v/>
      </c>
      <c r="V153"/>
    </row>
    <row r="154" spans="13:22" x14ac:dyDescent="0.3">
      <c r="M154" s="1" t="str">
        <f t="shared" si="14"/>
        <v/>
      </c>
      <c r="N154" s="1" t="str">
        <f t="shared" si="15"/>
        <v/>
      </c>
      <c r="O154" s="1" t="str">
        <f ca="1">IF(F154="","",IF(INT(F154)=INT(NOW()),IF(NETWORKDAYS.INTL(F154,F154,1,FERIADOS!$A$2:$A$50)=0,0,MAX(0,(MIN(NOW(),INT(NOW())+18/24)-MAX(F154,INT(F154)+8/24)))*24),MAX(0,(INT(F154)+18/24-MAX(F154,INT(F154)+8/24)))*24*NETWORKDAYS.INTL(F154,F154,1,FERIADOS!$A$2:$A$50)+MAX(0,NETWORKDAYS.INTL(F154+1,NOW()-1,1,FERIADOS!$A$2:$A$50))*10+MAX(0,(MIN(NOW(),INT(NOW())+18/24)-(INT(NOW())+8/24)))*24*NETWORKDAYS.INTL(NOW(),NOW(),1,FERIADOS!$A$2:$A$50)))</f>
        <v/>
      </c>
      <c r="P154" s="1" t="str">
        <f t="shared" si="16"/>
        <v/>
      </c>
      <c r="Q154" s="1" t="str">
        <f t="shared" si="17"/>
        <v/>
      </c>
      <c r="R154" s="1" t="str">
        <f t="shared" si="18"/>
        <v/>
      </c>
      <c r="S154" s="1" t="str">
        <f>IF($A154="","",COUNTIF($N$2:N154,$N154))</f>
        <v/>
      </c>
      <c r="T154" s="1" t="str">
        <f t="shared" si="19"/>
        <v/>
      </c>
      <c r="U154" s="1" t="str">
        <f t="shared" si="20"/>
        <v/>
      </c>
      <c r="V154"/>
    </row>
    <row r="155" spans="13:22" x14ac:dyDescent="0.3">
      <c r="M155" s="1" t="str">
        <f t="shared" si="14"/>
        <v/>
      </c>
      <c r="N155" s="1" t="str">
        <f t="shared" si="15"/>
        <v/>
      </c>
      <c r="O155" s="1" t="str">
        <f ca="1">IF(F155="","",IF(INT(F155)=INT(NOW()),IF(NETWORKDAYS.INTL(F155,F155,1,FERIADOS!$A$2:$A$50)=0,0,MAX(0,(MIN(NOW(),INT(NOW())+18/24)-MAX(F155,INT(F155)+8/24)))*24),MAX(0,(INT(F155)+18/24-MAX(F155,INT(F155)+8/24)))*24*NETWORKDAYS.INTL(F155,F155,1,FERIADOS!$A$2:$A$50)+MAX(0,NETWORKDAYS.INTL(F155+1,NOW()-1,1,FERIADOS!$A$2:$A$50))*10+MAX(0,(MIN(NOW(),INT(NOW())+18/24)-(INT(NOW())+8/24)))*24*NETWORKDAYS.INTL(NOW(),NOW(),1,FERIADOS!$A$2:$A$50)))</f>
        <v/>
      </c>
      <c r="P155" s="1" t="str">
        <f t="shared" si="16"/>
        <v/>
      </c>
      <c r="Q155" s="1" t="str">
        <f t="shared" si="17"/>
        <v/>
      </c>
      <c r="R155" s="1" t="str">
        <f t="shared" si="18"/>
        <v/>
      </c>
      <c r="S155" s="1" t="str">
        <f>IF($A155="","",COUNTIF($N$2:N155,$N155))</f>
        <v/>
      </c>
      <c r="T155" s="1" t="str">
        <f t="shared" si="19"/>
        <v/>
      </c>
      <c r="U155" s="1" t="str">
        <f t="shared" si="20"/>
        <v/>
      </c>
      <c r="V155"/>
    </row>
    <row r="156" spans="13:22" x14ac:dyDescent="0.3">
      <c r="M156" s="1" t="str">
        <f t="shared" si="14"/>
        <v/>
      </c>
      <c r="N156" s="1" t="str">
        <f t="shared" si="15"/>
        <v/>
      </c>
      <c r="O156" s="1" t="str">
        <f ca="1">IF(F156="","",IF(INT(F156)=INT(NOW()),IF(NETWORKDAYS.INTL(F156,F156,1,FERIADOS!$A$2:$A$50)=0,0,MAX(0,(MIN(NOW(),INT(NOW())+18/24)-MAX(F156,INT(F156)+8/24)))*24),MAX(0,(INT(F156)+18/24-MAX(F156,INT(F156)+8/24)))*24*NETWORKDAYS.INTL(F156,F156,1,FERIADOS!$A$2:$A$50)+MAX(0,NETWORKDAYS.INTL(F156+1,NOW()-1,1,FERIADOS!$A$2:$A$50))*10+MAX(0,(MIN(NOW(),INT(NOW())+18/24)-(INT(NOW())+8/24)))*24*NETWORKDAYS.INTL(NOW(),NOW(),1,FERIADOS!$A$2:$A$50)))</f>
        <v/>
      </c>
      <c r="P156" s="1" t="str">
        <f t="shared" si="16"/>
        <v/>
      </c>
      <c r="Q156" s="1" t="str">
        <f t="shared" si="17"/>
        <v/>
      </c>
      <c r="R156" s="1" t="str">
        <f t="shared" si="18"/>
        <v/>
      </c>
      <c r="S156" s="1" t="str">
        <f>IF($A156="","",COUNTIF($N$2:N156,$N156))</f>
        <v/>
      </c>
      <c r="T156" s="1" t="str">
        <f t="shared" si="19"/>
        <v/>
      </c>
      <c r="U156" s="1" t="str">
        <f t="shared" si="20"/>
        <v/>
      </c>
      <c r="V156"/>
    </row>
    <row r="157" spans="13:22" x14ac:dyDescent="0.3">
      <c r="M157" s="1" t="str">
        <f t="shared" si="14"/>
        <v/>
      </c>
      <c r="N157" s="1" t="str">
        <f t="shared" si="15"/>
        <v/>
      </c>
      <c r="O157" s="1" t="str">
        <f ca="1">IF(F157="","",IF(INT(F157)=INT(NOW()),IF(NETWORKDAYS.INTL(F157,F157,1,FERIADOS!$A$2:$A$50)=0,0,MAX(0,(MIN(NOW(),INT(NOW())+18/24)-MAX(F157,INT(F157)+8/24)))*24),MAX(0,(INT(F157)+18/24-MAX(F157,INT(F157)+8/24)))*24*NETWORKDAYS.INTL(F157,F157,1,FERIADOS!$A$2:$A$50)+MAX(0,NETWORKDAYS.INTL(F157+1,NOW()-1,1,FERIADOS!$A$2:$A$50))*10+MAX(0,(MIN(NOW(),INT(NOW())+18/24)-(INT(NOW())+8/24)))*24*NETWORKDAYS.INTL(NOW(),NOW(),1,FERIADOS!$A$2:$A$50)))</f>
        <v/>
      </c>
      <c r="P157" s="1" t="str">
        <f t="shared" si="16"/>
        <v/>
      </c>
      <c r="Q157" s="1" t="str">
        <f t="shared" si="17"/>
        <v/>
      </c>
      <c r="R157" s="1" t="str">
        <f t="shared" si="18"/>
        <v/>
      </c>
      <c r="S157" s="1" t="str">
        <f>IF($A157="","",COUNTIF($N$2:N157,$N157))</f>
        <v/>
      </c>
      <c r="T157" s="1" t="str">
        <f t="shared" si="19"/>
        <v/>
      </c>
      <c r="U157" s="1" t="str">
        <f t="shared" si="20"/>
        <v/>
      </c>
      <c r="V157"/>
    </row>
    <row r="158" spans="13:22" x14ac:dyDescent="0.3">
      <c r="M158" s="1" t="str">
        <f t="shared" si="14"/>
        <v/>
      </c>
      <c r="N158" s="1" t="str">
        <f t="shared" si="15"/>
        <v/>
      </c>
      <c r="O158" s="1" t="str">
        <f ca="1">IF(F158="","",IF(INT(F158)=INT(NOW()),IF(NETWORKDAYS.INTL(F158,F158,1,FERIADOS!$A$2:$A$50)=0,0,MAX(0,(MIN(NOW(),INT(NOW())+18/24)-MAX(F158,INT(F158)+8/24)))*24),MAX(0,(INT(F158)+18/24-MAX(F158,INT(F158)+8/24)))*24*NETWORKDAYS.INTL(F158,F158,1,FERIADOS!$A$2:$A$50)+MAX(0,NETWORKDAYS.INTL(F158+1,NOW()-1,1,FERIADOS!$A$2:$A$50))*10+MAX(0,(MIN(NOW(),INT(NOW())+18/24)-(INT(NOW())+8/24)))*24*NETWORKDAYS.INTL(NOW(),NOW(),1,FERIADOS!$A$2:$A$50)))</f>
        <v/>
      </c>
      <c r="P158" s="1" t="str">
        <f t="shared" si="16"/>
        <v/>
      </c>
      <c r="Q158" s="1" t="str">
        <f t="shared" si="17"/>
        <v/>
      </c>
      <c r="R158" s="1" t="str">
        <f t="shared" si="18"/>
        <v/>
      </c>
      <c r="S158" s="1" t="str">
        <f>IF($A158="","",COUNTIF($N$2:N158,$N158))</f>
        <v/>
      </c>
      <c r="T158" s="1" t="str">
        <f t="shared" si="19"/>
        <v/>
      </c>
      <c r="U158" s="1" t="str">
        <f t="shared" si="20"/>
        <v/>
      </c>
      <c r="V158"/>
    </row>
    <row r="159" spans="13:22" x14ac:dyDescent="0.3">
      <c r="M159" s="1" t="str">
        <f t="shared" si="14"/>
        <v/>
      </c>
      <c r="N159" s="1" t="str">
        <f t="shared" si="15"/>
        <v/>
      </c>
      <c r="O159" s="1" t="str">
        <f ca="1">IF(F159="","",IF(INT(F159)=INT(NOW()),IF(NETWORKDAYS.INTL(F159,F159,1,FERIADOS!$A$2:$A$50)=0,0,MAX(0,(MIN(NOW(),INT(NOW())+18/24)-MAX(F159,INT(F159)+8/24)))*24),MAX(0,(INT(F159)+18/24-MAX(F159,INT(F159)+8/24)))*24*NETWORKDAYS.INTL(F159,F159,1,FERIADOS!$A$2:$A$50)+MAX(0,NETWORKDAYS.INTL(F159+1,NOW()-1,1,FERIADOS!$A$2:$A$50))*10+MAX(0,(MIN(NOW(),INT(NOW())+18/24)-(INT(NOW())+8/24)))*24*NETWORKDAYS.INTL(NOW(),NOW(),1,FERIADOS!$A$2:$A$50)))</f>
        <v/>
      </c>
      <c r="P159" s="1" t="str">
        <f t="shared" si="16"/>
        <v/>
      </c>
      <c r="Q159" s="1" t="str">
        <f t="shared" si="17"/>
        <v/>
      </c>
      <c r="R159" s="1" t="str">
        <f t="shared" si="18"/>
        <v/>
      </c>
      <c r="S159" s="1" t="str">
        <f>IF($A159="","",COUNTIF($N$2:N159,$N159))</f>
        <v/>
      </c>
      <c r="T159" s="1" t="str">
        <f t="shared" si="19"/>
        <v/>
      </c>
      <c r="U159" s="1" t="str">
        <f t="shared" si="20"/>
        <v/>
      </c>
      <c r="V159"/>
    </row>
    <row r="160" spans="13:22" x14ac:dyDescent="0.3">
      <c r="M160" s="1" t="str">
        <f t="shared" si="14"/>
        <v/>
      </c>
      <c r="N160" s="1" t="str">
        <f t="shared" si="15"/>
        <v/>
      </c>
      <c r="O160" s="1" t="str">
        <f ca="1">IF(F160="","",IF(INT(F160)=INT(NOW()),IF(NETWORKDAYS.INTL(F160,F160,1,FERIADOS!$A$2:$A$50)=0,0,MAX(0,(MIN(NOW(),INT(NOW())+18/24)-MAX(F160,INT(F160)+8/24)))*24),MAX(0,(INT(F160)+18/24-MAX(F160,INT(F160)+8/24)))*24*NETWORKDAYS.INTL(F160,F160,1,FERIADOS!$A$2:$A$50)+MAX(0,NETWORKDAYS.INTL(F160+1,NOW()-1,1,FERIADOS!$A$2:$A$50))*10+MAX(0,(MIN(NOW(),INT(NOW())+18/24)-(INT(NOW())+8/24)))*24*NETWORKDAYS.INTL(NOW(),NOW(),1,FERIADOS!$A$2:$A$50)))</f>
        <v/>
      </c>
      <c r="P160" s="1" t="str">
        <f t="shared" si="16"/>
        <v/>
      </c>
      <c r="Q160" s="1" t="str">
        <f t="shared" si="17"/>
        <v/>
      </c>
      <c r="R160" s="1" t="str">
        <f t="shared" si="18"/>
        <v/>
      </c>
      <c r="S160" s="1" t="str">
        <f>IF($A160="","",COUNTIF($N$2:N160,$N160))</f>
        <v/>
      </c>
      <c r="T160" s="1" t="str">
        <f t="shared" si="19"/>
        <v/>
      </c>
      <c r="U160" s="1" t="str">
        <f t="shared" si="20"/>
        <v/>
      </c>
      <c r="V160"/>
    </row>
    <row r="161" spans="13:22" x14ac:dyDescent="0.3">
      <c r="M161" s="1" t="str">
        <f t="shared" si="14"/>
        <v/>
      </c>
      <c r="N161" s="1" t="str">
        <f t="shared" si="15"/>
        <v/>
      </c>
      <c r="O161" s="1" t="str">
        <f ca="1">IF(F161="","",IF(INT(F161)=INT(NOW()),IF(NETWORKDAYS.INTL(F161,F161,1,FERIADOS!$A$2:$A$50)=0,0,MAX(0,(MIN(NOW(),INT(NOW())+18/24)-MAX(F161,INT(F161)+8/24)))*24),MAX(0,(INT(F161)+18/24-MAX(F161,INT(F161)+8/24)))*24*NETWORKDAYS.INTL(F161,F161,1,FERIADOS!$A$2:$A$50)+MAX(0,NETWORKDAYS.INTL(F161+1,NOW()-1,1,FERIADOS!$A$2:$A$50))*10+MAX(0,(MIN(NOW(),INT(NOW())+18/24)-(INT(NOW())+8/24)))*24*NETWORKDAYS.INTL(NOW(),NOW(),1,FERIADOS!$A$2:$A$50)))</f>
        <v/>
      </c>
      <c r="P161" s="1" t="str">
        <f t="shared" si="16"/>
        <v/>
      </c>
      <c r="Q161" s="1" t="str">
        <f t="shared" si="17"/>
        <v/>
      </c>
      <c r="R161" s="1" t="str">
        <f t="shared" si="18"/>
        <v/>
      </c>
      <c r="S161" s="1" t="str">
        <f>IF($A161="","",COUNTIF($N$2:N161,$N161))</f>
        <v/>
      </c>
      <c r="T161" s="1" t="str">
        <f t="shared" si="19"/>
        <v/>
      </c>
      <c r="U161" s="1" t="str">
        <f t="shared" si="20"/>
        <v/>
      </c>
      <c r="V161"/>
    </row>
    <row r="162" spans="13:22" x14ac:dyDescent="0.3">
      <c r="M162" s="1" t="str">
        <f t="shared" si="14"/>
        <v/>
      </c>
      <c r="N162" s="1" t="str">
        <f t="shared" si="15"/>
        <v/>
      </c>
      <c r="O162" s="1" t="str">
        <f ca="1">IF(F162="","",IF(INT(F162)=INT(NOW()),IF(NETWORKDAYS.INTL(F162,F162,1,FERIADOS!$A$2:$A$50)=0,0,MAX(0,(MIN(NOW(),INT(NOW())+18/24)-MAX(F162,INT(F162)+8/24)))*24),MAX(0,(INT(F162)+18/24-MAX(F162,INT(F162)+8/24)))*24*NETWORKDAYS.INTL(F162,F162,1,FERIADOS!$A$2:$A$50)+MAX(0,NETWORKDAYS.INTL(F162+1,NOW()-1,1,FERIADOS!$A$2:$A$50))*10+MAX(0,(MIN(NOW(),INT(NOW())+18/24)-(INT(NOW())+8/24)))*24*NETWORKDAYS.INTL(NOW(),NOW(),1,FERIADOS!$A$2:$A$50)))</f>
        <v/>
      </c>
      <c r="P162" s="1" t="str">
        <f t="shared" si="16"/>
        <v/>
      </c>
      <c r="Q162" s="1" t="str">
        <f t="shared" si="17"/>
        <v/>
      </c>
      <c r="R162" s="1" t="str">
        <f t="shared" si="18"/>
        <v/>
      </c>
      <c r="S162" s="1" t="str">
        <f>IF($A162="","",COUNTIF($N$2:N162,$N162))</f>
        <v/>
      </c>
      <c r="T162" s="1" t="str">
        <f t="shared" si="19"/>
        <v/>
      </c>
      <c r="U162" s="1" t="str">
        <f t="shared" si="20"/>
        <v/>
      </c>
      <c r="V162"/>
    </row>
    <row r="163" spans="13:22" x14ac:dyDescent="0.3">
      <c r="M163" s="1" t="str">
        <f t="shared" si="14"/>
        <v/>
      </c>
      <c r="N163" s="1" t="str">
        <f t="shared" si="15"/>
        <v/>
      </c>
      <c r="O163" s="1" t="str">
        <f ca="1">IF(F163="","",IF(INT(F163)=INT(NOW()),IF(NETWORKDAYS.INTL(F163,F163,1,FERIADOS!$A$2:$A$50)=0,0,MAX(0,(MIN(NOW(),INT(NOW())+18/24)-MAX(F163,INT(F163)+8/24)))*24),MAX(0,(INT(F163)+18/24-MAX(F163,INT(F163)+8/24)))*24*NETWORKDAYS.INTL(F163,F163,1,FERIADOS!$A$2:$A$50)+MAX(0,NETWORKDAYS.INTL(F163+1,NOW()-1,1,FERIADOS!$A$2:$A$50))*10+MAX(0,(MIN(NOW(),INT(NOW())+18/24)-(INT(NOW())+8/24)))*24*NETWORKDAYS.INTL(NOW(),NOW(),1,FERIADOS!$A$2:$A$50)))</f>
        <v/>
      </c>
      <c r="P163" s="1" t="str">
        <f t="shared" si="16"/>
        <v/>
      </c>
      <c r="Q163" s="1" t="str">
        <f t="shared" si="17"/>
        <v/>
      </c>
      <c r="R163" s="1" t="str">
        <f t="shared" si="18"/>
        <v/>
      </c>
      <c r="S163" s="1" t="str">
        <f>IF($A163="","",COUNTIF($N$2:N163,$N163))</f>
        <v/>
      </c>
      <c r="T163" s="1" t="str">
        <f t="shared" si="19"/>
        <v/>
      </c>
      <c r="U163" s="1" t="str">
        <f t="shared" si="20"/>
        <v/>
      </c>
      <c r="V163"/>
    </row>
    <row r="164" spans="13:22" x14ac:dyDescent="0.3">
      <c r="M164" s="1" t="str">
        <f t="shared" si="14"/>
        <v/>
      </c>
      <c r="N164" s="1" t="str">
        <f t="shared" si="15"/>
        <v/>
      </c>
      <c r="O164" s="1" t="str">
        <f ca="1">IF(F164="","",IF(INT(F164)=INT(NOW()),IF(NETWORKDAYS.INTL(F164,F164,1,FERIADOS!$A$2:$A$50)=0,0,MAX(0,(MIN(NOW(),INT(NOW())+18/24)-MAX(F164,INT(F164)+8/24)))*24),MAX(0,(INT(F164)+18/24-MAX(F164,INT(F164)+8/24)))*24*NETWORKDAYS.INTL(F164,F164,1,FERIADOS!$A$2:$A$50)+MAX(0,NETWORKDAYS.INTL(F164+1,NOW()-1,1,FERIADOS!$A$2:$A$50))*10+MAX(0,(MIN(NOW(),INT(NOW())+18/24)-(INT(NOW())+8/24)))*24*NETWORKDAYS.INTL(NOW(),NOW(),1,FERIADOS!$A$2:$A$50)))</f>
        <v/>
      </c>
      <c r="P164" s="1" t="str">
        <f t="shared" si="16"/>
        <v/>
      </c>
      <c r="Q164" s="1" t="str">
        <f t="shared" si="17"/>
        <v/>
      </c>
      <c r="R164" s="1" t="str">
        <f t="shared" si="18"/>
        <v/>
      </c>
      <c r="S164" s="1" t="str">
        <f>IF($A164="","",COUNTIF($N$2:N164,$N164))</f>
        <v/>
      </c>
      <c r="T164" s="1" t="str">
        <f t="shared" si="19"/>
        <v/>
      </c>
      <c r="U164" s="1" t="str">
        <f t="shared" si="20"/>
        <v/>
      </c>
      <c r="V164"/>
    </row>
    <row r="165" spans="13:22" x14ac:dyDescent="0.3">
      <c r="M165" s="1" t="str">
        <f t="shared" si="14"/>
        <v/>
      </c>
      <c r="N165" s="1" t="str">
        <f t="shared" si="15"/>
        <v/>
      </c>
      <c r="O165" s="1" t="str">
        <f ca="1">IF(F165="","",IF(INT(F165)=INT(NOW()),IF(NETWORKDAYS.INTL(F165,F165,1,FERIADOS!$A$2:$A$50)=0,0,MAX(0,(MIN(NOW(),INT(NOW())+18/24)-MAX(F165,INT(F165)+8/24)))*24),MAX(0,(INT(F165)+18/24-MAX(F165,INT(F165)+8/24)))*24*NETWORKDAYS.INTL(F165,F165,1,FERIADOS!$A$2:$A$50)+MAX(0,NETWORKDAYS.INTL(F165+1,NOW()-1,1,FERIADOS!$A$2:$A$50))*10+MAX(0,(MIN(NOW(),INT(NOW())+18/24)-(INT(NOW())+8/24)))*24*NETWORKDAYS.INTL(NOW(),NOW(),1,FERIADOS!$A$2:$A$50)))</f>
        <v/>
      </c>
      <c r="P165" s="1" t="str">
        <f t="shared" si="16"/>
        <v/>
      </c>
      <c r="Q165" s="1" t="str">
        <f t="shared" si="17"/>
        <v/>
      </c>
      <c r="R165" s="1" t="str">
        <f t="shared" si="18"/>
        <v/>
      </c>
      <c r="S165" s="1" t="str">
        <f>IF($A165="","",COUNTIF($N$2:N165,$N165))</f>
        <v/>
      </c>
      <c r="T165" s="1" t="str">
        <f t="shared" si="19"/>
        <v/>
      </c>
      <c r="U165" s="1" t="str">
        <f t="shared" si="20"/>
        <v/>
      </c>
      <c r="V165"/>
    </row>
    <row r="166" spans="13:22" x14ac:dyDescent="0.3">
      <c r="M166" s="1" t="str">
        <f t="shared" si="14"/>
        <v/>
      </c>
      <c r="N166" s="1" t="str">
        <f t="shared" si="15"/>
        <v/>
      </c>
      <c r="O166" s="1" t="str">
        <f ca="1">IF(F166="","",IF(INT(F166)=INT(NOW()),IF(NETWORKDAYS.INTL(F166,F166,1,FERIADOS!$A$2:$A$50)=0,0,MAX(0,(MIN(NOW(),INT(NOW())+18/24)-MAX(F166,INT(F166)+8/24)))*24),MAX(0,(INT(F166)+18/24-MAX(F166,INT(F166)+8/24)))*24*NETWORKDAYS.INTL(F166,F166,1,FERIADOS!$A$2:$A$50)+MAX(0,NETWORKDAYS.INTL(F166+1,NOW()-1,1,FERIADOS!$A$2:$A$50))*10+MAX(0,(MIN(NOW(),INT(NOW())+18/24)-(INT(NOW())+8/24)))*24*NETWORKDAYS.INTL(NOW(),NOW(),1,FERIADOS!$A$2:$A$50)))</f>
        <v/>
      </c>
      <c r="P166" s="1" t="str">
        <f t="shared" si="16"/>
        <v/>
      </c>
      <c r="Q166" s="1" t="str">
        <f t="shared" si="17"/>
        <v/>
      </c>
      <c r="R166" s="1" t="str">
        <f t="shared" si="18"/>
        <v/>
      </c>
      <c r="S166" s="1" t="str">
        <f>IF($A166="","",COUNTIF($N$2:N166,$N166))</f>
        <v/>
      </c>
      <c r="T166" s="1" t="str">
        <f t="shared" si="19"/>
        <v/>
      </c>
      <c r="U166" s="1" t="str">
        <f t="shared" si="20"/>
        <v/>
      </c>
      <c r="V166"/>
    </row>
    <row r="167" spans="13:22" x14ac:dyDescent="0.3">
      <c r="M167" s="1" t="str">
        <f t="shared" si="14"/>
        <v/>
      </c>
      <c r="N167" s="1" t="str">
        <f t="shared" si="15"/>
        <v/>
      </c>
      <c r="O167" s="1" t="str">
        <f ca="1">IF(F167="","",IF(INT(F167)=INT(NOW()),IF(NETWORKDAYS.INTL(F167,F167,1,FERIADOS!$A$2:$A$50)=0,0,MAX(0,(MIN(NOW(),INT(NOW())+18/24)-MAX(F167,INT(F167)+8/24)))*24),MAX(0,(INT(F167)+18/24-MAX(F167,INT(F167)+8/24)))*24*NETWORKDAYS.INTL(F167,F167,1,FERIADOS!$A$2:$A$50)+MAX(0,NETWORKDAYS.INTL(F167+1,NOW()-1,1,FERIADOS!$A$2:$A$50))*10+MAX(0,(MIN(NOW(),INT(NOW())+18/24)-(INT(NOW())+8/24)))*24*NETWORKDAYS.INTL(NOW(),NOW(),1,FERIADOS!$A$2:$A$50)))</f>
        <v/>
      </c>
      <c r="P167" s="1" t="str">
        <f t="shared" si="16"/>
        <v/>
      </c>
      <c r="Q167" s="1" t="str">
        <f t="shared" si="17"/>
        <v/>
      </c>
      <c r="R167" s="1" t="str">
        <f t="shared" si="18"/>
        <v/>
      </c>
      <c r="S167" s="1" t="str">
        <f>IF($A167="","",COUNTIF($N$2:N167,$N167))</f>
        <v/>
      </c>
      <c r="T167" s="1" t="str">
        <f t="shared" si="19"/>
        <v/>
      </c>
      <c r="U167" s="1" t="str">
        <f t="shared" si="20"/>
        <v/>
      </c>
      <c r="V167"/>
    </row>
    <row r="168" spans="13:22" x14ac:dyDescent="0.3">
      <c r="M168" s="1" t="str">
        <f t="shared" si="14"/>
        <v/>
      </c>
      <c r="N168" s="1" t="str">
        <f t="shared" si="15"/>
        <v/>
      </c>
      <c r="O168" s="1" t="str">
        <f ca="1">IF(F168="","",IF(INT(F168)=INT(NOW()),IF(NETWORKDAYS.INTL(F168,F168,1,FERIADOS!$A$2:$A$50)=0,0,MAX(0,(MIN(NOW(),INT(NOW())+18/24)-MAX(F168,INT(F168)+8/24)))*24),MAX(0,(INT(F168)+18/24-MAX(F168,INT(F168)+8/24)))*24*NETWORKDAYS.INTL(F168,F168,1,FERIADOS!$A$2:$A$50)+MAX(0,NETWORKDAYS.INTL(F168+1,NOW()-1,1,FERIADOS!$A$2:$A$50))*10+MAX(0,(MIN(NOW(),INT(NOW())+18/24)-(INT(NOW())+8/24)))*24*NETWORKDAYS.INTL(NOW(),NOW(),1,FERIADOS!$A$2:$A$50)))</f>
        <v/>
      </c>
      <c r="P168" s="1" t="str">
        <f t="shared" si="16"/>
        <v/>
      </c>
      <c r="Q168" s="1" t="str">
        <f t="shared" si="17"/>
        <v/>
      </c>
      <c r="R168" s="1" t="str">
        <f t="shared" si="18"/>
        <v/>
      </c>
      <c r="S168" s="1" t="str">
        <f>IF($A168="","",COUNTIF($N$2:N168,$N168))</f>
        <v/>
      </c>
      <c r="T168" s="1" t="str">
        <f t="shared" si="19"/>
        <v/>
      </c>
      <c r="U168" s="1" t="str">
        <f t="shared" si="20"/>
        <v/>
      </c>
      <c r="V168"/>
    </row>
    <row r="169" spans="13:22" x14ac:dyDescent="0.3">
      <c r="M169" s="1" t="str">
        <f t="shared" si="14"/>
        <v/>
      </c>
      <c r="N169" s="1" t="str">
        <f t="shared" si="15"/>
        <v/>
      </c>
      <c r="O169" s="1" t="str">
        <f ca="1">IF(F169="","",IF(INT(F169)=INT(NOW()),IF(NETWORKDAYS.INTL(F169,F169,1,FERIADOS!$A$2:$A$50)=0,0,MAX(0,(MIN(NOW(),INT(NOW())+18/24)-MAX(F169,INT(F169)+8/24)))*24),MAX(0,(INT(F169)+18/24-MAX(F169,INT(F169)+8/24)))*24*NETWORKDAYS.INTL(F169,F169,1,FERIADOS!$A$2:$A$50)+MAX(0,NETWORKDAYS.INTL(F169+1,NOW()-1,1,FERIADOS!$A$2:$A$50))*10+MAX(0,(MIN(NOW(),INT(NOW())+18/24)-(INT(NOW())+8/24)))*24*NETWORKDAYS.INTL(NOW(),NOW(),1,FERIADOS!$A$2:$A$50)))</f>
        <v/>
      </c>
      <c r="P169" s="1" t="str">
        <f t="shared" si="16"/>
        <v/>
      </c>
      <c r="Q169" s="1" t="str">
        <f t="shared" si="17"/>
        <v/>
      </c>
      <c r="R169" s="1" t="str">
        <f t="shared" si="18"/>
        <v/>
      </c>
      <c r="S169" s="1" t="str">
        <f>IF($A169="","",COUNTIF($N$2:N169,$N169))</f>
        <v/>
      </c>
      <c r="T169" s="1" t="str">
        <f t="shared" si="19"/>
        <v/>
      </c>
      <c r="U169" s="1" t="str">
        <f t="shared" si="20"/>
        <v/>
      </c>
      <c r="V169"/>
    </row>
    <row r="170" spans="13:22" x14ac:dyDescent="0.3">
      <c r="M170" s="1" t="str">
        <f t="shared" si="14"/>
        <v/>
      </c>
      <c r="N170" s="1" t="str">
        <f t="shared" si="15"/>
        <v/>
      </c>
      <c r="O170" s="1" t="str">
        <f ca="1">IF(F170="","",IF(INT(F170)=INT(NOW()),IF(NETWORKDAYS.INTL(F170,F170,1,FERIADOS!$A$2:$A$50)=0,0,MAX(0,(MIN(NOW(),INT(NOW())+18/24)-MAX(F170,INT(F170)+8/24)))*24),MAX(0,(INT(F170)+18/24-MAX(F170,INT(F170)+8/24)))*24*NETWORKDAYS.INTL(F170,F170,1,FERIADOS!$A$2:$A$50)+MAX(0,NETWORKDAYS.INTL(F170+1,NOW()-1,1,FERIADOS!$A$2:$A$50))*10+MAX(0,(MIN(NOW(),INT(NOW())+18/24)-(INT(NOW())+8/24)))*24*NETWORKDAYS.INTL(NOW(),NOW(),1,FERIADOS!$A$2:$A$50)))</f>
        <v/>
      </c>
      <c r="P170" s="1" t="str">
        <f t="shared" si="16"/>
        <v/>
      </c>
      <c r="Q170" s="1" t="str">
        <f t="shared" si="17"/>
        <v/>
      </c>
      <c r="R170" s="1" t="str">
        <f t="shared" si="18"/>
        <v/>
      </c>
      <c r="S170" s="1" t="str">
        <f>IF($A170="","",COUNTIF($N$2:N170,$N170))</f>
        <v/>
      </c>
      <c r="T170" s="1" t="str">
        <f t="shared" si="19"/>
        <v/>
      </c>
      <c r="U170" s="1" t="str">
        <f t="shared" si="20"/>
        <v/>
      </c>
      <c r="V170"/>
    </row>
    <row r="171" spans="13:22" x14ac:dyDescent="0.3">
      <c r="M171" s="1" t="str">
        <f t="shared" si="14"/>
        <v/>
      </c>
      <c r="N171" s="1" t="str">
        <f t="shared" si="15"/>
        <v/>
      </c>
      <c r="O171" s="1" t="str">
        <f ca="1">IF(F171="","",IF(INT(F171)=INT(NOW()),IF(NETWORKDAYS.INTL(F171,F171,1,FERIADOS!$A$2:$A$50)=0,0,MAX(0,(MIN(NOW(),INT(NOW())+18/24)-MAX(F171,INT(F171)+8/24)))*24),MAX(0,(INT(F171)+18/24-MAX(F171,INT(F171)+8/24)))*24*NETWORKDAYS.INTL(F171,F171,1,FERIADOS!$A$2:$A$50)+MAX(0,NETWORKDAYS.INTL(F171+1,NOW()-1,1,FERIADOS!$A$2:$A$50))*10+MAX(0,(MIN(NOW(),INT(NOW())+18/24)-(INT(NOW())+8/24)))*24*NETWORKDAYS.INTL(NOW(),NOW(),1,FERIADOS!$A$2:$A$50)))</f>
        <v/>
      </c>
      <c r="P171" s="1" t="str">
        <f t="shared" si="16"/>
        <v/>
      </c>
      <c r="Q171" s="1" t="str">
        <f t="shared" si="17"/>
        <v/>
      </c>
      <c r="R171" s="1" t="str">
        <f t="shared" si="18"/>
        <v/>
      </c>
      <c r="S171" s="1" t="str">
        <f>IF($A171="","",COUNTIF($N$2:N171,$N171))</f>
        <v/>
      </c>
      <c r="T171" s="1" t="str">
        <f t="shared" si="19"/>
        <v/>
      </c>
      <c r="U171" s="1" t="str">
        <f t="shared" si="20"/>
        <v/>
      </c>
      <c r="V171"/>
    </row>
    <row r="172" spans="13:22" x14ac:dyDescent="0.3">
      <c r="M172" s="1" t="str">
        <f t="shared" si="14"/>
        <v/>
      </c>
      <c r="N172" s="1" t="str">
        <f t="shared" si="15"/>
        <v/>
      </c>
      <c r="O172" s="1" t="str">
        <f ca="1">IF(F172="","",IF(INT(F172)=INT(NOW()),IF(NETWORKDAYS.INTL(F172,F172,1,FERIADOS!$A$2:$A$50)=0,0,MAX(0,(MIN(NOW(),INT(NOW())+18/24)-MAX(F172,INT(F172)+8/24)))*24),MAX(0,(INT(F172)+18/24-MAX(F172,INT(F172)+8/24)))*24*NETWORKDAYS.INTL(F172,F172,1,FERIADOS!$A$2:$A$50)+MAX(0,NETWORKDAYS.INTL(F172+1,NOW()-1,1,FERIADOS!$A$2:$A$50))*10+MAX(0,(MIN(NOW(),INT(NOW())+18/24)-(INT(NOW())+8/24)))*24*NETWORKDAYS.INTL(NOW(),NOW(),1,FERIADOS!$A$2:$A$50)))</f>
        <v/>
      </c>
      <c r="P172" s="1" t="str">
        <f t="shared" si="16"/>
        <v/>
      </c>
      <c r="Q172" s="1" t="str">
        <f t="shared" si="17"/>
        <v/>
      </c>
      <c r="R172" s="1" t="str">
        <f t="shared" si="18"/>
        <v/>
      </c>
      <c r="S172" s="1" t="str">
        <f>IF($A172="","",COUNTIF($N$2:N172,$N172))</f>
        <v/>
      </c>
      <c r="T172" s="1" t="str">
        <f t="shared" si="19"/>
        <v/>
      </c>
      <c r="U172" s="1" t="str">
        <f t="shared" si="20"/>
        <v/>
      </c>
      <c r="V172"/>
    </row>
    <row r="173" spans="13:22" x14ac:dyDescent="0.3">
      <c r="M173" s="1" t="str">
        <f t="shared" si="14"/>
        <v/>
      </c>
      <c r="N173" s="1" t="str">
        <f t="shared" si="15"/>
        <v/>
      </c>
      <c r="O173" s="1" t="str">
        <f ca="1">IF(F173="","",IF(INT(F173)=INT(NOW()),IF(NETWORKDAYS.INTL(F173,F173,1,FERIADOS!$A$2:$A$50)=0,0,MAX(0,(MIN(NOW(),INT(NOW())+18/24)-MAX(F173,INT(F173)+8/24)))*24),MAX(0,(INT(F173)+18/24-MAX(F173,INT(F173)+8/24)))*24*NETWORKDAYS.INTL(F173,F173,1,FERIADOS!$A$2:$A$50)+MAX(0,NETWORKDAYS.INTL(F173+1,NOW()-1,1,FERIADOS!$A$2:$A$50))*10+MAX(0,(MIN(NOW(),INT(NOW())+18/24)-(INT(NOW())+8/24)))*24*NETWORKDAYS.INTL(NOW(),NOW(),1,FERIADOS!$A$2:$A$50)))</f>
        <v/>
      </c>
      <c r="P173" s="1" t="str">
        <f t="shared" si="16"/>
        <v/>
      </c>
      <c r="Q173" s="1" t="str">
        <f t="shared" si="17"/>
        <v/>
      </c>
      <c r="R173" s="1" t="str">
        <f t="shared" si="18"/>
        <v/>
      </c>
      <c r="S173" s="1" t="str">
        <f>IF($A173="","",COUNTIF($N$2:N173,$N173))</f>
        <v/>
      </c>
      <c r="T173" s="1" t="str">
        <f t="shared" si="19"/>
        <v/>
      </c>
      <c r="U173" s="1" t="str">
        <f t="shared" si="20"/>
        <v/>
      </c>
      <c r="V173"/>
    </row>
    <row r="174" spans="13:22" x14ac:dyDescent="0.3">
      <c r="M174" s="1" t="str">
        <f t="shared" si="14"/>
        <v/>
      </c>
      <c r="N174" s="1" t="str">
        <f t="shared" si="15"/>
        <v/>
      </c>
      <c r="O174" s="1" t="str">
        <f ca="1">IF(F174="","",IF(INT(F174)=INT(NOW()),IF(NETWORKDAYS.INTL(F174,F174,1,FERIADOS!$A$2:$A$50)=0,0,MAX(0,(MIN(NOW(),INT(NOW())+18/24)-MAX(F174,INT(F174)+8/24)))*24),MAX(0,(INT(F174)+18/24-MAX(F174,INT(F174)+8/24)))*24*NETWORKDAYS.INTL(F174,F174,1,FERIADOS!$A$2:$A$50)+MAX(0,NETWORKDAYS.INTL(F174+1,NOW()-1,1,FERIADOS!$A$2:$A$50))*10+MAX(0,(MIN(NOW(),INT(NOW())+18/24)-(INT(NOW())+8/24)))*24*NETWORKDAYS.INTL(NOW(),NOW(),1,FERIADOS!$A$2:$A$50)))</f>
        <v/>
      </c>
      <c r="P174" s="1" t="str">
        <f t="shared" si="16"/>
        <v/>
      </c>
      <c r="Q174" s="1" t="str">
        <f t="shared" si="17"/>
        <v/>
      </c>
      <c r="R174" s="1" t="str">
        <f t="shared" si="18"/>
        <v/>
      </c>
      <c r="S174" s="1" t="str">
        <f>IF($A174="","",COUNTIF($N$2:N174,$N174))</f>
        <v/>
      </c>
      <c r="T174" s="1" t="str">
        <f t="shared" si="19"/>
        <v/>
      </c>
      <c r="U174" s="1" t="str">
        <f t="shared" si="20"/>
        <v/>
      </c>
      <c r="V174"/>
    </row>
    <row r="175" spans="13:22" x14ac:dyDescent="0.3">
      <c r="M175" s="1" t="str">
        <f t="shared" si="14"/>
        <v/>
      </c>
      <c r="N175" s="1" t="str">
        <f t="shared" si="15"/>
        <v/>
      </c>
      <c r="O175" s="1" t="str">
        <f ca="1">IF(F175="","",IF(INT(F175)=INT(NOW()),IF(NETWORKDAYS.INTL(F175,F175,1,FERIADOS!$A$2:$A$50)=0,0,MAX(0,(MIN(NOW(),INT(NOW())+18/24)-MAX(F175,INT(F175)+8/24)))*24),MAX(0,(INT(F175)+18/24-MAX(F175,INT(F175)+8/24)))*24*NETWORKDAYS.INTL(F175,F175,1,FERIADOS!$A$2:$A$50)+MAX(0,NETWORKDAYS.INTL(F175+1,NOW()-1,1,FERIADOS!$A$2:$A$50))*10+MAX(0,(MIN(NOW(),INT(NOW())+18/24)-(INT(NOW())+8/24)))*24*NETWORKDAYS.INTL(NOW(),NOW(),1,FERIADOS!$A$2:$A$50)))</f>
        <v/>
      </c>
      <c r="P175" s="1" t="str">
        <f t="shared" si="16"/>
        <v/>
      </c>
      <c r="Q175" s="1" t="str">
        <f t="shared" si="17"/>
        <v/>
      </c>
      <c r="R175" s="1" t="str">
        <f t="shared" si="18"/>
        <v/>
      </c>
      <c r="S175" s="1" t="str">
        <f>IF($A175="","",COUNTIF($N$2:N175,$N175))</f>
        <v/>
      </c>
      <c r="T175" s="1" t="str">
        <f t="shared" si="19"/>
        <v/>
      </c>
      <c r="U175" s="1" t="str">
        <f t="shared" si="20"/>
        <v/>
      </c>
      <c r="V175"/>
    </row>
    <row r="176" spans="13:22" x14ac:dyDescent="0.3">
      <c r="M176" s="1" t="str">
        <f t="shared" si="14"/>
        <v/>
      </c>
      <c r="N176" s="1" t="str">
        <f t="shared" si="15"/>
        <v/>
      </c>
      <c r="O176" s="1" t="str">
        <f ca="1">IF(F176="","",IF(INT(F176)=INT(NOW()),IF(NETWORKDAYS.INTL(F176,F176,1,FERIADOS!$A$2:$A$50)=0,0,MAX(0,(MIN(NOW(),INT(NOW())+18/24)-MAX(F176,INT(F176)+8/24)))*24),MAX(0,(INT(F176)+18/24-MAX(F176,INT(F176)+8/24)))*24*NETWORKDAYS.INTL(F176,F176,1,FERIADOS!$A$2:$A$50)+MAX(0,NETWORKDAYS.INTL(F176+1,NOW()-1,1,FERIADOS!$A$2:$A$50))*10+MAX(0,(MIN(NOW(),INT(NOW())+18/24)-(INT(NOW())+8/24)))*24*NETWORKDAYS.INTL(NOW(),NOW(),1,FERIADOS!$A$2:$A$50)))</f>
        <v/>
      </c>
      <c r="P176" s="1" t="str">
        <f t="shared" si="16"/>
        <v/>
      </c>
      <c r="Q176" s="1" t="str">
        <f t="shared" si="17"/>
        <v/>
      </c>
      <c r="R176" s="1" t="str">
        <f t="shared" si="18"/>
        <v/>
      </c>
      <c r="S176" s="1" t="str">
        <f>IF($A176="","",COUNTIF($N$2:N176,$N176))</f>
        <v/>
      </c>
      <c r="T176" s="1" t="str">
        <f t="shared" si="19"/>
        <v/>
      </c>
      <c r="U176" s="1" t="str">
        <f t="shared" si="20"/>
        <v/>
      </c>
      <c r="V176"/>
    </row>
    <row r="177" spans="13:22" x14ac:dyDescent="0.3">
      <c r="M177" s="1" t="str">
        <f t="shared" si="14"/>
        <v/>
      </c>
      <c r="N177" s="1" t="str">
        <f t="shared" si="15"/>
        <v/>
      </c>
      <c r="O177" s="1" t="str">
        <f ca="1">IF(F177="","",IF(INT(F177)=INT(NOW()),IF(NETWORKDAYS.INTL(F177,F177,1,FERIADOS!$A$2:$A$50)=0,0,MAX(0,(MIN(NOW(),INT(NOW())+18/24)-MAX(F177,INT(F177)+8/24)))*24),MAX(0,(INT(F177)+18/24-MAX(F177,INT(F177)+8/24)))*24*NETWORKDAYS.INTL(F177,F177,1,FERIADOS!$A$2:$A$50)+MAX(0,NETWORKDAYS.INTL(F177+1,NOW()-1,1,FERIADOS!$A$2:$A$50))*10+MAX(0,(MIN(NOW(),INT(NOW())+18/24)-(INT(NOW())+8/24)))*24*NETWORKDAYS.INTL(NOW(),NOW(),1,FERIADOS!$A$2:$A$50)))</f>
        <v/>
      </c>
      <c r="P177" s="1" t="str">
        <f t="shared" si="16"/>
        <v/>
      </c>
      <c r="Q177" s="1" t="str">
        <f t="shared" si="17"/>
        <v/>
      </c>
      <c r="R177" s="1" t="str">
        <f t="shared" si="18"/>
        <v/>
      </c>
      <c r="S177" s="1" t="str">
        <f>IF($A177="","",COUNTIF($N$2:N177,$N177))</f>
        <v/>
      </c>
      <c r="T177" s="1" t="str">
        <f t="shared" si="19"/>
        <v/>
      </c>
      <c r="U177" s="1" t="str">
        <f t="shared" si="20"/>
        <v/>
      </c>
      <c r="V177"/>
    </row>
    <row r="178" spans="13:22" x14ac:dyDescent="0.3">
      <c r="M178" s="1" t="str">
        <f t="shared" si="14"/>
        <v/>
      </c>
      <c r="N178" s="1" t="str">
        <f t="shared" si="15"/>
        <v/>
      </c>
      <c r="O178" s="1" t="str">
        <f ca="1">IF(F178="","",IF(INT(F178)=INT(NOW()),IF(NETWORKDAYS.INTL(F178,F178,1,FERIADOS!$A$2:$A$50)=0,0,MAX(0,(MIN(NOW(),INT(NOW())+18/24)-MAX(F178,INT(F178)+8/24)))*24),MAX(0,(INT(F178)+18/24-MAX(F178,INT(F178)+8/24)))*24*NETWORKDAYS.INTL(F178,F178,1,FERIADOS!$A$2:$A$50)+MAX(0,NETWORKDAYS.INTL(F178+1,NOW()-1,1,FERIADOS!$A$2:$A$50))*10+MAX(0,(MIN(NOW(),INT(NOW())+18/24)-(INT(NOW())+8/24)))*24*NETWORKDAYS.INTL(NOW(),NOW(),1,FERIADOS!$A$2:$A$50)))</f>
        <v/>
      </c>
      <c r="P178" s="1" t="str">
        <f t="shared" si="16"/>
        <v/>
      </c>
      <c r="Q178" s="1" t="str">
        <f t="shared" si="17"/>
        <v/>
      </c>
      <c r="R178" s="1" t="str">
        <f t="shared" si="18"/>
        <v/>
      </c>
      <c r="S178" s="1" t="str">
        <f>IF($A178="","",COUNTIF($N$2:N178,$N178))</f>
        <v/>
      </c>
      <c r="T178" s="1" t="str">
        <f t="shared" si="19"/>
        <v/>
      </c>
      <c r="U178" s="1" t="str">
        <f t="shared" si="20"/>
        <v/>
      </c>
      <c r="V178"/>
    </row>
    <row r="179" spans="13:22" x14ac:dyDescent="0.3">
      <c r="M179" s="1" t="str">
        <f t="shared" si="14"/>
        <v/>
      </c>
      <c r="N179" s="1" t="str">
        <f t="shared" si="15"/>
        <v/>
      </c>
      <c r="O179" s="1" t="str">
        <f ca="1">IF(F179="","",IF(INT(F179)=INT(NOW()),IF(NETWORKDAYS.INTL(F179,F179,1,FERIADOS!$A$2:$A$50)=0,0,MAX(0,(MIN(NOW(),INT(NOW())+18/24)-MAX(F179,INT(F179)+8/24)))*24),MAX(0,(INT(F179)+18/24-MAX(F179,INT(F179)+8/24)))*24*NETWORKDAYS.INTL(F179,F179,1,FERIADOS!$A$2:$A$50)+MAX(0,NETWORKDAYS.INTL(F179+1,NOW()-1,1,FERIADOS!$A$2:$A$50))*10+MAX(0,(MIN(NOW(),INT(NOW())+18/24)-(INT(NOW())+8/24)))*24*NETWORKDAYS.INTL(NOW(),NOW(),1,FERIADOS!$A$2:$A$50)))</f>
        <v/>
      </c>
      <c r="P179" s="1" t="str">
        <f t="shared" si="16"/>
        <v/>
      </c>
      <c r="Q179" s="1" t="str">
        <f t="shared" si="17"/>
        <v/>
      </c>
      <c r="R179" s="1" t="str">
        <f t="shared" si="18"/>
        <v/>
      </c>
      <c r="S179" s="1" t="str">
        <f>IF($A179="","",COUNTIF($N$2:N179,$N179))</f>
        <v/>
      </c>
      <c r="T179" s="1" t="str">
        <f t="shared" si="19"/>
        <v/>
      </c>
      <c r="U179" s="1" t="str">
        <f t="shared" si="20"/>
        <v/>
      </c>
      <c r="V179"/>
    </row>
    <row r="180" spans="13:22" x14ac:dyDescent="0.3">
      <c r="M180" s="1" t="str">
        <f t="shared" si="14"/>
        <v/>
      </c>
      <c r="N180" s="1" t="str">
        <f t="shared" si="15"/>
        <v/>
      </c>
      <c r="O180" s="1" t="str">
        <f ca="1">IF(F180="","",IF(INT(F180)=INT(NOW()),IF(NETWORKDAYS.INTL(F180,F180,1,FERIADOS!$A$2:$A$50)=0,0,MAX(0,(MIN(NOW(),INT(NOW())+18/24)-MAX(F180,INT(F180)+8/24)))*24),MAX(0,(INT(F180)+18/24-MAX(F180,INT(F180)+8/24)))*24*NETWORKDAYS.INTL(F180,F180,1,FERIADOS!$A$2:$A$50)+MAX(0,NETWORKDAYS.INTL(F180+1,NOW()-1,1,FERIADOS!$A$2:$A$50))*10+MAX(0,(MIN(NOW(),INT(NOW())+18/24)-(INT(NOW())+8/24)))*24*NETWORKDAYS.INTL(NOW(),NOW(),1,FERIADOS!$A$2:$A$50)))</f>
        <v/>
      </c>
      <c r="P180" s="1" t="str">
        <f t="shared" si="16"/>
        <v/>
      </c>
      <c r="Q180" s="1" t="str">
        <f t="shared" si="17"/>
        <v/>
      </c>
      <c r="R180" s="1" t="str">
        <f t="shared" si="18"/>
        <v/>
      </c>
      <c r="S180" s="1" t="str">
        <f>IF($A180="","",COUNTIF($N$2:N180,$N180))</f>
        <v/>
      </c>
      <c r="T180" s="1" t="str">
        <f t="shared" si="19"/>
        <v/>
      </c>
      <c r="U180" s="1" t="str">
        <f t="shared" si="20"/>
        <v/>
      </c>
      <c r="V180"/>
    </row>
    <row r="181" spans="13:22" x14ac:dyDescent="0.3">
      <c r="M181" s="1" t="str">
        <f t="shared" si="14"/>
        <v/>
      </c>
      <c r="N181" s="1" t="str">
        <f t="shared" si="15"/>
        <v/>
      </c>
      <c r="O181" s="1" t="str">
        <f ca="1">IF(F181="","",IF(INT(F181)=INT(NOW()),IF(NETWORKDAYS.INTL(F181,F181,1,FERIADOS!$A$2:$A$50)=0,0,MAX(0,(MIN(NOW(),INT(NOW())+18/24)-MAX(F181,INT(F181)+8/24)))*24),MAX(0,(INT(F181)+18/24-MAX(F181,INT(F181)+8/24)))*24*NETWORKDAYS.INTL(F181,F181,1,FERIADOS!$A$2:$A$50)+MAX(0,NETWORKDAYS.INTL(F181+1,NOW()-1,1,FERIADOS!$A$2:$A$50))*10+MAX(0,(MIN(NOW(),INT(NOW())+18/24)-(INT(NOW())+8/24)))*24*NETWORKDAYS.INTL(NOW(),NOW(),1,FERIADOS!$A$2:$A$50)))</f>
        <v/>
      </c>
      <c r="P181" s="1" t="str">
        <f t="shared" si="16"/>
        <v/>
      </c>
      <c r="Q181" s="1" t="str">
        <f t="shared" si="17"/>
        <v/>
      </c>
      <c r="R181" s="1" t="str">
        <f t="shared" si="18"/>
        <v/>
      </c>
      <c r="S181" s="1" t="str">
        <f>IF($A181="","",COUNTIF($N$2:N181,$N181))</f>
        <v/>
      </c>
      <c r="T181" s="1" t="str">
        <f t="shared" si="19"/>
        <v/>
      </c>
      <c r="U181" s="1" t="str">
        <f t="shared" si="20"/>
        <v/>
      </c>
      <c r="V181"/>
    </row>
    <row r="182" spans="13:22" x14ac:dyDescent="0.3">
      <c r="M182" s="1" t="str">
        <f t="shared" si="14"/>
        <v/>
      </c>
      <c r="N182" s="1" t="str">
        <f t="shared" si="15"/>
        <v/>
      </c>
      <c r="O182" s="1" t="str">
        <f ca="1">IF(F182="","",IF(INT(F182)=INT(NOW()),IF(NETWORKDAYS.INTL(F182,F182,1,FERIADOS!$A$2:$A$50)=0,0,MAX(0,(MIN(NOW(),INT(NOW())+18/24)-MAX(F182,INT(F182)+8/24)))*24),MAX(0,(INT(F182)+18/24-MAX(F182,INT(F182)+8/24)))*24*NETWORKDAYS.INTL(F182,F182,1,FERIADOS!$A$2:$A$50)+MAX(0,NETWORKDAYS.INTL(F182+1,NOW()-1,1,FERIADOS!$A$2:$A$50))*10+MAX(0,(MIN(NOW(),INT(NOW())+18/24)-(INT(NOW())+8/24)))*24*NETWORKDAYS.INTL(NOW(),NOW(),1,FERIADOS!$A$2:$A$50)))</f>
        <v/>
      </c>
      <c r="P182" s="1" t="str">
        <f t="shared" si="16"/>
        <v/>
      </c>
      <c r="Q182" s="1" t="str">
        <f t="shared" si="17"/>
        <v/>
      </c>
      <c r="R182" s="1" t="str">
        <f t="shared" si="18"/>
        <v/>
      </c>
      <c r="S182" s="1" t="str">
        <f>IF($A182="","",COUNTIF($N$2:N182,$N182))</f>
        <v/>
      </c>
      <c r="T182" s="1" t="str">
        <f t="shared" si="19"/>
        <v/>
      </c>
      <c r="U182" s="1" t="str">
        <f t="shared" si="20"/>
        <v/>
      </c>
      <c r="V182"/>
    </row>
    <row r="183" spans="13:22" x14ac:dyDescent="0.3">
      <c r="M183" s="1" t="str">
        <f t="shared" si="14"/>
        <v/>
      </c>
      <c r="N183" s="1" t="str">
        <f t="shared" si="15"/>
        <v/>
      </c>
      <c r="O183" s="1" t="str">
        <f ca="1">IF(F183="","",IF(INT(F183)=INT(NOW()),IF(NETWORKDAYS.INTL(F183,F183,1,FERIADOS!$A$2:$A$50)=0,0,MAX(0,(MIN(NOW(),INT(NOW())+18/24)-MAX(F183,INT(F183)+8/24)))*24),MAX(0,(INT(F183)+18/24-MAX(F183,INT(F183)+8/24)))*24*NETWORKDAYS.INTL(F183,F183,1,FERIADOS!$A$2:$A$50)+MAX(0,NETWORKDAYS.INTL(F183+1,NOW()-1,1,FERIADOS!$A$2:$A$50))*10+MAX(0,(MIN(NOW(),INT(NOW())+18/24)-(INT(NOW())+8/24)))*24*NETWORKDAYS.INTL(NOW(),NOW(),1,FERIADOS!$A$2:$A$50)))</f>
        <v/>
      </c>
      <c r="P183" s="1" t="str">
        <f t="shared" si="16"/>
        <v/>
      </c>
      <c r="Q183" s="1" t="str">
        <f t="shared" si="17"/>
        <v/>
      </c>
      <c r="R183" s="1" t="str">
        <f t="shared" si="18"/>
        <v/>
      </c>
      <c r="S183" s="1" t="str">
        <f>IF($A183="","",COUNTIF($N$2:N183,$N183))</f>
        <v/>
      </c>
      <c r="T183" s="1" t="str">
        <f t="shared" si="19"/>
        <v/>
      </c>
      <c r="U183" s="1" t="str">
        <f t="shared" si="20"/>
        <v/>
      </c>
      <c r="V183"/>
    </row>
    <row r="184" spans="13:22" x14ac:dyDescent="0.3">
      <c r="M184" s="1" t="str">
        <f t="shared" si="14"/>
        <v/>
      </c>
      <c r="N184" s="1" t="str">
        <f t="shared" si="15"/>
        <v/>
      </c>
      <c r="O184" s="1" t="str">
        <f ca="1">IF(F184="","",IF(INT(F184)=INT(NOW()),IF(NETWORKDAYS.INTL(F184,F184,1,FERIADOS!$A$2:$A$50)=0,0,MAX(0,(MIN(NOW(),INT(NOW())+18/24)-MAX(F184,INT(F184)+8/24)))*24),MAX(0,(INT(F184)+18/24-MAX(F184,INT(F184)+8/24)))*24*NETWORKDAYS.INTL(F184,F184,1,FERIADOS!$A$2:$A$50)+MAX(0,NETWORKDAYS.INTL(F184+1,NOW()-1,1,FERIADOS!$A$2:$A$50))*10+MAX(0,(MIN(NOW(),INT(NOW())+18/24)-(INT(NOW())+8/24)))*24*NETWORKDAYS.INTL(NOW(),NOW(),1,FERIADOS!$A$2:$A$50)))</f>
        <v/>
      </c>
      <c r="P184" s="1" t="str">
        <f t="shared" si="16"/>
        <v/>
      </c>
      <c r="Q184" s="1" t="str">
        <f t="shared" si="17"/>
        <v/>
      </c>
      <c r="R184" s="1" t="str">
        <f t="shared" si="18"/>
        <v/>
      </c>
      <c r="S184" s="1" t="str">
        <f>IF($A184="","",COUNTIF($N$2:N184,$N184))</f>
        <v/>
      </c>
      <c r="T184" s="1" t="str">
        <f t="shared" si="19"/>
        <v/>
      </c>
      <c r="U184" s="1" t="str">
        <f t="shared" si="20"/>
        <v/>
      </c>
      <c r="V184"/>
    </row>
    <row r="185" spans="13:22" x14ac:dyDescent="0.3">
      <c r="M185" s="1" t="str">
        <f t="shared" si="14"/>
        <v/>
      </c>
      <c r="N185" s="1" t="str">
        <f t="shared" si="15"/>
        <v/>
      </c>
      <c r="O185" s="1" t="str">
        <f ca="1">IF(F185="","",IF(INT(F185)=INT(NOW()),IF(NETWORKDAYS.INTL(F185,F185,1,FERIADOS!$A$2:$A$50)=0,0,MAX(0,(MIN(NOW(),INT(NOW())+18/24)-MAX(F185,INT(F185)+8/24)))*24),MAX(0,(INT(F185)+18/24-MAX(F185,INT(F185)+8/24)))*24*NETWORKDAYS.INTL(F185,F185,1,FERIADOS!$A$2:$A$50)+MAX(0,NETWORKDAYS.INTL(F185+1,NOW()-1,1,FERIADOS!$A$2:$A$50))*10+MAX(0,(MIN(NOW(),INT(NOW())+18/24)-(INT(NOW())+8/24)))*24*NETWORKDAYS.INTL(NOW(),NOW(),1,FERIADOS!$A$2:$A$50)))</f>
        <v/>
      </c>
      <c r="P185" s="1" t="str">
        <f t="shared" si="16"/>
        <v/>
      </c>
      <c r="Q185" s="1" t="str">
        <f t="shared" si="17"/>
        <v/>
      </c>
      <c r="R185" s="1" t="str">
        <f t="shared" si="18"/>
        <v/>
      </c>
      <c r="S185" s="1" t="str">
        <f>IF($A185="","",COUNTIF($N$2:N185,$N185))</f>
        <v/>
      </c>
      <c r="T185" s="1" t="str">
        <f t="shared" si="19"/>
        <v/>
      </c>
      <c r="U185" s="1" t="str">
        <f t="shared" si="20"/>
        <v/>
      </c>
      <c r="V185"/>
    </row>
    <row r="186" spans="13:22" x14ac:dyDescent="0.3">
      <c r="M186" s="1" t="str">
        <f t="shared" si="14"/>
        <v/>
      </c>
      <c r="N186" s="1" t="str">
        <f t="shared" si="15"/>
        <v/>
      </c>
      <c r="O186" s="1" t="str">
        <f ca="1">IF(F186="","",IF(INT(F186)=INT(NOW()),IF(NETWORKDAYS.INTL(F186,F186,1,FERIADOS!$A$2:$A$50)=0,0,MAX(0,(MIN(NOW(),INT(NOW())+18/24)-MAX(F186,INT(F186)+8/24)))*24),MAX(0,(INT(F186)+18/24-MAX(F186,INT(F186)+8/24)))*24*NETWORKDAYS.INTL(F186,F186,1,FERIADOS!$A$2:$A$50)+MAX(0,NETWORKDAYS.INTL(F186+1,NOW()-1,1,FERIADOS!$A$2:$A$50))*10+MAX(0,(MIN(NOW(),INT(NOW())+18/24)-(INT(NOW())+8/24)))*24*NETWORKDAYS.INTL(NOW(),NOW(),1,FERIADOS!$A$2:$A$50)))</f>
        <v/>
      </c>
      <c r="P186" s="1" t="str">
        <f t="shared" si="16"/>
        <v/>
      </c>
      <c r="Q186" s="1" t="str">
        <f t="shared" si="17"/>
        <v/>
      </c>
      <c r="R186" s="1" t="str">
        <f t="shared" si="18"/>
        <v/>
      </c>
      <c r="S186" s="1" t="str">
        <f>IF($A186="","",COUNTIF($N$2:N186,$N186))</f>
        <v/>
      </c>
      <c r="T186" s="1" t="str">
        <f t="shared" si="19"/>
        <v/>
      </c>
      <c r="U186" s="1" t="str">
        <f t="shared" si="20"/>
        <v/>
      </c>
      <c r="V186"/>
    </row>
    <row r="187" spans="13:22" x14ac:dyDescent="0.3">
      <c r="M187" s="1" t="str">
        <f t="shared" si="14"/>
        <v/>
      </c>
      <c r="N187" s="1" t="str">
        <f t="shared" si="15"/>
        <v/>
      </c>
      <c r="O187" s="1" t="str">
        <f ca="1">IF(F187="","",IF(INT(F187)=INT(NOW()),IF(NETWORKDAYS.INTL(F187,F187,1,FERIADOS!$A$2:$A$50)=0,0,MAX(0,(MIN(NOW(),INT(NOW())+18/24)-MAX(F187,INT(F187)+8/24)))*24),MAX(0,(INT(F187)+18/24-MAX(F187,INT(F187)+8/24)))*24*NETWORKDAYS.INTL(F187,F187,1,FERIADOS!$A$2:$A$50)+MAX(0,NETWORKDAYS.INTL(F187+1,NOW()-1,1,FERIADOS!$A$2:$A$50))*10+MAX(0,(MIN(NOW(),INT(NOW())+18/24)-(INT(NOW())+8/24)))*24*NETWORKDAYS.INTL(NOW(),NOW(),1,FERIADOS!$A$2:$A$50)))</f>
        <v/>
      </c>
      <c r="P187" s="1" t="str">
        <f t="shared" si="16"/>
        <v/>
      </c>
      <c r="Q187" s="1" t="str">
        <f t="shared" si="17"/>
        <v/>
      </c>
      <c r="R187" s="1" t="str">
        <f t="shared" si="18"/>
        <v/>
      </c>
      <c r="S187" s="1" t="str">
        <f>IF($A187="","",COUNTIF($N$2:N187,$N187))</f>
        <v/>
      </c>
      <c r="T187" s="1" t="str">
        <f t="shared" si="19"/>
        <v/>
      </c>
      <c r="U187" s="1" t="str">
        <f t="shared" si="20"/>
        <v/>
      </c>
      <c r="V187"/>
    </row>
    <row r="188" spans="13:22" x14ac:dyDescent="0.3">
      <c r="M188" s="1" t="str">
        <f t="shared" si="14"/>
        <v/>
      </c>
      <c r="N188" s="1" t="str">
        <f t="shared" si="15"/>
        <v/>
      </c>
      <c r="O188" s="1" t="str">
        <f ca="1">IF(F188="","",IF(INT(F188)=INT(NOW()),IF(NETWORKDAYS.INTL(F188,F188,1,FERIADOS!$A$2:$A$50)=0,0,MAX(0,(MIN(NOW(),INT(NOW())+18/24)-MAX(F188,INT(F188)+8/24)))*24),MAX(0,(INT(F188)+18/24-MAX(F188,INT(F188)+8/24)))*24*NETWORKDAYS.INTL(F188,F188,1,FERIADOS!$A$2:$A$50)+MAX(0,NETWORKDAYS.INTL(F188+1,NOW()-1,1,FERIADOS!$A$2:$A$50))*10+MAX(0,(MIN(NOW(),INT(NOW())+18/24)-(INT(NOW())+8/24)))*24*NETWORKDAYS.INTL(NOW(),NOW(),1,FERIADOS!$A$2:$A$50)))</f>
        <v/>
      </c>
      <c r="P188" s="1" t="str">
        <f t="shared" si="16"/>
        <v/>
      </c>
      <c r="Q188" s="1" t="str">
        <f t="shared" si="17"/>
        <v/>
      </c>
      <c r="R188" s="1" t="str">
        <f t="shared" si="18"/>
        <v/>
      </c>
      <c r="S188" s="1" t="str">
        <f>IF($A188="","",COUNTIF($N$2:N188,$N188))</f>
        <v/>
      </c>
      <c r="T188" s="1" t="str">
        <f t="shared" si="19"/>
        <v/>
      </c>
      <c r="U188" s="1" t="str">
        <f t="shared" si="20"/>
        <v/>
      </c>
      <c r="V188"/>
    </row>
    <row r="189" spans="13:22" x14ac:dyDescent="0.3">
      <c r="M189" s="1" t="str">
        <f t="shared" si="14"/>
        <v/>
      </c>
      <c r="N189" s="1" t="str">
        <f t="shared" si="15"/>
        <v/>
      </c>
      <c r="O189" s="1" t="str">
        <f ca="1">IF(F189="","",IF(INT(F189)=INT(NOW()),IF(NETWORKDAYS.INTL(F189,F189,1,FERIADOS!$A$2:$A$50)=0,0,MAX(0,(MIN(NOW(),INT(NOW())+18/24)-MAX(F189,INT(F189)+8/24)))*24),MAX(0,(INT(F189)+18/24-MAX(F189,INT(F189)+8/24)))*24*NETWORKDAYS.INTL(F189,F189,1,FERIADOS!$A$2:$A$50)+MAX(0,NETWORKDAYS.INTL(F189+1,NOW()-1,1,FERIADOS!$A$2:$A$50))*10+MAX(0,(MIN(NOW(),INT(NOW())+18/24)-(INT(NOW())+8/24)))*24*NETWORKDAYS.INTL(NOW(),NOW(),1,FERIADOS!$A$2:$A$50)))</f>
        <v/>
      </c>
      <c r="P189" s="1" t="str">
        <f t="shared" si="16"/>
        <v/>
      </c>
      <c r="Q189" s="1" t="str">
        <f t="shared" si="17"/>
        <v/>
      </c>
      <c r="R189" s="1" t="str">
        <f t="shared" si="18"/>
        <v/>
      </c>
      <c r="S189" s="1" t="str">
        <f>IF($A189="","",COUNTIF($N$2:N189,$N189))</f>
        <v/>
      </c>
      <c r="T189" s="1" t="str">
        <f t="shared" si="19"/>
        <v/>
      </c>
      <c r="U189" s="1" t="str">
        <f t="shared" si="20"/>
        <v/>
      </c>
      <c r="V189"/>
    </row>
    <row r="190" spans="13:22" x14ac:dyDescent="0.3">
      <c r="M190" s="1" t="str">
        <f t="shared" si="14"/>
        <v/>
      </c>
      <c r="N190" s="1" t="str">
        <f t="shared" si="15"/>
        <v/>
      </c>
      <c r="O190" s="1" t="str">
        <f ca="1">IF(F190="","",IF(INT(F190)=INT(NOW()),IF(NETWORKDAYS.INTL(F190,F190,1,FERIADOS!$A$2:$A$50)=0,0,MAX(0,(MIN(NOW(),INT(NOW())+18/24)-MAX(F190,INT(F190)+8/24)))*24),MAX(0,(INT(F190)+18/24-MAX(F190,INT(F190)+8/24)))*24*NETWORKDAYS.INTL(F190,F190,1,FERIADOS!$A$2:$A$50)+MAX(0,NETWORKDAYS.INTL(F190+1,NOW()-1,1,FERIADOS!$A$2:$A$50))*10+MAX(0,(MIN(NOW(),INT(NOW())+18/24)-(INT(NOW())+8/24)))*24*NETWORKDAYS.INTL(NOW(),NOW(),1,FERIADOS!$A$2:$A$50)))</f>
        <v/>
      </c>
      <c r="P190" s="1" t="str">
        <f t="shared" si="16"/>
        <v/>
      </c>
      <c r="Q190" s="1" t="str">
        <f t="shared" si="17"/>
        <v/>
      </c>
      <c r="R190" s="1" t="str">
        <f t="shared" si="18"/>
        <v/>
      </c>
      <c r="S190" s="1" t="str">
        <f>IF($A190="","",COUNTIF($N$2:N190,$N190))</f>
        <v/>
      </c>
      <c r="T190" s="1" t="str">
        <f t="shared" si="19"/>
        <v/>
      </c>
      <c r="U190" s="1" t="str">
        <f t="shared" si="20"/>
        <v/>
      </c>
      <c r="V190"/>
    </row>
    <row r="191" spans="13:22" x14ac:dyDescent="0.3">
      <c r="M191" s="1" t="str">
        <f t="shared" si="14"/>
        <v/>
      </c>
      <c r="N191" s="1" t="str">
        <f t="shared" si="15"/>
        <v/>
      </c>
      <c r="O191" s="1" t="str">
        <f ca="1">IF(F191="","",IF(INT(F191)=INT(NOW()),IF(NETWORKDAYS.INTL(F191,F191,1,FERIADOS!$A$2:$A$50)=0,0,MAX(0,(MIN(NOW(),INT(NOW())+18/24)-MAX(F191,INT(F191)+8/24)))*24),MAX(0,(INT(F191)+18/24-MAX(F191,INT(F191)+8/24)))*24*NETWORKDAYS.INTL(F191,F191,1,FERIADOS!$A$2:$A$50)+MAX(0,NETWORKDAYS.INTL(F191+1,NOW()-1,1,FERIADOS!$A$2:$A$50))*10+MAX(0,(MIN(NOW(),INT(NOW())+18/24)-(INT(NOW())+8/24)))*24*NETWORKDAYS.INTL(NOW(),NOW(),1,FERIADOS!$A$2:$A$50)))</f>
        <v/>
      </c>
      <c r="P191" s="1" t="str">
        <f t="shared" si="16"/>
        <v/>
      </c>
      <c r="Q191" s="1" t="str">
        <f t="shared" si="17"/>
        <v/>
      </c>
      <c r="R191" s="1" t="str">
        <f t="shared" si="18"/>
        <v/>
      </c>
      <c r="S191" s="1" t="str">
        <f>IF($A191="","",COUNTIF($N$2:N191,$N191))</f>
        <v/>
      </c>
      <c r="T191" s="1" t="str">
        <f t="shared" si="19"/>
        <v/>
      </c>
      <c r="U191" s="1" t="str">
        <f t="shared" si="20"/>
        <v/>
      </c>
      <c r="V191"/>
    </row>
    <row r="192" spans="13:22" x14ac:dyDescent="0.3">
      <c r="M192" s="1" t="str">
        <f t="shared" si="14"/>
        <v/>
      </c>
      <c r="N192" s="1" t="str">
        <f t="shared" si="15"/>
        <v/>
      </c>
      <c r="O192" s="1" t="str">
        <f ca="1">IF(F192="","",IF(INT(F192)=INT(NOW()),IF(NETWORKDAYS.INTL(F192,F192,1,FERIADOS!$A$2:$A$50)=0,0,MAX(0,(MIN(NOW(),INT(NOW())+18/24)-MAX(F192,INT(F192)+8/24)))*24),MAX(0,(INT(F192)+18/24-MAX(F192,INT(F192)+8/24)))*24*NETWORKDAYS.INTL(F192,F192,1,FERIADOS!$A$2:$A$50)+MAX(0,NETWORKDAYS.INTL(F192+1,NOW()-1,1,FERIADOS!$A$2:$A$50))*10+MAX(0,(MIN(NOW(),INT(NOW())+18/24)-(INT(NOW())+8/24)))*24*NETWORKDAYS.INTL(NOW(),NOW(),1,FERIADOS!$A$2:$A$50)))</f>
        <v/>
      </c>
      <c r="P192" s="1" t="str">
        <f t="shared" si="16"/>
        <v/>
      </c>
      <c r="Q192" s="1" t="str">
        <f t="shared" si="17"/>
        <v/>
      </c>
      <c r="R192" s="1" t="str">
        <f t="shared" si="18"/>
        <v/>
      </c>
      <c r="S192" s="1" t="str">
        <f>IF($A192="","",COUNTIF($N$2:N192,$N192))</f>
        <v/>
      </c>
      <c r="T192" s="1" t="str">
        <f t="shared" si="19"/>
        <v/>
      </c>
      <c r="U192" s="1" t="str">
        <f t="shared" si="20"/>
        <v/>
      </c>
      <c r="V192"/>
    </row>
    <row r="193" spans="13:22" x14ac:dyDescent="0.3">
      <c r="M193" s="1" t="str">
        <f t="shared" si="14"/>
        <v/>
      </c>
      <c r="N193" s="1" t="str">
        <f t="shared" si="15"/>
        <v/>
      </c>
      <c r="O193" s="1" t="str">
        <f ca="1">IF(F193="","",IF(INT(F193)=INT(NOW()),IF(NETWORKDAYS.INTL(F193,F193,1,FERIADOS!$A$2:$A$50)=0,0,MAX(0,(MIN(NOW(),INT(NOW())+18/24)-MAX(F193,INT(F193)+8/24)))*24),MAX(0,(INT(F193)+18/24-MAX(F193,INT(F193)+8/24)))*24*NETWORKDAYS.INTL(F193,F193,1,FERIADOS!$A$2:$A$50)+MAX(0,NETWORKDAYS.INTL(F193+1,NOW()-1,1,FERIADOS!$A$2:$A$50))*10+MAX(0,(MIN(NOW(),INT(NOW())+18/24)-(INT(NOW())+8/24)))*24*NETWORKDAYS.INTL(NOW(),NOW(),1,FERIADOS!$A$2:$A$50)))</f>
        <v/>
      </c>
      <c r="P193" s="1" t="str">
        <f t="shared" si="16"/>
        <v/>
      </c>
      <c r="Q193" s="1" t="str">
        <f t="shared" si="17"/>
        <v/>
      </c>
      <c r="R193" s="1" t="str">
        <f t="shared" si="18"/>
        <v/>
      </c>
      <c r="S193" s="1" t="str">
        <f>IF($A193="","",COUNTIF($N$2:N193,$N193))</f>
        <v/>
      </c>
      <c r="T193" s="1" t="str">
        <f t="shared" si="19"/>
        <v/>
      </c>
      <c r="U193" s="1" t="str">
        <f t="shared" si="20"/>
        <v/>
      </c>
      <c r="V193"/>
    </row>
    <row r="194" spans="13:22" x14ac:dyDescent="0.3">
      <c r="M194" s="1" t="str">
        <f t="shared" ref="M194:M257" si="21">IF($A194="","",IF($L194="MA",IF(OR(UPPER($K194)="SAO LUIS",UPPER($K194)="SÃO LUIS",UPPER($K194)="PACO DO LUMIAR",UPPER($K194)="PAÇO DO LUMIAR",UPPER($K194)="SAO JOSE DE RIBAMAR",UPPER($K194)="SÃO JOSÉ DE RIBAMAR"),"MA CAP","MA INT"),IF($L194="PA",IF(OR(UPPER($K194)="BELEM",UPPER($K194)="BELÉM",UPPER($K194)="ANANINDEUA"),"PA CAP","PA INT"),IF($L194="PI",IF(UPPER($K194)="TERESINA","PI CAP","PI INT"),IF($L194="AM","AM INT",IF($L194="AP","AP","OUTROS"))))))</f>
        <v/>
      </c>
      <c r="N194" s="1" t="str">
        <f t="shared" ref="N194:N257" si="22">IF($A194="","",IF($M194="PI CAP","GIGA+ PI",IF($M194="PI INT","GIGA+ PI",IF($M194="MA CAP","SLN MA",IF($M194="MA INT","GIGA+ MA",IF($M194="PA CAP","SLN PA",IF($M194="PA INT","SLN PA",IF($M194="AM INT","ADX",IF($M194="AP","ADX","OUTROS")))))))))</f>
        <v/>
      </c>
      <c r="O194" s="1" t="str">
        <f ca="1">IF(F194="","",IF(INT(F194)=INT(NOW()),IF(NETWORKDAYS.INTL(F194,F194,1,FERIADOS!$A$2:$A$50)=0,0,MAX(0,(MIN(NOW(),INT(NOW())+18/24)-MAX(F194,INT(F194)+8/24)))*24),MAX(0,(INT(F194)+18/24-MAX(F194,INT(F194)+8/24)))*24*NETWORKDAYS.INTL(F194,F194,1,FERIADOS!$A$2:$A$50)+MAX(0,NETWORKDAYS.INTL(F194+1,NOW()-1,1,FERIADOS!$A$2:$A$50))*10+MAX(0,(MIN(NOW(),INT(NOW())+18/24)-(INT(NOW())+8/24)))*24*NETWORKDAYS.INTL(NOW(),NOW(),1,FERIADOS!$A$2:$A$50)))</f>
        <v/>
      </c>
      <c r="P194" s="1" t="str">
        <f t="shared" ref="P194:P257" si="23">IF($A194="","",IF(OR(O194="",O194=0),"00h 00m",TEXT(INT(O194),"00") &amp; "h " &amp; TEXT(INT((O194-INT(O194))*60),"00") &amp; "m"))</f>
        <v/>
      </c>
      <c r="Q194" s="1" t="str">
        <f t="shared" ref="Q194:Q257" si="24">IF($A194="","",IF(OR(O194="",O194&lt;=4),"🔵 Até 4h",IF(O194&lt;=8,"🟢 Entre 4h e 8h",IF(O194&lt;=12,"🟡 Entre 8h e 12h",IF(O194&lt;=24,"🟠 Entre 12h e 24h","🔴 Maior que 24h")))))</f>
        <v/>
      </c>
      <c r="R194" s="1" t="str">
        <f t="shared" ref="R194:R257" si="25">IF($A194="","",IF(OR(O194="",O194&lt;=8),"NO PRAZO","FORA DO PRAZO"))</f>
        <v/>
      </c>
      <c r="S194" s="1" t="str">
        <f>IF($A194="","",COUNTIF($N$2:N194,$N194))</f>
        <v/>
      </c>
      <c r="T194" s="1" t="str">
        <f t="shared" ref="T194:T257" si="26">IF($A194="","",IF($N194="SLN MA",1,IF($N194="GIGA+ MA",2,IF($N194="GIGA+ PI",3,IF($N194="SLN PA",4,IF($N194="ADX",5,6))))))</f>
        <v/>
      </c>
      <c r="U194" s="1" t="str">
        <f t="shared" ref="U194:U257" si="27">IF($A194="","",$T194*10000+$S194)</f>
        <v/>
      </c>
      <c r="V194"/>
    </row>
    <row r="195" spans="13:22" x14ac:dyDescent="0.3">
      <c r="M195" s="1" t="str">
        <f t="shared" si="21"/>
        <v/>
      </c>
      <c r="N195" s="1" t="str">
        <f t="shared" si="22"/>
        <v/>
      </c>
      <c r="O195" s="1" t="str">
        <f ca="1">IF(F195="","",IF(INT(F195)=INT(NOW()),IF(NETWORKDAYS.INTL(F195,F195,1,FERIADOS!$A$2:$A$50)=0,0,MAX(0,(MIN(NOW(),INT(NOW())+18/24)-MAX(F195,INT(F195)+8/24)))*24),MAX(0,(INT(F195)+18/24-MAX(F195,INT(F195)+8/24)))*24*NETWORKDAYS.INTL(F195,F195,1,FERIADOS!$A$2:$A$50)+MAX(0,NETWORKDAYS.INTL(F195+1,NOW()-1,1,FERIADOS!$A$2:$A$50))*10+MAX(0,(MIN(NOW(),INT(NOW())+18/24)-(INT(NOW())+8/24)))*24*NETWORKDAYS.INTL(NOW(),NOW(),1,FERIADOS!$A$2:$A$50)))</f>
        <v/>
      </c>
      <c r="P195" s="1" t="str">
        <f t="shared" si="23"/>
        <v/>
      </c>
      <c r="Q195" s="1" t="str">
        <f t="shared" si="24"/>
        <v/>
      </c>
      <c r="R195" s="1" t="str">
        <f t="shared" si="25"/>
        <v/>
      </c>
      <c r="S195" s="1" t="str">
        <f>IF($A195="","",COUNTIF($N$2:N195,$N195))</f>
        <v/>
      </c>
      <c r="T195" s="1" t="str">
        <f t="shared" si="26"/>
        <v/>
      </c>
      <c r="U195" s="1" t="str">
        <f t="shared" si="27"/>
        <v/>
      </c>
      <c r="V195"/>
    </row>
    <row r="196" spans="13:22" x14ac:dyDescent="0.3">
      <c r="M196" s="1" t="str">
        <f t="shared" si="21"/>
        <v/>
      </c>
      <c r="N196" s="1" t="str">
        <f t="shared" si="22"/>
        <v/>
      </c>
      <c r="O196" s="1" t="str">
        <f ca="1">IF(F196="","",IF(INT(F196)=INT(NOW()),IF(NETWORKDAYS.INTL(F196,F196,1,FERIADOS!$A$2:$A$50)=0,0,MAX(0,(MIN(NOW(),INT(NOW())+18/24)-MAX(F196,INT(F196)+8/24)))*24),MAX(0,(INT(F196)+18/24-MAX(F196,INT(F196)+8/24)))*24*NETWORKDAYS.INTL(F196,F196,1,FERIADOS!$A$2:$A$50)+MAX(0,NETWORKDAYS.INTL(F196+1,NOW()-1,1,FERIADOS!$A$2:$A$50))*10+MAX(0,(MIN(NOW(),INT(NOW())+18/24)-(INT(NOW())+8/24)))*24*NETWORKDAYS.INTL(NOW(),NOW(),1,FERIADOS!$A$2:$A$50)))</f>
        <v/>
      </c>
      <c r="P196" s="1" t="str">
        <f t="shared" si="23"/>
        <v/>
      </c>
      <c r="Q196" s="1" t="str">
        <f t="shared" si="24"/>
        <v/>
      </c>
      <c r="R196" s="1" t="str">
        <f t="shared" si="25"/>
        <v/>
      </c>
      <c r="S196" s="1" t="str">
        <f>IF($A196="","",COUNTIF($N$2:N196,$N196))</f>
        <v/>
      </c>
      <c r="T196" s="1" t="str">
        <f t="shared" si="26"/>
        <v/>
      </c>
      <c r="U196" s="1" t="str">
        <f t="shared" si="27"/>
        <v/>
      </c>
      <c r="V196"/>
    </row>
    <row r="197" spans="13:22" x14ac:dyDescent="0.3">
      <c r="M197" s="1" t="str">
        <f t="shared" si="21"/>
        <v/>
      </c>
      <c r="N197" s="1" t="str">
        <f t="shared" si="22"/>
        <v/>
      </c>
      <c r="O197" s="1" t="str">
        <f ca="1">IF(F197="","",IF(INT(F197)=INT(NOW()),IF(NETWORKDAYS.INTL(F197,F197,1,FERIADOS!$A$2:$A$50)=0,0,MAX(0,(MIN(NOW(),INT(NOW())+18/24)-MAX(F197,INT(F197)+8/24)))*24),MAX(0,(INT(F197)+18/24-MAX(F197,INT(F197)+8/24)))*24*NETWORKDAYS.INTL(F197,F197,1,FERIADOS!$A$2:$A$50)+MAX(0,NETWORKDAYS.INTL(F197+1,NOW()-1,1,FERIADOS!$A$2:$A$50))*10+MAX(0,(MIN(NOW(),INT(NOW())+18/24)-(INT(NOW())+8/24)))*24*NETWORKDAYS.INTL(NOW(),NOW(),1,FERIADOS!$A$2:$A$50)))</f>
        <v/>
      </c>
      <c r="P197" s="1" t="str">
        <f t="shared" si="23"/>
        <v/>
      </c>
      <c r="Q197" s="1" t="str">
        <f t="shared" si="24"/>
        <v/>
      </c>
      <c r="R197" s="1" t="str">
        <f t="shared" si="25"/>
        <v/>
      </c>
      <c r="S197" s="1" t="str">
        <f>IF($A197="","",COUNTIF($N$2:N197,$N197))</f>
        <v/>
      </c>
      <c r="T197" s="1" t="str">
        <f t="shared" si="26"/>
        <v/>
      </c>
      <c r="U197" s="1" t="str">
        <f t="shared" si="27"/>
        <v/>
      </c>
      <c r="V197"/>
    </row>
    <row r="198" spans="13:22" x14ac:dyDescent="0.3">
      <c r="M198" s="1" t="str">
        <f t="shared" si="21"/>
        <v/>
      </c>
      <c r="N198" s="1" t="str">
        <f t="shared" si="22"/>
        <v/>
      </c>
      <c r="O198" s="1" t="str">
        <f ca="1">IF(F198="","",IF(INT(F198)=INT(NOW()),IF(NETWORKDAYS.INTL(F198,F198,1,FERIADOS!$A$2:$A$50)=0,0,MAX(0,(MIN(NOW(),INT(NOW())+18/24)-MAX(F198,INT(F198)+8/24)))*24),MAX(0,(INT(F198)+18/24-MAX(F198,INT(F198)+8/24)))*24*NETWORKDAYS.INTL(F198,F198,1,FERIADOS!$A$2:$A$50)+MAX(0,NETWORKDAYS.INTL(F198+1,NOW()-1,1,FERIADOS!$A$2:$A$50))*10+MAX(0,(MIN(NOW(),INT(NOW())+18/24)-(INT(NOW())+8/24)))*24*NETWORKDAYS.INTL(NOW(),NOW(),1,FERIADOS!$A$2:$A$50)))</f>
        <v/>
      </c>
      <c r="P198" s="1" t="str">
        <f t="shared" si="23"/>
        <v/>
      </c>
      <c r="Q198" s="1" t="str">
        <f t="shared" si="24"/>
        <v/>
      </c>
      <c r="R198" s="1" t="str">
        <f t="shared" si="25"/>
        <v/>
      </c>
      <c r="S198" s="1" t="str">
        <f>IF($A198="","",COUNTIF($N$2:N198,$N198))</f>
        <v/>
      </c>
      <c r="T198" s="1" t="str">
        <f t="shared" si="26"/>
        <v/>
      </c>
      <c r="U198" s="1" t="str">
        <f t="shared" si="27"/>
        <v/>
      </c>
      <c r="V198"/>
    </row>
    <row r="199" spans="13:22" x14ac:dyDescent="0.3">
      <c r="M199" s="1" t="str">
        <f t="shared" si="21"/>
        <v/>
      </c>
      <c r="N199" s="1" t="str">
        <f t="shared" si="22"/>
        <v/>
      </c>
      <c r="O199" s="1" t="str">
        <f ca="1">IF(F199="","",IF(INT(F199)=INT(NOW()),IF(NETWORKDAYS.INTL(F199,F199,1,FERIADOS!$A$2:$A$50)=0,0,MAX(0,(MIN(NOW(),INT(NOW())+18/24)-MAX(F199,INT(F199)+8/24)))*24),MAX(0,(INT(F199)+18/24-MAX(F199,INT(F199)+8/24)))*24*NETWORKDAYS.INTL(F199,F199,1,FERIADOS!$A$2:$A$50)+MAX(0,NETWORKDAYS.INTL(F199+1,NOW()-1,1,FERIADOS!$A$2:$A$50))*10+MAX(0,(MIN(NOW(),INT(NOW())+18/24)-(INT(NOW())+8/24)))*24*NETWORKDAYS.INTL(NOW(),NOW(),1,FERIADOS!$A$2:$A$50)))</f>
        <v/>
      </c>
      <c r="P199" s="1" t="str">
        <f t="shared" si="23"/>
        <v/>
      </c>
      <c r="Q199" s="1" t="str">
        <f t="shared" si="24"/>
        <v/>
      </c>
      <c r="R199" s="1" t="str">
        <f t="shared" si="25"/>
        <v/>
      </c>
      <c r="S199" s="1" t="str">
        <f>IF($A199="","",COUNTIF($N$2:N199,$N199))</f>
        <v/>
      </c>
      <c r="T199" s="1" t="str">
        <f t="shared" si="26"/>
        <v/>
      </c>
      <c r="U199" s="1" t="str">
        <f t="shared" si="27"/>
        <v/>
      </c>
      <c r="V199"/>
    </row>
    <row r="200" spans="13:22" x14ac:dyDescent="0.3">
      <c r="M200" s="1" t="str">
        <f t="shared" si="21"/>
        <v/>
      </c>
      <c r="N200" s="1" t="str">
        <f t="shared" si="22"/>
        <v/>
      </c>
      <c r="O200" s="1" t="str">
        <f ca="1">IF(F200="","",IF(INT(F200)=INT(NOW()),IF(NETWORKDAYS.INTL(F200,F200,1,FERIADOS!$A$2:$A$50)=0,0,MAX(0,(MIN(NOW(),INT(NOW())+18/24)-MAX(F200,INT(F200)+8/24)))*24),MAX(0,(INT(F200)+18/24-MAX(F200,INT(F200)+8/24)))*24*NETWORKDAYS.INTL(F200,F200,1,FERIADOS!$A$2:$A$50)+MAX(0,NETWORKDAYS.INTL(F200+1,NOW()-1,1,FERIADOS!$A$2:$A$50))*10+MAX(0,(MIN(NOW(),INT(NOW())+18/24)-(INT(NOW())+8/24)))*24*NETWORKDAYS.INTL(NOW(),NOW(),1,FERIADOS!$A$2:$A$50)))</f>
        <v/>
      </c>
      <c r="P200" s="1" t="str">
        <f t="shared" si="23"/>
        <v/>
      </c>
      <c r="Q200" s="1" t="str">
        <f t="shared" si="24"/>
        <v/>
      </c>
      <c r="R200" s="1" t="str">
        <f t="shared" si="25"/>
        <v/>
      </c>
      <c r="S200" s="1" t="str">
        <f>IF($A200="","",COUNTIF($N$2:N200,$N200))</f>
        <v/>
      </c>
      <c r="T200" s="1" t="str">
        <f t="shared" si="26"/>
        <v/>
      </c>
      <c r="U200" s="1" t="str">
        <f t="shared" si="27"/>
        <v/>
      </c>
      <c r="V200"/>
    </row>
    <row r="201" spans="13:22" x14ac:dyDescent="0.3">
      <c r="M201" s="1" t="str">
        <f t="shared" si="21"/>
        <v/>
      </c>
      <c r="N201" s="1" t="str">
        <f t="shared" si="22"/>
        <v/>
      </c>
      <c r="O201" s="1" t="str">
        <f ca="1">IF(F201="","",IF(INT(F201)=INT(NOW()),IF(NETWORKDAYS.INTL(F201,F201,1,FERIADOS!$A$2:$A$50)=0,0,MAX(0,(MIN(NOW(),INT(NOW())+18/24)-MAX(F201,INT(F201)+8/24)))*24),MAX(0,(INT(F201)+18/24-MAX(F201,INT(F201)+8/24)))*24*NETWORKDAYS.INTL(F201,F201,1,FERIADOS!$A$2:$A$50)+MAX(0,NETWORKDAYS.INTL(F201+1,NOW()-1,1,FERIADOS!$A$2:$A$50))*10+MAX(0,(MIN(NOW(),INT(NOW())+18/24)-(INT(NOW())+8/24)))*24*NETWORKDAYS.INTL(NOW(),NOW(),1,FERIADOS!$A$2:$A$50)))</f>
        <v/>
      </c>
      <c r="P201" s="1" t="str">
        <f t="shared" si="23"/>
        <v/>
      </c>
      <c r="Q201" s="1" t="str">
        <f t="shared" si="24"/>
        <v/>
      </c>
      <c r="R201" s="1" t="str">
        <f t="shared" si="25"/>
        <v/>
      </c>
      <c r="S201" s="1" t="str">
        <f>IF($A201="","",COUNTIF($N$2:N201,$N201))</f>
        <v/>
      </c>
      <c r="T201" s="1" t="str">
        <f t="shared" si="26"/>
        <v/>
      </c>
      <c r="U201" s="1" t="str">
        <f t="shared" si="27"/>
        <v/>
      </c>
      <c r="V201"/>
    </row>
    <row r="202" spans="13:22" x14ac:dyDescent="0.3">
      <c r="M202" s="1" t="str">
        <f t="shared" si="21"/>
        <v/>
      </c>
      <c r="N202" s="1" t="str">
        <f t="shared" si="22"/>
        <v/>
      </c>
      <c r="O202" s="1" t="str">
        <f ca="1">IF(F202="","",IF(INT(F202)=INT(NOW()),IF(NETWORKDAYS.INTL(F202,F202,1,FERIADOS!$A$2:$A$50)=0,0,MAX(0,(MIN(NOW(),INT(NOW())+18/24)-MAX(F202,INT(F202)+8/24)))*24),MAX(0,(INT(F202)+18/24-MAX(F202,INT(F202)+8/24)))*24*NETWORKDAYS.INTL(F202,F202,1,FERIADOS!$A$2:$A$50)+MAX(0,NETWORKDAYS.INTL(F202+1,NOW()-1,1,FERIADOS!$A$2:$A$50))*10+MAX(0,(MIN(NOW(),INT(NOW())+18/24)-(INT(NOW())+8/24)))*24*NETWORKDAYS.INTL(NOW(),NOW(),1,FERIADOS!$A$2:$A$50)))</f>
        <v/>
      </c>
      <c r="P202" s="1" t="str">
        <f t="shared" si="23"/>
        <v/>
      </c>
      <c r="Q202" s="1" t="str">
        <f t="shared" si="24"/>
        <v/>
      </c>
      <c r="R202" s="1" t="str">
        <f t="shared" si="25"/>
        <v/>
      </c>
      <c r="S202" s="1" t="str">
        <f>IF($A202="","",COUNTIF($N$2:N202,$N202))</f>
        <v/>
      </c>
      <c r="T202" s="1" t="str">
        <f t="shared" si="26"/>
        <v/>
      </c>
      <c r="U202" s="1" t="str">
        <f t="shared" si="27"/>
        <v/>
      </c>
      <c r="V202"/>
    </row>
    <row r="203" spans="13:22" x14ac:dyDescent="0.3">
      <c r="M203" s="1" t="str">
        <f t="shared" si="21"/>
        <v/>
      </c>
      <c r="N203" s="1" t="str">
        <f t="shared" si="22"/>
        <v/>
      </c>
      <c r="O203" s="1" t="str">
        <f ca="1">IF(F203="","",IF(INT(F203)=INT(NOW()),IF(NETWORKDAYS.INTL(F203,F203,1,FERIADOS!$A$2:$A$50)=0,0,MAX(0,(MIN(NOW(),INT(NOW())+18/24)-MAX(F203,INT(F203)+8/24)))*24),MAX(0,(INT(F203)+18/24-MAX(F203,INT(F203)+8/24)))*24*NETWORKDAYS.INTL(F203,F203,1,FERIADOS!$A$2:$A$50)+MAX(0,NETWORKDAYS.INTL(F203+1,NOW()-1,1,FERIADOS!$A$2:$A$50))*10+MAX(0,(MIN(NOW(),INT(NOW())+18/24)-(INT(NOW())+8/24)))*24*NETWORKDAYS.INTL(NOW(),NOW(),1,FERIADOS!$A$2:$A$50)))</f>
        <v/>
      </c>
      <c r="P203" s="1" t="str">
        <f t="shared" si="23"/>
        <v/>
      </c>
      <c r="Q203" s="1" t="str">
        <f t="shared" si="24"/>
        <v/>
      </c>
      <c r="R203" s="1" t="str">
        <f t="shared" si="25"/>
        <v/>
      </c>
      <c r="S203" s="1" t="str">
        <f>IF($A203="","",COUNTIF($N$2:N203,$N203))</f>
        <v/>
      </c>
      <c r="T203" s="1" t="str">
        <f t="shared" si="26"/>
        <v/>
      </c>
      <c r="U203" s="1" t="str">
        <f t="shared" si="27"/>
        <v/>
      </c>
      <c r="V203"/>
    </row>
    <row r="204" spans="13:22" x14ac:dyDescent="0.3">
      <c r="M204" s="1" t="str">
        <f t="shared" si="21"/>
        <v/>
      </c>
      <c r="N204" s="1" t="str">
        <f t="shared" si="22"/>
        <v/>
      </c>
      <c r="O204" s="1" t="str">
        <f ca="1">IF(F204="","",IF(INT(F204)=INT(NOW()),IF(NETWORKDAYS.INTL(F204,F204,1,FERIADOS!$A$2:$A$50)=0,0,MAX(0,(MIN(NOW(),INT(NOW())+18/24)-MAX(F204,INT(F204)+8/24)))*24),MAX(0,(INT(F204)+18/24-MAX(F204,INT(F204)+8/24)))*24*NETWORKDAYS.INTL(F204,F204,1,FERIADOS!$A$2:$A$50)+MAX(0,NETWORKDAYS.INTL(F204+1,NOW()-1,1,FERIADOS!$A$2:$A$50))*10+MAX(0,(MIN(NOW(),INT(NOW())+18/24)-(INT(NOW())+8/24)))*24*NETWORKDAYS.INTL(NOW(),NOW(),1,FERIADOS!$A$2:$A$50)))</f>
        <v/>
      </c>
      <c r="P204" s="1" t="str">
        <f t="shared" si="23"/>
        <v/>
      </c>
      <c r="Q204" s="1" t="str">
        <f t="shared" si="24"/>
        <v/>
      </c>
      <c r="R204" s="1" t="str">
        <f t="shared" si="25"/>
        <v/>
      </c>
      <c r="S204" s="1" t="str">
        <f>IF($A204="","",COUNTIF($N$2:N204,$N204))</f>
        <v/>
      </c>
      <c r="T204" s="1" t="str">
        <f t="shared" si="26"/>
        <v/>
      </c>
      <c r="U204" s="1" t="str">
        <f t="shared" si="27"/>
        <v/>
      </c>
      <c r="V204"/>
    </row>
    <row r="205" spans="13:22" x14ac:dyDescent="0.3">
      <c r="M205" s="1" t="str">
        <f t="shared" si="21"/>
        <v/>
      </c>
      <c r="N205" s="1" t="str">
        <f t="shared" si="22"/>
        <v/>
      </c>
      <c r="O205" s="1" t="str">
        <f ca="1">IF(F205="","",IF(INT(F205)=INT(NOW()),IF(NETWORKDAYS.INTL(F205,F205,1,FERIADOS!$A$2:$A$50)=0,0,MAX(0,(MIN(NOW(),INT(NOW())+18/24)-MAX(F205,INT(F205)+8/24)))*24),MAX(0,(INT(F205)+18/24-MAX(F205,INT(F205)+8/24)))*24*NETWORKDAYS.INTL(F205,F205,1,FERIADOS!$A$2:$A$50)+MAX(0,NETWORKDAYS.INTL(F205+1,NOW()-1,1,FERIADOS!$A$2:$A$50))*10+MAX(0,(MIN(NOW(),INT(NOW())+18/24)-(INT(NOW())+8/24)))*24*NETWORKDAYS.INTL(NOW(),NOW(),1,FERIADOS!$A$2:$A$50)))</f>
        <v/>
      </c>
      <c r="P205" s="1" t="str">
        <f t="shared" si="23"/>
        <v/>
      </c>
      <c r="Q205" s="1" t="str">
        <f t="shared" si="24"/>
        <v/>
      </c>
      <c r="R205" s="1" t="str">
        <f t="shared" si="25"/>
        <v/>
      </c>
      <c r="S205" s="1" t="str">
        <f>IF($A205="","",COUNTIF($N$2:N205,$N205))</f>
        <v/>
      </c>
      <c r="T205" s="1" t="str">
        <f t="shared" si="26"/>
        <v/>
      </c>
      <c r="U205" s="1" t="str">
        <f t="shared" si="27"/>
        <v/>
      </c>
      <c r="V205"/>
    </row>
    <row r="206" spans="13:22" x14ac:dyDescent="0.3">
      <c r="M206" s="1" t="str">
        <f t="shared" si="21"/>
        <v/>
      </c>
      <c r="N206" s="1" t="str">
        <f t="shared" si="22"/>
        <v/>
      </c>
      <c r="O206" s="1" t="str">
        <f ca="1">IF(F206="","",IF(INT(F206)=INT(NOW()),IF(NETWORKDAYS.INTL(F206,F206,1,FERIADOS!$A$2:$A$50)=0,0,MAX(0,(MIN(NOW(),INT(NOW())+18/24)-MAX(F206,INT(F206)+8/24)))*24),MAX(0,(INT(F206)+18/24-MAX(F206,INT(F206)+8/24)))*24*NETWORKDAYS.INTL(F206,F206,1,FERIADOS!$A$2:$A$50)+MAX(0,NETWORKDAYS.INTL(F206+1,NOW()-1,1,FERIADOS!$A$2:$A$50))*10+MAX(0,(MIN(NOW(),INT(NOW())+18/24)-(INT(NOW())+8/24)))*24*NETWORKDAYS.INTL(NOW(),NOW(),1,FERIADOS!$A$2:$A$50)))</f>
        <v/>
      </c>
      <c r="P206" s="1" t="str">
        <f t="shared" si="23"/>
        <v/>
      </c>
      <c r="Q206" s="1" t="str">
        <f t="shared" si="24"/>
        <v/>
      </c>
      <c r="R206" s="1" t="str">
        <f t="shared" si="25"/>
        <v/>
      </c>
      <c r="S206" s="1" t="str">
        <f>IF($A206="","",COUNTIF($N$2:N206,$N206))</f>
        <v/>
      </c>
      <c r="T206" s="1" t="str">
        <f t="shared" si="26"/>
        <v/>
      </c>
      <c r="U206" s="1" t="str">
        <f t="shared" si="27"/>
        <v/>
      </c>
      <c r="V206"/>
    </row>
    <row r="207" spans="13:22" x14ac:dyDescent="0.3">
      <c r="M207" s="1" t="str">
        <f t="shared" si="21"/>
        <v/>
      </c>
      <c r="N207" s="1" t="str">
        <f t="shared" si="22"/>
        <v/>
      </c>
      <c r="O207" s="1" t="str">
        <f ca="1">IF(F207="","",IF(INT(F207)=INT(NOW()),IF(NETWORKDAYS.INTL(F207,F207,1,FERIADOS!$A$2:$A$50)=0,0,MAX(0,(MIN(NOW(),INT(NOW())+18/24)-MAX(F207,INT(F207)+8/24)))*24),MAX(0,(INT(F207)+18/24-MAX(F207,INT(F207)+8/24)))*24*NETWORKDAYS.INTL(F207,F207,1,FERIADOS!$A$2:$A$50)+MAX(0,NETWORKDAYS.INTL(F207+1,NOW()-1,1,FERIADOS!$A$2:$A$50))*10+MAX(0,(MIN(NOW(),INT(NOW())+18/24)-(INT(NOW())+8/24)))*24*NETWORKDAYS.INTL(NOW(),NOW(),1,FERIADOS!$A$2:$A$50)))</f>
        <v/>
      </c>
      <c r="P207" s="1" t="str">
        <f t="shared" si="23"/>
        <v/>
      </c>
      <c r="Q207" s="1" t="str">
        <f t="shared" si="24"/>
        <v/>
      </c>
      <c r="R207" s="1" t="str">
        <f t="shared" si="25"/>
        <v/>
      </c>
      <c r="S207" s="1" t="str">
        <f>IF($A207="","",COUNTIF($N$2:N207,$N207))</f>
        <v/>
      </c>
      <c r="T207" s="1" t="str">
        <f t="shared" si="26"/>
        <v/>
      </c>
      <c r="U207" s="1" t="str">
        <f t="shared" si="27"/>
        <v/>
      </c>
      <c r="V207"/>
    </row>
    <row r="208" spans="13:22" x14ac:dyDescent="0.3">
      <c r="M208" s="1" t="str">
        <f t="shared" si="21"/>
        <v/>
      </c>
      <c r="N208" s="1" t="str">
        <f t="shared" si="22"/>
        <v/>
      </c>
      <c r="O208" s="1" t="str">
        <f ca="1">IF(F208="","",IF(INT(F208)=INT(NOW()),IF(NETWORKDAYS.INTL(F208,F208,1,FERIADOS!$A$2:$A$50)=0,0,MAX(0,(MIN(NOW(),INT(NOW())+18/24)-MAX(F208,INT(F208)+8/24)))*24),MAX(0,(INT(F208)+18/24-MAX(F208,INT(F208)+8/24)))*24*NETWORKDAYS.INTL(F208,F208,1,FERIADOS!$A$2:$A$50)+MAX(0,NETWORKDAYS.INTL(F208+1,NOW()-1,1,FERIADOS!$A$2:$A$50))*10+MAX(0,(MIN(NOW(),INT(NOW())+18/24)-(INT(NOW())+8/24)))*24*NETWORKDAYS.INTL(NOW(),NOW(),1,FERIADOS!$A$2:$A$50)))</f>
        <v/>
      </c>
      <c r="P208" s="1" t="str">
        <f t="shared" si="23"/>
        <v/>
      </c>
      <c r="Q208" s="1" t="str">
        <f t="shared" si="24"/>
        <v/>
      </c>
      <c r="R208" s="1" t="str">
        <f t="shared" si="25"/>
        <v/>
      </c>
      <c r="S208" s="1" t="str">
        <f>IF($A208="","",COUNTIF($N$2:N208,$N208))</f>
        <v/>
      </c>
      <c r="T208" s="1" t="str">
        <f t="shared" si="26"/>
        <v/>
      </c>
      <c r="U208" s="1" t="str">
        <f t="shared" si="27"/>
        <v/>
      </c>
      <c r="V208"/>
    </row>
    <row r="209" spans="13:22" x14ac:dyDescent="0.3">
      <c r="M209" s="1" t="str">
        <f t="shared" si="21"/>
        <v/>
      </c>
      <c r="N209" s="1" t="str">
        <f t="shared" si="22"/>
        <v/>
      </c>
      <c r="O209" s="1" t="str">
        <f ca="1">IF(F209="","",IF(INT(F209)=INT(NOW()),IF(NETWORKDAYS.INTL(F209,F209,1,FERIADOS!$A$2:$A$50)=0,0,MAX(0,(MIN(NOW(),INT(NOW())+18/24)-MAX(F209,INT(F209)+8/24)))*24),MAX(0,(INT(F209)+18/24-MAX(F209,INT(F209)+8/24)))*24*NETWORKDAYS.INTL(F209,F209,1,FERIADOS!$A$2:$A$50)+MAX(0,NETWORKDAYS.INTL(F209+1,NOW()-1,1,FERIADOS!$A$2:$A$50))*10+MAX(0,(MIN(NOW(),INT(NOW())+18/24)-(INT(NOW())+8/24)))*24*NETWORKDAYS.INTL(NOW(),NOW(),1,FERIADOS!$A$2:$A$50)))</f>
        <v/>
      </c>
      <c r="P209" s="1" t="str">
        <f t="shared" si="23"/>
        <v/>
      </c>
      <c r="Q209" s="1" t="str">
        <f t="shared" si="24"/>
        <v/>
      </c>
      <c r="R209" s="1" t="str">
        <f t="shared" si="25"/>
        <v/>
      </c>
      <c r="S209" s="1" t="str">
        <f>IF($A209="","",COUNTIF($N$2:N209,$N209))</f>
        <v/>
      </c>
      <c r="T209" s="1" t="str">
        <f t="shared" si="26"/>
        <v/>
      </c>
      <c r="U209" s="1" t="str">
        <f t="shared" si="27"/>
        <v/>
      </c>
      <c r="V209"/>
    </row>
    <row r="210" spans="13:22" x14ac:dyDescent="0.3">
      <c r="M210" s="1" t="str">
        <f t="shared" si="21"/>
        <v/>
      </c>
      <c r="N210" s="1" t="str">
        <f t="shared" si="22"/>
        <v/>
      </c>
      <c r="O210" s="1" t="str">
        <f ca="1">IF(F210="","",IF(INT(F210)=INT(NOW()),IF(NETWORKDAYS.INTL(F210,F210,1,FERIADOS!$A$2:$A$50)=0,0,MAX(0,(MIN(NOW(),INT(NOW())+18/24)-MAX(F210,INT(F210)+8/24)))*24),MAX(0,(INT(F210)+18/24-MAX(F210,INT(F210)+8/24)))*24*NETWORKDAYS.INTL(F210,F210,1,FERIADOS!$A$2:$A$50)+MAX(0,NETWORKDAYS.INTL(F210+1,NOW()-1,1,FERIADOS!$A$2:$A$50))*10+MAX(0,(MIN(NOW(),INT(NOW())+18/24)-(INT(NOW())+8/24)))*24*NETWORKDAYS.INTL(NOW(),NOW(),1,FERIADOS!$A$2:$A$50)))</f>
        <v/>
      </c>
      <c r="P210" s="1" t="str">
        <f t="shared" si="23"/>
        <v/>
      </c>
      <c r="Q210" s="1" t="str">
        <f t="shared" si="24"/>
        <v/>
      </c>
      <c r="R210" s="1" t="str">
        <f t="shared" si="25"/>
        <v/>
      </c>
      <c r="S210" s="1" t="str">
        <f>IF($A210="","",COUNTIF($N$2:N210,$N210))</f>
        <v/>
      </c>
      <c r="T210" s="1" t="str">
        <f t="shared" si="26"/>
        <v/>
      </c>
      <c r="U210" s="1" t="str">
        <f t="shared" si="27"/>
        <v/>
      </c>
      <c r="V210"/>
    </row>
    <row r="211" spans="13:22" x14ac:dyDescent="0.3">
      <c r="M211" s="1" t="str">
        <f t="shared" si="21"/>
        <v/>
      </c>
      <c r="N211" s="1" t="str">
        <f t="shared" si="22"/>
        <v/>
      </c>
      <c r="O211" s="1" t="str">
        <f ca="1">IF(F211="","",IF(INT(F211)=INT(NOW()),IF(NETWORKDAYS.INTL(F211,F211,1,FERIADOS!$A$2:$A$50)=0,0,MAX(0,(MIN(NOW(),INT(NOW())+18/24)-MAX(F211,INT(F211)+8/24)))*24),MAX(0,(INT(F211)+18/24-MAX(F211,INT(F211)+8/24)))*24*NETWORKDAYS.INTL(F211,F211,1,FERIADOS!$A$2:$A$50)+MAX(0,NETWORKDAYS.INTL(F211+1,NOW()-1,1,FERIADOS!$A$2:$A$50))*10+MAX(0,(MIN(NOW(),INT(NOW())+18/24)-(INT(NOW())+8/24)))*24*NETWORKDAYS.INTL(NOW(),NOW(),1,FERIADOS!$A$2:$A$50)))</f>
        <v/>
      </c>
      <c r="P211" s="1" t="str">
        <f t="shared" si="23"/>
        <v/>
      </c>
      <c r="Q211" s="1" t="str">
        <f t="shared" si="24"/>
        <v/>
      </c>
      <c r="R211" s="1" t="str">
        <f t="shared" si="25"/>
        <v/>
      </c>
      <c r="S211" s="1" t="str">
        <f>IF($A211="","",COUNTIF($N$2:N211,$N211))</f>
        <v/>
      </c>
      <c r="T211" s="1" t="str">
        <f t="shared" si="26"/>
        <v/>
      </c>
      <c r="U211" s="1" t="str">
        <f t="shared" si="27"/>
        <v/>
      </c>
      <c r="V211"/>
    </row>
    <row r="212" spans="13:22" x14ac:dyDescent="0.3">
      <c r="M212" s="1" t="str">
        <f t="shared" si="21"/>
        <v/>
      </c>
      <c r="N212" s="1" t="str">
        <f t="shared" si="22"/>
        <v/>
      </c>
      <c r="O212" s="1" t="str">
        <f ca="1">IF(F212="","",IF(INT(F212)=INT(NOW()),IF(NETWORKDAYS.INTL(F212,F212,1,FERIADOS!$A$2:$A$50)=0,0,MAX(0,(MIN(NOW(),INT(NOW())+18/24)-MAX(F212,INT(F212)+8/24)))*24),MAX(0,(INT(F212)+18/24-MAX(F212,INT(F212)+8/24)))*24*NETWORKDAYS.INTL(F212,F212,1,FERIADOS!$A$2:$A$50)+MAX(0,NETWORKDAYS.INTL(F212+1,NOW()-1,1,FERIADOS!$A$2:$A$50))*10+MAX(0,(MIN(NOW(),INT(NOW())+18/24)-(INT(NOW())+8/24)))*24*NETWORKDAYS.INTL(NOW(),NOW(),1,FERIADOS!$A$2:$A$50)))</f>
        <v/>
      </c>
      <c r="P212" s="1" t="str">
        <f t="shared" si="23"/>
        <v/>
      </c>
      <c r="Q212" s="1" t="str">
        <f t="shared" si="24"/>
        <v/>
      </c>
      <c r="R212" s="1" t="str">
        <f t="shared" si="25"/>
        <v/>
      </c>
      <c r="S212" s="1" t="str">
        <f>IF($A212="","",COUNTIF($N$2:N212,$N212))</f>
        <v/>
      </c>
      <c r="T212" s="1" t="str">
        <f t="shared" si="26"/>
        <v/>
      </c>
      <c r="U212" s="1" t="str">
        <f t="shared" si="27"/>
        <v/>
      </c>
      <c r="V212"/>
    </row>
    <row r="213" spans="13:22" x14ac:dyDescent="0.3">
      <c r="M213" s="1" t="str">
        <f t="shared" si="21"/>
        <v/>
      </c>
      <c r="N213" s="1" t="str">
        <f t="shared" si="22"/>
        <v/>
      </c>
      <c r="O213" s="1" t="str">
        <f ca="1">IF(F213="","",IF(INT(F213)=INT(NOW()),IF(NETWORKDAYS.INTL(F213,F213,1,FERIADOS!$A$2:$A$50)=0,0,MAX(0,(MIN(NOW(),INT(NOW())+18/24)-MAX(F213,INT(F213)+8/24)))*24),MAX(0,(INT(F213)+18/24-MAX(F213,INT(F213)+8/24)))*24*NETWORKDAYS.INTL(F213,F213,1,FERIADOS!$A$2:$A$50)+MAX(0,NETWORKDAYS.INTL(F213+1,NOW()-1,1,FERIADOS!$A$2:$A$50))*10+MAX(0,(MIN(NOW(),INT(NOW())+18/24)-(INT(NOW())+8/24)))*24*NETWORKDAYS.INTL(NOW(),NOW(),1,FERIADOS!$A$2:$A$50)))</f>
        <v/>
      </c>
      <c r="P213" s="1" t="str">
        <f t="shared" si="23"/>
        <v/>
      </c>
      <c r="Q213" s="1" t="str">
        <f t="shared" si="24"/>
        <v/>
      </c>
      <c r="R213" s="1" t="str">
        <f t="shared" si="25"/>
        <v/>
      </c>
      <c r="S213" s="1" t="str">
        <f>IF($A213="","",COUNTIF($N$2:N213,$N213))</f>
        <v/>
      </c>
      <c r="T213" s="1" t="str">
        <f t="shared" si="26"/>
        <v/>
      </c>
      <c r="U213" s="1" t="str">
        <f t="shared" si="27"/>
        <v/>
      </c>
      <c r="V213"/>
    </row>
    <row r="214" spans="13:22" x14ac:dyDescent="0.3">
      <c r="M214" s="1" t="str">
        <f t="shared" si="21"/>
        <v/>
      </c>
      <c r="N214" s="1" t="str">
        <f t="shared" si="22"/>
        <v/>
      </c>
      <c r="O214" s="1" t="str">
        <f ca="1">IF(F214="","",IF(INT(F214)=INT(NOW()),IF(NETWORKDAYS.INTL(F214,F214,1,FERIADOS!$A$2:$A$50)=0,0,MAX(0,(MIN(NOW(),INT(NOW())+18/24)-MAX(F214,INT(F214)+8/24)))*24),MAX(0,(INT(F214)+18/24-MAX(F214,INT(F214)+8/24)))*24*NETWORKDAYS.INTL(F214,F214,1,FERIADOS!$A$2:$A$50)+MAX(0,NETWORKDAYS.INTL(F214+1,NOW()-1,1,FERIADOS!$A$2:$A$50))*10+MAX(0,(MIN(NOW(),INT(NOW())+18/24)-(INT(NOW())+8/24)))*24*NETWORKDAYS.INTL(NOW(),NOW(),1,FERIADOS!$A$2:$A$50)))</f>
        <v/>
      </c>
      <c r="P214" s="1" t="str">
        <f t="shared" si="23"/>
        <v/>
      </c>
      <c r="Q214" s="1" t="str">
        <f t="shared" si="24"/>
        <v/>
      </c>
      <c r="R214" s="1" t="str">
        <f t="shared" si="25"/>
        <v/>
      </c>
      <c r="S214" s="1" t="str">
        <f>IF($A214="","",COUNTIF($N$2:N214,$N214))</f>
        <v/>
      </c>
      <c r="T214" s="1" t="str">
        <f t="shared" si="26"/>
        <v/>
      </c>
      <c r="U214" s="1" t="str">
        <f t="shared" si="27"/>
        <v/>
      </c>
      <c r="V214"/>
    </row>
    <row r="215" spans="13:22" x14ac:dyDescent="0.3">
      <c r="M215" s="1" t="str">
        <f t="shared" si="21"/>
        <v/>
      </c>
      <c r="N215" s="1" t="str">
        <f t="shared" si="22"/>
        <v/>
      </c>
      <c r="O215" s="1" t="str">
        <f ca="1">IF(F215="","",IF(INT(F215)=INT(NOW()),IF(NETWORKDAYS.INTL(F215,F215,1,FERIADOS!$A$2:$A$50)=0,0,MAX(0,(MIN(NOW(),INT(NOW())+18/24)-MAX(F215,INT(F215)+8/24)))*24),MAX(0,(INT(F215)+18/24-MAX(F215,INT(F215)+8/24)))*24*NETWORKDAYS.INTL(F215,F215,1,FERIADOS!$A$2:$A$50)+MAX(0,NETWORKDAYS.INTL(F215+1,NOW()-1,1,FERIADOS!$A$2:$A$50))*10+MAX(0,(MIN(NOW(),INT(NOW())+18/24)-(INT(NOW())+8/24)))*24*NETWORKDAYS.INTL(NOW(),NOW(),1,FERIADOS!$A$2:$A$50)))</f>
        <v/>
      </c>
      <c r="P215" s="1" t="str">
        <f t="shared" si="23"/>
        <v/>
      </c>
      <c r="Q215" s="1" t="str">
        <f t="shared" si="24"/>
        <v/>
      </c>
      <c r="R215" s="1" t="str">
        <f t="shared" si="25"/>
        <v/>
      </c>
      <c r="S215" s="1" t="str">
        <f>IF($A215="","",COUNTIF($N$2:N215,$N215))</f>
        <v/>
      </c>
      <c r="T215" s="1" t="str">
        <f t="shared" si="26"/>
        <v/>
      </c>
      <c r="U215" s="1" t="str">
        <f t="shared" si="27"/>
        <v/>
      </c>
      <c r="V215"/>
    </row>
    <row r="216" spans="13:22" x14ac:dyDescent="0.3">
      <c r="M216" s="1" t="str">
        <f t="shared" si="21"/>
        <v/>
      </c>
      <c r="N216" s="1" t="str">
        <f t="shared" si="22"/>
        <v/>
      </c>
      <c r="O216" s="1" t="str">
        <f ca="1">IF(F216="","",IF(INT(F216)=INT(NOW()),IF(NETWORKDAYS.INTL(F216,F216,1,FERIADOS!$A$2:$A$50)=0,0,MAX(0,(MIN(NOW(),INT(NOW())+18/24)-MAX(F216,INT(F216)+8/24)))*24),MAX(0,(INT(F216)+18/24-MAX(F216,INT(F216)+8/24)))*24*NETWORKDAYS.INTL(F216,F216,1,FERIADOS!$A$2:$A$50)+MAX(0,NETWORKDAYS.INTL(F216+1,NOW()-1,1,FERIADOS!$A$2:$A$50))*10+MAX(0,(MIN(NOW(),INT(NOW())+18/24)-(INT(NOW())+8/24)))*24*NETWORKDAYS.INTL(NOW(),NOW(),1,FERIADOS!$A$2:$A$50)))</f>
        <v/>
      </c>
      <c r="P216" s="1" t="str">
        <f t="shared" si="23"/>
        <v/>
      </c>
      <c r="Q216" s="1" t="str">
        <f t="shared" si="24"/>
        <v/>
      </c>
      <c r="R216" s="1" t="str">
        <f t="shared" si="25"/>
        <v/>
      </c>
      <c r="S216" s="1" t="str">
        <f>IF($A216="","",COUNTIF($N$2:N216,$N216))</f>
        <v/>
      </c>
      <c r="T216" s="1" t="str">
        <f t="shared" si="26"/>
        <v/>
      </c>
      <c r="U216" s="1" t="str">
        <f t="shared" si="27"/>
        <v/>
      </c>
      <c r="V216"/>
    </row>
    <row r="217" spans="13:22" x14ac:dyDescent="0.3">
      <c r="M217" s="1" t="str">
        <f t="shared" si="21"/>
        <v/>
      </c>
      <c r="N217" s="1" t="str">
        <f t="shared" si="22"/>
        <v/>
      </c>
      <c r="O217" s="1" t="str">
        <f ca="1">IF(F217="","",IF(INT(F217)=INT(NOW()),IF(NETWORKDAYS.INTL(F217,F217,1,FERIADOS!$A$2:$A$50)=0,0,MAX(0,(MIN(NOW(),INT(NOW())+18/24)-MAX(F217,INT(F217)+8/24)))*24),MAX(0,(INT(F217)+18/24-MAX(F217,INT(F217)+8/24)))*24*NETWORKDAYS.INTL(F217,F217,1,FERIADOS!$A$2:$A$50)+MAX(0,NETWORKDAYS.INTL(F217+1,NOW()-1,1,FERIADOS!$A$2:$A$50))*10+MAX(0,(MIN(NOW(),INT(NOW())+18/24)-(INT(NOW())+8/24)))*24*NETWORKDAYS.INTL(NOW(),NOW(),1,FERIADOS!$A$2:$A$50)))</f>
        <v/>
      </c>
      <c r="P217" s="1" t="str">
        <f t="shared" si="23"/>
        <v/>
      </c>
      <c r="Q217" s="1" t="str">
        <f t="shared" si="24"/>
        <v/>
      </c>
      <c r="R217" s="1" t="str">
        <f t="shared" si="25"/>
        <v/>
      </c>
      <c r="S217" s="1" t="str">
        <f>IF($A217="","",COUNTIF($N$2:N217,$N217))</f>
        <v/>
      </c>
      <c r="T217" s="1" t="str">
        <f t="shared" si="26"/>
        <v/>
      </c>
      <c r="U217" s="1" t="str">
        <f t="shared" si="27"/>
        <v/>
      </c>
      <c r="V217"/>
    </row>
    <row r="218" spans="13:22" x14ac:dyDescent="0.3">
      <c r="M218" s="1" t="str">
        <f t="shared" si="21"/>
        <v/>
      </c>
      <c r="N218" s="1" t="str">
        <f t="shared" si="22"/>
        <v/>
      </c>
      <c r="O218" s="1" t="str">
        <f ca="1">IF(F218="","",IF(INT(F218)=INT(NOW()),IF(NETWORKDAYS.INTL(F218,F218,1,FERIADOS!$A$2:$A$50)=0,0,MAX(0,(MIN(NOW(),INT(NOW())+18/24)-MAX(F218,INT(F218)+8/24)))*24),MAX(0,(INT(F218)+18/24-MAX(F218,INT(F218)+8/24)))*24*NETWORKDAYS.INTL(F218,F218,1,FERIADOS!$A$2:$A$50)+MAX(0,NETWORKDAYS.INTL(F218+1,NOW()-1,1,FERIADOS!$A$2:$A$50))*10+MAX(0,(MIN(NOW(),INT(NOW())+18/24)-(INT(NOW())+8/24)))*24*NETWORKDAYS.INTL(NOW(),NOW(),1,FERIADOS!$A$2:$A$50)))</f>
        <v/>
      </c>
      <c r="P218" s="1" t="str">
        <f t="shared" si="23"/>
        <v/>
      </c>
      <c r="Q218" s="1" t="str">
        <f t="shared" si="24"/>
        <v/>
      </c>
      <c r="R218" s="1" t="str">
        <f t="shared" si="25"/>
        <v/>
      </c>
      <c r="S218" s="1" t="str">
        <f>IF($A218="","",COUNTIF($N$2:N218,$N218))</f>
        <v/>
      </c>
      <c r="T218" s="1" t="str">
        <f t="shared" si="26"/>
        <v/>
      </c>
      <c r="U218" s="1" t="str">
        <f t="shared" si="27"/>
        <v/>
      </c>
      <c r="V218"/>
    </row>
    <row r="219" spans="13:22" x14ac:dyDescent="0.3">
      <c r="M219" s="1" t="str">
        <f t="shared" si="21"/>
        <v/>
      </c>
      <c r="N219" s="1" t="str">
        <f t="shared" si="22"/>
        <v/>
      </c>
      <c r="O219" s="1" t="str">
        <f ca="1">IF(F219="","",IF(INT(F219)=INT(NOW()),IF(NETWORKDAYS.INTL(F219,F219,1,FERIADOS!$A$2:$A$50)=0,0,MAX(0,(MIN(NOW(),INT(NOW())+18/24)-MAX(F219,INT(F219)+8/24)))*24),MAX(0,(INT(F219)+18/24-MAX(F219,INT(F219)+8/24)))*24*NETWORKDAYS.INTL(F219,F219,1,FERIADOS!$A$2:$A$50)+MAX(0,NETWORKDAYS.INTL(F219+1,NOW()-1,1,FERIADOS!$A$2:$A$50))*10+MAX(0,(MIN(NOW(),INT(NOW())+18/24)-(INT(NOW())+8/24)))*24*NETWORKDAYS.INTL(NOW(),NOW(),1,FERIADOS!$A$2:$A$50)))</f>
        <v/>
      </c>
      <c r="P219" s="1" t="str">
        <f t="shared" si="23"/>
        <v/>
      </c>
      <c r="Q219" s="1" t="str">
        <f t="shared" si="24"/>
        <v/>
      </c>
      <c r="R219" s="1" t="str">
        <f t="shared" si="25"/>
        <v/>
      </c>
      <c r="S219" s="1" t="str">
        <f>IF($A219="","",COUNTIF($N$2:N219,$N219))</f>
        <v/>
      </c>
      <c r="T219" s="1" t="str">
        <f t="shared" si="26"/>
        <v/>
      </c>
      <c r="U219" s="1" t="str">
        <f t="shared" si="27"/>
        <v/>
      </c>
      <c r="V219"/>
    </row>
    <row r="220" spans="13:22" x14ac:dyDescent="0.3">
      <c r="M220" s="1" t="str">
        <f t="shared" si="21"/>
        <v/>
      </c>
      <c r="N220" s="1" t="str">
        <f t="shared" si="22"/>
        <v/>
      </c>
      <c r="O220" s="1" t="str">
        <f ca="1">IF(F220="","",IF(INT(F220)=INT(NOW()),IF(NETWORKDAYS.INTL(F220,F220,1,FERIADOS!$A$2:$A$50)=0,0,MAX(0,(MIN(NOW(),INT(NOW())+18/24)-MAX(F220,INT(F220)+8/24)))*24),MAX(0,(INT(F220)+18/24-MAX(F220,INT(F220)+8/24)))*24*NETWORKDAYS.INTL(F220,F220,1,FERIADOS!$A$2:$A$50)+MAX(0,NETWORKDAYS.INTL(F220+1,NOW()-1,1,FERIADOS!$A$2:$A$50))*10+MAX(0,(MIN(NOW(),INT(NOW())+18/24)-(INT(NOW())+8/24)))*24*NETWORKDAYS.INTL(NOW(),NOW(),1,FERIADOS!$A$2:$A$50)))</f>
        <v/>
      </c>
      <c r="P220" s="1" t="str">
        <f t="shared" si="23"/>
        <v/>
      </c>
      <c r="Q220" s="1" t="str">
        <f t="shared" si="24"/>
        <v/>
      </c>
      <c r="R220" s="1" t="str">
        <f t="shared" si="25"/>
        <v/>
      </c>
      <c r="S220" s="1" t="str">
        <f>IF($A220="","",COUNTIF($N$2:N220,$N220))</f>
        <v/>
      </c>
      <c r="T220" s="1" t="str">
        <f t="shared" si="26"/>
        <v/>
      </c>
      <c r="U220" s="1" t="str">
        <f t="shared" si="27"/>
        <v/>
      </c>
      <c r="V220"/>
    </row>
    <row r="221" spans="13:22" x14ac:dyDescent="0.3">
      <c r="M221" s="1" t="str">
        <f t="shared" si="21"/>
        <v/>
      </c>
      <c r="N221" s="1" t="str">
        <f t="shared" si="22"/>
        <v/>
      </c>
      <c r="O221" s="1" t="str">
        <f ca="1">IF(F221="","",IF(INT(F221)=INT(NOW()),IF(NETWORKDAYS.INTL(F221,F221,1,FERIADOS!$A$2:$A$50)=0,0,MAX(0,(MIN(NOW(),INT(NOW())+18/24)-MAX(F221,INT(F221)+8/24)))*24),MAX(0,(INT(F221)+18/24-MAX(F221,INT(F221)+8/24)))*24*NETWORKDAYS.INTL(F221,F221,1,FERIADOS!$A$2:$A$50)+MAX(0,NETWORKDAYS.INTL(F221+1,NOW()-1,1,FERIADOS!$A$2:$A$50))*10+MAX(0,(MIN(NOW(),INT(NOW())+18/24)-(INT(NOW())+8/24)))*24*NETWORKDAYS.INTL(NOW(),NOW(),1,FERIADOS!$A$2:$A$50)))</f>
        <v/>
      </c>
      <c r="P221" s="1" t="str">
        <f t="shared" si="23"/>
        <v/>
      </c>
      <c r="Q221" s="1" t="str">
        <f t="shared" si="24"/>
        <v/>
      </c>
      <c r="R221" s="1" t="str">
        <f t="shared" si="25"/>
        <v/>
      </c>
      <c r="S221" s="1" t="str">
        <f>IF($A221="","",COUNTIF($N$2:N221,$N221))</f>
        <v/>
      </c>
      <c r="T221" s="1" t="str">
        <f t="shared" si="26"/>
        <v/>
      </c>
      <c r="U221" s="1" t="str">
        <f t="shared" si="27"/>
        <v/>
      </c>
      <c r="V221"/>
    </row>
    <row r="222" spans="13:22" x14ac:dyDescent="0.3">
      <c r="M222" s="1" t="str">
        <f t="shared" si="21"/>
        <v/>
      </c>
      <c r="N222" s="1" t="str">
        <f t="shared" si="22"/>
        <v/>
      </c>
      <c r="O222" s="1" t="str">
        <f ca="1">IF(F222="","",IF(INT(F222)=INT(NOW()),IF(NETWORKDAYS.INTL(F222,F222,1,FERIADOS!$A$2:$A$50)=0,0,MAX(0,(MIN(NOW(),INT(NOW())+18/24)-MAX(F222,INT(F222)+8/24)))*24),MAX(0,(INT(F222)+18/24-MAX(F222,INT(F222)+8/24)))*24*NETWORKDAYS.INTL(F222,F222,1,FERIADOS!$A$2:$A$50)+MAX(0,NETWORKDAYS.INTL(F222+1,NOW()-1,1,FERIADOS!$A$2:$A$50))*10+MAX(0,(MIN(NOW(),INT(NOW())+18/24)-(INT(NOW())+8/24)))*24*NETWORKDAYS.INTL(NOW(),NOW(),1,FERIADOS!$A$2:$A$50)))</f>
        <v/>
      </c>
      <c r="P222" s="1" t="str">
        <f t="shared" si="23"/>
        <v/>
      </c>
      <c r="Q222" s="1" t="str">
        <f t="shared" si="24"/>
        <v/>
      </c>
      <c r="R222" s="1" t="str">
        <f t="shared" si="25"/>
        <v/>
      </c>
      <c r="S222" s="1" t="str">
        <f>IF($A222="","",COUNTIF($N$2:N222,$N222))</f>
        <v/>
      </c>
      <c r="T222" s="1" t="str">
        <f t="shared" si="26"/>
        <v/>
      </c>
      <c r="U222" s="1" t="str">
        <f t="shared" si="27"/>
        <v/>
      </c>
      <c r="V222"/>
    </row>
    <row r="223" spans="13:22" x14ac:dyDescent="0.3">
      <c r="M223" s="1" t="str">
        <f t="shared" si="21"/>
        <v/>
      </c>
      <c r="N223" s="1" t="str">
        <f t="shared" si="22"/>
        <v/>
      </c>
      <c r="O223" s="1" t="str">
        <f ca="1">IF(F223="","",IF(INT(F223)=INT(NOW()),IF(NETWORKDAYS.INTL(F223,F223,1,FERIADOS!$A$2:$A$50)=0,0,MAX(0,(MIN(NOW(),INT(NOW())+18/24)-MAX(F223,INT(F223)+8/24)))*24),MAX(0,(INT(F223)+18/24-MAX(F223,INT(F223)+8/24)))*24*NETWORKDAYS.INTL(F223,F223,1,FERIADOS!$A$2:$A$50)+MAX(0,NETWORKDAYS.INTL(F223+1,NOW()-1,1,FERIADOS!$A$2:$A$50))*10+MAX(0,(MIN(NOW(),INT(NOW())+18/24)-(INT(NOW())+8/24)))*24*NETWORKDAYS.INTL(NOW(),NOW(),1,FERIADOS!$A$2:$A$50)))</f>
        <v/>
      </c>
      <c r="P223" s="1" t="str">
        <f t="shared" si="23"/>
        <v/>
      </c>
      <c r="Q223" s="1" t="str">
        <f t="shared" si="24"/>
        <v/>
      </c>
      <c r="R223" s="1" t="str">
        <f t="shared" si="25"/>
        <v/>
      </c>
      <c r="S223" s="1" t="str">
        <f>IF($A223="","",COUNTIF($N$2:N223,$N223))</f>
        <v/>
      </c>
      <c r="T223" s="1" t="str">
        <f t="shared" si="26"/>
        <v/>
      </c>
      <c r="U223" s="1" t="str">
        <f t="shared" si="27"/>
        <v/>
      </c>
      <c r="V223"/>
    </row>
    <row r="224" spans="13:22" x14ac:dyDescent="0.3">
      <c r="M224" s="1" t="str">
        <f t="shared" si="21"/>
        <v/>
      </c>
      <c r="N224" s="1" t="str">
        <f t="shared" si="22"/>
        <v/>
      </c>
      <c r="O224" s="1" t="str">
        <f ca="1">IF(F224="","",IF(INT(F224)=INT(NOW()),IF(NETWORKDAYS.INTL(F224,F224,1,FERIADOS!$A$2:$A$50)=0,0,MAX(0,(MIN(NOW(),INT(NOW())+18/24)-MAX(F224,INT(F224)+8/24)))*24),MAX(0,(INT(F224)+18/24-MAX(F224,INT(F224)+8/24)))*24*NETWORKDAYS.INTL(F224,F224,1,FERIADOS!$A$2:$A$50)+MAX(0,NETWORKDAYS.INTL(F224+1,NOW()-1,1,FERIADOS!$A$2:$A$50))*10+MAX(0,(MIN(NOW(),INT(NOW())+18/24)-(INT(NOW())+8/24)))*24*NETWORKDAYS.INTL(NOW(),NOW(),1,FERIADOS!$A$2:$A$50)))</f>
        <v/>
      </c>
      <c r="P224" s="1" t="str">
        <f t="shared" si="23"/>
        <v/>
      </c>
      <c r="Q224" s="1" t="str">
        <f t="shared" si="24"/>
        <v/>
      </c>
      <c r="R224" s="1" t="str">
        <f t="shared" si="25"/>
        <v/>
      </c>
      <c r="S224" s="1" t="str">
        <f>IF($A224="","",COUNTIF($N$2:N224,$N224))</f>
        <v/>
      </c>
      <c r="T224" s="1" t="str">
        <f t="shared" si="26"/>
        <v/>
      </c>
      <c r="U224" s="1" t="str">
        <f t="shared" si="27"/>
        <v/>
      </c>
      <c r="V224"/>
    </row>
    <row r="225" spans="13:22" x14ac:dyDescent="0.3">
      <c r="M225" s="1" t="str">
        <f t="shared" si="21"/>
        <v/>
      </c>
      <c r="N225" s="1" t="str">
        <f t="shared" si="22"/>
        <v/>
      </c>
      <c r="O225" s="1" t="str">
        <f ca="1">IF(F225="","",IF(INT(F225)=INT(NOW()),IF(NETWORKDAYS.INTL(F225,F225,1,FERIADOS!$A$2:$A$50)=0,0,MAX(0,(MIN(NOW(),INT(NOW())+18/24)-MAX(F225,INT(F225)+8/24)))*24),MAX(0,(INT(F225)+18/24-MAX(F225,INT(F225)+8/24)))*24*NETWORKDAYS.INTL(F225,F225,1,FERIADOS!$A$2:$A$50)+MAX(0,NETWORKDAYS.INTL(F225+1,NOW()-1,1,FERIADOS!$A$2:$A$50))*10+MAX(0,(MIN(NOW(),INT(NOW())+18/24)-(INT(NOW())+8/24)))*24*NETWORKDAYS.INTL(NOW(),NOW(),1,FERIADOS!$A$2:$A$50)))</f>
        <v/>
      </c>
      <c r="P225" s="1" t="str">
        <f t="shared" si="23"/>
        <v/>
      </c>
      <c r="Q225" s="1" t="str">
        <f t="shared" si="24"/>
        <v/>
      </c>
      <c r="R225" s="1" t="str">
        <f t="shared" si="25"/>
        <v/>
      </c>
      <c r="S225" s="1" t="str">
        <f>IF($A225="","",COUNTIF($N$2:N225,$N225))</f>
        <v/>
      </c>
      <c r="T225" s="1" t="str">
        <f t="shared" si="26"/>
        <v/>
      </c>
      <c r="U225" s="1" t="str">
        <f t="shared" si="27"/>
        <v/>
      </c>
      <c r="V225"/>
    </row>
    <row r="226" spans="13:22" x14ac:dyDescent="0.3">
      <c r="M226" s="1" t="str">
        <f t="shared" si="21"/>
        <v/>
      </c>
      <c r="N226" s="1" t="str">
        <f t="shared" si="22"/>
        <v/>
      </c>
      <c r="O226" s="1" t="str">
        <f ca="1">IF(F226="","",IF(INT(F226)=INT(NOW()),IF(NETWORKDAYS.INTL(F226,F226,1,FERIADOS!$A$2:$A$50)=0,0,MAX(0,(MIN(NOW(),INT(NOW())+18/24)-MAX(F226,INT(F226)+8/24)))*24),MAX(0,(INT(F226)+18/24-MAX(F226,INT(F226)+8/24)))*24*NETWORKDAYS.INTL(F226,F226,1,FERIADOS!$A$2:$A$50)+MAX(0,NETWORKDAYS.INTL(F226+1,NOW()-1,1,FERIADOS!$A$2:$A$50))*10+MAX(0,(MIN(NOW(),INT(NOW())+18/24)-(INT(NOW())+8/24)))*24*NETWORKDAYS.INTL(NOW(),NOW(),1,FERIADOS!$A$2:$A$50)))</f>
        <v/>
      </c>
      <c r="P226" s="1" t="str">
        <f t="shared" si="23"/>
        <v/>
      </c>
      <c r="Q226" s="1" t="str">
        <f t="shared" si="24"/>
        <v/>
      </c>
      <c r="R226" s="1" t="str">
        <f t="shared" si="25"/>
        <v/>
      </c>
      <c r="S226" s="1" t="str">
        <f>IF($A226="","",COUNTIF($N$2:N226,$N226))</f>
        <v/>
      </c>
      <c r="T226" s="1" t="str">
        <f t="shared" si="26"/>
        <v/>
      </c>
      <c r="U226" s="1" t="str">
        <f t="shared" si="27"/>
        <v/>
      </c>
      <c r="V226"/>
    </row>
    <row r="227" spans="13:22" x14ac:dyDescent="0.3">
      <c r="M227" s="1" t="str">
        <f t="shared" si="21"/>
        <v/>
      </c>
      <c r="N227" s="1" t="str">
        <f t="shared" si="22"/>
        <v/>
      </c>
      <c r="O227" s="1" t="str">
        <f ca="1">IF(F227="","",IF(INT(F227)=INT(NOW()),IF(NETWORKDAYS.INTL(F227,F227,1,FERIADOS!$A$2:$A$50)=0,0,MAX(0,(MIN(NOW(),INT(NOW())+18/24)-MAX(F227,INT(F227)+8/24)))*24),MAX(0,(INT(F227)+18/24-MAX(F227,INT(F227)+8/24)))*24*NETWORKDAYS.INTL(F227,F227,1,FERIADOS!$A$2:$A$50)+MAX(0,NETWORKDAYS.INTL(F227+1,NOW()-1,1,FERIADOS!$A$2:$A$50))*10+MAX(0,(MIN(NOW(),INT(NOW())+18/24)-(INT(NOW())+8/24)))*24*NETWORKDAYS.INTL(NOW(),NOW(),1,FERIADOS!$A$2:$A$50)))</f>
        <v/>
      </c>
      <c r="P227" s="1" t="str">
        <f t="shared" si="23"/>
        <v/>
      </c>
      <c r="Q227" s="1" t="str">
        <f t="shared" si="24"/>
        <v/>
      </c>
      <c r="R227" s="1" t="str">
        <f t="shared" si="25"/>
        <v/>
      </c>
      <c r="S227" s="1" t="str">
        <f>IF($A227="","",COUNTIF($N$2:N227,$N227))</f>
        <v/>
      </c>
      <c r="T227" s="1" t="str">
        <f t="shared" si="26"/>
        <v/>
      </c>
      <c r="U227" s="1" t="str">
        <f t="shared" si="27"/>
        <v/>
      </c>
      <c r="V227"/>
    </row>
    <row r="228" spans="13:22" x14ac:dyDescent="0.3">
      <c r="M228" s="1" t="str">
        <f t="shared" si="21"/>
        <v/>
      </c>
      <c r="N228" s="1" t="str">
        <f t="shared" si="22"/>
        <v/>
      </c>
      <c r="O228" s="1" t="str">
        <f ca="1">IF(F228="","",IF(INT(F228)=INT(NOW()),IF(NETWORKDAYS.INTL(F228,F228,1,FERIADOS!$A$2:$A$50)=0,0,MAX(0,(MIN(NOW(),INT(NOW())+18/24)-MAX(F228,INT(F228)+8/24)))*24),MAX(0,(INT(F228)+18/24-MAX(F228,INT(F228)+8/24)))*24*NETWORKDAYS.INTL(F228,F228,1,FERIADOS!$A$2:$A$50)+MAX(0,NETWORKDAYS.INTL(F228+1,NOW()-1,1,FERIADOS!$A$2:$A$50))*10+MAX(0,(MIN(NOW(),INT(NOW())+18/24)-(INT(NOW())+8/24)))*24*NETWORKDAYS.INTL(NOW(),NOW(),1,FERIADOS!$A$2:$A$50)))</f>
        <v/>
      </c>
      <c r="P228" s="1" t="str">
        <f t="shared" si="23"/>
        <v/>
      </c>
      <c r="Q228" s="1" t="str">
        <f t="shared" si="24"/>
        <v/>
      </c>
      <c r="R228" s="1" t="str">
        <f t="shared" si="25"/>
        <v/>
      </c>
      <c r="S228" s="1" t="str">
        <f>IF($A228="","",COUNTIF($N$2:N228,$N228))</f>
        <v/>
      </c>
      <c r="T228" s="1" t="str">
        <f t="shared" si="26"/>
        <v/>
      </c>
      <c r="U228" s="1" t="str">
        <f t="shared" si="27"/>
        <v/>
      </c>
      <c r="V228"/>
    </row>
    <row r="229" spans="13:22" x14ac:dyDescent="0.3">
      <c r="M229" s="1" t="str">
        <f t="shared" si="21"/>
        <v/>
      </c>
      <c r="N229" s="1" t="str">
        <f t="shared" si="22"/>
        <v/>
      </c>
      <c r="O229" s="1" t="str">
        <f ca="1">IF(F229="","",IF(INT(F229)=INT(NOW()),IF(NETWORKDAYS.INTL(F229,F229,1,FERIADOS!$A$2:$A$50)=0,0,MAX(0,(MIN(NOW(),INT(NOW())+18/24)-MAX(F229,INT(F229)+8/24)))*24),MAX(0,(INT(F229)+18/24-MAX(F229,INT(F229)+8/24)))*24*NETWORKDAYS.INTL(F229,F229,1,FERIADOS!$A$2:$A$50)+MAX(0,NETWORKDAYS.INTL(F229+1,NOW()-1,1,FERIADOS!$A$2:$A$50))*10+MAX(0,(MIN(NOW(),INT(NOW())+18/24)-(INT(NOW())+8/24)))*24*NETWORKDAYS.INTL(NOW(),NOW(),1,FERIADOS!$A$2:$A$50)))</f>
        <v/>
      </c>
      <c r="P229" s="1" t="str">
        <f t="shared" si="23"/>
        <v/>
      </c>
      <c r="Q229" s="1" t="str">
        <f t="shared" si="24"/>
        <v/>
      </c>
      <c r="R229" s="1" t="str">
        <f t="shared" si="25"/>
        <v/>
      </c>
      <c r="S229" s="1" t="str">
        <f>IF($A229="","",COUNTIF($N$2:N229,$N229))</f>
        <v/>
      </c>
      <c r="T229" s="1" t="str">
        <f t="shared" si="26"/>
        <v/>
      </c>
      <c r="U229" s="1" t="str">
        <f t="shared" si="27"/>
        <v/>
      </c>
      <c r="V229"/>
    </row>
    <row r="230" spans="13:22" x14ac:dyDescent="0.3">
      <c r="M230" s="1" t="str">
        <f t="shared" si="21"/>
        <v/>
      </c>
      <c r="N230" s="1" t="str">
        <f t="shared" si="22"/>
        <v/>
      </c>
      <c r="O230" s="1" t="str">
        <f ca="1">IF(F230="","",IF(INT(F230)=INT(NOW()),IF(NETWORKDAYS.INTL(F230,F230,1,FERIADOS!$A$2:$A$50)=0,0,MAX(0,(MIN(NOW(),INT(NOW())+18/24)-MAX(F230,INT(F230)+8/24)))*24),MAX(0,(INT(F230)+18/24-MAX(F230,INT(F230)+8/24)))*24*NETWORKDAYS.INTL(F230,F230,1,FERIADOS!$A$2:$A$50)+MAX(0,NETWORKDAYS.INTL(F230+1,NOW()-1,1,FERIADOS!$A$2:$A$50))*10+MAX(0,(MIN(NOW(),INT(NOW())+18/24)-(INT(NOW())+8/24)))*24*NETWORKDAYS.INTL(NOW(),NOW(),1,FERIADOS!$A$2:$A$50)))</f>
        <v/>
      </c>
      <c r="P230" s="1" t="str">
        <f t="shared" si="23"/>
        <v/>
      </c>
      <c r="Q230" s="1" t="str">
        <f t="shared" si="24"/>
        <v/>
      </c>
      <c r="R230" s="1" t="str">
        <f t="shared" si="25"/>
        <v/>
      </c>
      <c r="S230" s="1" t="str">
        <f>IF($A230="","",COUNTIF($N$2:N230,$N230))</f>
        <v/>
      </c>
      <c r="T230" s="1" t="str">
        <f t="shared" si="26"/>
        <v/>
      </c>
      <c r="U230" s="1" t="str">
        <f t="shared" si="27"/>
        <v/>
      </c>
      <c r="V230"/>
    </row>
    <row r="231" spans="13:22" x14ac:dyDescent="0.3">
      <c r="M231" s="1" t="str">
        <f t="shared" si="21"/>
        <v/>
      </c>
      <c r="N231" s="1" t="str">
        <f t="shared" si="22"/>
        <v/>
      </c>
      <c r="O231" s="1" t="str">
        <f ca="1">IF(F231="","",IF(INT(F231)=INT(NOW()),IF(NETWORKDAYS.INTL(F231,F231,1,FERIADOS!$A$2:$A$50)=0,0,MAX(0,(MIN(NOW(),INT(NOW())+18/24)-MAX(F231,INT(F231)+8/24)))*24),MAX(0,(INT(F231)+18/24-MAX(F231,INT(F231)+8/24)))*24*NETWORKDAYS.INTL(F231,F231,1,FERIADOS!$A$2:$A$50)+MAX(0,NETWORKDAYS.INTL(F231+1,NOW()-1,1,FERIADOS!$A$2:$A$50))*10+MAX(0,(MIN(NOW(),INT(NOW())+18/24)-(INT(NOW())+8/24)))*24*NETWORKDAYS.INTL(NOW(),NOW(),1,FERIADOS!$A$2:$A$50)))</f>
        <v/>
      </c>
      <c r="P231" s="1" t="str">
        <f t="shared" si="23"/>
        <v/>
      </c>
      <c r="Q231" s="1" t="str">
        <f t="shared" si="24"/>
        <v/>
      </c>
      <c r="R231" s="1" t="str">
        <f t="shared" si="25"/>
        <v/>
      </c>
      <c r="S231" s="1" t="str">
        <f>IF($A231="","",COUNTIF($N$2:N231,$N231))</f>
        <v/>
      </c>
      <c r="T231" s="1" t="str">
        <f t="shared" si="26"/>
        <v/>
      </c>
      <c r="U231" s="1" t="str">
        <f t="shared" si="27"/>
        <v/>
      </c>
      <c r="V231"/>
    </row>
    <row r="232" spans="13:22" x14ac:dyDescent="0.3">
      <c r="M232" s="1" t="str">
        <f t="shared" si="21"/>
        <v/>
      </c>
      <c r="N232" s="1" t="str">
        <f t="shared" si="22"/>
        <v/>
      </c>
      <c r="O232" s="1" t="str">
        <f ca="1">IF(F232="","",IF(INT(F232)=INT(NOW()),IF(NETWORKDAYS.INTL(F232,F232,1,FERIADOS!$A$2:$A$50)=0,0,MAX(0,(MIN(NOW(),INT(NOW())+18/24)-MAX(F232,INT(F232)+8/24)))*24),MAX(0,(INT(F232)+18/24-MAX(F232,INT(F232)+8/24)))*24*NETWORKDAYS.INTL(F232,F232,1,FERIADOS!$A$2:$A$50)+MAX(0,NETWORKDAYS.INTL(F232+1,NOW()-1,1,FERIADOS!$A$2:$A$50))*10+MAX(0,(MIN(NOW(),INT(NOW())+18/24)-(INT(NOW())+8/24)))*24*NETWORKDAYS.INTL(NOW(),NOW(),1,FERIADOS!$A$2:$A$50)))</f>
        <v/>
      </c>
      <c r="P232" s="1" t="str">
        <f t="shared" si="23"/>
        <v/>
      </c>
      <c r="Q232" s="1" t="str">
        <f t="shared" si="24"/>
        <v/>
      </c>
      <c r="R232" s="1" t="str">
        <f t="shared" si="25"/>
        <v/>
      </c>
      <c r="S232" s="1" t="str">
        <f>IF($A232="","",COUNTIF($N$2:N232,$N232))</f>
        <v/>
      </c>
      <c r="T232" s="1" t="str">
        <f t="shared" si="26"/>
        <v/>
      </c>
      <c r="U232" s="1" t="str">
        <f t="shared" si="27"/>
        <v/>
      </c>
      <c r="V232"/>
    </row>
    <row r="233" spans="13:22" x14ac:dyDescent="0.3">
      <c r="M233" s="1" t="str">
        <f t="shared" si="21"/>
        <v/>
      </c>
      <c r="N233" s="1" t="str">
        <f t="shared" si="22"/>
        <v/>
      </c>
      <c r="O233" s="1" t="str">
        <f ca="1">IF(F233="","",IF(INT(F233)=INT(NOW()),IF(NETWORKDAYS.INTL(F233,F233,1,FERIADOS!$A$2:$A$50)=0,0,MAX(0,(MIN(NOW(),INT(NOW())+18/24)-MAX(F233,INT(F233)+8/24)))*24),MAX(0,(INT(F233)+18/24-MAX(F233,INT(F233)+8/24)))*24*NETWORKDAYS.INTL(F233,F233,1,FERIADOS!$A$2:$A$50)+MAX(0,NETWORKDAYS.INTL(F233+1,NOW()-1,1,FERIADOS!$A$2:$A$50))*10+MAX(0,(MIN(NOW(),INT(NOW())+18/24)-(INT(NOW())+8/24)))*24*NETWORKDAYS.INTL(NOW(),NOW(),1,FERIADOS!$A$2:$A$50)))</f>
        <v/>
      </c>
      <c r="P233" s="1" t="str">
        <f t="shared" si="23"/>
        <v/>
      </c>
      <c r="Q233" s="1" t="str">
        <f t="shared" si="24"/>
        <v/>
      </c>
      <c r="R233" s="1" t="str">
        <f t="shared" si="25"/>
        <v/>
      </c>
      <c r="S233" s="1" t="str">
        <f>IF($A233="","",COUNTIF($N$2:N233,$N233))</f>
        <v/>
      </c>
      <c r="T233" s="1" t="str">
        <f t="shared" si="26"/>
        <v/>
      </c>
      <c r="U233" s="1" t="str">
        <f t="shared" si="27"/>
        <v/>
      </c>
      <c r="V233"/>
    </row>
    <row r="234" spans="13:22" x14ac:dyDescent="0.3">
      <c r="M234" s="1" t="str">
        <f t="shared" si="21"/>
        <v/>
      </c>
      <c r="N234" s="1" t="str">
        <f t="shared" si="22"/>
        <v/>
      </c>
      <c r="O234" s="1" t="str">
        <f ca="1">IF(F234="","",IF(INT(F234)=INT(NOW()),IF(NETWORKDAYS.INTL(F234,F234,1,FERIADOS!$A$2:$A$50)=0,0,MAX(0,(MIN(NOW(),INT(NOW())+18/24)-MAX(F234,INT(F234)+8/24)))*24),MAX(0,(INT(F234)+18/24-MAX(F234,INT(F234)+8/24)))*24*NETWORKDAYS.INTL(F234,F234,1,FERIADOS!$A$2:$A$50)+MAX(0,NETWORKDAYS.INTL(F234+1,NOW()-1,1,FERIADOS!$A$2:$A$50))*10+MAX(0,(MIN(NOW(),INT(NOW())+18/24)-(INT(NOW())+8/24)))*24*NETWORKDAYS.INTL(NOW(),NOW(),1,FERIADOS!$A$2:$A$50)))</f>
        <v/>
      </c>
      <c r="P234" s="1" t="str">
        <f t="shared" si="23"/>
        <v/>
      </c>
      <c r="Q234" s="1" t="str">
        <f t="shared" si="24"/>
        <v/>
      </c>
      <c r="R234" s="1" t="str">
        <f t="shared" si="25"/>
        <v/>
      </c>
      <c r="S234" s="1" t="str">
        <f>IF($A234="","",COUNTIF($N$2:N234,$N234))</f>
        <v/>
      </c>
      <c r="T234" s="1" t="str">
        <f t="shared" si="26"/>
        <v/>
      </c>
      <c r="U234" s="1" t="str">
        <f t="shared" si="27"/>
        <v/>
      </c>
      <c r="V234"/>
    </row>
    <row r="235" spans="13:22" x14ac:dyDescent="0.3">
      <c r="M235" s="1" t="str">
        <f t="shared" si="21"/>
        <v/>
      </c>
      <c r="N235" s="1" t="str">
        <f t="shared" si="22"/>
        <v/>
      </c>
      <c r="O235" s="1" t="str">
        <f ca="1">IF(F235="","",IF(INT(F235)=INT(NOW()),IF(NETWORKDAYS.INTL(F235,F235,1,FERIADOS!$A$2:$A$50)=0,0,MAX(0,(MIN(NOW(),INT(NOW())+18/24)-MAX(F235,INT(F235)+8/24)))*24),MAX(0,(INT(F235)+18/24-MAX(F235,INT(F235)+8/24)))*24*NETWORKDAYS.INTL(F235,F235,1,FERIADOS!$A$2:$A$50)+MAX(0,NETWORKDAYS.INTL(F235+1,NOW()-1,1,FERIADOS!$A$2:$A$50))*10+MAX(0,(MIN(NOW(),INT(NOW())+18/24)-(INT(NOW())+8/24)))*24*NETWORKDAYS.INTL(NOW(),NOW(),1,FERIADOS!$A$2:$A$50)))</f>
        <v/>
      </c>
      <c r="P235" s="1" t="str">
        <f t="shared" si="23"/>
        <v/>
      </c>
      <c r="Q235" s="1" t="str">
        <f t="shared" si="24"/>
        <v/>
      </c>
      <c r="R235" s="1" t="str">
        <f t="shared" si="25"/>
        <v/>
      </c>
      <c r="S235" s="1" t="str">
        <f>IF($A235="","",COUNTIF($N$2:N235,$N235))</f>
        <v/>
      </c>
      <c r="T235" s="1" t="str">
        <f t="shared" si="26"/>
        <v/>
      </c>
      <c r="U235" s="1" t="str">
        <f t="shared" si="27"/>
        <v/>
      </c>
      <c r="V235"/>
    </row>
    <row r="236" spans="13:22" x14ac:dyDescent="0.3">
      <c r="M236" s="1" t="str">
        <f t="shared" si="21"/>
        <v/>
      </c>
      <c r="N236" s="1" t="str">
        <f t="shared" si="22"/>
        <v/>
      </c>
      <c r="O236" s="1" t="str">
        <f ca="1">IF(F236="","",IF(INT(F236)=INT(NOW()),IF(NETWORKDAYS.INTL(F236,F236,1,FERIADOS!$A$2:$A$50)=0,0,MAX(0,(MIN(NOW(),INT(NOW())+18/24)-MAX(F236,INT(F236)+8/24)))*24),MAX(0,(INT(F236)+18/24-MAX(F236,INT(F236)+8/24)))*24*NETWORKDAYS.INTL(F236,F236,1,FERIADOS!$A$2:$A$50)+MAX(0,NETWORKDAYS.INTL(F236+1,NOW()-1,1,FERIADOS!$A$2:$A$50))*10+MAX(0,(MIN(NOW(),INT(NOW())+18/24)-(INT(NOW())+8/24)))*24*NETWORKDAYS.INTL(NOW(),NOW(),1,FERIADOS!$A$2:$A$50)))</f>
        <v/>
      </c>
      <c r="P236" s="1" t="str">
        <f t="shared" si="23"/>
        <v/>
      </c>
      <c r="Q236" s="1" t="str">
        <f t="shared" si="24"/>
        <v/>
      </c>
      <c r="R236" s="1" t="str">
        <f t="shared" si="25"/>
        <v/>
      </c>
      <c r="S236" s="1" t="str">
        <f>IF($A236="","",COUNTIF($N$2:N236,$N236))</f>
        <v/>
      </c>
      <c r="T236" s="1" t="str">
        <f t="shared" si="26"/>
        <v/>
      </c>
      <c r="U236" s="1" t="str">
        <f t="shared" si="27"/>
        <v/>
      </c>
      <c r="V236"/>
    </row>
    <row r="237" spans="13:22" x14ac:dyDescent="0.3">
      <c r="M237" s="1" t="str">
        <f t="shared" si="21"/>
        <v/>
      </c>
      <c r="N237" s="1" t="str">
        <f t="shared" si="22"/>
        <v/>
      </c>
      <c r="O237" s="1" t="str">
        <f ca="1">IF(F237="","",IF(INT(F237)=INT(NOW()),IF(NETWORKDAYS.INTL(F237,F237,1,FERIADOS!$A$2:$A$50)=0,0,MAX(0,(MIN(NOW(),INT(NOW())+18/24)-MAX(F237,INT(F237)+8/24)))*24),MAX(0,(INT(F237)+18/24-MAX(F237,INT(F237)+8/24)))*24*NETWORKDAYS.INTL(F237,F237,1,FERIADOS!$A$2:$A$50)+MAX(0,NETWORKDAYS.INTL(F237+1,NOW()-1,1,FERIADOS!$A$2:$A$50))*10+MAX(0,(MIN(NOW(),INT(NOW())+18/24)-(INT(NOW())+8/24)))*24*NETWORKDAYS.INTL(NOW(),NOW(),1,FERIADOS!$A$2:$A$50)))</f>
        <v/>
      </c>
      <c r="P237" s="1" t="str">
        <f t="shared" si="23"/>
        <v/>
      </c>
      <c r="Q237" s="1" t="str">
        <f t="shared" si="24"/>
        <v/>
      </c>
      <c r="R237" s="1" t="str">
        <f t="shared" si="25"/>
        <v/>
      </c>
      <c r="S237" s="1" t="str">
        <f>IF($A237="","",COUNTIF($N$2:N237,$N237))</f>
        <v/>
      </c>
      <c r="T237" s="1" t="str">
        <f t="shared" si="26"/>
        <v/>
      </c>
      <c r="U237" s="1" t="str">
        <f t="shared" si="27"/>
        <v/>
      </c>
      <c r="V237"/>
    </row>
    <row r="238" spans="13:22" x14ac:dyDescent="0.3">
      <c r="M238" s="1" t="str">
        <f t="shared" si="21"/>
        <v/>
      </c>
      <c r="N238" s="1" t="str">
        <f t="shared" si="22"/>
        <v/>
      </c>
      <c r="O238" s="1" t="str">
        <f ca="1">IF(F238="","",IF(INT(F238)=INT(NOW()),IF(NETWORKDAYS.INTL(F238,F238,1,FERIADOS!$A$2:$A$50)=0,0,MAX(0,(MIN(NOW(),INT(NOW())+18/24)-MAX(F238,INT(F238)+8/24)))*24),MAX(0,(INT(F238)+18/24-MAX(F238,INT(F238)+8/24)))*24*NETWORKDAYS.INTL(F238,F238,1,FERIADOS!$A$2:$A$50)+MAX(0,NETWORKDAYS.INTL(F238+1,NOW()-1,1,FERIADOS!$A$2:$A$50))*10+MAX(0,(MIN(NOW(),INT(NOW())+18/24)-(INT(NOW())+8/24)))*24*NETWORKDAYS.INTL(NOW(),NOW(),1,FERIADOS!$A$2:$A$50)))</f>
        <v/>
      </c>
      <c r="P238" s="1" t="str">
        <f t="shared" si="23"/>
        <v/>
      </c>
      <c r="Q238" s="1" t="str">
        <f t="shared" si="24"/>
        <v/>
      </c>
      <c r="R238" s="1" t="str">
        <f t="shared" si="25"/>
        <v/>
      </c>
      <c r="S238" s="1" t="str">
        <f>IF($A238="","",COUNTIF($N$2:N238,$N238))</f>
        <v/>
      </c>
      <c r="T238" s="1" t="str">
        <f t="shared" si="26"/>
        <v/>
      </c>
      <c r="U238" s="1" t="str">
        <f t="shared" si="27"/>
        <v/>
      </c>
      <c r="V238"/>
    </row>
    <row r="239" spans="13:22" x14ac:dyDescent="0.3">
      <c r="M239" s="1" t="str">
        <f t="shared" si="21"/>
        <v/>
      </c>
      <c r="N239" s="1" t="str">
        <f t="shared" si="22"/>
        <v/>
      </c>
      <c r="O239" s="1" t="str">
        <f ca="1">IF(F239="","",IF(INT(F239)=INT(NOW()),IF(NETWORKDAYS.INTL(F239,F239,1,FERIADOS!$A$2:$A$50)=0,0,MAX(0,(MIN(NOW(),INT(NOW())+18/24)-MAX(F239,INT(F239)+8/24)))*24),MAX(0,(INT(F239)+18/24-MAX(F239,INT(F239)+8/24)))*24*NETWORKDAYS.INTL(F239,F239,1,FERIADOS!$A$2:$A$50)+MAX(0,NETWORKDAYS.INTL(F239+1,NOW()-1,1,FERIADOS!$A$2:$A$50))*10+MAX(0,(MIN(NOW(),INT(NOW())+18/24)-(INT(NOW())+8/24)))*24*NETWORKDAYS.INTL(NOW(),NOW(),1,FERIADOS!$A$2:$A$50)))</f>
        <v/>
      </c>
      <c r="P239" s="1" t="str">
        <f t="shared" si="23"/>
        <v/>
      </c>
      <c r="Q239" s="1" t="str">
        <f t="shared" si="24"/>
        <v/>
      </c>
      <c r="R239" s="1" t="str">
        <f t="shared" si="25"/>
        <v/>
      </c>
      <c r="S239" s="1" t="str">
        <f>IF($A239="","",COUNTIF($N$2:N239,$N239))</f>
        <v/>
      </c>
      <c r="T239" s="1" t="str">
        <f t="shared" si="26"/>
        <v/>
      </c>
      <c r="U239" s="1" t="str">
        <f t="shared" si="27"/>
        <v/>
      </c>
      <c r="V239"/>
    </row>
    <row r="240" spans="13:22" x14ac:dyDescent="0.3">
      <c r="M240" s="1" t="str">
        <f t="shared" si="21"/>
        <v/>
      </c>
      <c r="N240" s="1" t="str">
        <f t="shared" si="22"/>
        <v/>
      </c>
      <c r="O240" s="1" t="str">
        <f ca="1">IF(F240="","",IF(INT(F240)=INT(NOW()),IF(NETWORKDAYS.INTL(F240,F240,1,FERIADOS!$A$2:$A$50)=0,0,MAX(0,(MIN(NOW(),INT(NOW())+18/24)-MAX(F240,INT(F240)+8/24)))*24),MAX(0,(INT(F240)+18/24-MAX(F240,INT(F240)+8/24)))*24*NETWORKDAYS.INTL(F240,F240,1,FERIADOS!$A$2:$A$50)+MAX(0,NETWORKDAYS.INTL(F240+1,NOW()-1,1,FERIADOS!$A$2:$A$50))*10+MAX(0,(MIN(NOW(),INT(NOW())+18/24)-(INT(NOW())+8/24)))*24*NETWORKDAYS.INTL(NOW(),NOW(),1,FERIADOS!$A$2:$A$50)))</f>
        <v/>
      </c>
      <c r="P240" s="1" t="str">
        <f t="shared" si="23"/>
        <v/>
      </c>
      <c r="Q240" s="1" t="str">
        <f t="shared" si="24"/>
        <v/>
      </c>
      <c r="R240" s="1" t="str">
        <f t="shared" si="25"/>
        <v/>
      </c>
      <c r="S240" s="1" t="str">
        <f>IF($A240="","",COUNTIF($N$2:N240,$N240))</f>
        <v/>
      </c>
      <c r="T240" s="1" t="str">
        <f t="shared" si="26"/>
        <v/>
      </c>
      <c r="U240" s="1" t="str">
        <f t="shared" si="27"/>
        <v/>
      </c>
      <c r="V240"/>
    </row>
    <row r="241" spans="13:22" x14ac:dyDescent="0.3">
      <c r="M241" s="1" t="str">
        <f t="shared" si="21"/>
        <v/>
      </c>
      <c r="N241" s="1" t="str">
        <f t="shared" si="22"/>
        <v/>
      </c>
      <c r="O241" s="1" t="str">
        <f ca="1">IF(F241="","",IF(INT(F241)=INT(NOW()),IF(NETWORKDAYS.INTL(F241,F241,1,FERIADOS!$A$2:$A$50)=0,0,MAX(0,(MIN(NOW(),INT(NOW())+18/24)-MAX(F241,INT(F241)+8/24)))*24),MAX(0,(INT(F241)+18/24-MAX(F241,INT(F241)+8/24)))*24*NETWORKDAYS.INTL(F241,F241,1,FERIADOS!$A$2:$A$50)+MAX(0,NETWORKDAYS.INTL(F241+1,NOW()-1,1,FERIADOS!$A$2:$A$50))*10+MAX(0,(MIN(NOW(),INT(NOW())+18/24)-(INT(NOW())+8/24)))*24*NETWORKDAYS.INTL(NOW(),NOW(),1,FERIADOS!$A$2:$A$50)))</f>
        <v/>
      </c>
      <c r="P241" s="1" t="str">
        <f t="shared" si="23"/>
        <v/>
      </c>
      <c r="Q241" s="1" t="str">
        <f t="shared" si="24"/>
        <v/>
      </c>
      <c r="R241" s="1" t="str">
        <f t="shared" si="25"/>
        <v/>
      </c>
      <c r="S241" s="1" t="str">
        <f>IF($A241="","",COUNTIF($N$2:N241,$N241))</f>
        <v/>
      </c>
      <c r="T241" s="1" t="str">
        <f t="shared" si="26"/>
        <v/>
      </c>
      <c r="U241" s="1" t="str">
        <f t="shared" si="27"/>
        <v/>
      </c>
      <c r="V241"/>
    </row>
    <row r="242" spans="13:22" x14ac:dyDescent="0.3">
      <c r="M242" s="1" t="str">
        <f t="shared" si="21"/>
        <v/>
      </c>
      <c r="N242" s="1" t="str">
        <f t="shared" si="22"/>
        <v/>
      </c>
      <c r="O242" s="1" t="str">
        <f ca="1">IF(F242="","",IF(INT(F242)=INT(NOW()),IF(NETWORKDAYS.INTL(F242,F242,1,FERIADOS!$A$2:$A$50)=0,0,MAX(0,(MIN(NOW(),INT(NOW())+18/24)-MAX(F242,INT(F242)+8/24)))*24),MAX(0,(INT(F242)+18/24-MAX(F242,INT(F242)+8/24)))*24*NETWORKDAYS.INTL(F242,F242,1,FERIADOS!$A$2:$A$50)+MAX(0,NETWORKDAYS.INTL(F242+1,NOW()-1,1,FERIADOS!$A$2:$A$50))*10+MAX(0,(MIN(NOW(),INT(NOW())+18/24)-(INT(NOW())+8/24)))*24*NETWORKDAYS.INTL(NOW(),NOW(),1,FERIADOS!$A$2:$A$50)))</f>
        <v/>
      </c>
      <c r="P242" s="1" t="str">
        <f t="shared" si="23"/>
        <v/>
      </c>
      <c r="Q242" s="1" t="str">
        <f t="shared" si="24"/>
        <v/>
      </c>
      <c r="R242" s="1" t="str">
        <f t="shared" si="25"/>
        <v/>
      </c>
      <c r="S242" s="1" t="str">
        <f>IF($A242="","",COUNTIF($N$2:N242,$N242))</f>
        <v/>
      </c>
      <c r="T242" s="1" t="str">
        <f t="shared" si="26"/>
        <v/>
      </c>
      <c r="U242" s="1" t="str">
        <f t="shared" si="27"/>
        <v/>
      </c>
      <c r="V242"/>
    </row>
    <row r="243" spans="13:22" x14ac:dyDescent="0.3">
      <c r="M243" s="1" t="str">
        <f t="shared" si="21"/>
        <v/>
      </c>
      <c r="N243" s="1" t="str">
        <f t="shared" si="22"/>
        <v/>
      </c>
      <c r="O243" s="1" t="str">
        <f ca="1">IF(F243="","",IF(INT(F243)=INT(NOW()),IF(NETWORKDAYS.INTL(F243,F243,1,FERIADOS!$A$2:$A$50)=0,0,MAX(0,(MIN(NOW(),INT(NOW())+18/24)-MAX(F243,INT(F243)+8/24)))*24),MAX(0,(INT(F243)+18/24-MAX(F243,INT(F243)+8/24)))*24*NETWORKDAYS.INTL(F243,F243,1,FERIADOS!$A$2:$A$50)+MAX(0,NETWORKDAYS.INTL(F243+1,NOW()-1,1,FERIADOS!$A$2:$A$50))*10+MAX(0,(MIN(NOW(),INT(NOW())+18/24)-(INT(NOW())+8/24)))*24*NETWORKDAYS.INTL(NOW(),NOW(),1,FERIADOS!$A$2:$A$50)))</f>
        <v/>
      </c>
      <c r="P243" s="1" t="str">
        <f t="shared" si="23"/>
        <v/>
      </c>
      <c r="Q243" s="1" t="str">
        <f t="shared" si="24"/>
        <v/>
      </c>
      <c r="R243" s="1" t="str">
        <f t="shared" si="25"/>
        <v/>
      </c>
      <c r="S243" s="1" t="str">
        <f>IF($A243="","",COUNTIF($N$2:N243,$N243))</f>
        <v/>
      </c>
      <c r="T243" s="1" t="str">
        <f t="shared" si="26"/>
        <v/>
      </c>
      <c r="U243" s="1" t="str">
        <f t="shared" si="27"/>
        <v/>
      </c>
      <c r="V243"/>
    </row>
    <row r="244" spans="13:22" x14ac:dyDescent="0.3">
      <c r="M244" s="1" t="str">
        <f t="shared" si="21"/>
        <v/>
      </c>
      <c r="N244" s="1" t="str">
        <f t="shared" si="22"/>
        <v/>
      </c>
      <c r="O244" s="1" t="str">
        <f ca="1">IF(F244="","",IF(INT(F244)=INT(NOW()),IF(NETWORKDAYS.INTL(F244,F244,1,FERIADOS!$A$2:$A$50)=0,0,MAX(0,(MIN(NOW(),INT(NOW())+18/24)-MAX(F244,INT(F244)+8/24)))*24),MAX(0,(INT(F244)+18/24-MAX(F244,INT(F244)+8/24)))*24*NETWORKDAYS.INTL(F244,F244,1,FERIADOS!$A$2:$A$50)+MAX(0,NETWORKDAYS.INTL(F244+1,NOW()-1,1,FERIADOS!$A$2:$A$50))*10+MAX(0,(MIN(NOW(),INT(NOW())+18/24)-(INT(NOW())+8/24)))*24*NETWORKDAYS.INTL(NOW(),NOW(),1,FERIADOS!$A$2:$A$50)))</f>
        <v/>
      </c>
      <c r="P244" s="1" t="str">
        <f t="shared" si="23"/>
        <v/>
      </c>
      <c r="Q244" s="1" t="str">
        <f t="shared" si="24"/>
        <v/>
      </c>
      <c r="R244" s="1" t="str">
        <f t="shared" si="25"/>
        <v/>
      </c>
      <c r="S244" s="1" t="str">
        <f>IF($A244="","",COUNTIF($N$2:N244,$N244))</f>
        <v/>
      </c>
      <c r="T244" s="1" t="str">
        <f t="shared" si="26"/>
        <v/>
      </c>
      <c r="U244" s="1" t="str">
        <f t="shared" si="27"/>
        <v/>
      </c>
      <c r="V244"/>
    </row>
    <row r="245" spans="13:22" x14ac:dyDescent="0.3">
      <c r="M245" s="1" t="str">
        <f t="shared" si="21"/>
        <v/>
      </c>
      <c r="N245" s="1" t="str">
        <f t="shared" si="22"/>
        <v/>
      </c>
      <c r="O245" s="1" t="str">
        <f ca="1">IF(F245="","",IF(INT(F245)=INT(NOW()),IF(NETWORKDAYS.INTL(F245,F245,1,FERIADOS!$A$2:$A$50)=0,0,MAX(0,(MIN(NOW(),INT(NOW())+18/24)-MAX(F245,INT(F245)+8/24)))*24),MAX(0,(INT(F245)+18/24-MAX(F245,INT(F245)+8/24)))*24*NETWORKDAYS.INTL(F245,F245,1,FERIADOS!$A$2:$A$50)+MAX(0,NETWORKDAYS.INTL(F245+1,NOW()-1,1,FERIADOS!$A$2:$A$50))*10+MAX(0,(MIN(NOW(),INT(NOW())+18/24)-(INT(NOW())+8/24)))*24*NETWORKDAYS.INTL(NOW(),NOW(),1,FERIADOS!$A$2:$A$50)))</f>
        <v/>
      </c>
      <c r="P245" s="1" t="str">
        <f t="shared" si="23"/>
        <v/>
      </c>
      <c r="Q245" s="1" t="str">
        <f t="shared" si="24"/>
        <v/>
      </c>
      <c r="R245" s="1" t="str">
        <f t="shared" si="25"/>
        <v/>
      </c>
      <c r="S245" s="1" t="str">
        <f>IF($A245="","",COUNTIF($N$2:N245,$N245))</f>
        <v/>
      </c>
      <c r="T245" s="1" t="str">
        <f t="shared" si="26"/>
        <v/>
      </c>
      <c r="U245" s="1" t="str">
        <f t="shared" si="27"/>
        <v/>
      </c>
      <c r="V245"/>
    </row>
    <row r="246" spans="13:22" x14ac:dyDescent="0.3">
      <c r="M246" s="1" t="str">
        <f t="shared" si="21"/>
        <v/>
      </c>
      <c r="N246" s="1" t="str">
        <f t="shared" si="22"/>
        <v/>
      </c>
      <c r="O246" s="1" t="str">
        <f ca="1">IF(F246="","",IF(INT(F246)=INT(NOW()),IF(NETWORKDAYS.INTL(F246,F246,1,FERIADOS!$A$2:$A$50)=0,0,MAX(0,(MIN(NOW(),INT(NOW())+18/24)-MAX(F246,INT(F246)+8/24)))*24),MAX(0,(INT(F246)+18/24-MAX(F246,INT(F246)+8/24)))*24*NETWORKDAYS.INTL(F246,F246,1,FERIADOS!$A$2:$A$50)+MAX(0,NETWORKDAYS.INTL(F246+1,NOW()-1,1,FERIADOS!$A$2:$A$50))*10+MAX(0,(MIN(NOW(),INT(NOW())+18/24)-(INT(NOW())+8/24)))*24*NETWORKDAYS.INTL(NOW(),NOW(),1,FERIADOS!$A$2:$A$50)))</f>
        <v/>
      </c>
      <c r="P246" s="1" t="str">
        <f t="shared" si="23"/>
        <v/>
      </c>
      <c r="Q246" s="1" t="str">
        <f t="shared" si="24"/>
        <v/>
      </c>
      <c r="R246" s="1" t="str">
        <f t="shared" si="25"/>
        <v/>
      </c>
      <c r="S246" s="1" t="str">
        <f>IF($A246="","",COUNTIF($N$2:N246,$N246))</f>
        <v/>
      </c>
      <c r="T246" s="1" t="str">
        <f t="shared" si="26"/>
        <v/>
      </c>
      <c r="U246" s="1" t="str">
        <f t="shared" si="27"/>
        <v/>
      </c>
      <c r="V246"/>
    </row>
    <row r="247" spans="13:22" x14ac:dyDescent="0.3">
      <c r="M247" s="1" t="str">
        <f t="shared" si="21"/>
        <v/>
      </c>
      <c r="N247" s="1" t="str">
        <f t="shared" si="22"/>
        <v/>
      </c>
      <c r="O247" s="1" t="str">
        <f ca="1">IF(F247="","",IF(INT(F247)=INT(NOW()),IF(NETWORKDAYS.INTL(F247,F247,1,FERIADOS!$A$2:$A$50)=0,0,MAX(0,(MIN(NOW(),INT(NOW())+18/24)-MAX(F247,INT(F247)+8/24)))*24),MAX(0,(INT(F247)+18/24-MAX(F247,INT(F247)+8/24)))*24*NETWORKDAYS.INTL(F247,F247,1,FERIADOS!$A$2:$A$50)+MAX(0,NETWORKDAYS.INTL(F247+1,NOW()-1,1,FERIADOS!$A$2:$A$50))*10+MAX(0,(MIN(NOW(),INT(NOW())+18/24)-(INT(NOW())+8/24)))*24*NETWORKDAYS.INTL(NOW(),NOW(),1,FERIADOS!$A$2:$A$50)))</f>
        <v/>
      </c>
      <c r="P247" s="1" t="str">
        <f t="shared" si="23"/>
        <v/>
      </c>
      <c r="Q247" s="1" t="str">
        <f t="shared" si="24"/>
        <v/>
      </c>
      <c r="R247" s="1" t="str">
        <f t="shared" si="25"/>
        <v/>
      </c>
      <c r="S247" s="1" t="str">
        <f>IF($A247="","",COUNTIF($N$2:N247,$N247))</f>
        <v/>
      </c>
      <c r="T247" s="1" t="str">
        <f t="shared" si="26"/>
        <v/>
      </c>
      <c r="U247" s="1" t="str">
        <f t="shared" si="27"/>
        <v/>
      </c>
      <c r="V247"/>
    </row>
    <row r="248" spans="13:22" x14ac:dyDescent="0.3">
      <c r="M248" s="1" t="str">
        <f t="shared" si="21"/>
        <v/>
      </c>
      <c r="N248" s="1" t="str">
        <f t="shared" si="22"/>
        <v/>
      </c>
      <c r="O248" s="1" t="str">
        <f ca="1">IF(F248="","",IF(INT(F248)=INT(NOW()),IF(NETWORKDAYS.INTL(F248,F248,1,FERIADOS!$A$2:$A$50)=0,0,MAX(0,(MIN(NOW(),INT(NOW())+18/24)-MAX(F248,INT(F248)+8/24)))*24),MAX(0,(INT(F248)+18/24-MAX(F248,INT(F248)+8/24)))*24*NETWORKDAYS.INTL(F248,F248,1,FERIADOS!$A$2:$A$50)+MAX(0,NETWORKDAYS.INTL(F248+1,NOW()-1,1,FERIADOS!$A$2:$A$50))*10+MAX(0,(MIN(NOW(),INT(NOW())+18/24)-(INT(NOW())+8/24)))*24*NETWORKDAYS.INTL(NOW(),NOW(),1,FERIADOS!$A$2:$A$50)))</f>
        <v/>
      </c>
      <c r="P248" s="1" t="str">
        <f t="shared" si="23"/>
        <v/>
      </c>
      <c r="Q248" s="1" t="str">
        <f t="shared" si="24"/>
        <v/>
      </c>
      <c r="R248" s="1" t="str">
        <f t="shared" si="25"/>
        <v/>
      </c>
      <c r="S248" s="1" t="str">
        <f>IF($A248="","",COUNTIF($N$2:N248,$N248))</f>
        <v/>
      </c>
      <c r="T248" s="1" t="str">
        <f t="shared" si="26"/>
        <v/>
      </c>
      <c r="U248" s="1" t="str">
        <f t="shared" si="27"/>
        <v/>
      </c>
      <c r="V248"/>
    </row>
    <row r="249" spans="13:22" x14ac:dyDescent="0.3">
      <c r="M249" s="1" t="str">
        <f t="shared" si="21"/>
        <v/>
      </c>
      <c r="N249" s="1" t="str">
        <f t="shared" si="22"/>
        <v/>
      </c>
      <c r="O249" s="1" t="str">
        <f ca="1">IF(F249="","",IF(INT(F249)=INT(NOW()),IF(NETWORKDAYS.INTL(F249,F249,1,FERIADOS!$A$2:$A$50)=0,0,MAX(0,(MIN(NOW(),INT(NOW())+18/24)-MAX(F249,INT(F249)+8/24)))*24),MAX(0,(INT(F249)+18/24-MAX(F249,INT(F249)+8/24)))*24*NETWORKDAYS.INTL(F249,F249,1,FERIADOS!$A$2:$A$50)+MAX(0,NETWORKDAYS.INTL(F249+1,NOW()-1,1,FERIADOS!$A$2:$A$50))*10+MAX(0,(MIN(NOW(),INT(NOW())+18/24)-(INT(NOW())+8/24)))*24*NETWORKDAYS.INTL(NOW(),NOW(),1,FERIADOS!$A$2:$A$50)))</f>
        <v/>
      </c>
      <c r="P249" s="1" t="str">
        <f t="shared" si="23"/>
        <v/>
      </c>
      <c r="Q249" s="1" t="str">
        <f t="shared" si="24"/>
        <v/>
      </c>
      <c r="R249" s="1" t="str">
        <f t="shared" si="25"/>
        <v/>
      </c>
      <c r="S249" s="1" t="str">
        <f>IF($A249="","",COUNTIF($N$2:N249,$N249))</f>
        <v/>
      </c>
      <c r="T249" s="1" t="str">
        <f t="shared" si="26"/>
        <v/>
      </c>
      <c r="U249" s="1" t="str">
        <f t="shared" si="27"/>
        <v/>
      </c>
      <c r="V249"/>
    </row>
    <row r="250" spans="13:22" x14ac:dyDescent="0.3">
      <c r="M250" s="1" t="str">
        <f t="shared" si="21"/>
        <v/>
      </c>
      <c r="N250" s="1" t="str">
        <f t="shared" si="22"/>
        <v/>
      </c>
      <c r="O250" s="1" t="str">
        <f ca="1">IF(F250="","",IF(INT(F250)=INT(NOW()),IF(NETWORKDAYS.INTL(F250,F250,1,FERIADOS!$A$2:$A$50)=0,0,MAX(0,(MIN(NOW(),INT(NOW())+18/24)-MAX(F250,INT(F250)+8/24)))*24),MAX(0,(INT(F250)+18/24-MAX(F250,INT(F250)+8/24)))*24*NETWORKDAYS.INTL(F250,F250,1,FERIADOS!$A$2:$A$50)+MAX(0,NETWORKDAYS.INTL(F250+1,NOW()-1,1,FERIADOS!$A$2:$A$50))*10+MAX(0,(MIN(NOW(),INT(NOW())+18/24)-(INT(NOW())+8/24)))*24*NETWORKDAYS.INTL(NOW(),NOW(),1,FERIADOS!$A$2:$A$50)))</f>
        <v/>
      </c>
      <c r="P250" s="1" t="str">
        <f t="shared" si="23"/>
        <v/>
      </c>
      <c r="Q250" s="1" t="str">
        <f t="shared" si="24"/>
        <v/>
      </c>
      <c r="R250" s="1" t="str">
        <f t="shared" si="25"/>
        <v/>
      </c>
      <c r="S250" s="1" t="str">
        <f>IF($A250="","",COUNTIF($N$2:N250,$N250))</f>
        <v/>
      </c>
      <c r="T250" s="1" t="str">
        <f t="shared" si="26"/>
        <v/>
      </c>
      <c r="U250" s="1" t="str">
        <f t="shared" si="27"/>
        <v/>
      </c>
      <c r="V250"/>
    </row>
    <row r="251" spans="13:22" x14ac:dyDescent="0.3">
      <c r="M251" s="1" t="str">
        <f t="shared" si="21"/>
        <v/>
      </c>
      <c r="N251" s="1" t="str">
        <f t="shared" si="22"/>
        <v/>
      </c>
      <c r="O251" s="1" t="str">
        <f ca="1">IF(F251="","",IF(INT(F251)=INT(NOW()),IF(NETWORKDAYS.INTL(F251,F251,1,FERIADOS!$A$2:$A$50)=0,0,MAX(0,(MIN(NOW(),INT(NOW())+18/24)-MAX(F251,INT(F251)+8/24)))*24),MAX(0,(INT(F251)+18/24-MAX(F251,INT(F251)+8/24)))*24*NETWORKDAYS.INTL(F251,F251,1,FERIADOS!$A$2:$A$50)+MAX(0,NETWORKDAYS.INTL(F251+1,NOW()-1,1,FERIADOS!$A$2:$A$50))*10+MAX(0,(MIN(NOW(),INT(NOW())+18/24)-(INT(NOW())+8/24)))*24*NETWORKDAYS.INTL(NOW(),NOW(),1,FERIADOS!$A$2:$A$50)))</f>
        <v/>
      </c>
      <c r="P251" s="1" t="str">
        <f t="shared" si="23"/>
        <v/>
      </c>
      <c r="Q251" s="1" t="str">
        <f t="shared" si="24"/>
        <v/>
      </c>
      <c r="R251" s="1" t="str">
        <f t="shared" si="25"/>
        <v/>
      </c>
      <c r="S251" s="1" t="str">
        <f>IF($A251="","",COUNTIF($N$2:N251,$N251))</f>
        <v/>
      </c>
      <c r="T251" s="1" t="str">
        <f t="shared" si="26"/>
        <v/>
      </c>
      <c r="U251" s="1" t="str">
        <f t="shared" si="27"/>
        <v/>
      </c>
      <c r="V251"/>
    </row>
    <row r="252" spans="13:22" x14ac:dyDescent="0.3">
      <c r="M252" s="1" t="str">
        <f t="shared" si="21"/>
        <v/>
      </c>
      <c r="N252" s="1" t="str">
        <f t="shared" si="22"/>
        <v/>
      </c>
      <c r="O252" s="1" t="str">
        <f ca="1">IF(F252="","",IF(INT(F252)=INT(NOW()),IF(NETWORKDAYS.INTL(F252,F252,1,FERIADOS!$A$2:$A$50)=0,0,MAX(0,(MIN(NOW(),INT(NOW())+18/24)-MAX(F252,INT(F252)+8/24)))*24),MAX(0,(INT(F252)+18/24-MAX(F252,INT(F252)+8/24)))*24*NETWORKDAYS.INTL(F252,F252,1,FERIADOS!$A$2:$A$50)+MAX(0,NETWORKDAYS.INTL(F252+1,NOW()-1,1,FERIADOS!$A$2:$A$50))*10+MAX(0,(MIN(NOW(),INT(NOW())+18/24)-(INT(NOW())+8/24)))*24*NETWORKDAYS.INTL(NOW(),NOW(),1,FERIADOS!$A$2:$A$50)))</f>
        <v/>
      </c>
      <c r="P252" s="1" t="str">
        <f t="shared" si="23"/>
        <v/>
      </c>
      <c r="Q252" s="1" t="str">
        <f t="shared" si="24"/>
        <v/>
      </c>
      <c r="R252" s="1" t="str">
        <f t="shared" si="25"/>
        <v/>
      </c>
      <c r="S252" s="1" t="str">
        <f>IF($A252="","",COUNTIF($N$2:N252,$N252))</f>
        <v/>
      </c>
      <c r="T252" s="1" t="str">
        <f t="shared" si="26"/>
        <v/>
      </c>
      <c r="U252" s="1" t="str">
        <f t="shared" si="27"/>
        <v/>
      </c>
      <c r="V252"/>
    </row>
    <row r="253" spans="13:22" x14ac:dyDescent="0.3">
      <c r="M253" s="1" t="str">
        <f t="shared" si="21"/>
        <v/>
      </c>
      <c r="N253" s="1" t="str">
        <f t="shared" si="22"/>
        <v/>
      </c>
      <c r="O253" s="1" t="str">
        <f ca="1">IF(F253="","",IF(INT(F253)=INT(NOW()),IF(NETWORKDAYS.INTL(F253,F253,1,FERIADOS!$A$2:$A$50)=0,0,MAX(0,(MIN(NOW(),INT(NOW())+18/24)-MAX(F253,INT(F253)+8/24)))*24),MAX(0,(INT(F253)+18/24-MAX(F253,INT(F253)+8/24)))*24*NETWORKDAYS.INTL(F253,F253,1,FERIADOS!$A$2:$A$50)+MAX(0,NETWORKDAYS.INTL(F253+1,NOW()-1,1,FERIADOS!$A$2:$A$50))*10+MAX(0,(MIN(NOW(),INT(NOW())+18/24)-(INT(NOW())+8/24)))*24*NETWORKDAYS.INTL(NOW(),NOW(),1,FERIADOS!$A$2:$A$50)))</f>
        <v/>
      </c>
      <c r="P253" s="1" t="str">
        <f t="shared" si="23"/>
        <v/>
      </c>
      <c r="Q253" s="1" t="str">
        <f t="shared" si="24"/>
        <v/>
      </c>
      <c r="R253" s="1" t="str">
        <f t="shared" si="25"/>
        <v/>
      </c>
      <c r="S253" s="1" t="str">
        <f>IF($A253="","",COUNTIF($N$2:N253,$N253))</f>
        <v/>
      </c>
      <c r="T253" s="1" t="str">
        <f t="shared" si="26"/>
        <v/>
      </c>
      <c r="U253" s="1" t="str">
        <f t="shared" si="27"/>
        <v/>
      </c>
      <c r="V253"/>
    </row>
    <row r="254" spans="13:22" x14ac:dyDescent="0.3">
      <c r="M254" s="1" t="str">
        <f t="shared" si="21"/>
        <v/>
      </c>
      <c r="N254" s="1" t="str">
        <f t="shared" si="22"/>
        <v/>
      </c>
      <c r="O254" s="1" t="str">
        <f ca="1">IF(F254="","",IF(INT(F254)=INT(NOW()),IF(NETWORKDAYS.INTL(F254,F254,1,FERIADOS!$A$2:$A$50)=0,0,MAX(0,(MIN(NOW(),INT(NOW())+18/24)-MAX(F254,INT(F254)+8/24)))*24),MAX(0,(INT(F254)+18/24-MAX(F254,INT(F254)+8/24)))*24*NETWORKDAYS.INTL(F254,F254,1,FERIADOS!$A$2:$A$50)+MAX(0,NETWORKDAYS.INTL(F254+1,NOW()-1,1,FERIADOS!$A$2:$A$50))*10+MAX(0,(MIN(NOW(),INT(NOW())+18/24)-(INT(NOW())+8/24)))*24*NETWORKDAYS.INTL(NOW(),NOW(),1,FERIADOS!$A$2:$A$50)))</f>
        <v/>
      </c>
      <c r="P254" s="1" t="str">
        <f t="shared" si="23"/>
        <v/>
      </c>
      <c r="Q254" s="1" t="str">
        <f t="shared" si="24"/>
        <v/>
      </c>
      <c r="R254" s="1" t="str">
        <f t="shared" si="25"/>
        <v/>
      </c>
      <c r="S254" s="1" t="str">
        <f>IF($A254="","",COUNTIF($N$2:N254,$N254))</f>
        <v/>
      </c>
      <c r="T254" s="1" t="str">
        <f t="shared" si="26"/>
        <v/>
      </c>
      <c r="U254" s="1" t="str">
        <f t="shared" si="27"/>
        <v/>
      </c>
      <c r="V254"/>
    </row>
    <row r="255" spans="13:22" x14ac:dyDescent="0.3">
      <c r="M255" s="1" t="str">
        <f t="shared" si="21"/>
        <v/>
      </c>
      <c r="N255" s="1" t="str">
        <f t="shared" si="22"/>
        <v/>
      </c>
      <c r="O255" s="1" t="str">
        <f ca="1">IF(F255="","",IF(INT(F255)=INT(NOW()),IF(NETWORKDAYS.INTL(F255,F255,1,FERIADOS!$A$2:$A$50)=0,0,MAX(0,(MIN(NOW(),INT(NOW())+18/24)-MAX(F255,INT(F255)+8/24)))*24),MAX(0,(INT(F255)+18/24-MAX(F255,INT(F255)+8/24)))*24*NETWORKDAYS.INTL(F255,F255,1,FERIADOS!$A$2:$A$50)+MAX(0,NETWORKDAYS.INTL(F255+1,NOW()-1,1,FERIADOS!$A$2:$A$50))*10+MAX(0,(MIN(NOW(),INT(NOW())+18/24)-(INT(NOW())+8/24)))*24*NETWORKDAYS.INTL(NOW(),NOW(),1,FERIADOS!$A$2:$A$50)))</f>
        <v/>
      </c>
      <c r="P255" s="1" t="str">
        <f t="shared" si="23"/>
        <v/>
      </c>
      <c r="Q255" s="1" t="str">
        <f t="shared" si="24"/>
        <v/>
      </c>
      <c r="R255" s="1" t="str">
        <f t="shared" si="25"/>
        <v/>
      </c>
      <c r="S255" s="1" t="str">
        <f>IF($A255="","",COUNTIF($N$2:N255,$N255))</f>
        <v/>
      </c>
      <c r="T255" s="1" t="str">
        <f t="shared" si="26"/>
        <v/>
      </c>
      <c r="U255" s="1" t="str">
        <f t="shared" si="27"/>
        <v/>
      </c>
      <c r="V255"/>
    </row>
    <row r="256" spans="13:22" x14ac:dyDescent="0.3">
      <c r="M256" s="1" t="str">
        <f t="shared" si="21"/>
        <v/>
      </c>
      <c r="N256" s="1" t="str">
        <f t="shared" si="22"/>
        <v/>
      </c>
      <c r="O256" s="1" t="str">
        <f ca="1">IF(F256="","",IF(INT(F256)=INT(NOW()),IF(NETWORKDAYS.INTL(F256,F256,1,FERIADOS!$A$2:$A$50)=0,0,MAX(0,(MIN(NOW(),INT(NOW())+18/24)-MAX(F256,INT(F256)+8/24)))*24),MAX(0,(INT(F256)+18/24-MAX(F256,INT(F256)+8/24)))*24*NETWORKDAYS.INTL(F256,F256,1,FERIADOS!$A$2:$A$50)+MAX(0,NETWORKDAYS.INTL(F256+1,NOW()-1,1,FERIADOS!$A$2:$A$50))*10+MAX(0,(MIN(NOW(),INT(NOW())+18/24)-(INT(NOW())+8/24)))*24*NETWORKDAYS.INTL(NOW(),NOW(),1,FERIADOS!$A$2:$A$50)))</f>
        <v/>
      </c>
      <c r="P256" s="1" t="str">
        <f t="shared" si="23"/>
        <v/>
      </c>
      <c r="Q256" s="1" t="str">
        <f t="shared" si="24"/>
        <v/>
      </c>
      <c r="R256" s="1" t="str">
        <f t="shared" si="25"/>
        <v/>
      </c>
      <c r="S256" s="1" t="str">
        <f>IF($A256="","",COUNTIF($N$2:N256,$N256))</f>
        <v/>
      </c>
      <c r="T256" s="1" t="str">
        <f t="shared" si="26"/>
        <v/>
      </c>
      <c r="U256" s="1" t="str">
        <f t="shared" si="27"/>
        <v/>
      </c>
      <c r="V256"/>
    </row>
    <row r="257" spans="13:22" x14ac:dyDescent="0.3">
      <c r="M257" s="1" t="str">
        <f t="shared" si="21"/>
        <v/>
      </c>
      <c r="N257" s="1" t="str">
        <f t="shared" si="22"/>
        <v/>
      </c>
      <c r="O257" s="1" t="str">
        <f ca="1">IF(F257="","",IF(INT(F257)=INT(NOW()),IF(NETWORKDAYS.INTL(F257,F257,1,FERIADOS!$A$2:$A$50)=0,0,MAX(0,(MIN(NOW(),INT(NOW())+18/24)-MAX(F257,INT(F257)+8/24)))*24),MAX(0,(INT(F257)+18/24-MAX(F257,INT(F257)+8/24)))*24*NETWORKDAYS.INTL(F257,F257,1,FERIADOS!$A$2:$A$50)+MAX(0,NETWORKDAYS.INTL(F257+1,NOW()-1,1,FERIADOS!$A$2:$A$50))*10+MAX(0,(MIN(NOW(),INT(NOW())+18/24)-(INT(NOW())+8/24)))*24*NETWORKDAYS.INTL(NOW(),NOW(),1,FERIADOS!$A$2:$A$50)))</f>
        <v/>
      </c>
      <c r="P257" s="1" t="str">
        <f t="shared" si="23"/>
        <v/>
      </c>
      <c r="Q257" s="1" t="str">
        <f t="shared" si="24"/>
        <v/>
      </c>
      <c r="R257" s="1" t="str">
        <f t="shared" si="25"/>
        <v/>
      </c>
      <c r="S257" s="1" t="str">
        <f>IF($A257="","",COUNTIF($N$2:N257,$N257))</f>
        <v/>
      </c>
      <c r="T257" s="1" t="str">
        <f t="shared" si="26"/>
        <v/>
      </c>
      <c r="U257" s="1" t="str">
        <f t="shared" si="27"/>
        <v/>
      </c>
      <c r="V257"/>
    </row>
    <row r="258" spans="13:22" x14ac:dyDescent="0.3">
      <c r="M258" s="1" t="str">
        <f t="shared" ref="M258:M321" si="28">IF($A258="","",IF($L258="MA",IF(OR(UPPER($K258)="SAO LUIS",UPPER($K258)="SÃO LUIS",UPPER($K258)="PACO DO LUMIAR",UPPER($K258)="PAÇO DO LUMIAR",UPPER($K258)="SAO JOSE DE RIBAMAR",UPPER($K258)="SÃO JOSÉ DE RIBAMAR"),"MA CAP","MA INT"),IF($L258="PA",IF(OR(UPPER($K258)="BELEM",UPPER($K258)="BELÉM",UPPER($K258)="ANANINDEUA"),"PA CAP","PA INT"),IF($L258="PI",IF(UPPER($K258)="TERESINA","PI CAP","PI INT"),IF($L258="AM","AM INT",IF($L258="AP","AP","OUTROS"))))))</f>
        <v/>
      </c>
      <c r="N258" s="1" t="str">
        <f t="shared" ref="N258:N321" si="29">IF($A258="","",IF($M258="PI CAP","GIGA+ PI",IF($M258="PI INT","GIGA+ PI",IF($M258="MA CAP","SLN MA",IF($M258="MA INT","GIGA+ MA",IF($M258="PA CAP","SLN PA",IF($M258="PA INT","SLN PA",IF($M258="AM INT","ADX",IF($M258="AP","ADX","OUTROS")))))))))</f>
        <v/>
      </c>
      <c r="O258" s="1" t="str">
        <f ca="1">IF(F258="","",IF(INT(F258)=INT(NOW()),IF(NETWORKDAYS.INTL(F258,F258,1,FERIADOS!$A$2:$A$50)=0,0,MAX(0,(MIN(NOW(),INT(NOW())+18/24)-MAX(F258,INT(F258)+8/24)))*24),MAX(0,(INT(F258)+18/24-MAX(F258,INT(F258)+8/24)))*24*NETWORKDAYS.INTL(F258,F258,1,FERIADOS!$A$2:$A$50)+MAX(0,NETWORKDAYS.INTL(F258+1,NOW()-1,1,FERIADOS!$A$2:$A$50))*10+MAX(0,(MIN(NOW(),INT(NOW())+18/24)-(INT(NOW())+8/24)))*24*NETWORKDAYS.INTL(NOW(),NOW(),1,FERIADOS!$A$2:$A$50)))</f>
        <v/>
      </c>
      <c r="P258" s="1" t="str">
        <f t="shared" ref="P258:P321" si="30">IF($A258="","",IF(OR(O258="",O258=0),"00h 00m",TEXT(INT(O258),"00") &amp; "h " &amp; TEXT(INT((O258-INT(O258))*60),"00") &amp; "m"))</f>
        <v/>
      </c>
      <c r="Q258" s="1" t="str">
        <f t="shared" ref="Q258:Q321" si="31">IF($A258="","",IF(OR(O258="",O258&lt;=4),"🔵 Até 4h",IF(O258&lt;=8,"🟢 Entre 4h e 8h",IF(O258&lt;=12,"🟡 Entre 8h e 12h",IF(O258&lt;=24,"🟠 Entre 12h e 24h","🔴 Maior que 24h")))))</f>
        <v/>
      </c>
      <c r="R258" s="1" t="str">
        <f t="shared" ref="R258:R321" si="32">IF($A258="","",IF(OR(O258="",O258&lt;=8),"NO PRAZO","FORA DO PRAZO"))</f>
        <v/>
      </c>
      <c r="S258" s="1" t="str">
        <f>IF($A258="","",COUNTIF($N$2:N258,$N258))</f>
        <v/>
      </c>
      <c r="T258" s="1" t="str">
        <f t="shared" ref="T258:T321" si="33">IF($A258="","",IF($N258="SLN MA",1,IF($N258="GIGA+ MA",2,IF($N258="GIGA+ PI",3,IF($N258="SLN PA",4,IF($N258="ADX",5,6))))))</f>
        <v/>
      </c>
      <c r="U258" s="1" t="str">
        <f t="shared" ref="U258:U321" si="34">IF($A258="","",$T258*10000+$S258)</f>
        <v/>
      </c>
      <c r="V258"/>
    </row>
    <row r="259" spans="13:22" x14ac:dyDescent="0.3">
      <c r="M259" s="1" t="str">
        <f t="shared" si="28"/>
        <v/>
      </c>
      <c r="N259" s="1" t="str">
        <f t="shared" si="29"/>
        <v/>
      </c>
      <c r="O259" s="1" t="str">
        <f ca="1">IF(F259="","",IF(INT(F259)=INT(NOW()),IF(NETWORKDAYS.INTL(F259,F259,1,FERIADOS!$A$2:$A$50)=0,0,MAX(0,(MIN(NOW(),INT(NOW())+18/24)-MAX(F259,INT(F259)+8/24)))*24),MAX(0,(INT(F259)+18/24-MAX(F259,INT(F259)+8/24)))*24*NETWORKDAYS.INTL(F259,F259,1,FERIADOS!$A$2:$A$50)+MAX(0,NETWORKDAYS.INTL(F259+1,NOW()-1,1,FERIADOS!$A$2:$A$50))*10+MAX(0,(MIN(NOW(),INT(NOW())+18/24)-(INT(NOW())+8/24)))*24*NETWORKDAYS.INTL(NOW(),NOW(),1,FERIADOS!$A$2:$A$50)))</f>
        <v/>
      </c>
      <c r="P259" s="1" t="str">
        <f t="shared" si="30"/>
        <v/>
      </c>
      <c r="Q259" s="1" t="str">
        <f t="shared" si="31"/>
        <v/>
      </c>
      <c r="R259" s="1" t="str">
        <f t="shared" si="32"/>
        <v/>
      </c>
      <c r="S259" s="1" t="str">
        <f>IF($A259="","",COUNTIF($N$2:N259,$N259))</f>
        <v/>
      </c>
      <c r="T259" s="1" t="str">
        <f t="shared" si="33"/>
        <v/>
      </c>
      <c r="U259" s="1" t="str">
        <f t="shared" si="34"/>
        <v/>
      </c>
      <c r="V259"/>
    </row>
    <row r="260" spans="13:22" x14ac:dyDescent="0.3">
      <c r="M260" s="1" t="str">
        <f t="shared" si="28"/>
        <v/>
      </c>
      <c r="N260" s="1" t="str">
        <f t="shared" si="29"/>
        <v/>
      </c>
      <c r="O260" s="1" t="str">
        <f ca="1">IF(F260="","",IF(INT(F260)=INT(NOW()),IF(NETWORKDAYS.INTL(F260,F260,1,FERIADOS!$A$2:$A$50)=0,0,MAX(0,(MIN(NOW(),INT(NOW())+18/24)-MAX(F260,INT(F260)+8/24)))*24),MAX(0,(INT(F260)+18/24-MAX(F260,INT(F260)+8/24)))*24*NETWORKDAYS.INTL(F260,F260,1,FERIADOS!$A$2:$A$50)+MAX(0,NETWORKDAYS.INTL(F260+1,NOW()-1,1,FERIADOS!$A$2:$A$50))*10+MAX(0,(MIN(NOW(),INT(NOW())+18/24)-(INT(NOW())+8/24)))*24*NETWORKDAYS.INTL(NOW(),NOW(),1,FERIADOS!$A$2:$A$50)))</f>
        <v/>
      </c>
      <c r="P260" s="1" t="str">
        <f t="shared" si="30"/>
        <v/>
      </c>
      <c r="Q260" s="1" t="str">
        <f t="shared" si="31"/>
        <v/>
      </c>
      <c r="R260" s="1" t="str">
        <f t="shared" si="32"/>
        <v/>
      </c>
      <c r="S260" s="1" t="str">
        <f>IF($A260="","",COUNTIF($N$2:N260,$N260))</f>
        <v/>
      </c>
      <c r="T260" s="1" t="str">
        <f t="shared" si="33"/>
        <v/>
      </c>
      <c r="U260" s="1" t="str">
        <f t="shared" si="34"/>
        <v/>
      </c>
      <c r="V260"/>
    </row>
    <row r="261" spans="13:22" x14ac:dyDescent="0.3">
      <c r="M261" s="1" t="str">
        <f t="shared" si="28"/>
        <v/>
      </c>
      <c r="N261" s="1" t="str">
        <f t="shared" si="29"/>
        <v/>
      </c>
      <c r="O261" s="1" t="str">
        <f ca="1">IF(F261="","",IF(INT(F261)=INT(NOW()),IF(NETWORKDAYS.INTL(F261,F261,1,FERIADOS!$A$2:$A$50)=0,0,MAX(0,(MIN(NOW(),INT(NOW())+18/24)-MAX(F261,INT(F261)+8/24)))*24),MAX(0,(INT(F261)+18/24-MAX(F261,INT(F261)+8/24)))*24*NETWORKDAYS.INTL(F261,F261,1,FERIADOS!$A$2:$A$50)+MAX(0,NETWORKDAYS.INTL(F261+1,NOW()-1,1,FERIADOS!$A$2:$A$50))*10+MAX(0,(MIN(NOW(),INT(NOW())+18/24)-(INT(NOW())+8/24)))*24*NETWORKDAYS.INTL(NOW(),NOW(),1,FERIADOS!$A$2:$A$50)))</f>
        <v/>
      </c>
      <c r="P261" s="1" t="str">
        <f t="shared" si="30"/>
        <v/>
      </c>
      <c r="Q261" s="1" t="str">
        <f t="shared" si="31"/>
        <v/>
      </c>
      <c r="R261" s="1" t="str">
        <f t="shared" si="32"/>
        <v/>
      </c>
      <c r="S261" s="1" t="str">
        <f>IF($A261="","",COUNTIF($N$2:N261,$N261))</f>
        <v/>
      </c>
      <c r="T261" s="1" t="str">
        <f t="shared" si="33"/>
        <v/>
      </c>
      <c r="U261" s="1" t="str">
        <f t="shared" si="34"/>
        <v/>
      </c>
      <c r="V261"/>
    </row>
    <row r="262" spans="13:22" x14ac:dyDescent="0.3">
      <c r="M262" s="1" t="str">
        <f t="shared" si="28"/>
        <v/>
      </c>
      <c r="N262" s="1" t="str">
        <f t="shared" si="29"/>
        <v/>
      </c>
      <c r="O262" s="1" t="str">
        <f ca="1">IF(F262="","",IF(INT(F262)=INT(NOW()),IF(NETWORKDAYS.INTL(F262,F262,1,FERIADOS!$A$2:$A$50)=0,0,MAX(0,(MIN(NOW(),INT(NOW())+18/24)-MAX(F262,INT(F262)+8/24)))*24),MAX(0,(INT(F262)+18/24-MAX(F262,INT(F262)+8/24)))*24*NETWORKDAYS.INTL(F262,F262,1,FERIADOS!$A$2:$A$50)+MAX(0,NETWORKDAYS.INTL(F262+1,NOW()-1,1,FERIADOS!$A$2:$A$50))*10+MAX(0,(MIN(NOW(),INT(NOW())+18/24)-(INT(NOW())+8/24)))*24*NETWORKDAYS.INTL(NOW(),NOW(),1,FERIADOS!$A$2:$A$50)))</f>
        <v/>
      </c>
      <c r="P262" s="1" t="str">
        <f t="shared" si="30"/>
        <v/>
      </c>
      <c r="Q262" s="1" t="str">
        <f t="shared" si="31"/>
        <v/>
      </c>
      <c r="R262" s="1" t="str">
        <f t="shared" si="32"/>
        <v/>
      </c>
      <c r="S262" s="1" t="str">
        <f>IF($A262="","",COUNTIF($N$2:N262,$N262))</f>
        <v/>
      </c>
      <c r="T262" s="1" t="str">
        <f t="shared" si="33"/>
        <v/>
      </c>
      <c r="U262" s="1" t="str">
        <f t="shared" si="34"/>
        <v/>
      </c>
      <c r="V262"/>
    </row>
    <row r="263" spans="13:22" x14ac:dyDescent="0.3">
      <c r="M263" s="1" t="str">
        <f t="shared" si="28"/>
        <v/>
      </c>
      <c r="N263" s="1" t="str">
        <f t="shared" si="29"/>
        <v/>
      </c>
      <c r="O263" s="1" t="str">
        <f ca="1">IF(F263="","",IF(INT(F263)=INT(NOW()),IF(NETWORKDAYS.INTL(F263,F263,1,FERIADOS!$A$2:$A$50)=0,0,MAX(0,(MIN(NOW(),INT(NOW())+18/24)-MAX(F263,INT(F263)+8/24)))*24),MAX(0,(INT(F263)+18/24-MAX(F263,INT(F263)+8/24)))*24*NETWORKDAYS.INTL(F263,F263,1,FERIADOS!$A$2:$A$50)+MAX(0,NETWORKDAYS.INTL(F263+1,NOW()-1,1,FERIADOS!$A$2:$A$50))*10+MAX(0,(MIN(NOW(),INT(NOW())+18/24)-(INT(NOW())+8/24)))*24*NETWORKDAYS.INTL(NOW(),NOW(),1,FERIADOS!$A$2:$A$50)))</f>
        <v/>
      </c>
      <c r="P263" s="1" t="str">
        <f t="shared" si="30"/>
        <v/>
      </c>
      <c r="Q263" s="1" t="str">
        <f t="shared" si="31"/>
        <v/>
      </c>
      <c r="R263" s="1" t="str">
        <f t="shared" si="32"/>
        <v/>
      </c>
      <c r="S263" s="1" t="str">
        <f>IF($A263="","",COUNTIF($N$2:N263,$N263))</f>
        <v/>
      </c>
      <c r="T263" s="1" t="str">
        <f t="shared" si="33"/>
        <v/>
      </c>
      <c r="U263" s="1" t="str">
        <f t="shared" si="34"/>
        <v/>
      </c>
      <c r="V263"/>
    </row>
    <row r="264" spans="13:22" x14ac:dyDescent="0.3">
      <c r="M264" s="1" t="str">
        <f t="shared" si="28"/>
        <v/>
      </c>
      <c r="N264" s="1" t="str">
        <f t="shared" si="29"/>
        <v/>
      </c>
      <c r="O264" s="1" t="str">
        <f ca="1">IF(F264="","",IF(INT(F264)=INT(NOW()),IF(NETWORKDAYS.INTL(F264,F264,1,FERIADOS!$A$2:$A$50)=0,0,MAX(0,(MIN(NOW(),INT(NOW())+18/24)-MAX(F264,INT(F264)+8/24)))*24),MAX(0,(INT(F264)+18/24-MAX(F264,INT(F264)+8/24)))*24*NETWORKDAYS.INTL(F264,F264,1,FERIADOS!$A$2:$A$50)+MAX(0,NETWORKDAYS.INTL(F264+1,NOW()-1,1,FERIADOS!$A$2:$A$50))*10+MAX(0,(MIN(NOW(),INT(NOW())+18/24)-(INT(NOW())+8/24)))*24*NETWORKDAYS.INTL(NOW(),NOW(),1,FERIADOS!$A$2:$A$50)))</f>
        <v/>
      </c>
      <c r="P264" s="1" t="str">
        <f t="shared" si="30"/>
        <v/>
      </c>
      <c r="Q264" s="1" t="str">
        <f t="shared" si="31"/>
        <v/>
      </c>
      <c r="R264" s="1" t="str">
        <f t="shared" si="32"/>
        <v/>
      </c>
      <c r="S264" s="1" t="str">
        <f>IF($A264="","",COUNTIF($N$2:N264,$N264))</f>
        <v/>
      </c>
      <c r="T264" s="1" t="str">
        <f t="shared" si="33"/>
        <v/>
      </c>
      <c r="U264" s="1" t="str">
        <f t="shared" si="34"/>
        <v/>
      </c>
      <c r="V264"/>
    </row>
    <row r="265" spans="13:22" x14ac:dyDescent="0.3">
      <c r="M265" s="1" t="str">
        <f t="shared" si="28"/>
        <v/>
      </c>
      <c r="N265" s="1" t="str">
        <f t="shared" si="29"/>
        <v/>
      </c>
      <c r="O265" s="1" t="str">
        <f ca="1">IF(F265="","",IF(INT(F265)=INT(NOW()),IF(NETWORKDAYS.INTL(F265,F265,1,FERIADOS!$A$2:$A$50)=0,0,MAX(0,(MIN(NOW(),INT(NOW())+18/24)-MAX(F265,INT(F265)+8/24)))*24),MAX(0,(INT(F265)+18/24-MAX(F265,INT(F265)+8/24)))*24*NETWORKDAYS.INTL(F265,F265,1,FERIADOS!$A$2:$A$50)+MAX(0,NETWORKDAYS.INTL(F265+1,NOW()-1,1,FERIADOS!$A$2:$A$50))*10+MAX(0,(MIN(NOW(),INT(NOW())+18/24)-(INT(NOW())+8/24)))*24*NETWORKDAYS.INTL(NOW(),NOW(),1,FERIADOS!$A$2:$A$50)))</f>
        <v/>
      </c>
      <c r="P265" s="1" t="str">
        <f t="shared" si="30"/>
        <v/>
      </c>
      <c r="Q265" s="1" t="str">
        <f t="shared" si="31"/>
        <v/>
      </c>
      <c r="R265" s="1" t="str">
        <f t="shared" si="32"/>
        <v/>
      </c>
      <c r="S265" s="1" t="str">
        <f>IF($A265="","",COUNTIF($N$2:N265,$N265))</f>
        <v/>
      </c>
      <c r="T265" s="1" t="str">
        <f t="shared" si="33"/>
        <v/>
      </c>
      <c r="U265" s="1" t="str">
        <f t="shared" si="34"/>
        <v/>
      </c>
      <c r="V265"/>
    </row>
    <row r="266" spans="13:22" x14ac:dyDescent="0.3">
      <c r="M266" s="1" t="str">
        <f t="shared" si="28"/>
        <v/>
      </c>
      <c r="N266" s="1" t="str">
        <f t="shared" si="29"/>
        <v/>
      </c>
      <c r="O266" s="1" t="str">
        <f ca="1">IF(F266="","",IF(INT(F266)=INT(NOW()),IF(NETWORKDAYS.INTL(F266,F266,1,FERIADOS!$A$2:$A$50)=0,0,MAX(0,(MIN(NOW(),INT(NOW())+18/24)-MAX(F266,INT(F266)+8/24)))*24),MAX(0,(INT(F266)+18/24-MAX(F266,INT(F266)+8/24)))*24*NETWORKDAYS.INTL(F266,F266,1,FERIADOS!$A$2:$A$50)+MAX(0,NETWORKDAYS.INTL(F266+1,NOW()-1,1,FERIADOS!$A$2:$A$50))*10+MAX(0,(MIN(NOW(),INT(NOW())+18/24)-(INT(NOW())+8/24)))*24*NETWORKDAYS.INTL(NOW(),NOW(),1,FERIADOS!$A$2:$A$50)))</f>
        <v/>
      </c>
      <c r="P266" s="1" t="str">
        <f t="shared" si="30"/>
        <v/>
      </c>
      <c r="Q266" s="1" t="str">
        <f t="shared" si="31"/>
        <v/>
      </c>
      <c r="R266" s="1" t="str">
        <f t="shared" si="32"/>
        <v/>
      </c>
      <c r="S266" s="1" t="str">
        <f>IF($A266="","",COUNTIF($N$2:N266,$N266))</f>
        <v/>
      </c>
      <c r="T266" s="1" t="str">
        <f t="shared" si="33"/>
        <v/>
      </c>
      <c r="U266" s="1" t="str">
        <f t="shared" si="34"/>
        <v/>
      </c>
      <c r="V266"/>
    </row>
    <row r="267" spans="13:22" x14ac:dyDescent="0.3">
      <c r="M267" s="1" t="str">
        <f t="shared" si="28"/>
        <v/>
      </c>
      <c r="N267" s="1" t="str">
        <f t="shared" si="29"/>
        <v/>
      </c>
      <c r="O267" s="1" t="str">
        <f ca="1">IF(F267="","",IF(INT(F267)=INT(NOW()),IF(NETWORKDAYS.INTL(F267,F267,1,FERIADOS!$A$2:$A$50)=0,0,MAX(0,(MIN(NOW(),INT(NOW())+18/24)-MAX(F267,INT(F267)+8/24)))*24),MAX(0,(INT(F267)+18/24-MAX(F267,INT(F267)+8/24)))*24*NETWORKDAYS.INTL(F267,F267,1,FERIADOS!$A$2:$A$50)+MAX(0,NETWORKDAYS.INTL(F267+1,NOW()-1,1,FERIADOS!$A$2:$A$50))*10+MAX(0,(MIN(NOW(),INT(NOW())+18/24)-(INT(NOW())+8/24)))*24*NETWORKDAYS.INTL(NOW(),NOW(),1,FERIADOS!$A$2:$A$50)))</f>
        <v/>
      </c>
      <c r="P267" s="1" t="str">
        <f t="shared" si="30"/>
        <v/>
      </c>
      <c r="Q267" s="1" t="str">
        <f t="shared" si="31"/>
        <v/>
      </c>
      <c r="R267" s="1" t="str">
        <f t="shared" si="32"/>
        <v/>
      </c>
      <c r="S267" s="1" t="str">
        <f>IF($A267="","",COUNTIF($N$2:N267,$N267))</f>
        <v/>
      </c>
      <c r="T267" s="1" t="str">
        <f t="shared" si="33"/>
        <v/>
      </c>
      <c r="U267" s="1" t="str">
        <f t="shared" si="34"/>
        <v/>
      </c>
      <c r="V267"/>
    </row>
    <row r="268" spans="13:22" x14ac:dyDescent="0.3">
      <c r="M268" s="1" t="str">
        <f t="shared" si="28"/>
        <v/>
      </c>
      <c r="N268" s="1" t="str">
        <f t="shared" si="29"/>
        <v/>
      </c>
      <c r="O268" s="1" t="str">
        <f ca="1">IF(F268="","",IF(INT(F268)=INT(NOW()),IF(NETWORKDAYS.INTL(F268,F268,1,FERIADOS!$A$2:$A$50)=0,0,MAX(0,(MIN(NOW(),INT(NOW())+18/24)-MAX(F268,INT(F268)+8/24)))*24),MAX(0,(INT(F268)+18/24-MAX(F268,INT(F268)+8/24)))*24*NETWORKDAYS.INTL(F268,F268,1,FERIADOS!$A$2:$A$50)+MAX(0,NETWORKDAYS.INTL(F268+1,NOW()-1,1,FERIADOS!$A$2:$A$50))*10+MAX(0,(MIN(NOW(),INT(NOW())+18/24)-(INT(NOW())+8/24)))*24*NETWORKDAYS.INTL(NOW(),NOW(),1,FERIADOS!$A$2:$A$50)))</f>
        <v/>
      </c>
      <c r="P268" s="1" t="str">
        <f t="shared" si="30"/>
        <v/>
      </c>
      <c r="Q268" s="1" t="str">
        <f t="shared" si="31"/>
        <v/>
      </c>
      <c r="R268" s="1" t="str">
        <f t="shared" si="32"/>
        <v/>
      </c>
      <c r="S268" s="1" t="str">
        <f>IF($A268="","",COUNTIF($N$2:N268,$N268))</f>
        <v/>
      </c>
      <c r="T268" s="1" t="str">
        <f t="shared" si="33"/>
        <v/>
      </c>
      <c r="U268" s="1" t="str">
        <f t="shared" si="34"/>
        <v/>
      </c>
      <c r="V268"/>
    </row>
    <row r="269" spans="13:22" x14ac:dyDescent="0.3">
      <c r="M269" s="1" t="str">
        <f t="shared" si="28"/>
        <v/>
      </c>
      <c r="N269" s="1" t="str">
        <f t="shared" si="29"/>
        <v/>
      </c>
      <c r="O269" s="1" t="str">
        <f ca="1">IF(F269="","",IF(INT(F269)=INT(NOW()),IF(NETWORKDAYS.INTL(F269,F269,1,FERIADOS!$A$2:$A$50)=0,0,MAX(0,(MIN(NOW(),INT(NOW())+18/24)-MAX(F269,INT(F269)+8/24)))*24),MAX(0,(INT(F269)+18/24-MAX(F269,INT(F269)+8/24)))*24*NETWORKDAYS.INTL(F269,F269,1,FERIADOS!$A$2:$A$50)+MAX(0,NETWORKDAYS.INTL(F269+1,NOW()-1,1,FERIADOS!$A$2:$A$50))*10+MAX(0,(MIN(NOW(),INT(NOW())+18/24)-(INT(NOW())+8/24)))*24*NETWORKDAYS.INTL(NOW(),NOW(),1,FERIADOS!$A$2:$A$50)))</f>
        <v/>
      </c>
      <c r="P269" s="1" t="str">
        <f t="shared" si="30"/>
        <v/>
      </c>
      <c r="Q269" s="1" t="str">
        <f t="shared" si="31"/>
        <v/>
      </c>
      <c r="R269" s="1" t="str">
        <f t="shared" si="32"/>
        <v/>
      </c>
      <c r="S269" s="1" t="str">
        <f>IF($A269="","",COUNTIF($N$2:N269,$N269))</f>
        <v/>
      </c>
      <c r="T269" s="1" t="str">
        <f t="shared" si="33"/>
        <v/>
      </c>
      <c r="U269" s="1" t="str">
        <f t="shared" si="34"/>
        <v/>
      </c>
      <c r="V269"/>
    </row>
    <row r="270" spans="13:22" x14ac:dyDescent="0.3">
      <c r="M270" s="1" t="str">
        <f t="shared" si="28"/>
        <v/>
      </c>
      <c r="N270" s="1" t="str">
        <f t="shared" si="29"/>
        <v/>
      </c>
      <c r="O270" s="1" t="str">
        <f ca="1">IF(F270="","",IF(INT(F270)=INT(NOW()),IF(NETWORKDAYS.INTL(F270,F270,1,FERIADOS!$A$2:$A$50)=0,0,MAX(0,(MIN(NOW(),INT(NOW())+18/24)-MAX(F270,INT(F270)+8/24)))*24),MAX(0,(INT(F270)+18/24-MAX(F270,INT(F270)+8/24)))*24*NETWORKDAYS.INTL(F270,F270,1,FERIADOS!$A$2:$A$50)+MAX(0,NETWORKDAYS.INTL(F270+1,NOW()-1,1,FERIADOS!$A$2:$A$50))*10+MAX(0,(MIN(NOW(),INT(NOW())+18/24)-(INT(NOW())+8/24)))*24*NETWORKDAYS.INTL(NOW(),NOW(),1,FERIADOS!$A$2:$A$50)))</f>
        <v/>
      </c>
      <c r="P270" s="1" t="str">
        <f t="shared" si="30"/>
        <v/>
      </c>
      <c r="Q270" s="1" t="str">
        <f t="shared" si="31"/>
        <v/>
      </c>
      <c r="R270" s="1" t="str">
        <f t="shared" si="32"/>
        <v/>
      </c>
      <c r="S270" s="1" t="str">
        <f>IF($A270="","",COUNTIF($N$2:N270,$N270))</f>
        <v/>
      </c>
      <c r="T270" s="1" t="str">
        <f t="shared" si="33"/>
        <v/>
      </c>
      <c r="U270" s="1" t="str">
        <f t="shared" si="34"/>
        <v/>
      </c>
      <c r="V270"/>
    </row>
    <row r="271" spans="13:22" x14ac:dyDescent="0.3">
      <c r="M271" s="1" t="str">
        <f t="shared" si="28"/>
        <v/>
      </c>
      <c r="N271" s="1" t="str">
        <f t="shared" si="29"/>
        <v/>
      </c>
      <c r="O271" s="1" t="str">
        <f ca="1">IF(F271="","",IF(INT(F271)=INT(NOW()),IF(NETWORKDAYS.INTL(F271,F271,1,FERIADOS!$A$2:$A$50)=0,0,MAX(0,(MIN(NOW(),INT(NOW())+18/24)-MAX(F271,INT(F271)+8/24)))*24),MAX(0,(INT(F271)+18/24-MAX(F271,INT(F271)+8/24)))*24*NETWORKDAYS.INTL(F271,F271,1,FERIADOS!$A$2:$A$50)+MAX(0,NETWORKDAYS.INTL(F271+1,NOW()-1,1,FERIADOS!$A$2:$A$50))*10+MAX(0,(MIN(NOW(),INT(NOW())+18/24)-(INT(NOW())+8/24)))*24*NETWORKDAYS.INTL(NOW(),NOW(),1,FERIADOS!$A$2:$A$50)))</f>
        <v/>
      </c>
      <c r="P271" s="1" t="str">
        <f t="shared" si="30"/>
        <v/>
      </c>
      <c r="Q271" s="1" t="str">
        <f t="shared" si="31"/>
        <v/>
      </c>
      <c r="R271" s="1" t="str">
        <f t="shared" si="32"/>
        <v/>
      </c>
      <c r="S271" s="1" t="str">
        <f>IF($A271="","",COUNTIF($N$2:N271,$N271))</f>
        <v/>
      </c>
      <c r="T271" s="1" t="str">
        <f t="shared" si="33"/>
        <v/>
      </c>
      <c r="U271" s="1" t="str">
        <f t="shared" si="34"/>
        <v/>
      </c>
      <c r="V271"/>
    </row>
    <row r="272" spans="13:22" x14ac:dyDescent="0.3">
      <c r="M272" s="1" t="str">
        <f t="shared" si="28"/>
        <v/>
      </c>
      <c r="N272" s="1" t="str">
        <f t="shared" si="29"/>
        <v/>
      </c>
      <c r="O272" s="1" t="str">
        <f ca="1">IF(F272="","",IF(INT(F272)=INT(NOW()),IF(NETWORKDAYS.INTL(F272,F272,1,FERIADOS!$A$2:$A$50)=0,0,MAX(0,(MIN(NOW(),INT(NOW())+18/24)-MAX(F272,INT(F272)+8/24)))*24),MAX(0,(INT(F272)+18/24-MAX(F272,INT(F272)+8/24)))*24*NETWORKDAYS.INTL(F272,F272,1,FERIADOS!$A$2:$A$50)+MAX(0,NETWORKDAYS.INTL(F272+1,NOW()-1,1,FERIADOS!$A$2:$A$50))*10+MAX(0,(MIN(NOW(),INT(NOW())+18/24)-(INT(NOW())+8/24)))*24*NETWORKDAYS.INTL(NOW(),NOW(),1,FERIADOS!$A$2:$A$50)))</f>
        <v/>
      </c>
      <c r="P272" s="1" t="str">
        <f t="shared" si="30"/>
        <v/>
      </c>
      <c r="Q272" s="1" t="str">
        <f t="shared" si="31"/>
        <v/>
      </c>
      <c r="R272" s="1" t="str">
        <f t="shared" si="32"/>
        <v/>
      </c>
      <c r="S272" s="1" t="str">
        <f>IF($A272="","",COUNTIF($N$2:N272,$N272))</f>
        <v/>
      </c>
      <c r="T272" s="1" t="str">
        <f t="shared" si="33"/>
        <v/>
      </c>
      <c r="U272" s="1" t="str">
        <f t="shared" si="34"/>
        <v/>
      </c>
      <c r="V272"/>
    </row>
    <row r="273" spans="13:22" x14ac:dyDescent="0.3">
      <c r="M273" s="1" t="str">
        <f t="shared" si="28"/>
        <v/>
      </c>
      <c r="N273" s="1" t="str">
        <f t="shared" si="29"/>
        <v/>
      </c>
      <c r="O273" s="1" t="str">
        <f ca="1">IF(F273="","",IF(INT(F273)=INT(NOW()),IF(NETWORKDAYS.INTL(F273,F273,1,FERIADOS!$A$2:$A$50)=0,0,MAX(0,(MIN(NOW(),INT(NOW())+18/24)-MAX(F273,INT(F273)+8/24)))*24),MAX(0,(INT(F273)+18/24-MAX(F273,INT(F273)+8/24)))*24*NETWORKDAYS.INTL(F273,F273,1,FERIADOS!$A$2:$A$50)+MAX(0,NETWORKDAYS.INTL(F273+1,NOW()-1,1,FERIADOS!$A$2:$A$50))*10+MAX(0,(MIN(NOW(),INT(NOW())+18/24)-(INT(NOW())+8/24)))*24*NETWORKDAYS.INTL(NOW(),NOW(),1,FERIADOS!$A$2:$A$50)))</f>
        <v/>
      </c>
      <c r="P273" s="1" t="str">
        <f t="shared" si="30"/>
        <v/>
      </c>
      <c r="Q273" s="1" t="str">
        <f t="shared" si="31"/>
        <v/>
      </c>
      <c r="R273" s="1" t="str">
        <f t="shared" si="32"/>
        <v/>
      </c>
      <c r="S273" s="1" t="str">
        <f>IF($A273="","",COUNTIF($N$2:N273,$N273))</f>
        <v/>
      </c>
      <c r="T273" s="1" t="str">
        <f t="shared" si="33"/>
        <v/>
      </c>
      <c r="U273" s="1" t="str">
        <f t="shared" si="34"/>
        <v/>
      </c>
      <c r="V273"/>
    </row>
    <row r="274" spans="13:22" x14ac:dyDescent="0.3">
      <c r="M274" s="1" t="str">
        <f t="shared" si="28"/>
        <v/>
      </c>
      <c r="N274" s="1" t="str">
        <f t="shared" si="29"/>
        <v/>
      </c>
      <c r="O274" s="1" t="str">
        <f ca="1">IF(F274="","",IF(INT(F274)=INT(NOW()),IF(NETWORKDAYS.INTL(F274,F274,1,FERIADOS!$A$2:$A$50)=0,0,MAX(0,(MIN(NOW(),INT(NOW())+18/24)-MAX(F274,INT(F274)+8/24)))*24),MAX(0,(INT(F274)+18/24-MAX(F274,INT(F274)+8/24)))*24*NETWORKDAYS.INTL(F274,F274,1,FERIADOS!$A$2:$A$50)+MAX(0,NETWORKDAYS.INTL(F274+1,NOW()-1,1,FERIADOS!$A$2:$A$50))*10+MAX(0,(MIN(NOW(),INT(NOW())+18/24)-(INT(NOW())+8/24)))*24*NETWORKDAYS.INTL(NOW(),NOW(),1,FERIADOS!$A$2:$A$50)))</f>
        <v/>
      </c>
      <c r="P274" s="1" t="str">
        <f t="shared" si="30"/>
        <v/>
      </c>
      <c r="Q274" s="1" t="str">
        <f t="shared" si="31"/>
        <v/>
      </c>
      <c r="R274" s="1" t="str">
        <f t="shared" si="32"/>
        <v/>
      </c>
      <c r="S274" s="1" t="str">
        <f>IF($A274="","",COUNTIF($N$2:N274,$N274))</f>
        <v/>
      </c>
      <c r="T274" s="1" t="str">
        <f t="shared" si="33"/>
        <v/>
      </c>
      <c r="U274" s="1" t="str">
        <f t="shared" si="34"/>
        <v/>
      </c>
      <c r="V274"/>
    </row>
    <row r="275" spans="13:22" x14ac:dyDescent="0.3">
      <c r="M275" s="1" t="str">
        <f t="shared" si="28"/>
        <v/>
      </c>
      <c r="N275" s="1" t="str">
        <f t="shared" si="29"/>
        <v/>
      </c>
      <c r="O275" s="1" t="str">
        <f ca="1">IF(F275="","",IF(INT(F275)=INT(NOW()),IF(NETWORKDAYS.INTL(F275,F275,1,FERIADOS!$A$2:$A$50)=0,0,MAX(0,(MIN(NOW(),INT(NOW())+18/24)-MAX(F275,INT(F275)+8/24)))*24),MAX(0,(INT(F275)+18/24-MAX(F275,INT(F275)+8/24)))*24*NETWORKDAYS.INTL(F275,F275,1,FERIADOS!$A$2:$A$50)+MAX(0,NETWORKDAYS.INTL(F275+1,NOW()-1,1,FERIADOS!$A$2:$A$50))*10+MAX(0,(MIN(NOW(),INT(NOW())+18/24)-(INT(NOW())+8/24)))*24*NETWORKDAYS.INTL(NOW(),NOW(),1,FERIADOS!$A$2:$A$50)))</f>
        <v/>
      </c>
      <c r="P275" s="1" t="str">
        <f t="shared" si="30"/>
        <v/>
      </c>
      <c r="Q275" s="1" t="str">
        <f t="shared" si="31"/>
        <v/>
      </c>
      <c r="R275" s="1" t="str">
        <f t="shared" si="32"/>
        <v/>
      </c>
      <c r="S275" s="1" t="str">
        <f>IF($A275="","",COUNTIF($N$2:N275,$N275))</f>
        <v/>
      </c>
      <c r="T275" s="1" t="str">
        <f t="shared" si="33"/>
        <v/>
      </c>
      <c r="U275" s="1" t="str">
        <f t="shared" si="34"/>
        <v/>
      </c>
      <c r="V275"/>
    </row>
    <row r="276" spans="13:22" x14ac:dyDescent="0.3">
      <c r="M276" s="1" t="str">
        <f t="shared" si="28"/>
        <v/>
      </c>
      <c r="N276" s="1" t="str">
        <f t="shared" si="29"/>
        <v/>
      </c>
      <c r="O276" s="1" t="str">
        <f ca="1">IF(F276="","",IF(INT(F276)=INT(NOW()),IF(NETWORKDAYS.INTL(F276,F276,1,FERIADOS!$A$2:$A$50)=0,0,MAX(0,(MIN(NOW(),INT(NOW())+18/24)-MAX(F276,INT(F276)+8/24)))*24),MAX(0,(INT(F276)+18/24-MAX(F276,INT(F276)+8/24)))*24*NETWORKDAYS.INTL(F276,F276,1,FERIADOS!$A$2:$A$50)+MAX(0,NETWORKDAYS.INTL(F276+1,NOW()-1,1,FERIADOS!$A$2:$A$50))*10+MAX(0,(MIN(NOW(),INT(NOW())+18/24)-(INT(NOW())+8/24)))*24*NETWORKDAYS.INTL(NOW(),NOW(),1,FERIADOS!$A$2:$A$50)))</f>
        <v/>
      </c>
      <c r="P276" s="1" t="str">
        <f t="shared" si="30"/>
        <v/>
      </c>
      <c r="Q276" s="1" t="str">
        <f t="shared" si="31"/>
        <v/>
      </c>
      <c r="R276" s="1" t="str">
        <f t="shared" si="32"/>
        <v/>
      </c>
      <c r="S276" s="1" t="str">
        <f>IF($A276="","",COUNTIF($N$2:N276,$N276))</f>
        <v/>
      </c>
      <c r="T276" s="1" t="str">
        <f t="shared" si="33"/>
        <v/>
      </c>
      <c r="U276" s="1" t="str">
        <f t="shared" si="34"/>
        <v/>
      </c>
      <c r="V276"/>
    </row>
    <row r="277" spans="13:22" x14ac:dyDescent="0.3">
      <c r="M277" s="1" t="str">
        <f t="shared" si="28"/>
        <v/>
      </c>
      <c r="N277" s="1" t="str">
        <f t="shared" si="29"/>
        <v/>
      </c>
      <c r="O277" s="1" t="str">
        <f ca="1">IF(F277="","",IF(INT(F277)=INT(NOW()),IF(NETWORKDAYS.INTL(F277,F277,1,FERIADOS!$A$2:$A$50)=0,0,MAX(0,(MIN(NOW(),INT(NOW())+18/24)-MAX(F277,INT(F277)+8/24)))*24),MAX(0,(INT(F277)+18/24-MAX(F277,INT(F277)+8/24)))*24*NETWORKDAYS.INTL(F277,F277,1,FERIADOS!$A$2:$A$50)+MAX(0,NETWORKDAYS.INTL(F277+1,NOW()-1,1,FERIADOS!$A$2:$A$50))*10+MAX(0,(MIN(NOW(),INT(NOW())+18/24)-(INT(NOW())+8/24)))*24*NETWORKDAYS.INTL(NOW(),NOW(),1,FERIADOS!$A$2:$A$50)))</f>
        <v/>
      </c>
      <c r="P277" s="1" t="str">
        <f t="shared" si="30"/>
        <v/>
      </c>
      <c r="Q277" s="1" t="str">
        <f t="shared" si="31"/>
        <v/>
      </c>
      <c r="R277" s="1" t="str">
        <f t="shared" si="32"/>
        <v/>
      </c>
      <c r="S277" s="1" t="str">
        <f>IF($A277="","",COUNTIF($N$2:N277,$N277))</f>
        <v/>
      </c>
      <c r="T277" s="1" t="str">
        <f t="shared" si="33"/>
        <v/>
      </c>
      <c r="U277" s="1" t="str">
        <f t="shared" si="34"/>
        <v/>
      </c>
      <c r="V277"/>
    </row>
    <row r="278" spans="13:22" x14ac:dyDescent="0.3">
      <c r="M278" s="1" t="str">
        <f t="shared" si="28"/>
        <v/>
      </c>
      <c r="N278" s="1" t="str">
        <f t="shared" si="29"/>
        <v/>
      </c>
      <c r="O278" s="1" t="str">
        <f ca="1">IF(F278="","",IF(INT(F278)=INT(NOW()),IF(NETWORKDAYS.INTL(F278,F278,1,FERIADOS!$A$2:$A$50)=0,0,MAX(0,(MIN(NOW(),INT(NOW())+18/24)-MAX(F278,INT(F278)+8/24)))*24),MAX(0,(INT(F278)+18/24-MAX(F278,INT(F278)+8/24)))*24*NETWORKDAYS.INTL(F278,F278,1,FERIADOS!$A$2:$A$50)+MAX(0,NETWORKDAYS.INTL(F278+1,NOW()-1,1,FERIADOS!$A$2:$A$50))*10+MAX(0,(MIN(NOW(),INT(NOW())+18/24)-(INT(NOW())+8/24)))*24*NETWORKDAYS.INTL(NOW(),NOW(),1,FERIADOS!$A$2:$A$50)))</f>
        <v/>
      </c>
      <c r="P278" s="1" t="str">
        <f t="shared" si="30"/>
        <v/>
      </c>
      <c r="Q278" s="1" t="str">
        <f t="shared" si="31"/>
        <v/>
      </c>
      <c r="R278" s="1" t="str">
        <f t="shared" si="32"/>
        <v/>
      </c>
      <c r="S278" s="1" t="str">
        <f>IF($A278="","",COUNTIF($N$2:N278,$N278))</f>
        <v/>
      </c>
      <c r="T278" s="1" t="str">
        <f t="shared" si="33"/>
        <v/>
      </c>
      <c r="U278" s="1" t="str">
        <f t="shared" si="34"/>
        <v/>
      </c>
      <c r="V278"/>
    </row>
    <row r="279" spans="13:22" x14ac:dyDescent="0.3">
      <c r="M279" s="1" t="str">
        <f t="shared" si="28"/>
        <v/>
      </c>
      <c r="N279" s="1" t="str">
        <f t="shared" si="29"/>
        <v/>
      </c>
      <c r="O279" s="1" t="str">
        <f ca="1">IF(F279="","",IF(INT(F279)=INT(NOW()),IF(NETWORKDAYS.INTL(F279,F279,1,FERIADOS!$A$2:$A$50)=0,0,MAX(0,(MIN(NOW(),INT(NOW())+18/24)-MAX(F279,INT(F279)+8/24)))*24),MAX(0,(INT(F279)+18/24-MAX(F279,INT(F279)+8/24)))*24*NETWORKDAYS.INTL(F279,F279,1,FERIADOS!$A$2:$A$50)+MAX(0,NETWORKDAYS.INTL(F279+1,NOW()-1,1,FERIADOS!$A$2:$A$50))*10+MAX(0,(MIN(NOW(),INT(NOW())+18/24)-(INT(NOW())+8/24)))*24*NETWORKDAYS.INTL(NOW(),NOW(),1,FERIADOS!$A$2:$A$50)))</f>
        <v/>
      </c>
      <c r="P279" s="1" t="str">
        <f t="shared" si="30"/>
        <v/>
      </c>
      <c r="Q279" s="1" t="str">
        <f t="shared" si="31"/>
        <v/>
      </c>
      <c r="R279" s="1" t="str">
        <f t="shared" si="32"/>
        <v/>
      </c>
      <c r="S279" s="1" t="str">
        <f>IF($A279="","",COUNTIF($N$2:N279,$N279))</f>
        <v/>
      </c>
      <c r="T279" s="1" t="str">
        <f t="shared" si="33"/>
        <v/>
      </c>
      <c r="U279" s="1" t="str">
        <f t="shared" si="34"/>
        <v/>
      </c>
      <c r="V279"/>
    </row>
    <row r="280" spans="13:22" x14ac:dyDescent="0.3">
      <c r="M280" s="1" t="str">
        <f t="shared" si="28"/>
        <v/>
      </c>
      <c r="N280" s="1" t="str">
        <f t="shared" si="29"/>
        <v/>
      </c>
      <c r="O280" s="1" t="str">
        <f ca="1">IF(F280="","",IF(INT(F280)=INT(NOW()),IF(NETWORKDAYS.INTL(F280,F280,1,FERIADOS!$A$2:$A$50)=0,0,MAX(0,(MIN(NOW(),INT(NOW())+18/24)-MAX(F280,INT(F280)+8/24)))*24),MAX(0,(INT(F280)+18/24-MAX(F280,INT(F280)+8/24)))*24*NETWORKDAYS.INTL(F280,F280,1,FERIADOS!$A$2:$A$50)+MAX(0,NETWORKDAYS.INTL(F280+1,NOW()-1,1,FERIADOS!$A$2:$A$50))*10+MAX(0,(MIN(NOW(),INT(NOW())+18/24)-(INT(NOW())+8/24)))*24*NETWORKDAYS.INTL(NOW(),NOW(),1,FERIADOS!$A$2:$A$50)))</f>
        <v/>
      </c>
      <c r="P280" s="1" t="str">
        <f t="shared" si="30"/>
        <v/>
      </c>
      <c r="Q280" s="1" t="str">
        <f t="shared" si="31"/>
        <v/>
      </c>
      <c r="R280" s="1" t="str">
        <f t="shared" si="32"/>
        <v/>
      </c>
      <c r="S280" s="1" t="str">
        <f>IF($A280="","",COUNTIF($N$2:N280,$N280))</f>
        <v/>
      </c>
      <c r="T280" s="1" t="str">
        <f t="shared" si="33"/>
        <v/>
      </c>
      <c r="U280" s="1" t="str">
        <f t="shared" si="34"/>
        <v/>
      </c>
      <c r="V280"/>
    </row>
    <row r="281" spans="13:22" x14ac:dyDescent="0.3">
      <c r="M281" s="1" t="str">
        <f t="shared" si="28"/>
        <v/>
      </c>
      <c r="N281" s="1" t="str">
        <f t="shared" si="29"/>
        <v/>
      </c>
      <c r="O281" s="1" t="str">
        <f ca="1">IF(F281="","",IF(INT(F281)=INT(NOW()),IF(NETWORKDAYS.INTL(F281,F281,1,FERIADOS!$A$2:$A$50)=0,0,MAX(0,(MIN(NOW(),INT(NOW())+18/24)-MAX(F281,INT(F281)+8/24)))*24),MAX(0,(INT(F281)+18/24-MAX(F281,INT(F281)+8/24)))*24*NETWORKDAYS.INTL(F281,F281,1,FERIADOS!$A$2:$A$50)+MAX(0,NETWORKDAYS.INTL(F281+1,NOW()-1,1,FERIADOS!$A$2:$A$50))*10+MAX(0,(MIN(NOW(),INT(NOW())+18/24)-(INT(NOW())+8/24)))*24*NETWORKDAYS.INTL(NOW(),NOW(),1,FERIADOS!$A$2:$A$50)))</f>
        <v/>
      </c>
      <c r="P281" s="1" t="str">
        <f t="shared" si="30"/>
        <v/>
      </c>
      <c r="Q281" s="1" t="str">
        <f t="shared" si="31"/>
        <v/>
      </c>
      <c r="R281" s="1" t="str">
        <f t="shared" si="32"/>
        <v/>
      </c>
      <c r="S281" s="1" t="str">
        <f>IF($A281="","",COUNTIF($N$2:N281,$N281))</f>
        <v/>
      </c>
      <c r="T281" s="1" t="str">
        <f t="shared" si="33"/>
        <v/>
      </c>
      <c r="U281" s="1" t="str">
        <f t="shared" si="34"/>
        <v/>
      </c>
      <c r="V281"/>
    </row>
    <row r="282" spans="13:22" x14ac:dyDescent="0.3">
      <c r="M282" s="1" t="str">
        <f t="shared" si="28"/>
        <v/>
      </c>
      <c r="N282" s="1" t="str">
        <f t="shared" si="29"/>
        <v/>
      </c>
      <c r="O282" s="1" t="str">
        <f ca="1">IF(F282="","",IF(INT(F282)=INT(NOW()),IF(NETWORKDAYS.INTL(F282,F282,1,FERIADOS!$A$2:$A$50)=0,0,MAX(0,(MIN(NOW(),INT(NOW())+18/24)-MAX(F282,INT(F282)+8/24)))*24),MAX(0,(INT(F282)+18/24-MAX(F282,INT(F282)+8/24)))*24*NETWORKDAYS.INTL(F282,F282,1,FERIADOS!$A$2:$A$50)+MAX(0,NETWORKDAYS.INTL(F282+1,NOW()-1,1,FERIADOS!$A$2:$A$50))*10+MAX(0,(MIN(NOW(),INT(NOW())+18/24)-(INT(NOW())+8/24)))*24*NETWORKDAYS.INTL(NOW(),NOW(),1,FERIADOS!$A$2:$A$50)))</f>
        <v/>
      </c>
      <c r="P282" s="1" t="str">
        <f t="shared" si="30"/>
        <v/>
      </c>
      <c r="Q282" s="1" t="str">
        <f t="shared" si="31"/>
        <v/>
      </c>
      <c r="R282" s="1" t="str">
        <f t="shared" si="32"/>
        <v/>
      </c>
      <c r="S282" s="1" t="str">
        <f>IF($A282="","",COUNTIF($N$2:N282,$N282))</f>
        <v/>
      </c>
      <c r="T282" s="1" t="str">
        <f t="shared" si="33"/>
        <v/>
      </c>
      <c r="U282" s="1" t="str">
        <f t="shared" si="34"/>
        <v/>
      </c>
      <c r="V282"/>
    </row>
    <row r="283" spans="13:22" x14ac:dyDescent="0.3">
      <c r="M283" s="1" t="str">
        <f t="shared" si="28"/>
        <v/>
      </c>
      <c r="N283" s="1" t="str">
        <f t="shared" si="29"/>
        <v/>
      </c>
      <c r="O283" s="1" t="str">
        <f ca="1">IF(F283="","",IF(INT(F283)=INT(NOW()),IF(NETWORKDAYS.INTL(F283,F283,1,FERIADOS!$A$2:$A$50)=0,0,MAX(0,(MIN(NOW(),INT(NOW())+18/24)-MAX(F283,INT(F283)+8/24)))*24),MAX(0,(INT(F283)+18/24-MAX(F283,INT(F283)+8/24)))*24*NETWORKDAYS.INTL(F283,F283,1,FERIADOS!$A$2:$A$50)+MAX(0,NETWORKDAYS.INTL(F283+1,NOW()-1,1,FERIADOS!$A$2:$A$50))*10+MAX(0,(MIN(NOW(),INT(NOW())+18/24)-(INT(NOW())+8/24)))*24*NETWORKDAYS.INTL(NOW(),NOW(),1,FERIADOS!$A$2:$A$50)))</f>
        <v/>
      </c>
      <c r="P283" s="1" t="str">
        <f t="shared" si="30"/>
        <v/>
      </c>
      <c r="Q283" s="1" t="str">
        <f t="shared" si="31"/>
        <v/>
      </c>
      <c r="R283" s="1" t="str">
        <f t="shared" si="32"/>
        <v/>
      </c>
      <c r="S283" s="1" t="str">
        <f>IF($A283="","",COUNTIF($N$2:N283,$N283))</f>
        <v/>
      </c>
      <c r="T283" s="1" t="str">
        <f t="shared" si="33"/>
        <v/>
      </c>
      <c r="U283" s="1" t="str">
        <f t="shared" si="34"/>
        <v/>
      </c>
      <c r="V283"/>
    </row>
    <row r="284" spans="13:22" x14ac:dyDescent="0.3">
      <c r="M284" s="1" t="str">
        <f t="shared" si="28"/>
        <v/>
      </c>
      <c r="N284" s="1" t="str">
        <f t="shared" si="29"/>
        <v/>
      </c>
      <c r="O284" s="1" t="str">
        <f ca="1">IF(F284="","",IF(INT(F284)=INT(NOW()),IF(NETWORKDAYS.INTL(F284,F284,1,FERIADOS!$A$2:$A$50)=0,0,MAX(0,(MIN(NOW(),INT(NOW())+18/24)-MAX(F284,INT(F284)+8/24)))*24),MAX(0,(INT(F284)+18/24-MAX(F284,INT(F284)+8/24)))*24*NETWORKDAYS.INTL(F284,F284,1,FERIADOS!$A$2:$A$50)+MAX(0,NETWORKDAYS.INTL(F284+1,NOW()-1,1,FERIADOS!$A$2:$A$50))*10+MAX(0,(MIN(NOW(),INT(NOW())+18/24)-(INT(NOW())+8/24)))*24*NETWORKDAYS.INTL(NOW(),NOW(),1,FERIADOS!$A$2:$A$50)))</f>
        <v/>
      </c>
      <c r="P284" s="1" t="str">
        <f t="shared" si="30"/>
        <v/>
      </c>
      <c r="Q284" s="1" t="str">
        <f t="shared" si="31"/>
        <v/>
      </c>
      <c r="R284" s="1" t="str">
        <f t="shared" si="32"/>
        <v/>
      </c>
      <c r="S284" s="1" t="str">
        <f>IF($A284="","",COUNTIF($N$2:N284,$N284))</f>
        <v/>
      </c>
      <c r="T284" s="1" t="str">
        <f t="shared" si="33"/>
        <v/>
      </c>
      <c r="U284" s="1" t="str">
        <f t="shared" si="34"/>
        <v/>
      </c>
      <c r="V284"/>
    </row>
    <row r="285" spans="13:22" x14ac:dyDescent="0.3">
      <c r="M285" s="1" t="str">
        <f t="shared" si="28"/>
        <v/>
      </c>
      <c r="N285" s="1" t="str">
        <f t="shared" si="29"/>
        <v/>
      </c>
      <c r="O285" s="1" t="str">
        <f ca="1">IF(F285="","",IF(INT(F285)=INT(NOW()),IF(NETWORKDAYS.INTL(F285,F285,1,FERIADOS!$A$2:$A$50)=0,0,MAX(0,(MIN(NOW(),INT(NOW())+18/24)-MAX(F285,INT(F285)+8/24)))*24),MAX(0,(INT(F285)+18/24-MAX(F285,INT(F285)+8/24)))*24*NETWORKDAYS.INTL(F285,F285,1,FERIADOS!$A$2:$A$50)+MAX(0,NETWORKDAYS.INTL(F285+1,NOW()-1,1,FERIADOS!$A$2:$A$50))*10+MAX(0,(MIN(NOW(),INT(NOW())+18/24)-(INT(NOW())+8/24)))*24*NETWORKDAYS.INTL(NOW(),NOW(),1,FERIADOS!$A$2:$A$50)))</f>
        <v/>
      </c>
      <c r="P285" s="1" t="str">
        <f t="shared" si="30"/>
        <v/>
      </c>
      <c r="Q285" s="1" t="str">
        <f t="shared" si="31"/>
        <v/>
      </c>
      <c r="R285" s="1" t="str">
        <f t="shared" si="32"/>
        <v/>
      </c>
      <c r="S285" s="1" t="str">
        <f>IF($A285="","",COUNTIF($N$2:N285,$N285))</f>
        <v/>
      </c>
      <c r="T285" s="1" t="str">
        <f t="shared" si="33"/>
        <v/>
      </c>
      <c r="U285" s="1" t="str">
        <f t="shared" si="34"/>
        <v/>
      </c>
      <c r="V285"/>
    </row>
    <row r="286" spans="13:22" x14ac:dyDescent="0.3">
      <c r="M286" s="1" t="str">
        <f t="shared" si="28"/>
        <v/>
      </c>
      <c r="N286" s="1" t="str">
        <f t="shared" si="29"/>
        <v/>
      </c>
      <c r="O286" s="1" t="str">
        <f ca="1">IF(F286="","",IF(INT(F286)=INT(NOW()),IF(NETWORKDAYS.INTL(F286,F286,1,FERIADOS!$A$2:$A$50)=0,0,MAX(0,(MIN(NOW(),INT(NOW())+18/24)-MAX(F286,INT(F286)+8/24)))*24),MAX(0,(INT(F286)+18/24-MAX(F286,INT(F286)+8/24)))*24*NETWORKDAYS.INTL(F286,F286,1,FERIADOS!$A$2:$A$50)+MAX(0,NETWORKDAYS.INTL(F286+1,NOW()-1,1,FERIADOS!$A$2:$A$50))*10+MAX(0,(MIN(NOW(),INT(NOW())+18/24)-(INT(NOW())+8/24)))*24*NETWORKDAYS.INTL(NOW(),NOW(),1,FERIADOS!$A$2:$A$50)))</f>
        <v/>
      </c>
      <c r="P286" s="1" t="str">
        <f t="shared" si="30"/>
        <v/>
      </c>
      <c r="Q286" s="1" t="str">
        <f t="shared" si="31"/>
        <v/>
      </c>
      <c r="R286" s="1" t="str">
        <f t="shared" si="32"/>
        <v/>
      </c>
      <c r="S286" s="1" t="str">
        <f>IF($A286="","",COUNTIF($N$2:N286,$N286))</f>
        <v/>
      </c>
      <c r="T286" s="1" t="str">
        <f t="shared" si="33"/>
        <v/>
      </c>
      <c r="U286" s="1" t="str">
        <f t="shared" si="34"/>
        <v/>
      </c>
      <c r="V286"/>
    </row>
    <row r="287" spans="13:22" x14ac:dyDescent="0.3">
      <c r="M287" s="1" t="str">
        <f t="shared" si="28"/>
        <v/>
      </c>
      <c r="N287" s="1" t="str">
        <f t="shared" si="29"/>
        <v/>
      </c>
      <c r="O287" s="1" t="str">
        <f ca="1">IF(F287="","",IF(INT(F287)=INT(NOW()),IF(NETWORKDAYS.INTL(F287,F287,1,FERIADOS!$A$2:$A$50)=0,0,MAX(0,(MIN(NOW(),INT(NOW())+18/24)-MAX(F287,INT(F287)+8/24)))*24),MAX(0,(INT(F287)+18/24-MAX(F287,INT(F287)+8/24)))*24*NETWORKDAYS.INTL(F287,F287,1,FERIADOS!$A$2:$A$50)+MAX(0,NETWORKDAYS.INTL(F287+1,NOW()-1,1,FERIADOS!$A$2:$A$50))*10+MAX(0,(MIN(NOW(),INT(NOW())+18/24)-(INT(NOW())+8/24)))*24*NETWORKDAYS.INTL(NOW(),NOW(),1,FERIADOS!$A$2:$A$50)))</f>
        <v/>
      </c>
      <c r="P287" s="1" t="str">
        <f t="shared" si="30"/>
        <v/>
      </c>
      <c r="Q287" s="1" t="str">
        <f t="shared" si="31"/>
        <v/>
      </c>
      <c r="R287" s="1" t="str">
        <f t="shared" si="32"/>
        <v/>
      </c>
      <c r="S287" s="1" t="str">
        <f>IF($A287="","",COUNTIF($N$2:N287,$N287))</f>
        <v/>
      </c>
      <c r="T287" s="1" t="str">
        <f t="shared" si="33"/>
        <v/>
      </c>
      <c r="U287" s="1" t="str">
        <f t="shared" si="34"/>
        <v/>
      </c>
      <c r="V287"/>
    </row>
    <row r="288" spans="13:22" x14ac:dyDescent="0.3">
      <c r="M288" s="1" t="str">
        <f t="shared" si="28"/>
        <v/>
      </c>
      <c r="N288" s="1" t="str">
        <f t="shared" si="29"/>
        <v/>
      </c>
      <c r="O288" s="1" t="str">
        <f ca="1">IF(F288="","",IF(INT(F288)=INT(NOW()),IF(NETWORKDAYS.INTL(F288,F288,1,FERIADOS!$A$2:$A$50)=0,0,MAX(0,(MIN(NOW(),INT(NOW())+18/24)-MAX(F288,INT(F288)+8/24)))*24),MAX(0,(INT(F288)+18/24-MAX(F288,INT(F288)+8/24)))*24*NETWORKDAYS.INTL(F288,F288,1,FERIADOS!$A$2:$A$50)+MAX(0,NETWORKDAYS.INTL(F288+1,NOW()-1,1,FERIADOS!$A$2:$A$50))*10+MAX(0,(MIN(NOW(),INT(NOW())+18/24)-(INT(NOW())+8/24)))*24*NETWORKDAYS.INTL(NOW(),NOW(),1,FERIADOS!$A$2:$A$50)))</f>
        <v/>
      </c>
      <c r="P288" s="1" t="str">
        <f t="shared" si="30"/>
        <v/>
      </c>
      <c r="Q288" s="1" t="str">
        <f t="shared" si="31"/>
        <v/>
      </c>
      <c r="R288" s="1" t="str">
        <f t="shared" si="32"/>
        <v/>
      </c>
      <c r="S288" s="1" t="str">
        <f>IF($A288="","",COUNTIF($N$2:N288,$N288))</f>
        <v/>
      </c>
      <c r="T288" s="1" t="str">
        <f t="shared" si="33"/>
        <v/>
      </c>
      <c r="U288" s="1" t="str">
        <f t="shared" si="34"/>
        <v/>
      </c>
      <c r="V288"/>
    </row>
    <row r="289" spans="13:22" x14ac:dyDescent="0.3">
      <c r="M289" s="1" t="str">
        <f t="shared" si="28"/>
        <v/>
      </c>
      <c r="N289" s="1" t="str">
        <f t="shared" si="29"/>
        <v/>
      </c>
      <c r="O289" s="1" t="str">
        <f ca="1">IF(F289="","",IF(INT(F289)=INT(NOW()),IF(NETWORKDAYS.INTL(F289,F289,1,FERIADOS!$A$2:$A$50)=0,0,MAX(0,(MIN(NOW(),INT(NOW())+18/24)-MAX(F289,INT(F289)+8/24)))*24),MAX(0,(INT(F289)+18/24-MAX(F289,INT(F289)+8/24)))*24*NETWORKDAYS.INTL(F289,F289,1,FERIADOS!$A$2:$A$50)+MAX(0,NETWORKDAYS.INTL(F289+1,NOW()-1,1,FERIADOS!$A$2:$A$50))*10+MAX(0,(MIN(NOW(),INT(NOW())+18/24)-(INT(NOW())+8/24)))*24*NETWORKDAYS.INTL(NOW(),NOW(),1,FERIADOS!$A$2:$A$50)))</f>
        <v/>
      </c>
      <c r="P289" s="1" t="str">
        <f t="shared" si="30"/>
        <v/>
      </c>
      <c r="Q289" s="1" t="str">
        <f t="shared" si="31"/>
        <v/>
      </c>
      <c r="R289" s="1" t="str">
        <f t="shared" si="32"/>
        <v/>
      </c>
      <c r="S289" s="1" t="str">
        <f>IF($A289="","",COUNTIF($N$2:N289,$N289))</f>
        <v/>
      </c>
      <c r="T289" s="1" t="str">
        <f t="shared" si="33"/>
        <v/>
      </c>
      <c r="U289" s="1" t="str">
        <f t="shared" si="34"/>
        <v/>
      </c>
      <c r="V289"/>
    </row>
    <row r="290" spans="13:22" x14ac:dyDescent="0.3">
      <c r="M290" s="1" t="str">
        <f t="shared" si="28"/>
        <v/>
      </c>
      <c r="N290" s="1" t="str">
        <f t="shared" si="29"/>
        <v/>
      </c>
      <c r="O290" s="1" t="str">
        <f ca="1">IF(F290="","",IF(INT(F290)=INT(NOW()),IF(NETWORKDAYS.INTL(F290,F290,1,FERIADOS!$A$2:$A$50)=0,0,MAX(0,(MIN(NOW(),INT(NOW())+18/24)-MAX(F290,INT(F290)+8/24)))*24),MAX(0,(INT(F290)+18/24-MAX(F290,INT(F290)+8/24)))*24*NETWORKDAYS.INTL(F290,F290,1,FERIADOS!$A$2:$A$50)+MAX(0,NETWORKDAYS.INTL(F290+1,NOW()-1,1,FERIADOS!$A$2:$A$50))*10+MAX(0,(MIN(NOW(),INT(NOW())+18/24)-(INT(NOW())+8/24)))*24*NETWORKDAYS.INTL(NOW(),NOW(),1,FERIADOS!$A$2:$A$50)))</f>
        <v/>
      </c>
      <c r="P290" s="1" t="str">
        <f t="shared" si="30"/>
        <v/>
      </c>
      <c r="Q290" s="1" t="str">
        <f t="shared" si="31"/>
        <v/>
      </c>
      <c r="R290" s="1" t="str">
        <f t="shared" si="32"/>
        <v/>
      </c>
      <c r="S290" s="1" t="str">
        <f>IF($A290="","",COUNTIF($N$2:N290,$N290))</f>
        <v/>
      </c>
      <c r="T290" s="1" t="str">
        <f t="shared" si="33"/>
        <v/>
      </c>
      <c r="U290" s="1" t="str">
        <f t="shared" si="34"/>
        <v/>
      </c>
      <c r="V290"/>
    </row>
    <row r="291" spans="13:22" x14ac:dyDescent="0.3">
      <c r="M291" s="1" t="str">
        <f t="shared" si="28"/>
        <v/>
      </c>
      <c r="N291" s="1" t="str">
        <f t="shared" si="29"/>
        <v/>
      </c>
      <c r="O291" s="1" t="str">
        <f ca="1">IF(F291="","",IF(INT(F291)=INT(NOW()),IF(NETWORKDAYS.INTL(F291,F291,1,FERIADOS!$A$2:$A$50)=0,0,MAX(0,(MIN(NOW(),INT(NOW())+18/24)-MAX(F291,INT(F291)+8/24)))*24),MAX(0,(INT(F291)+18/24-MAX(F291,INT(F291)+8/24)))*24*NETWORKDAYS.INTL(F291,F291,1,FERIADOS!$A$2:$A$50)+MAX(0,NETWORKDAYS.INTL(F291+1,NOW()-1,1,FERIADOS!$A$2:$A$50))*10+MAX(0,(MIN(NOW(),INT(NOW())+18/24)-(INT(NOW())+8/24)))*24*NETWORKDAYS.INTL(NOW(),NOW(),1,FERIADOS!$A$2:$A$50)))</f>
        <v/>
      </c>
      <c r="P291" s="1" t="str">
        <f t="shared" si="30"/>
        <v/>
      </c>
      <c r="Q291" s="1" t="str">
        <f t="shared" si="31"/>
        <v/>
      </c>
      <c r="R291" s="1" t="str">
        <f t="shared" si="32"/>
        <v/>
      </c>
      <c r="S291" s="1" t="str">
        <f>IF($A291="","",COUNTIF($N$2:N291,$N291))</f>
        <v/>
      </c>
      <c r="T291" s="1" t="str">
        <f t="shared" si="33"/>
        <v/>
      </c>
      <c r="U291" s="1" t="str">
        <f t="shared" si="34"/>
        <v/>
      </c>
      <c r="V291"/>
    </row>
    <row r="292" spans="13:22" x14ac:dyDescent="0.3">
      <c r="M292" s="1" t="str">
        <f t="shared" si="28"/>
        <v/>
      </c>
      <c r="N292" s="1" t="str">
        <f t="shared" si="29"/>
        <v/>
      </c>
      <c r="O292" s="1" t="str">
        <f ca="1">IF(F292="","",IF(INT(F292)=INT(NOW()),IF(NETWORKDAYS.INTL(F292,F292,1,FERIADOS!$A$2:$A$50)=0,0,MAX(0,(MIN(NOW(),INT(NOW())+18/24)-MAX(F292,INT(F292)+8/24)))*24),MAX(0,(INT(F292)+18/24-MAX(F292,INT(F292)+8/24)))*24*NETWORKDAYS.INTL(F292,F292,1,FERIADOS!$A$2:$A$50)+MAX(0,NETWORKDAYS.INTL(F292+1,NOW()-1,1,FERIADOS!$A$2:$A$50))*10+MAX(0,(MIN(NOW(),INT(NOW())+18/24)-(INT(NOW())+8/24)))*24*NETWORKDAYS.INTL(NOW(),NOW(),1,FERIADOS!$A$2:$A$50)))</f>
        <v/>
      </c>
      <c r="P292" s="1" t="str">
        <f t="shared" si="30"/>
        <v/>
      </c>
      <c r="Q292" s="1" t="str">
        <f t="shared" si="31"/>
        <v/>
      </c>
      <c r="R292" s="1" t="str">
        <f t="shared" si="32"/>
        <v/>
      </c>
      <c r="S292" s="1" t="str">
        <f>IF($A292="","",COUNTIF($N$2:N292,$N292))</f>
        <v/>
      </c>
      <c r="T292" s="1" t="str">
        <f t="shared" si="33"/>
        <v/>
      </c>
      <c r="U292" s="1" t="str">
        <f t="shared" si="34"/>
        <v/>
      </c>
      <c r="V292"/>
    </row>
    <row r="293" spans="13:22" x14ac:dyDescent="0.3">
      <c r="M293" s="1" t="str">
        <f t="shared" si="28"/>
        <v/>
      </c>
      <c r="N293" s="1" t="str">
        <f t="shared" si="29"/>
        <v/>
      </c>
      <c r="O293" s="1" t="str">
        <f ca="1">IF(F293="","",IF(INT(F293)=INT(NOW()),IF(NETWORKDAYS.INTL(F293,F293,1,FERIADOS!$A$2:$A$50)=0,0,MAX(0,(MIN(NOW(),INT(NOW())+18/24)-MAX(F293,INT(F293)+8/24)))*24),MAX(0,(INT(F293)+18/24-MAX(F293,INT(F293)+8/24)))*24*NETWORKDAYS.INTL(F293,F293,1,FERIADOS!$A$2:$A$50)+MAX(0,NETWORKDAYS.INTL(F293+1,NOW()-1,1,FERIADOS!$A$2:$A$50))*10+MAX(0,(MIN(NOW(),INT(NOW())+18/24)-(INT(NOW())+8/24)))*24*NETWORKDAYS.INTL(NOW(),NOW(),1,FERIADOS!$A$2:$A$50)))</f>
        <v/>
      </c>
      <c r="P293" s="1" t="str">
        <f t="shared" si="30"/>
        <v/>
      </c>
      <c r="Q293" s="1" t="str">
        <f t="shared" si="31"/>
        <v/>
      </c>
      <c r="R293" s="1" t="str">
        <f t="shared" si="32"/>
        <v/>
      </c>
      <c r="S293" s="1" t="str">
        <f>IF($A293="","",COUNTIF($N$2:N293,$N293))</f>
        <v/>
      </c>
      <c r="T293" s="1" t="str">
        <f t="shared" si="33"/>
        <v/>
      </c>
      <c r="U293" s="1" t="str">
        <f t="shared" si="34"/>
        <v/>
      </c>
      <c r="V293"/>
    </row>
    <row r="294" spans="13:22" x14ac:dyDescent="0.3">
      <c r="M294" s="1" t="str">
        <f t="shared" si="28"/>
        <v/>
      </c>
      <c r="N294" s="1" t="str">
        <f t="shared" si="29"/>
        <v/>
      </c>
      <c r="O294" s="1" t="str">
        <f ca="1">IF(F294="","",IF(INT(F294)=INT(NOW()),IF(NETWORKDAYS.INTL(F294,F294,1,FERIADOS!$A$2:$A$50)=0,0,MAX(0,(MIN(NOW(),INT(NOW())+18/24)-MAX(F294,INT(F294)+8/24)))*24),MAX(0,(INT(F294)+18/24-MAX(F294,INT(F294)+8/24)))*24*NETWORKDAYS.INTL(F294,F294,1,FERIADOS!$A$2:$A$50)+MAX(0,NETWORKDAYS.INTL(F294+1,NOW()-1,1,FERIADOS!$A$2:$A$50))*10+MAX(0,(MIN(NOW(),INT(NOW())+18/24)-(INT(NOW())+8/24)))*24*NETWORKDAYS.INTL(NOW(),NOW(),1,FERIADOS!$A$2:$A$50)))</f>
        <v/>
      </c>
      <c r="P294" s="1" t="str">
        <f t="shared" si="30"/>
        <v/>
      </c>
      <c r="Q294" s="1" t="str">
        <f t="shared" si="31"/>
        <v/>
      </c>
      <c r="R294" s="1" t="str">
        <f t="shared" si="32"/>
        <v/>
      </c>
      <c r="S294" s="1" t="str">
        <f>IF($A294="","",COUNTIF($N$2:N294,$N294))</f>
        <v/>
      </c>
      <c r="T294" s="1" t="str">
        <f t="shared" si="33"/>
        <v/>
      </c>
      <c r="U294" s="1" t="str">
        <f t="shared" si="34"/>
        <v/>
      </c>
      <c r="V294"/>
    </row>
    <row r="295" spans="13:22" x14ac:dyDescent="0.3">
      <c r="M295" s="1" t="str">
        <f t="shared" si="28"/>
        <v/>
      </c>
      <c r="N295" s="1" t="str">
        <f t="shared" si="29"/>
        <v/>
      </c>
      <c r="O295" s="1" t="str">
        <f ca="1">IF(F295="","",IF(INT(F295)=INT(NOW()),IF(NETWORKDAYS.INTL(F295,F295,1,FERIADOS!$A$2:$A$50)=0,0,MAX(0,(MIN(NOW(),INT(NOW())+18/24)-MAX(F295,INT(F295)+8/24)))*24),MAX(0,(INT(F295)+18/24-MAX(F295,INT(F295)+8/24)))*24*NETWORKDAYS.INTL(F295,F295,1,FERIADOS!$A$2:$A$50)+MAX(0,NETWORKDAYS.INTL(F295+1,NOW()-1,1,FERIADOS!$A$2:$A$50))*10+MAX(0,(MIN(NOW(),INT(NOW())+18/24)-(INT(NOW())+8/24)))*24*NETWORKDAYS.INTL(NOW(),NOW(),1,FERIADOS!$A$2:$A$50)))</f>
        <v/>
      </c>
      <c r="P295" s="1" t="str">
        <f t="shared" si="30"/>
        <v/>
      </c>
      <c r="Q295" s="1" t="str">
        <f t="shared" si="31"/>
        <v/>
      </c>
      <c r="R295" s="1" t="str">
        <f t="shared" si="32"/>
        <v/>
      </c>
      <c r="S295" s="1" t="str">
        <f>IF($A295="","",COUNTIF($N$2:N295,$N295))</f>
        <v/>
      </c>
      <c r="T295" s="1" t="str">
        <f t="shared" si="33"/>
        <v/>
      </c>
      <c r="U295" s="1" t="str">
        <f t="shared" si="34"/>
        <v/>
      </c>
      <c r="V295"/>
    </row>
    <row r="296" spans="13:22" x14ac:dyDescent="0.3">
      <c r="M296" s="1" t="str">
        <f t="shared" si="28"/>
        <v/>
      </c>
      <c r="N296" s="1" t="str">
        <f t="shared" si="29"/>
        <v/>
      </c>
      <c r="O296" s="1" t="str">
        <f ca="1">IF(F296="","",IF(INT(F296)=INT(NOW()),IF(NETWORKDAYS.INTL(F296,F296,1,FERIADOS!$A$2:$A$50)=0,0,MAX(0,(MIN(NOW(),INT(NOW())+18/24)-MAX(F296,INT(F296)+8/24)))*24),MAX(0,(INT(F296)+18/24-MAX(F296,INT(F296)+8/24)))*24*NETWORKDAYS.INTL(F296,F296,1,FERIADOS!$A$2:$A$50)+MAX(0,NETWORKDAYS.INTL(F296+1,NOW()-1,1,FERIADOS!$A$2:$A$50))*10+MAX(0,(MIN(NOW(),INT(NOW())+18/24)-(INT(NOW())+8/24)))*24*NETWORKDAYS.INTL(NOW(),NOW(),1,FERIADOS!$A$2:$A$50)))</f>
        <v/>
      </c>
      <c r="P296" s="1" t="str">
        <f t="shared" si="30"/>
        <v/>
      </c>
      <c r="Q296" s="1" t="str">
        <f t="shared" si="31"/>
        <v/>
      </c>
      <c r="R296" s="1" t="str">
        <f t="shared" si="32"/>
        <v/>
      </c>
      <c r="S296" s="1" t="str">
        <f>IF($A296="","",COUNTIF($N$2:N296,$N296))</f>
        <v/>
      </c>
      <c r="T296" s="1" t="str">
        <f t="shared" si="33"/>
        <v/>
      </c>
      <c r="U296" s="1" t="str">
        <f t="shared" si="34"/>
        <v/>
      </c>
      <c r="V296"/>
    </row>
    <row r="297" spans="13:22" x14ac:dyDescent="0.3">
      <c r="M297" s="1" t="str">
        <f t="shared" si="28"/>
        <v/>
      </c>
      <c r="N297" s="1" t="str">
        <f t="shared" si="29"/>
        <v/>
      </c>
      <c r="O297" s="1" t="str">
        <f ca="1">IF(F297="","",IF(INT(F297)=INT(NOW()),IF(NETWORKDAYS.INTL(F297,F297,1,FERIADOS!$A$2:$A$50)=0,0,MAX(0,(MIN(NOW(),INT(NOW())+18/24)-MAX(F297,INT(F297)+8/24)))*24),MAX(0,(INT(F297)+18/24-MAX(F297,INT(F297)+8/24)))*24*NETWORKDAYS.INTL(F297,F297,1,FERIADOS!$A$2:$A$50)+MAX(0,NETWORKDAYS.INTL(F297+1,NOW()-1,1,FERIADOS!$A$2:$A$50))*10+MAX(0,(MIN(NOW(),INT(NOW())+18/24)-(INT(NOW())+8/24)))*24*NETWORKDAYS.INTL(NOW(),NOW(),1,FERIADOS!$A$2:$A$50)))</f>
        <v/>
      </c>
      <c r="P297" s="1" t="str">
        <f t="shared" si="30"/>
        <v/>
      </c>
      <c r="Q297" s="1" t="str">
        <f t="shared" si="31"/>
        <v/>
      </c>
      <c r="R297" s="1" t="str">
        <f t="shared" si="32"/>
        <v/>
      </c>
      <c r="S297" s="1" t="str">
        <f>IF($A297="","",COUNTIF($N$2:N297,$N297))</f>
        <v/>
      </c>
      <c r="T297" s="1" t="str">
        <f t="shared" si="33"/>
        <v/>
      </c>
      <c r="U297" s="1" t="str">
        <f t="shared" si="34"/>
        <v/>
      </c>
      <c r="V297"/>
    </row>
    <row r="298" spans="13:22" x14ac:dyDescent="0.3">
      <c r="M298" s="1" t="str">
        <f t="shared" si="28"/>
        <v/>
      </c>
      <c r="N298" s="1" t="str">
        <f t="shared" si="29"/>
        <v/>
      </c>
      <c r="O298" s="1" t="str">
        <f ca="1">IF(F298="","",IF(INT(F298)=INT(NOW()),IF(NETWORKDAYS.INTL(F298,F298,1,FERIADOS!$A$2:$A$50)=0,0,MAX(0,(MIN(NOW(),INT(NOW())+18/24)-MAX(F298,INT(F298)+8/24)))*24),MAX(0,(INT(F298)+18/24-MAX(F298,INT(F298)+8/24)))*24*NETWORKDAYS.INTL(F298,F298,1,FERIADOS!$A$2:$A$50)+MAX(0,NETWORKDAYS.INTL(F298+1,NOW()-1,1,FERIADOS!$A$2:$A$50))*10+MAX(0,(MIN(NOW(),INT(NOW())+18/24)-(INT(NOW())+8/24)))*24*NETWORKDAYS.INTL(NOW(),NOW(),1,FERIADOS!$A$2:$A$50)))</f>
        <v/>
      </c>
      <c r="P298" s="1" t="str">
        <f t="shared" si="30"/>
        <v/>
      </c>
      <c r="Q298" s="1" t="str">
        <f t="shared" si="31"/>
        <v/>
      </c>
      <c r="R298" s="1" t="str">
        <f t="shared" si="32"/>
        <v/>
      </c>
      <c r="S298" s="1" t="str">
        <f>IF($A298="","",COUNTIF($N$2:N298,$N298))</f>
        <v/>
      </c>
      <c r="T298" s="1" t="str">
        <f t="shared" si="33"/>
        <v/>
      </c>
      <c r="U298" s="1" t="str">
        <f t="shared" si="34"/>
        <v/>
      </c>
      <c r="V298"/>
    </row>
    <row r="299" spans="13:22" x14ac:dyDescent="0.3">
      <c r="M299" s="1" t="str">
        <f t="shared" si="28"/>
        <v/>
      </c>
      <c r="N299" s="1" t="str">
        <f t="shared" si="29"/>
        <v/>
      </c>
      <c r="O299" s="1" t="str">
        <f ca="1">IF(F299="","",IF(INT(F299)=INT(NOW()),IF(NETWORKDAYS.INTL(F299,F299,1,FERIADOS!$A$2:$A$50)=0,0,MAX(0,(MIN(NOW(),INT(NOW())+18/24)-MAX(F299,INT(F299)+8/24)))*24),MAX(0,(INT(F299)+18/24-MAX(F299,INT(F299)+8/24)))*24*NETWORKDAYS.INTL(F299,F299,1,FERIADOS!$A$2:$A$50)+MAX(0,NETWORKDAYS.INTL(F299+1,NOW()-1,1,FERIADOS!$A$2:$A$50))*10+MAX(0,(MIN(NOW(),INT(NOW())+18/24)-(INT(NOW())+8/24)))*24*NETWORKDAYS.INTL(NOW(),NOW(),1,FERIADOS!$A$2:$A$50)))</f>
        <v/>
      </c>
      <c r="P299" s="1" t="str">
        <f t="shared" si="30"/>
        <v/>
      </c>
      <c r="Q299" s="1" t="str">
        <f t="shared" si="31"/>
        <v/>
      </c>
      <c r="R299" s="1" t="str">
        <f t="shared" si="32"/>
        <v/>
      </c>
      <c r="S299" s="1" t="str">
        <f>IF($A299="","",COUNTIF($N$2:N299,$N299))</f>
        <v/>
      </c>
      <c r="T299" s="1" t="str">
        <f t="shared" si="33"/>
        <v/>
      </c>
      <c r="U299" s="1" t="str">
        <f t="shared" si="34"/>
        <v/>
      </c>
      <c r="V299"/>
    </row>
    <row r="300" spans="13:22" x14ac:dyDescent="0.3">
      <c r="M300" s="1" t="str">
        <f t="shared" si="28"/>
        <v/>
      </c>
      <c r="N300" s="1" t="str">
        <f t="shared" si="29"/>
        <v/>
      </c>
      <c r="O300" s="1" t="str">
        <f ca="1">IF(F300="","",IF(INT(F300)=INT(NOW()),IF(NETWORKDAYS.INTL(F300,F300,1,FERIADOS!$A$2:$A$50)=0,0,MAX(0,(MIN(NOW(),INT(NOW())+18/24)-MAX(F300,INT(F300)+8/24)))*24),MAX(0,(INT(F300)+18/24-MAX(F300,INT(F300)+8/24)))*24*NETWORKDAYS.INTL(F300,F300,1,FERIADOS!$A$2:$A$50)+MAX(0,NETWORKDAYS.INTL(F300+1,NOW()-1,1,FERIADOS!$A$2:$A$50))*10+MAX(0,(MIN(NOW(),INT(NOW())+18/24)-(INT(NOW())+8/24)))*24*NETWORKDAYS.INTL(NOW(),NOW(),1,FERIADOS!$A$2:$A$50)))</f>
        <v/>
      </c>
      <c r="P300" s="1" t="str">
        <f t="shared" si="30"/>
        <v/>
      </c>
      <c r="Q300" s="1" t="str">
        <f t="shared" si="31"/>
        <v/>
      </c>
      <c r="R300" s="1" t="str">
        <f t="shared" si="32"/>
        <v/>
      </c>
      <c r="S300" s="1" t="str">
        <f>IF($A300="","",COUNTIF($N$2:N300,$N300))</f>
        <v/>
      </c>
      <c r="T300" s="1" t="str">
        <f t="shared" si="33"/>
        <v/>
      </c>
      <c r="U300" s="1" t="str">
        <f t="shared" si="34"/>
        <v/>
      </c>
      <c r="V300"/>
    </row>
    <row r="301" spans="13:22" x14ac:dyDescent="0.3">
      <c r="M301" s="1" t="str">
        <f t="shared" si="28"/>
        <v/>
      </c>
      <c r="N301" s="1" t="str">
        <f t="shared" si="29"/>
        <v/>
      </c>
      <c r="O301" s="1" t="str">
        <f ca="1">IF(F301="","",IF(INT(F301)=INT(NOW()),IF(NETWORKDAYS.INTL(F301,F301,1,FERIADOS!$A$2:$A$50)=0,0,MAX(0,(MIN(NOW(),INT(NOW())+18/24)-MAX(F301,INT(F301)+8/24)))*24),MAX(0,(INT(F301)+18/24-MAX(F301,INT(F301)+8/24)))*24*NETWORKDAYS.INTL(F301,F301,1,FERIADOS!$A$2:$A$50)+MAX(0,NETWORKDAYS.INTL(F301+1,NOW()-1,1,FERIADOS!$A$2:$A$50))*10+MAX(0,(MIN(NOW(),INT(NOW())+18/24)-(INT(NOW())+8/24)))*24*NETWORKDAYS.INTL(NOW(),NOW(),1,FERIADOS!$A$2:$A$50)))</f>
        <v/>
      </c>
      <c r="P301" s="1" t="str">
        <f t="shared" si="30"/>
        <v/>
      </c>
      <c r="Q301" s="1" t="str">
        <f t="shared" si="31"/>
        <v/>
      </c>
      <c r="R301" s="1" t="str">
        <f t="shared" si="32"/>
        <v/>
      </c>
      <c r="S301" s="1" t="str">
        <f>IF($A301="","",COUNTIF($N$2:N301,$N301))</f>
        <v/>
      </c>
      <c r="T301" s="1" t="str">
        <f t="shared" si="33"/>
        <v/>
      </c>
      <c r="U301" s="1" t="str">
        <f t="shared" si="34"/>
        <v/>
      </c>
      <c r="V301"/>
    </row>
    <row r="302" spans="13:22" x14ac:dyDescent="0.3">
      <c r="M302" s="1" t="str">
        <f t="shared" si="28"/>
        <v/>
      </c>
      <c r="N302" s="1" t="str">
        <f t="shared" si="29"/>
        <v/>
      </c>
      <c r="O302" s="1" t="str">
        <f ca="1">IF(F302="","",IF(INT(F302)=INT(NOW()),IF(NETWORKDAYS.INTL(F302,F302,1,FERIADOS!$A$2:$A$50)=0,0,MAX(0,(MIN(NOW(),INT(NOW())+18/24)-MAX(F302,INT(F302)+8/24)))*24),MAX(0,(INT(F302)+18/24-MAX(F302,INT(F302)+8/24)))*24*NETWORKDAYS.INTL(F302,F302,1,FERIADOS!$A$2:$A$50)+MAX(0,NETWORKDAYS.INTL(F302+1,NOW()-1,1,FERIADOS!$A$2:$A$50))*10+MAX(0,(MIN(NOW(),INT(NOW())+18/24)-(INT(NOW())+8/24)))*24*NETWORKDAYS.INTL(NOW(),NOW(),1,FERIADOS!$A$2:$A$50)))</f>
        <v/>
      </c>
      <c r="P302" s="1" t="str">
        <f t="shared" si="30"/>
        <v/>
      </c>
      <c r="Q302" s="1" t="str">
        <f t="shared" si="31"/>
        <v/>
      </c>
      <c r="R302" s="1" t="str">
        <f t="shared" si="32"/>
        <v/>
      </c>
      <c r="S302" s="1" t="str">
        <f>IF($A302="","",COUNTIF($N$2:N302,$N302))</f>
        <v/>
      </c>
      <c r="T302" s="1" t="str">
        <f t="shared" si="33"/>
        <v/>
      </c>
      <c r="U302" s="1" t="str">
        <f t="shared" si="34"/>
        <v/>
      </c>
      <c r="V302"/>
    </row>
    <row r="303" spans="13:22" x14ac:dyDescent="0.3">
      <c r="M303" s="1" t="str">
        <f t="shared" si="28"/>
        <v/>
      </c>
      <c r="N303" s="1" t="str">
        <f t="shared" si="29"/>
        <v/>
      </c>
      <c r="O303" s="1" t="str">
        <f ca="1">IF(F303="","",IF(INT(F303)=INT(NOW()),IF(NETWORKDAYS.INTL(F303,F303,1,FERIADOS!$A$2:$A$50)=0,0,MAX(0,(MIN(NOW(),INT(NOW())+18/24)-MAX(F303,INT(F303)+8/24)))*24),MAX(0,(INT(F303)+18/24-MAX(F303,INT(F303)+8/24)))*24*NETWORKDAYS.INTL(F303,F303,1,FERIADOS!$A$2:$A$50)+MAX(0,NETWORKDAYS.INTL(F303+1,NOW()-1,1,FERIADOS!$A$2:$A$50))*10+MAX(0,(MIN(NOW(),INT(NOW())+18/24)-(INT(NOW())+8/24)))*24*NETWORKDAYS.INTL(NOW(),NOW(),1,FERIADOS!$A$2:$A$50)))</f>
        <v/>
      </c>
      <c r="P303" s="1" t="str">
        <f t="shared" si="30"/>
        <v/>
      </c>
      <c r="Q303" s="1" t="str">
        <f t="shared" si="31"/>
        <v/>
      </c>
      <c r="R303" s="1" t="str">
        <f t="shared" si="32"/>
        <v/>
      </c>
      <c r="S303" s="1" t="str">
        <f>IF($A303="","",COUNTIF($N$2:N303,$N303))</f>
        <v/>
      </c>
      <c r="T303" s="1" t="str">
        <f t="shared" si="33"/>
        <v/>
      </c>
      <c r="U303" s="1" t="str">
        <f t="shared" si="34"/>
        <v/>
      </c>
      <c r="V303"/>
    </row>
    <row r="304" spans="13:22" x14ac:dyDescent="0.3">
      <c r="M304" s="1" t="str">
        <f t="shared" si="28"/>
        <v/>
      </c>
      <c r="N304" s="1" t="str">
        <f t="shared" si="29"/>
        <v/>
      </c>
      <c r="O304" s="1" t="str">
        <f ca="1">IF(F304="","",IF(INT(F304)=INT(NOW()),IF(NETWORKDAYS.INTL(F304,F304,1,FERIADOS!$A$2:$A$50)=0,0,MAX(0,(MIN(NOW(),INT(NOW())+18/24)-MAX(F304,INT(F304)+8/24)))*24),MAX(0,(INT(F304)+18/24-MAX(F304,INT(F304)+8/24)))*24*NETWORKDAYS.INTL(F304,F304,1,FERIADOS!$A$2:$A$50)+MAX(0,NETWORKDAYS.INTL(F304+1,NOW()-1,1,FERIADOS!$A$2:$A$50))*10+MAX(0,(MIN(NOW(),INT(NOW())+18/24)-(INT(NOW())+8/24)))*24*NETWORKDAYS.INTL(NOW(),NOW(),1,FERIADOS!$A$2:$A$50)))</f>
        <v/>
      </c>
      <c r="P304" s="1" t="str">
        <f t="shared" si="30"/>
        <v/>
      </c>
      <c r="Q304" s="1" t="str">
        <f t="shared" si="31"/>
        <v/>
      </c>
      <c r="R304" s="1" t="str">
        <f t="shared" si="32"/>
        <v/>
      </c>
      <c r="S304" s="1" t="str">
        <f>IF($A304="","",COUNTIF($N$2:N304,$N304))</f>
        <v/>
      </c>
      <c r="T304" s="1" t="str">
        <f t="shared" si="33"/>
        <v/>
      </c>
      <c r="U304" s="1" t="str">
        <f t="shared" si="34"/>
        <v/>
      </c>
      <c r="V304"/>
    </row>
    <row r="305" spans="13:22" x14ac:dyDescent="0.3">
      <c r="M305" s="1" t="str">
        <f t="shared" si="28"/>
        <v/>
      </c>
      <c r="N305" s="1" t="str">
        <f t="shared" si="29"/>
        <v/>
      </c>
      <c r="O305" s="1" t="str">
        <f ca="1">IF(F305="","",IF(INT(F305)=INT(NOW()),IF(NETWORKDAYS.INTL(F305,F305,1,FERIADOS!$A$2:$A$50)=0,0,MAX(0,(MIN(NOW(),INT(NOW())+18/24)-MAX(F305,INT(F305)+8/24)))*24),MAX(0,(INT(F305)+18/24-MAX(F305,INT(F305)+8/24)))*24*NETWORKDAYS.INTL(F305,F305,1,FERIADOS!$A$2:$A$50)+MAX(0,NETWORKDAYS.INTL(F305+1,NOW()-1,1,FERIADOS!$A$2:$A$50))*10+MAX(0,(MIN(NOW(),INT(NOW())+18/24)-(INT(NOW())+8/24)))*24*NETWORKDAYS.INTL(NOW(),NOW(),1,FERIADOS!$A$2:$A$50)))</f>
        <v/>
      </c>
      <c r="P305" s="1" t="str">
        <f t="shared" si="30"/>
        <v/>
      </c>
      <c r="Q305" s="1" t="str">
        <f t="shared" si="31"/>
        <v/>
      </c>
      <c r="R305" s="1" t="str">
        <f t="shared" si="32"/>
        <v/>
      </c>
      <c r="S305" s="1" t="str">
        <f>IF($A305="","",COUNTIF($N$2:N305,$N305))</f>
        <v/>
      </c>
      <c r="T305" s="1" t="str">
        <f t="shared" si="33"/>
        <v/>
      </c>
      <c r="U305" s="1" t="str">
        <f t="shared" si="34"/>
        <v/>
      </c>
      <c r="V305"/>
    </row>
    <row r="306" spans="13:22" x14ac:dyDescent="0.3">
      <c r="M306" s="1" t="str">
        <f t="shared" si="28"/>
        <v/>
      </c>
      <c r="N306" s="1" t="str">
        <f t="shared" si="29"/>
        <v/>
      </c>
      <c r="O306" s="1" t="str">
        <f ca="1">IF(F306="","",IF(INT(F306)=INT(NOW()),IF(NETWORKDAYS.INTL(F306,F306,1,FERIADOS!$A$2:$A$50)=0,0,MAX(0,(MIN(NOW(),INT(NOW())+18/24)-MAX(F306,INT(F306)+8/24)))*24),MAX(0,(INT(F306)+18/24-MAX(F306,INT(F306)+8/24)))*24*NETWORKDAYS.INTL(F306,F306,1,FERIADOS!$A$2:$A$50)+MAX(0,NETWORKDAYS.INTL(F306+1,NOW()-1,1,FERIADOS!$A$2:$A$50))*10+MAX(0,(MIN(NOW(),INT(NOW())+18/24)-(INT(NOW())+8/24)))*24*NETWORKDAYS.INTL(NOW(),NOW(),1,FERIADOS!$A$2:$A$50)))</f>
        <v/>
      </c>
      <c r="P306" s="1" t="str">
        <f t="shared" si="30"/>
        <v/>
      </c>
      <c r="Q306" s="1" t="str">
        <f t="shared" si="31"/>
        <v/>
      </c>
      <c r="R306" s="1" t="str">
        <f t="shared" si="32"/>
        <v/>
      </c>
      <c r="S306" s="1" t="str">
        <f>IF($A306="","",COUNTIF($N$2:N306,$N306))</f>
        <v/>
      </c>
      <c r="T306" s="1" t="str">
        <f t="shared" si="33"/>
        <v/>
      </c>
      <c r="U306" s="1" t="str">
        <f t="shared" si="34"/>
        <v/>
      </c>
      <c r="V306"/>
    </row>
    <row r="307" spans="13:22" x14ac:dyDescent="0.3">
      <c r="M307" s="1" t="str">
        <f t="shared" si="28"/>
        <v/>
      </c>
      <c r="N307" s="1" t="str">
        <f t="shared" si="29"/>
        <v/>
      </c>
      <c r="O307" s="1" t="str">
        <f ca="1">IF(F307="","",IF(INT(F307)=INT(NOW()),IF(NETWORKDAYS.INTL(F307,F307,1,FERIADOS!$A$2:$A$50)=0,0,MAX(0,(MIN(NOW(),INT(NOW())+18/24)-MAX(F307,INT(F307)+8/24)))*24),MAX(0,(INT(F307)+18/24-MAX(F307,INT(F307)+8/24)))*24*NETWORKDAYS.INTL(F307,F307,1,FERIADOS!$A$2:$A$50)+MAX(0,NETWORKDAYS.INTL(F307+1,NOW()-1,1,FERIADOS!$A$2:$A$50))*10+MAX(0,(MIN(NOW(),INT(NOW())+18/24)-(INT(NOW())+8/24)))*24*NETWORKDAYS.INTL(NOW(),NOW(),1,FERIADOS!$A$2:$A$50)))</f>
        <v/>
      </c>
      <c r="P307" s="1" t="str">
        <f t="shared" si="30"/>
        <v/>
      </c>
      <c r="Q307" s="1" t="str">
        <f t="shared" si="31"/>
        <v/>
      </c>
      <c r="R307" s="1" t="str">
        <f t="shared" si="32"/>
        <v/>
      </c>
      <c r="S307" s="1" t="str">
        <f>IF($A307="","",COUNTIF($N$2:N307,$N307))</f>
        <v/>
      </c>
      <c r="T307" s="1" t="str">
        <f t="shared" si="33"/>
        <v/>
      </c>
      <c r="U307" s="1" t="str">
        <f t="shared" si="34"/>
        <v/>
      </c>
      <c r="V307"/>
    </row>
    <row r="308" spans="13:22" x14ac:dyDescent="0.3">
      <c r="M308" s="1" t="str">
        <f t="shared" si="28"/>
        <v/>
      </c>
      <c r="N308" s="1" t="str">
        <f t="shared" si="29"/>
        <v/>
      </c>
      <c r="O308" s="1" t="str">
        <f ca="1">IF(F308="","",IF(INT(F308)=INT(NOW()),IF(NETWORKDAYS.INTL(F308,F308,1,FERIADOS!$A$2:$A$50)=0,0,MAX(0,(MIN(NOW(),INT(NOW())+18/24)-MAX(F308,INT(F308)+8/24)))*24),MAX(0,(INT(F308)+18/24-MAX(F308,INT(F308)+8/24)))*24*NETWORKDAYS.INTL(F308,F308,1,FERIADOS!$A$2:$A$50)+MAX(0,NETWORKDAYS.INTL(F308+1,NOW()-1,1,FERIADOS!$A$2:$A$50))*10+MAX(0,(MIN(NOW(),INT(NOW())+18/24)-(INT(NOW())+8/24)))*24*NETWORKDAYS.INTL(NOW(),NOW(),1,FERIADOS!$A$2:$A$50)))</f>
        <v/>
      </c>
      <c r="P308" s="1" t="str">
        <f t="shared" si="30"/>
        <v/>
      </c>
      <c r="Q308" s="1" t="str">
        <f t="shared" si="31"/>
        <v/>
      </c>
      <c r="R308" s="1" t="str">
        <f t="shared" si="32"/>
        <v/>
      </c>
      <c r="S308" s="1" t="str">
        <f>IF($A308="","",COUNTIF($N$2:N308,$N308))</f>
        <v/>
      </c>
      <c r="T308" s="1" t="str">
        <f t="shared" si="33"/>
        <v/>
      </c>
      <c r="U308" s="1" t="str">
        <f t="shared" si="34"/>
        <v/>
      </c>
      <c r="V308"/>
    </row>
    <row r="309" spans="13:22" x14ac:dyDescent="0.3">
      <c r="M309" s="1" t="str">
        <f t="shared" si="28"/>
        <v/>
      </c>
      <c r="N309" s="1" t="str">
        <f t="shared" si="29"/>
        <v/>
      </c>
      <c r="O309" s="1" t="str">
        <f ca="1">IF(F309="","",IF(INT(F309)=INT(NOW()),IF(NETWORKDAYS.INTL(F309,F309,1,FERIADOS!$A$2:$A$50)=0,0,MAX(0,(MIN(NOW(),INT(NOW())+18/24)-MAX(F309,INT(F309)+8/24)))*24),MAX(0,(INT(F309)+18/24-MAX(F309,INT(F309)+8/24)))*24*NETWORKDAYS.INTL(F309,F309,1,FERIADOS!$A$2:$A$50)+MAX(0,NETWORKDAYS.INTL(F309+1,NOW()-1,1,FERIADOS!$A$2:$A$50))*10+MAX(0,(MIN(NOW(),INT(NOW())+18/24)-(INT(NOW())+8/24)))*24*NETWORKDAYS.INTL(NOW(),NOW(),1,FERIADOS!$A$2:$A$50)))</f>
        <v/>
      </c>
      <c r="P309" s="1" t="str">
        <f t="shared" si="30"/>
        <v/>
      </c>
      <c r="Q309" s="1" t="str">
        <f t="shared" si="31"/>
        <v/>
      </c>
      <c r="R309" s="1" t="str">
        <f t="shared" si="32"/>
        <v/>
      </c>
      <c r="S309" s="1" t="str">
        <f>IF($A309="","",COUNTIF($N$2:N309,$N309))</f>
        <v/>
      </c>
      <c r="T309" s="1" t="str">
        <f t="shared" si="33"/>
        <v/>
      </c>
      <c r="U309" s="1" t="str">
        <f t="shared" si="34"/>
        <v/>
      </c>
      <c r="V309"/>
    </row>
    <row r="310" spans="13:22" x14ac:dyDescent="0.3">
      <c r="M310" s="1" t="str">
        <f t="shared" si="28"/>
        <v/>
      </c>
      <c r="N310" s="1" t="str">
        <f t="shared" si="29"/>
        <v/>
      </c>
      <c r="O310" s="1" t="str">
        <f ca="1">IF(F310="","",IF(INT(F310)=INT(NOW()),IF(NETWORKDAYS.INTL(F310,F310,1,FERIADOS!$A$2:$A$50)=0,0,MAX(0,(MIN(NOW(),INT(NOW())+18/24)-MAX(F310,INT(F310)+8/24)))*24),MAX(0,(INT(F310)+18/24-MAX(F310,INT(F310)+8/24)))*24*NETWORKDAYS.INTL(F310,F310,1,FERIADOS!$A$2:$A$50)+MAX(0,NETWORKDAYS.INTL(F310+1,NOW()-1,1,FERIADOS!$A$2:$A$50))*10+MAX(0,(MIN(NOW(),INT(NOW())+18/24)-(INT(NOW())+8/24)))*24*NETWORKDAYS.INTL(NOW(),NOW(),1,FERIADOS!$A$2:$A$50)))</f>
        <v/>
      </c>
      <c r="P310" s="1" t="str">
        <f t="shared" si="30"/>
        <v/>
      </c>
      <c r="Q310" s="1" t="str">
        <f t="shared" si="31"/>
        <v/>
      </c>
      <c r="R310" s="1" t="str">
        <f t="shared" si="32"/>
        <v/>
      </c>
      <c r="S310" s="1" t="str">
        <f>IF($A310="","",COUNTIF($N$2:N310,$N310))</f>
        <v/>
      </c>
      <c r="T310" s="1" t="str">
        <f t="shared" si="33"/>
        <v/>
      </c>
      <c r="U310" s="1" t="str">
        <f t="shared" si="34"/>
        <v/>
      </c>
      <c r="V310"/>
    </row>
    <row r="311" spans="13:22" x14ac:dyDescent="0.3">
      <c r="M311" s="1" t="str">
        <f t="shared" si="28"/>
        <v/>
      </c>
      <c r="N311" s="1" t="str">
        <f t="shared" si="29"/>
        <v/>
      </c>
      <c r="O311" s="1" t="str">
        <f ca="1">IF(F311="","",IF(INT(F311)=INT(NOW()),IF(NETWORKDAYS.INTL(F311,F311,1,FERIADOS!$A$2:$A$50)=0,0,MAX(0,(MIN(NOW(),INT(NOW())+18/24)-MAX(F311,INT(F311)+8/24)))*24),MAX(0,(INT(F311)+18/24-MAX(F311,INT(F311)+8/24)))*24*NETWORKDAYS.INTL(F311,F311,1,FERIADOS!$A$2:$A$50)+MAX(0,NETWORKDAYS.INTL(F311+1,NOW()-1,1,FERIADOS!$A$2:$A$50))*10+MAX(0,(MIN(NOW(),INT(NOW())+18/24)-(INT(NOW())+8/24)))*24*NETWORKDAYS.INTL(NOW(),NOW(),1,FERIADOS!$A$2:$A$50)))</f>
        <v/>
      </c>
      <c r="P311" s="1" t="str">
        <f t="shared" si="30"/>
        <v/>
      </c>
      <c r="Q311" s="1" t="str">
        <f t="shared" si="31"/>
        <v/>
      </c>
      <c r="R311" s="1" t="str">
        <f t="shared" si="32"/>
        <v/>
      </c>
      <c r="S311" s="1" t="str">
        <f>IF($A311="","",COUNTIF($N$2:N311,$N311))</f>
        <v/>
      </c>
      <c r="T311" s="1" t="str">
        <f t="shared" si="33"/>
        <v/>
      </c>
      <c r="U311" s="1" t="str">
        <f t="shared" si="34"/>
        <v/>
      </c>
      <c r="V311"/>
    </row>
    <row r="312" spans="13:22" x14ac:dyDescent="0.3">
      <c r="M312" s="1" t="str">
        <f t="shared" si="28"/>
        <v/>
      </c>
      <c r="N312" s="1" t="str">
        <f t="shared" si="29"/>
        <v/>
      </c>
      <c r="O312" s="1" t="str">
        <f ca="1">IF(F312="","",IF(INT(F312)=INT(NOW()),IF(NETWORKDAYS.INTL(F312,F312,1,FERIADOS!$A$2:$A$50)=0,0,MAX(0,(MIN(NOW(),INT(NOW())+18/24)-MAX(F312,INT(F312)+8/24)))*24),MAX(0,(INT(F312)+18/24-MAX(F312,INT(F312)+8/24)))*24*NETWORKDAYS.INTL(F312,F312,1,FERIADOS!$A$2:$A$50)+MAX(0,NETWORKDAYS.INTL(F312+1,NOW()-1,1,FERIADOS!$A$2:$A$50))*10+MAX(0,(MIN(NOW(),INT(NOW())+18/24)-(INT(NOW())+8/24)))*24*NETWORKDAYS.INTL(NOW(),NOW(),1,FERIADOS!$A$2:$A$50)))</f>
        <v/>
      </c>
      <c r="P312" s="1" t="str">
        <f t="shared" si="30"/>
        <v/>
      </c>
      <c r="Q312" s="1" t="str">
        <f t="shared" si="31"/>
        <v/>
      </c>
      <c r="R312" s="1" t="str">
        <f t="shared" si="32"/>
        <v/>
      </c>
      <c r="S312" s="1" t="str">
        <f>IF($A312="","",COUNTIF($N$2:N312,$N312))</f>
        <v/>
      </c>
      <c r="T312" s="1" t="str">
        <f t="shared" si="33"/>
        <v/>
      </c>
      <c r="U312" s="1" t="str">
        <f t="shared" si="34"/>
        <v/>
      </c>
      <c r="V312"/>
    </row>
    <row r="313" spans="13:22" x14ac:dyDescent="0.3">
      <c r="M313" s="1" t="str">
        <f t="shared" si="28"/>
        <v/>
      </c>
      <c r="N313" s="1" t="str">
        <f t="shared" si="29"/>
        <v/>
      </c>
      <c r="O313" s="1" t="str">
        <f ca="1">IF(F313="","",IF(INT(F313)=INT(NOW()),IF(NETWORKDAYS.INTL(F313,F313,1,FERIADOS!$A$2:$A$50)=0,0,MAX(0,(MIN(NOW(),INT(NOW())+18/24)-MAX(F313,INT(F313)+8/24)))*24),MAX(0,(INT(F313)+18/24-MAX(F313,INT(F313)+8/24)))*24*NETWORKDAYS.INTL(F313,F313,1,FERIADOS!$A$2:$A$50)+MAX(0,NETWORKDAYS.INTL(F313+1,NOW()-1,1,FERIADOS!$A$2:$A$50))*10+MAX(0,(MIN(NOW(),INT(NOW())+18/24)-(INT(NOW())+8/24)))*24*NETWORKDAYS.INTL(NOW(),NOW(),1,FERIADOS!$A$2:$A$50)))</f>
        <v/>
      </c>
      <c r="P313" s="1" t="str">
        <f t="shared" si="30"/>
        <v/>
      </c>
      <c r="Q313" s="1" t="str">
        <f t="shared" si="31"/>
        <v/>
      </c>
      <c r="R313" s="1" t="str">
        <f t="shared" si="32"/>
        <v/>
      </c>
      <c r="S313" s="1" t="str">
        <f>IF($A313="","",COUNTIF($N$2:N313,$N313))</f>
        <v/>
      </c>
      <c r="T313" s="1" t="str">
        <f t="shared" si="33"/>
        <v/>
      </c>
      <c r="U313" s="1" t="str">
        <f t="shared" si="34"/>
        <v/>
      </c>
      <c r="V313"/>
    </row>
    <row r="314" spans="13:22" x14ac:dyDescent="0.3">
      <c r="M314" s="1" t="str">
        <f t="shared" si="28"/>
        <v/>
      </c>
      <c r="N314" s="1" t="str">
        <f t="shared" si="29"/>
        <v/>
      </c>
      <c r="O314" s="1" t="str">
        <f ca="1">IF(F314="","",IF(INT(F314)=INT(NOW()),IF(NETWORKDAYS.INTL(F314,F314,1,FERIADOS!$A$2:$A$50)=0,0,MAX(0,(MIN(NOW(),INT(NOW())+18/24)-MAX(F314,INT(F314)+8/24)))*24),MAX(0,(INT(F314)+18/24-MAX(F314,INT(F314)+8/24)))*24*NETWORKDAYS.INTL(F314,F314,1,FERIADOS!$A$2:$A$50)+MAX(0,NETWORKDAYS.INTL(F314+1,NOW()-1,1,FERIADOS!$A$2:$A$50))*10+MAX(0,(MIN(NOW(),INT(NOW())+18/24)-(INT(NOW())+8/24)))*24*NETWORKDAYS.INTL(NOW(),NOW(),1,FERIADOS!$A$2:$A$50)))</f>
        <v/>
      </c>
      <c r="P314" s="1" t="str">
        <f t="shared" si="30"/>
        <v/>
      </c>
      <c r="Q314" s="1" t="str">
        <f t="shared" si="31"/>
        <v/>
      </c>
      <c r="R314" s="1" t="str">
        <f t="shared" si="32"/>
        <v/>
      </c>
      <c r="S314" s="1" t="str">
        <f>IF($A314="","",COUNTIF($N$2:N314,$N314))</f>
        <v/>
      </c>
      <c r="T314" s="1" t="str">
        <f t="shared" si="33"/>
        <v/>
      </c>
      <c r="U314" s="1" t="str">
        <f t="shared" si="34"/>
        <v/>
      </c>
      <c r="V314"/>
    </row>
    <row r="315" spans="13:22" x14ac:dyDescent="0.3">
      <c r="M315" s="1" t="str">
        <f t="shared" si="28"/>
        <v/>
      </c>
      <c r="N315" s="1" t="str">
        <f t="shared" si="29"/>
        <v/>
      </c>
      <c r="O315" s="1" t="str">
        <f ca="1">IF(F315="","",IF(INT(F315)=INT(NOW()),IF(NETWORKDAYS.INTL(F315,F315,1,FERIADOS!$A$2:$A$50)=0,0,MAX(0,(MIN(NOW(),INT(NOW())+18/24)-MAX(F315,INT(F315)+8/24)))*24),MAX(0,(INT(F315)+18/24-MAX(F315,INT(F315)+8/24)))*24*NETWORKDAYS.INTL(F315,F315,1,FERIADOS!$A$2:$A$50)+MAX(0,NETWORKDAYS.INTL(F315+1,NOW()-1,1,FERIADOS!$A$2:$A$50))*10+MAX(0,(MIN(NOW(),INT(NOW())+18/24)-(INT(NOW())+8/24)))*24*NETWORKDAYS.INTL(NOW(),NOW(),1,FERIADOS!$A$2:$A$50)))</f>
        <v/>
      </c>
      <c r="P315" s="1" t="str">
        <f t="shared" si="30"/>
        <v/>
      </c>
      <c r="Q315" s="1" t="str">
        <f t="shared" si="31"/>
        <v/>
      </c>
      <c r="R315" s="1" t="str">
        <f t="shared" si="32"/>
        <v/>
      </c>
      <c r="S315" s="1" t="str">
        <f>IF($A315="","",COUNTIF($N$2:N315,$N315))</f>
        <v/>
      </c>
      <c r="T315" s="1" t="str">
        <f t="shared" si="33"/>
        <v/>
      </c>
      <c r="U315" s="1" t="str">
        <f t="shared" si="34"/>
        <v/>
      </c>
      <c r="V315"/>
    </row>
    <row r="316" spans="13:22" x14ac:dyDescent="0.3">
      <c r="M316" s="1" t="str">
        <f t="shared" si="28"/>
        <v/>
      </c>
      <c r="N316" s="1" t="str">
        <f t="shared" si="29"/>
        <v/>
      </c>
      <c r="O316" s="1" t="str">
        <f ca="1">IF(F316="","",IF(INT(F316)=INT(NOW()),IF(NETWORKDAYS.INTL(F316,F316,1,FERIADOS!$A$2:$A$50)=0,0,MAX(0,(MIN(NOW(),INT(NOW())+18/24)-MAX(F316,INT(F316)+8/24)))*24),MAX(0,(INT(F316)+18/24-MAX(F316,INT(F316)+8/24)))*24*NETWORKDAYS.INTL(F316,F316,1,FERIADOS!$A$2:$A$50)+MAX(0,NETWORKDAYS.INTL(F316+1,NOW()-1,1,FERIADOS!$A$2:$A$50))*10+MAX(0,(MIN(NOW(),INT(NOW())+18/24)-(INT(NOW())+8/24)))*24*NETWORKDAYS.INTL(NOW(),NOW(),1,FERIADOS!$A$2:$A$50)))</f>
        <v/>
      </c>
      <c r="P316" s="1" t="str">
        <f t="shared" si="30"/>
        <v/>
      </c>
      <c r="Q316" s="1" t="str">
        <f t="shared" si="31"/>
        <v/>
      </c>
      <c r="R316" s="1" t="str">
        <f t="shared" si="32"/>
        <v/>
      </c>
      <c r="S316" s="1" t="str">
        <f>IF($A316="","",COUNTIF($N$2:N316,$N316))</f>
        <v/>
      </c>
      <c r="T316" s="1" t="str">
        <f t="shared" si="33"/>
        <v/>
      </c>
      <c r="U316" s="1" t="str">
        <f t="shared" si="34"/>
        <v/>
      </c>
      <c r="V316"/>
    </row>
    <row r="317" spans="13:22" x14ac:dyDescent="0.3">
      <c r="M317" s="1" t="str">
        <f t="shared" si="28"/>
        <v/>
      </c>
      <c r="N317" s="1" t="str">
        <f t="shared" si="29"/>
        <v/>
      </c>
      <c r="O317" s="1" t="str">
        <f ca="1">IF(F317="","",IF(INT(F317)=INT(NOW()),IF(NETWORKDAYS.INTL(F317,F317,1,FERIADOS!$A$2:$A$50)=0,0,MAX(0,(MIN(NOW(),INT(NOW())+18/24)-MAX(F317,INT(F317)+8/24)))*24),MAX(0,(INT(F317)+18/24-MAX(F317,INT(F317)+8/24)))*24*NETWORKDAYS.INTL(F317,F317,1,FERIADOS!$A$2:$A$50)+MAX(0,NETWORKDAYS.INTL(F317+1,NOW()-1,1,FERIADOS!$A$2:$A$50))*10+MAX(0,(MIN(NOW(),INT(NOW())+18/24)-(INT(NOW())+8/24)))*24*NETWORKDAYS.INTL(NOW(),NOW(),1,FERIADOS!$A$2:$A$50)))</f>
        <v/>
      </c>
      <c r="P317" s="1" t="str">
        <f t="shared" si="30"/>
        <v/>
      </c>
      <c r="Q317" s="1" t="str">
        <f t="shared" si="31"/>
        <v/>
      </c>
      <c r="R317" s="1" t="str">
        <f t="shared" si="32"/>
        <v/>
      </c>
      <c r="S317" s="1" t="str">
        <f>IF($A317="","",COUNTIF($N$2:N317,$N317))</f>
        <v/>
      </c>
      <c r="T317" s="1" t="str">
        <f t="shared" si="33"/>
        <v/>
      </c>
      <c r="U317" s="1" t="str">
        <f t="shared" si="34"/>
        <v/>
      </c>
      <c r="V317"/>
    </row>
    <row r="318" spans="13:22" x14ac:dyDescent="0.3">
      <c r="M318" s="1" t="str">
        <f t="shared" si="28"/>
        <v/>
      </c>
      <c r="N318" s="1" t="str">
        <f t="shared" si="29"/>
        <v/>
      </c>
      <c r="O318" s="1" t="str">
        <f ca="1">IF(F318="","",IF(INT(F318)=INT(NOW()),IF(NETWORKDAYS.INTL(F318,F318,1,FERIADOS!$A$2:$A$50)=0,0,MAX(0,(MIN(NOW(),INT(NOW())+18/24)-MAX(F318,INT(F318)+8/24)))*24),MAX(0,(INT(F318)+18/24-MAX(F318,INT(F318)+8/24)))*24*NETWORKDAYS.INTL(F318,F318,1,FERIADOS!$A$2:$A$50)+MAX(0,NETWORKDAYS.INTL(F318+1,NOW()-1,1,FERIADOS!$A$2:$A$50))*10+MAX(0,(MIN(NOW(),INT(NOW())+18/24)-(INT(NOW())+8/24)))*24*NETWORKDAYS.INTL(NOW(),NOW(),1,FERIADOS!$A$2:$A$50)))</f>
        <v/>
      </c>
      <c r="P318" s="1" t="str">
        <f t="shared" si="30"/>
        <v/>
      </c>
      <c r="Q318" s="1" t="str">
        <f t="shared" si="31"/>
        <v/>
      </c>
      <c r="R318" s="1" t="str">
        <f t="shared" si="32"/>
        <v/>
      </c>
      <c r="S318" s="1" t="str">
        <f>IF($A318="","",COUNTIF($N$2:N318,$N318))</f>
        <v/>
      </c>
      <c r="T318" s="1" t="str">
        <f t="shared" si="33"/>
        <v/>
      </c>
      <c r="U318" s="1" t="str">
        <f t="shared" si="34"/>
        <v/>
      </c>
      <c r="V318"/>
    </row>
    <row r="319" spans="13:22" x14ac:dyDescent="0.3">
      <c r="M319" s="1" t="str">
        <f t="shared" si="28"/>
        <v/>
      </c>
      <c r="N319" s="1" t="str">
        <f t="shared" si="29"/>
        <v/>
      </c>
      <c r="O319" s="1" t="str">
        <f ca="1">IF(F319="","",IF(INT(F319)=INT(NOW()),IF(NETWORKDAYS.INTL(F319,F319,1,FERIADOS!$A$2:$A$50)=0,0,MAX(0,(MIN(NOW(),INT(NOW())+18/24)-MAX(F319,INT(F319)+8/24)))*24),MAX(0,(INT(F319)+18/24-MAX(F319,INT(F319)+8/24)))*24*NETWORKDAYS.INTL(F319,F319,1,FERIADOS!$A$2:$A$50)+MAX(0,NETWORKDAYS.INTL(F319+1,NOW()-1,1,FERIADOS!$A$2:$A$50))*10+MAX(0,(MIN(NOW(),INT(NOW())+18/24)-(INT(NOW())+8/24)))*24*NETWORKDAYS.INTL(NOW(),NOW(),1,FERIADOS!$A$2:$A$50)))</f>
        <v/>
      </c>
      <c r="P319" s="1" t="str">
        <f t="shared" si="30"/>
        <v/>
      </c>
      <c r="Q319" s="1" t="str">
        <f t="shared" si="31"/>
        <v/>
      </c>
      <c r="R319" s="1" t="str">
        <f t="shared" si="32"/>
        <v/>
      </c>
      <c r="S319" s="1" t="str">
        <f>IF($A319="","",COUNTIF($N$2:N319,$N319))</f>
        <v/>
      </c>
      <c r="T319" s="1" t="str">
        <f t="shared" si="33"/>
        <v/>
      </c>
      <c r="U319" s="1" t="str">
        <f t="shared" si="34"/>
        <v/>
      </c>
      <c r="V319"/>
    </row>
    <row r="320" spans="13:22" x14ac:dyDescent="0.3">
      <c r="M320" s="1" t="str">
        <f t="shared" si="28"/>
        <v/>
      </c>
      <c r="N320" s="1" t="str">
        <f t="shared" si="29"/>
        <v/>
      </c>
      <c r="O320" s="1" t="str">
        <f ca="1">IF(F320="","",IF(INT(F320)=INT(NOW()),IF(NETWORKDAYS.INTL(F320,F320,1,FERIADOS!$A$2:$A$50)=0,0,MAX(0,(MIN(NOW(),INT(NOW())+18/24)-MAX(F320,INT(F320)+8/24)))*24),MAX(0,(INT(F320)+18/24-MAX(F320,INT(F320)+8/24)))*24*NETWORKDAYS.INTL(F320,F320,1,FERIADOS!$A$2:$A$50)+MAX(0,NETWORKDAYS.INTL(F320+1,NOW()-1,1,FERIADOS!$A$2:$A$50))*10+MAX(0,(MIN(NOW(),INT(NOW())+18/24)-(INT(NOW())+8/24)))*24*NETWORKDAYS.INTL(NOW(),NOW(),1,FERIADOS!$A$2:$A$50)))</f>
        <v/>
      </c>
      <c r="P320" s="1" t="str">
        <f t="shared" si="30"/>
        <v/>
      </c>
      <c r="Q320" s="1" t="str">
        <f t="shared" si="31"/>
        <v/>
      </c>
      <c r="R320" s="1" t="str">
        <f t="shared" si="32"/>
        <v/>
      </c>
      <c r="S320" s="1" t="str">
        <f>IF($A320="","",COUNTIF($N$2:N320,$N320))</f>
        <v/>
      </c>
      <c r="T320" s="1" t="str">
        <f t="shared" si="33"/>
        <v/>
      </c>
      <c r="U320" s="1" t="str">
        <f t="shared" si="34"/>
        <v/>
      </c>
      <c r="V320"/>
    </row>
    <row r="321" spans="13:22" x14ac:dyDescent="0.3">
      <c r="M321" s="1" t="str">
        <f t="shared" si="28"/>
        <v/>
      </c>
      <c r="N321" s="1" t="str">
        <f t="shared" si="29"/>
        <v/>
      </c>
      <c r="O321" s="1" t="str">
        <f ca="1">IF(F321="","",IF(INT(F321)=INT(NOW()),IF(NETWORKDAYS.INTL(F321,F321,1,FERIADOS!$A$2:$A$50)=0,0,MAX(0,(MIN(NOW(),INT(NOW())+18/24)-MAX(F321,INT(F321)+8/24)))*24),MAX(0,(INT(F321)+18/24-MAX(F321,INT(F321)+8/24)))*24*NETWORKDAYS.INTL(F321,F321,1,FERIADOS!$A$2:$A$50)+MAX(0,NETWORKDAYS.INTL(F321+1,NOW()-1,1,FERIADOS!$A$2:$A$50))*10+MAX(0,(MIN(NOW(),INT(NOW())+18/24)-(INT(NOW())+8/24)))*24*NETWORKDAYS.INTL(NOW(),NOW(),1,FERIADOS!$A$2:$A$50)))</f>
        <v/>
      </c>
      <c r="P321" s="1" t="str">
        <f t="shared" si="30"/>
        <v/>
      </c>
      <c r="Q321" s="1" t="str">
        <f t="shared" si="31"/>
        <v/>
      </c>
      <c r="R321" s="1" t="str">
        <f t="shared" si="32"/>
        <v/>
      </c>
      <c r="S321" s="1" t="str">
        <f>IF($A321="","",COUNTIF($N$2:N321,$N321))</f>
        <v/>
      </c>
      <c r="T321" s="1" t="str">
        <f t="shared" si="33"/>
        <v/>
      </c>
      <c r="U321" s="1" t="str">
        <f t="shared" si="34"/>
        <v/>
      </c>
      <c r="V321"/>
    </row>
    <row r="322" spans="13:22" x14ac:dyDescent="0.3">
      <c r="M322" s="1" t="str">
        <f t="shared" ref="M322:M385" si="35">IF($A322="","",IF($L322="MA",IF(OR(UPPER($K322)="SAO LUIS",UPPER($K322)="SÃO LUIS",UPPER($K322)="PACO DO LUMIAR",UPPER($K322)="PAÇO DO LUMIAR",UPPER($K322)="SAO JOSE DE RIBAMAR",UPPER($K322)="SÃO JOSÉ DE RIBAMAR"),"MA CAP","MA INT"),IF($L322="PA",IF(OR(UPPER($K322)="BELEM",UPPER($K322)="BELÉM",UPPER($K322)="ANANINDEUA"),"PA CAP","PA INT"),IF($L322="PI",IF(UPPER($K322)="TERESINA","PI CAP","PI INT"),IF($L322="AM","AM INT",IF($L322="AP","AP","OUTROS"))))))</f>
        <v/>
      </c>
      <c r="N322" s="1" t="str">
        <f t="shared" ref="N322:N385" si="36">IF($A322="","",IF($M322="PI CAP","GIGA+ PI",IF($M322="PI INT","GIGA+ PI",IF($M322="MA CAP","SLN MA",IF($M322="MA INT","GIGA+ MA",IF($M322="PA CAP","SLN PA",IF($M322="PA INT","SLN PA",IF($M322="AM INT","ADX",IF($M322="AP","ADX","OUTROS")))))))))</f>
        <v/>
      </c>
      <c r="O322" s="1" t="str">
        <f ca="1">IF(F322="","",IF(INT(F322)=INT(NOW()),IF(NETWORKDAYS.INTL(F322,F322,1,FERIADOS!$A$2:$A$50)=0,0,MAX(0,(MIN(NOW(),INT(NOW())+18/24)-MAX(F322,INT(F322)+8/24)))*24),MAX(0,(INT(F322)+18/24-MAX(F322,INT(F322)+8/24)))*24*NETWORKDAYS.INTL(F322,F322,1,FERIADOS!$A$2:$A$50)+MAX(0,NETWORKDAYS.INTL(F322+1,NOW()-1,1,FERIADOS!$A$2:$A$50))*10+MAX(0,(MIN(NOW(),INT(NOW())+18/24)-(INT(NOW())+8/24)))*24*NETWORKDAYS.INTL(NOW(),NOW(),1,FERIADOS!$A$2:$A$50)))</f>
        <v/>
      </c>
      <c r="P322" s="1" t="str">
        <f t="shared" ref="P322:P385" si="37">IF($A322="","",IF(OR(O322="",O322=0),"00h 00m",TEXT(INT(O322),"00") &amp; "h " &amp; TEXT(INT((O322-INT(O322))*60),"00") &amp; "m"))</f>
        <v/>
      </c>
      <c r="Q322" s="1" t="str">
        <f t="shared" ref="Q322:Q385" si="38">IF($A322="","",IF(OR(O322="",O322&lt;=4),"🔵 Até 4h",IF(O322&lt;=8,"🟢 Entre 4h e 8h",IF(O322&lt;=12,"🟡 Entre 8h e 12h",IF(O322&lt;=24,"🟠 Entre 12h e 24h","🔴 Maior que 24h")))))</f>
        <v/>
      </c>
      <c r="R322" s="1" t="str">
        <f t="shared" ref="R322:R385" si="39">IF($A322="","",IF(OR(O322="",O322&lt;=8),"NO PRAZO","FORA DO PRAZO"))</f>
        <v/>
      </c>
      <c r="S322" s="1" t="str">
        <f>IF($A322="","",COUNTIF($N$2:N322,$N322))</f>
        <v/>
      </c>
      <c r="T322" s="1" t="str">
        <f t="shared" ref="T322:T385" si="40">IF($A322="","",IF($N322="SLN MA",1,IF($N322="GIGA+ MA",2,IF($N322="GIGA+ PI",3,IF($N322="SLN PA",4,IF($N322="ADX",5,6))))))</f>
        <v/>
      </c>
      <c r="U322" s="1" t="str">
        <f t="shared" ref="U322:U385" si="41">IF($A322="","",$T322*10000+$S322)</f>
        <v/>
      </c>
      <c r="V322"/>
    </row>
    <row r="323" spans="13:22" x14ac:dyDescent="0.3">
      <c r="M323" s="1" t="str">
        <f t="shared" si="35"/>
        <v/>
      </c>
      <c r="N323" s="1" t="str">
        <f t="shared" si="36"/>
        <v/>
      </c>
      <c r="O323" s="1" t="str">
        <f ca="1">IF(F323="","",IF(INT(F323)=INT(NOW()),IF(NETWORKDAYS.INTL(F323,F323,1,FERIADOS!$A$2:$A$50)=0,0,MAX(0,(MIN(NOW(),INT(NOW())+18/24)-MAX(F323,INT(F323)+8/24)))*24),MAX(0,(INT(F323)+18/24-MAX(F323,INT(F323)+8/24)))*24*NETWORKDAYS.INTL(F323,F323,1,FERIADOS!$A$2:$A$50)+MAX(0,NETWORKDAYS.INTL(F323+1,NOW()-1,1,FERIADOS!$A$2:$A$50))*10+MAX(0,(MIN(NOW(),INT(NOW())+18/24)-(INT(NOW())+8/24)))*24*NETWORKDAYS.INTL(NOW(),NOW(),1,FERIADOS!$A$2:$A$50)))</f>
        <v/>
      </c>
      <c r="P323" s="1" t="str">
        <f t="shared" si="37"/>
        <v/>
      </c>
      <c r="Q323" s="1" t="str">
        <f t="shared" si="38"/>
        <v/>
      </c>
      <c r="R323" s="1" t="str">
        <f t="shared" si="39"/>
        <v/>
      </c>
      <c r="S323" s="1" t="str">
        <f>IF($A323="","",COUNTIF($N$2:N323,$N323))</f>
        <v/>
      </c>
      <c r="T323" s="1" t="str">
        <f t="shared" si="40"/>
        <v/>
      </c>
      <c r="U323" s="1" t="str">
        <f t="shared" si="41"/>
        <v/>
      </c>
      <c r="V323"/>
    </row>
    <row r="324" spans="13:22" x14ac:dyDescent="0.3">
      <c r="M324" s="1" t="str">
        <f t="shared" si="35"/>
        <v/>
      </c>
      <c r="N324" s="1" t="str">
        <f t="shared" si="36"/>
        <v/>
      </c>
      <c r="O324" s="1" t="str">
        <f ca="1">IF(F324="","",IF(INT(F324)=INT(NOW()),IF(NETWORKDAYS.INTL(F324,F324,1,FERIADOS!$A$2:$A$50)=0,0,MAX(0,(MIN(NOW(),INT(NOW())+18/24)-MAX(F324,INT(F324)+8/24)))*24),MAX(0,(INT(F324)+18/24-MAX(F324,INT(F324)+8/24)))*24*NETWORKDAYS.INTL(F324,F324,1,FERIADOS!$A$2:$A$50)+MAX(0,NETWORKDAYS.INTL(F324+1,NOW()-1,1,FERIADOS!$A$2:$A$50))*10+MAX(0,(MIN(NOW(),INT(NOW())+18/24)-(INT(NOW())+8/24)))*24*NETWORKDAYS.INTL(NOW(),NOW(),1,FERIADOS!$A$2:$A$50)))</f>
        <v/>
      </c>
      <c r="P324" s="1" t="str">
        <f t="shared" si="37"/>
        <v/>
      </c>
      <c r="Q324" s="1" t="str">
        <f t="shared" si="38"/>
        <v/>
      </c>
      <c r="R324" s="1" t="str">
        <f t="shared" si="39"/>
        <v/>
      </c>
      <c r="S324" s="1" t="str">
        <f>IF($A324="","",COUNTIF($N$2:N324,$N324))</f>
        <v/>
      </c>
      <c r="T324" s="1" t="str">
        <f t="shared" si="40"/>
        <v/>
      </c>
      <c r="U324" s="1" t="str">
        <f t="shared" si="41"/>
        <v/>
      </c>
      <c r="V324"/>
    </row>
    <row r="325" spans="13:22" x14ac:dyDescent="0.3">
      <c r="M325" s="1" t="str">
        <f t="shared" si="35"/>
        <v/>
      </c>
      <c r="N325" s="1" t="str">
        <f t="shared" si="36"/>
        <v/>
      </c>
      <c r="O325" s="1" t="str">
        <f ca="1">IF(F325="","",IF(INT(F325)=INT(NOW()),IF(NETWORKDAYS.INTL(F325,F325,1,FERIADOS!$A$2:$A$50)=0,0,MAX(0,(MIN(NOW(),INT(NOW())+18/24)-MAX(F325,INT(F325)+8/24)))*24),MAX(0,(INT(F325)+18/24-MAX(F325,INT(F325)+8/24)))*24*NETWORKDAYS.INTL(F325,F325,1,FERIADOS!$A$2:$A$50)+MAX(0,NETWORKDAYS.INTL(F325+1,NOW()-1,1,FERIADOS!$A$2:$A$50))*10+MAX(0,(MIN(NOW(),INT(NOW())+18/24)-(INT(NOW())+8/24)))*24*NETWORKDAYS.INTL(NOW(),NOW(),1,FERIADOS!$A$2:$A$50)))</f>
        <v/>
      </c>
      <c r="P325" s="1" t="str">
        <f t="shared" si="37"/>
        <v/>
      </c>
      <c r="Q325" s="1" t="str">
        <f t="shared" si="38"/>
        <v/>
      </c>
      <c r="R325" s="1" t="str">
        <f t="shared" si="39"/>
        <v/>
      </c>
      <c r="S325" s="1" t="str">
        <f>IF($A325="","",COUNTIF($N$2:N325,$N325))</f>
        <v/>
      </c>
      <c r="T325" s="1" t="str">
        <f t="shared" si="40"/>
        <v/>
      </c>
      <c r="U325" s="1" t="str">
        <f t="shared" si="41"/>
        <v/>
      </c>
      <c r="V325"/>
    </row>
    <row r="326" spans="13:22" x14ac:dyDescent="0.3">
      <c r="M326" s="1" t="str">
        <f t="shared" si="35"/>
        <v/>
      </c>
      <c r="N326" s="1" t="str">
        <f t="shared" si="36"/>
        <v/>
      </c>
      <c r="O326" s="1" t="str">
        <f ca="1">IF(F326="","",IF(INT(F326)=INT(NOW()),IF(NETWORKDAYS.INTL(F326,F326,1,FERIADOS!$A$2:$A$50)=0,0,MAX(0,(MIN(NOW(),INT(NOW())+18/24)-MAX(F326,INT(F326)+8/24)))*24),MAX(0,(INT(F326)+18/24-MAX(F326,INT(F326)+8/24)))*24*NETWORKDAYS.INTL(F326,F326,1,FERIADOS!$A$2:$A$50)+MAX(0,NETWORKDAYS.INTL(F326+1,NOW()-1,1,FERIADOS!$A$2:$A$50))*10+MAX(0,(MIN(NOW(),INT(NOW())+18/24)-(INT(NOW())+8/24)))*24*NETWORKDAYS.INTL(NOW(),NOW(),1,FERIADOS!$A$2:$A$50)))</f>
        <v/>
      </c>
      <c r="P326" s="1" t="str">
        <f t="shared" si="37"/>
        <v/>
      </c>
      <c r="Q326" s="1" t="str">
        <f t="shared" si="38"/>
        <v/>
      </c>
      <c r="R326" s="1" t="str">
        <f t="shared" si="39"/>
        <v/>
      </c>
      <c r="S326" s="1" t="str">
        <f>IF($A326="","",COUNTIF($N$2:N326,$N326))</f>
        <v/>
      </c>
      <c r="T326" s="1" t="str">
        <f t="shared" si="40"/>
        <v/>
      </c>
      <c r="U326" s="1" t="str">
        <f t="shared" si="41"/>
        <v/>
      </c>
      <c r="V326"/>
    </row>
    <row r="327" spans="13:22" x14ac:dyDescent="0.3">
      <c r="M327" s="1" t="str">
        <f t="shared" si="35"/>
        <v/>
      </c>
      <c r="N327" s="1" t="str">
        <f t="shared" si="36"/>
        <v/>
      </c>
      <c r="O327" s="1" t="str">
        <f ca="1">IF(F327="","",IF(INT(F327)=INT(NOW()),IF(NETWORKDAYS.INTL(F327,F327,1,FERIADOS!$A$2:$A$50)=0,0,MAX(0,(MIN(NOW(),INT(NOW())+18/24)-MAX(F327,INT(F327)+8/24)))*24),MAX(0,(INT(F327)+18/24-MAX(F327,INT(F327)+8/24)))*24*NETWORKDAYS.INTL(F327,F327,1,FERIADOS!$A$2:$A$50)+MAX(0,NETWORKDAYS.INTL(F327+1,NOW()-1,1,FERIADOS!$A$2:$A$50))*10+MAX(0,(MIN(NOW(),INT(NOW())+18/24)-(INT(NOW())+8/24)))*24*NETWORKDAYS.INTL(NOW(),NOW(),1,FERIADOS!$A$2:$A$50)))</f>
        <v/>
      </c>
      <c r="P327" s="1" t="str">
        <f t="shared" si="37"/>
        <v/>
      </c>
      <c r="Q327" s="1" t="str">
        <f t="shared" si="38"/>
        <v/>
      </c>
      <c r="R327" s="1" t="str">
        <f t="shared" si="39"/>
        <v/>
      </c>
      <c r="S327" s="1" t="str">
        <f>IF($A327="","",COUNTIF($N$2:N327,$N327))</f>
        <v/>
      </c>
      <c r="T327" s="1" t="str">
        <f t="shared" si="40"/>
        <v/>
      </c>
      <c r="U327" s="1" t="str">
        <f t="shared" si="41"/>
        <v/>
      </c>
      <c r="V327"/>
    </row>
    <row r="328" spans="13:22" x14ac:dyDescent="0.3">
      <c r="M328" s="1" t="str">
        <f t="shared" si="35"/>
        <v/>
      </c>
      <c r="N328" s="1" t="str">
        <f t="shared" si="36"/>
        <v/>
      </c>
      <c r="O328" s="1" t="str">
        <f ca="1">IF(F328="","",IF(INT(F328)=INT(NOW()),IF(NETWORKDAYS.INTL(F328,F328,1,FERIADOS!$A$2:$A$50)=0,0,MAX(0,(MIN(NOW(),INT(NOW())+18/24)-MAX(F328,INT(F328)+8/24)))*24),MAX(0,(INT(F328)+18/24-MAX(F328,INT(F328)+8/24)))*24*NETWORKDAYS.INTL(F328,F328,1,FERIADOS!$A$2:$A$50)+MAX(0,NETWORKDAYS.INTL(F328+1,NOW()-1,1,FERIADOS!$A$2:$A$50))*10+MAX(0,(MIN(NOW(),INT(NOW())+18/24)-(INT(NOW())+8/24)))*24*NETWORKDAYS.INTL(NOW(),NOW(),1,FERIADOS!$A$2:$A$50)))</f>
        <v/>
      </c>
      <c r="P328" s="1" t="str">
        <f t="shared" si="37"/>
        <v/>
      </c>
      <c r="Q328" s="1" t="str">
        <f t="shared" si="38"/>
        <v/>
      </c>
      <c r="R328" s="1" t="str">
        <f t="shared" si="39"/>
        <v/>
      </c>
      <c r="S328" s="1" t="str">
        <f>IF($A328="","",COUNTIF($N$2:N328,$N328))</f>
        <v/>
      </c>
      <c r="T328" s="1" t="str">
        <f t="shared" si="40"/>
        <v/>
      </c>
      <c r="U328" s="1" t="str">
        <f t="shared" si="41"/>
        <v/>
      </c>
      <c r="V328"/>
    </row>
    <row r="329" spans="13:22" x14ac:dyDescent="0.3">
      <c r="M329" s="1" t="str">
        <f t="shared" si="35"/>
        <v/>
      </c>
      <c r="N329" s="1" t="str">
        <f t="shared" si="36"/>
        <v/>
      </c>
      <c r="O329" s="1" t="str">
        <f ca="1">IF(F329="","",IF(INT(F329)=INT(NOW()),IF(NETWORKDAYS.INTL(F329,F329,1,FERIADOS!$A$2:$A$50)=0,0,MAX(0,(MIN(NOW(),INT(NOW())+18/24)-MAX(F329,INT(F329)+8/24)))*24),MAX(0,(INT(F329)+18/24-MAX(F329,INT(F329)+8/24)))*24*NETWORKDAYS.INTL(F329,F329,1,FERIADOS!$A$2:$A$50)+MAX(0,NETWORKDAYS.INTL(F329+1,NOW()-1,1,FERIADOS!$A$2:$A$50))*10+MAX(0,(MIN(NOW(),INT(NOW())+18/24)-(INT(NOW())+8/24)))*24*NETWORKDAYS.INTL(NOW(),NOW(),1,FERIADOS!$A$2:$A$50)))</f>
        <v/>
      </c>
      <c r="P329" s="1" t="str">
        <f t="shared" si="37"/>
        <v/>
      </c>
      <c r="Q329" s="1" t="str">
        <f t="shared" si="38"/>
        <v/>
      </c>
      <c r="R329" s="1" t="str">
        <f t="shared" si="39"/>
        <v/>
      </c>
      <c r="S329" s="1" t="str">
        <f>IF($A329="","",COUNTIF($N$2:N329,$N329))</f>
        <v/>
      </c>
      <c r="T329" s="1" t="str">
        <f t="shared" si="40"/>
        <v/>
      </c>
      <c r="U329" s="1" t="str">
        <f t="shared" si="41"/>
        <v/>
      </c>
      <c r="V329"/>
    </row>
    <row r="330" spans="13:22" x14ac:dyDescent="0.3">
      <c r="M330" s="1" t="str">
        <f t="shared" si="35"/>
        <v/>
      </c>
      <c r="N330" s="1" t="str">
        <f t="shared" si="36"/>
        <v/>
      </c>
      <c r="O330" s="1" t="str">
        <f ca="1">IF(F330="","",IF(INT(F330)=INT(NOW()),IF(NETWORKDAYS.INTL(F330,F330,1,FERIADOS!$A$2:$A$50)=0,0,MAX(0,(MIN(NOW(),INT(NOW())+18/24)-MAX(F330,INT(F330)+8/24)))*24),MAX(0,(INT(F330)+18/24-MAX(F330,INT(F330)+8/24)))*24*NETWORKDAYS.INTL(F330,F330,1,FERIADOS!$A$2:$A$50)+MAX(0,NETWORKDAYS.INTL(F330+1,NOW()-1,1,FERIADOS!$A$2:$A$50))*10+MAX(0,(MIN(NOW(),INT(NOW())+18/24)-(INT(NOW())+8/24)))*24*NETWORKDAYS.INTL(NOW(),NOW(),1,FERIADOS!$A$2:$A$50)))</f>
        <v/>
      </c>
      <c r="P330" s="1" t="str">
        <f t="shared" si="37"/>
        <v/>
      </c>
      <c r="Q330" s="1" t="str">
        <f t="shared" si="38"/>
        <v/>
      </c>
      <c r="R330" s="1" t="str">
        <f t="shared" si="39"/>
        <v/>
      </c>
      <c r="S330" s="1" t="str">
        <f>IF($A330="","",COUNTIF($N$2:N330,$N330))</f>
        <v/>
      </c>
      <c r="T330" s="1" t="str">
        <f t="shared" si="40"/>
        <v/>
      </c>
      <c r="U330" s="1" t="str">
        <f t="shared" si="41"/>
        <v/>
      </c>
      <c r="V330"/>
    </row>
    <row r="331" spans="13:22" x14ac:dyDescent="0.3">
      <c r="M331" s="1" t="str">
        <f t="shared" si="35"/>
        <v/>
      </c>
      <c r="N331" s="1" t="str">
        <f t="shared" si="36"/>
        <v/>
      </c>
      <c r="O331" s="1" t="str">
        <f ca="1">IF(F331="","",IF(INT(F331)=INT(NOW()),IF(NETWORKDAYS.INTL(F331,F331,1,FERIADOS!$A$2:$A$50)=0,0,MAX(0,(MIN(NOW(),INT(NOW())+18/24)-MAX(F331,INT(F331)+8/24)))*24),MAX(0,(INT(F331)+18/24-MAX(F331,INT(F331)+8/24)))*24*NETWORKDAYS.INTL(F331,F331,1,FERIADOS!$A$2:$A$50)+MAX(0,NETWORKDAYS.INTL(F331+1,NOW()-1,1,FERIADOS!$A$2:$A$50))*10+MAX(0,(MIN(NOW(),INT(NOW())+18/24)-(INT(NOW())+8/24)))*24*NETWORKDAYS.INTL(NOW(),NOW(),1,FERIADOS!$A$2:$A$50)))</f>
        <v/>
      </c>
      <c r="P331" s="1" t="str">
        <f t="shared" si="37"/>
        <v/>
      </c>
      <c r="Q331" s="1" t="str">
        <f t="shared" si="38"/>
        <v/>
      </c>
      <c r="R331" s="1" t="str">
        <f t="shared" si="39"/>
        <v/>
      </c>
      <c r="S331" s="1" t="str">
        <f>IF($A331="","",COUNTIF($N$2:N331,$N331))</f>
        <v/>
      </c>
      <c r="T331" s="1" t="str">
        <f t="shared" si="40"/>
        <v/>
      </c>
      <c r="U331" s="1" t="str">
        <f t="shared" si="41"/>
        <v/>
      </c>
      <c r="V331"/>
    </row>
    <row r="332" spans="13:22" x14ac:dyDescent="0.3">
      <c r="M332" s="1" t="str">
        <f t="shared" si="35"/>
        <v/>
      </c>
      <c r="N332" s="1" t="str">
        <f t="shared" si="36"/>
        <v/>
      </c>
      <c r="O332" s="1" t="str">
        <f ca="1">IF(F332="","",IF(INT(F332)=INT(NOW()),IF(NETWORKDAYS.INTL(F332,F332,1,FERIADOS!$A$2:$A$50)=0,0,MAX(0,(MIN(NOW(),INT(NOW())+18/24)-MAX(F332,INT(F332)+8/24)))*24),MAX(0,(INT(F332)+18/24-MAX(F332,INT(F332)+8/24)))*24*NETWORKDAYS.INTL(F332,F332,1,FERIADOS!$A$2:$A$50)+MAX(0,NETWORKDAYS.INTL(F332+1,NOW()-1,1,FERIADOS!$A$2:$A$50))*10+MAX(0,(MIN(NOW(),INT(NOW())+18/24)-(INT(NOW())+8/24)))*24*NETWORKDAYS.INTL(NOW(),NOW(),1,FERIADOS!$A$2:$A$50)))</f>
        <v/>
      </c>
      <c r="P332" s="1" t="str">
        <f t="shared" si="37"/>
        <v/>
      </c>
      <c r="Q332" s="1" t="str">
        <f t="shared" si="38"/>
        <v/>
      </c>
      <c r="R332" s="1" t="str">
        <f t="shared" si="39"/>
        <v/>
      </c>
      <c r="S332" s="1" t="str">
        <f>IF($A332="","",COUNTIF($N$2:N332,$N332))</f>
        <v/>
      </c>
      <c r="T332" s="1" t="str">
        <f t="shared" si="40"/>
        <v/>
      </c>
      <c r="U332" s="1" t="str">
        <f t="shared" si="41"/>
        <v/>
      </c>
      <c r="V332"/>
    </row>
    <row r="333" spans="13:22" x14ac:dyDescent="0.3">
      <c r="M333" s="1" t="str">
        <f t="shared" si="35"/>
        <v/>
      </c>
      <c r="N333" s="1" t="str">
        <f t="shared" si="36"/>
        <v/>
      </c>
      <c r="O333" s="1" t="str">
        <f ca="1">IF(F333="","",IF(INT(F333)=INT(NOW()),IF(NETWORKDAYS.INTL(F333,F333,1,FERIADOS!$A$2:$A$50)=0,0,MAX(0,(MIN(NOW(),INT(NOW())+18/24)-MAX(F333,INT(F333)+8/24)))*24),MAX(0,(INT(F333)+18/24-MAX(F333,INT(F333)+8/24)))*24*NETWORKDAYS.INTL(F333,F333,1,FERIADOS!$A$2:$A$50)+MAX(0,NETWORKDAYS.INTL(F333+1,NOW()-1,1,FERIADOS!$A$2:$A$50))*10+MAX(0,(MIN(NOW(),INT(NOW())+18/24)-(INT(NOW())+8/24)))*24*NETWORKDAYS.INTL(NOW(),NOW(),1,FERIADOS!$A$2:$A$50)))</f>
        <v/>
      </c>
      <c r="P333" s="1" t="str">
        <f t="shared" si="37"/>
        <v/>
      </c>
      <c r="Q333" s="1" t="str">
        <f t="shared" si="38"/>
        <v/>
      </c>
      <c r="R333" s="1" t="str">
        <f t="shared" si="39"/>
        <v/>
      </c>
      <c r="S333" s="1" t="str">
        <f>IF($A333="","",COUNTIF($N$2:N333,$N333))</f>
        <v/>
      </c>
      <c r="T333" s="1" t="str">
        <f t="shared" si="40"/>
        <v/>
      </c>
      <c r="U333" s="1" t="str">
        <f t="shared" si="41"/>
        <v/>
      </c>
      <c r="V333"/>
    </row>
    <row r="334" spans="13:22" x14ac:dyDescent="0.3">
      <c r="M334" s="1" t="str">
        <f t="shared" si="35"/>
        <v/>
      </c>
      <c r="N334" s="1" t="str">
        <f t="shared" si="36"/>
        <v/>
      </c>
      <c r="O334" s="1" t="str">
        <f ca="1">IF(F334="","",IF(INT(F334)=INT(NOW()),IF(NETWORKDAYS.INTL(F334,F334,1,FERIADOS!$A$2:$A$50)=0,0,MAX(0,(MIN(NOW(),INT(NOW())+18/24)-MAX(F334,INT(F334)+8/24)))*24),MAX(0,(INT(F334)+18/24-MAX(F334,INT(F334)+8/24)))*24*NETWORKDAYS.INTL(F334,F334,1,FERIADOS!$A$2:$A$50)+MAX(0,NETWORKDAYS.INTL(F334+1,NOW()-1,1,FERIADOS!$A$2:$A$50))*10+MAX(0,(MIN(NOW(),INT(NOW())+18/24)-(INT(NOW())+8/24)))*24*NETWORKDAYS.INTL(NOW(),NOW(),1,FERIADOS!$A$2:$A$50)))</f>
        <v/>
      </c>
      <c r="P334" s="1" t="str">
        <f t="shared" si="37"/>
        <v/>
      </c>
      <c r="Q334" s="1" t="str">
        <f t="shared" si="38"/>
        <v/>
      </c>
      <c r="R334" s="1" t="str">
        <f t="shared" si="39"/>
        <v/>
      </c>
      <c r="S334" s="1" t="str">
        <f>IF($A334="","",COUNTIF($N$2:N334,$N334))</f>
        <v/>
      </c>
      <c r="T334" s="1" t="str">
        <f t="shared" si="40"/>
        <v/>
      </c>
      <c r="U334" s="1" t="str">
        <f t="shared" si="41"/>
        <v/>
      </c>
      <c r="V334"/>
    </row>
    <row r="335" spans="13:22" x14ac:dyDescent="0.3">
      <c r="M335" s="1" t="str">
        <f t="shared" si="35"/>
        <v/>
      </c>
      <c r="N335" s="1" t="str">
        <f t="shared" si="36"/>
        <v/>
      </c>
      <c r="O335" s="1" t="str">
        <f ca="1">IF(F335="","",IF(INT(F335)=INT(NOW()),IF(NETWORKDAYS.INTL(F335,F335,1,FERIADOS!$A$2:$A$50)=0,0,MAX(0,(MIN(NOW(),INT(NOW())+18/24)-MAX(F335,INT(F335)+8/24)))*24),MAX(0,(INT(F335)+18/24-MAX(F335,INT(F335)+8/24)))*24*NETWORKDAYS.INTL(F335,F335,1,FERIADOS!$A$2:$A$50)+MAX(0,NETWORKDAYS.INTL(F335+1,NOW()-1,1,FERIADOS!$A$2:$A$50))*10+MAX(0,(MIN(NOW(),INT(NOW())+18/24)-(INT(NOW())+8/24)))*24*NETWORKDAYS.INTL(NOW(),NOW(),1,FERIADOS!$A$2:$A$50)))</f>
        <v/>
      </c>
      <c r="P335" s="1" t="str">
        <f t="shared" si="37"/>
        <v/>
      </c>
      <c r="Q335" s="1" t="str">
        <f t="shared" si="38"/>
        <v/>
      </c>
      <c r="R335" s="1" t="str">
        <f t="shared" si="39"/>
        <v/>
      </c>
      <c r="S335" s="1" t="str">
        <f>IF($A335="","",COUNTIF($N$2:N335,$N335))</f>
        <v/>
      </c>
      <c r="T335" s="1" t="str">
        <f t="shared" si="40"/>
        <v/>
      </c>
      <c r="U335" s="1" t="str">
        <f t="shared" si="41"/>
        <v/>
      </c>
      <c r="V335"/>
    </row>
    <row r="336" spans="13:22" x14ac:dyDescent="0.3">
      <c r="M336" s="1" t="str">
        <f t="shared" si="35"/>
        <v/>
      </c>
      <c r="N336" s="1" t="str">
        <f t="shared" si="36"/>
        <v/>
      </c>
      <c r="O336" s="1" t="str">
        <f ca="1">IF(F336="","",IF(INT(F336)=INT(NOW()),IF(NETWORKDAYS.INTL(F336,F336,1,FERIADOS!$A$2:$A$50)=0,0,MAX(0,(MIN(NOW(),INT(NOW())+18/24)-MAX(F336,INT(F336)+8/24)))*24),MAX(0,(INT(F336)+18/24-MAX(F336,INT(F336)+8/24)))*24*NETWORKDAYS.INTL(F336,F336,1,FERIADOS!$A$2:$A$50)+MAX(0,NETWORKDAYS.INTL(F336+1,NOW()-1,1,FERIADOS!$A$2:$A$50))*10+MAX(0,(MIN(NOW(),INT(NOW())+18/24)-(INT(NOW())+8/24)))*24*NETWORKDAYS.INTL(NOW(),NOW(),1,FERIADOS!$A$2:$A$50)))</f>
        <v/>
      </c>
      <c r="P336" s="1" t="str">
        <f t="shared" si="37"/>
        <v/>
      </c>
      <c r="Q336" s="1" t="str">
        <f t="shared" si="38"/>
        <v/>
      </c>
      <c r="R336" s="1" t="str">
        <f t="shared" si="39"/>
        <v/>
      </c>
      <c r="S336" s="1" t="str">
        <f>IF($A336="","",COUNTIF($N$2:N336,$N336))</f>
        <v/>
      </c>
      <c r="T336" s="1" t="str">
        <f t="shared" si="40"/>
        <v/>
      </c>
      <c r="U336" s="1" t="str">
        <f t="shared" si="41"/>
        <v/>
      </c>
      <c r="V336"/>
    </row>
    <row r="337" spans="13:22" x14ac:dyDescent="0.3">
      <c r="M337" s="1" t="str">
        <f t="shared" si="35"/>
        <v/>
      </c>
      <c r="N337" s="1" t="str">
        <f t="shared" si="36"/>
        <v/>
      </c>
      <c r="O337" s="1" t="str">
        <f ca="1">IF(F337="","",IF(INT(F337)=INT(NOW()),IF(NETWORKDAYS.INTL(F337,F337,1,FERIADOS!$A$2:$A$50)=0,0,MAX(0,(MIN(NOW(),INT(NOW())+18/24)-MAX(F337,INT(F337)+8/24)))*24),MAX(0,(INT(F337)+18/24-MAX(F337,INT(F337)+8/24)))*24*NETWORKDAYS.INTL(F337,F337,1,FERIADOS!$A$2:$A$50)+MAX(0,NETWORKDAYS.INTL(F337+1,NOW()-1,1,FERIADOS!$A$2:$A$50))*10+MAX(0,(MIN(NOW(),INT(NOW())+18/24)-(INT(NOW())+8/24)))*24*NETWORKDAYS.INTL(NOW(),NOW(),1,FERIADOS!$A$2:$A$50)))</f>
        <v/>
      </c>
      <c r="P337" s="1" t="str">
        <f t="shared" si="37"/>
        <v/>
      </c>
      <c r="Q337" s="1" t="str">
        <f t="shared" si="38"/>
        <v/>
      </c>
      <c r="R337" s="1" t="str">
        <f t="shared" si="39"/>
        <v/>
      </c>
      <c r="S337" s="1" t="str">
        <f>IF($A337="","",COUNTIF($N$2:N337,$N337))</f>
        <v/>
      </c>
      <c r="T337" s="1" t="str">
        <f t="shared" si="40"/>
        <v/>
      </c>
      <c r="U337" s="1" t="str">
        <f t="shared" si="41"/>
        <v/>
      </c>
      <c r="V337"/>
    </row>
    <row r="338" spans="13:22" x14ac:dyDescent="0.3">
      <c r="M338" s="1" t="str">
        <f t="shared" si="35"/>
        <v/>
      </c>
      <c r="N338" s="1" t="str">
        <f t="shared" si="36"/>
        <v/>
      </c>
      <c r="O338" s="1" t="str">
        <f ca="1">IF(F338="","",IF(INT(F338)=INT(NOW()),IF(NETWORKDAYS.INTL(F338,F338,1,FERIADOS!$A$2:$A$50)=0,0,MAX(0,(MIN(NOW(),INT(NOW())+18/24)-MAX(F338,INT(F338)+8/24)))*24),MAX(0,(INT(F338)+18/24-MAX(F338,INT(F338)+8/24)))*24*NETWORKDAYS.INTL(F338,F338,1,FERIADOS!$A$2:$A$50)+MAX(0,NETWORKDAYS.INTL(F338+1,NOW()-1,1,FERIADOS!$A$2:$A$50))*10+MAX(0,(MIN(NOW(),INT(NOW())+18/24)-(INT(NOW())+8/24)))*24*NETWORKDAYS.INTL(NOW(),NOW(),1,FERIADOS!$A$2:$A$50)))</f>
        <v/>
      </c>
      <c r="P338" s="1" t="str">
        <f t="shared" si="37"/>
        <v/>
      </c>
      <c r="Q338" s="1" t="str">
        <f t="shared" si="38"/>
        <v/>
      </c>
      <c r="R338" s="1" t="str">
        <f t="shared" si="39"/>
        <v/>
      </c>
      <c r="S338" s="1" t="str">
        <f>IF($A338="","",COUNTIF($N$2:N338,$N338))</f>
        <v/>
      </c>
      <c r="T338" s="1" t="str">
        <f t="shared" si="40"/>
        <v/>
      </c>
      <c r="U338" s="1" t="str">
        <f t="shared" si="41"/>
        <v/>
      </c>
      <c r="V338"/>
    </row>
    <row r="339" spans="13:22" x14ac:dyDescent="0.3">
      <c r="M339" s="1" t="str">
        <f t="shared" si="35"/>
        <v/>
      </c>
      <c r="N339" s="1" t="str">
        <f t="shared" si="36"/>
        <v/>
      </c>
      <c r="O339" s="1" t="str">
        <f ca="1">IF(F339="","",IF(INT(F339)=INT(NOW()),IF(NETWORKDAYS.INTL(F339,F339,1,FERIADOS!$A$2:$A$50)=0,0,MAX(0,(MIN(NOW(),INT(NOW())+18/24)-MAX(F339,INT(F339)+8/24)))*24),MAX(0,(INT(F339)+18/24-MAX(F339,INT(F339)+8/24)))*24*NETWORKDAYS.INTL(F339,F339,1,FERIADOS!$A$2:$A$50)+MAX(0,NETWORKDAYS.INTL(F339+1,NOW()-1,1,FERIADOS!$A$2:$A$50))*10+MAX(0,(MIN(NOW(),INT(NOW())+18/24)-(INT(NOW())+8/24)))*24*NETWORKDAYS.INTL(NOW(),NOW(),1,FERIADOS!$A$2:$A$50)))</f>
        <v/>
      </c>
      <c r="P339" s="1" t="str">
        <f t="shared" si="37"/>
        <v/>
      </c>
      <c r="Q339" s="1" t="str">
        <f t="shared" si="38"/>
        <v/>
      </c>
      <c r="R339" s="1" t="str">
        <f t="shared" si="39"/>
        <v/>
      </c>
      <c r="S339" s="1" t="str">
        <f>IF($A339="","",COUNTIF($N$2:N339,$N339))</f>
        <v/>
      </c>
      <c r="T339" s="1" t="str">
        <f t="shared" si="40"/>
        <v/>
      </c>
      <c r="U339" s="1" t="str">
        <f t="shared" si="41"/>
        <v/>
      </c>
      <c r="V339"/>
    </row>
    <row r="340" spans="13:22" x14ac:dyDescent="0.3">
      <c r="M340" s="1" t="str">
        <f t="shared" si="35"/>
        <v/>
      </c>
      <c r="N340" s="1" t="str">
        <f t="shared" si="36"/>
        <v/>
      </c>
      <c r="O340" s="1" t="str">
        <f ca="1">IF(F340="","",IF(INT(F340)=INT(NOW()),IF(NETWORKDAYS.INTL(F340,F340,1,FERIADOS!$A$2:$A$50)=0,0,MAX(0,(MIN(NOW(),INT(NOW())+18/24)-MAX(F340,INT(F340)+8/24)))*24),MAX(0,(INT(F340)+18/24-MAX(F340,INT(F340)+8/24)))*24*NETWORKDAYS.INTL(F340,F340,1,FERIADOS!$A$2:$A$50)+MAX(0,NETWORKDAYS.INTL(F340+1,NOW()-1,1,FERIADOS!$A$2:$A$50))*10+MAX(0,(MIN(NOW(),INT(NOW())+18/24)-(INT(NOW())+8/24)))*24*NETWORKDAYS.INTL(NOW(),NOW(),1,FERIADOS!$A$2:$A$50)))</f>
        <v/>
      </c>
      <c r="P340" s="1" t="str">
        <f t="shared" si="37"/>
        <v/>
      </c>
      <c r="Q340" s="1" t="str">
        <f t="shared" si="38"/>
        <v/>
      </c>
      <c r="R340" s="1" t="str">
        <f t="shared" si="39"/>
        <v/>
      </c>
      <c r="S340" s="1" t="str">
        <f>IF($A340="","",COUNTIF($N$2:N340,$N340))</f>
        <v/>
      </c>
      <c r="T340" s="1" t="str">
        <f t="shared" si="40"/>
        <v/>
      </c>
      <c r="U340" s="1" t="str">
        <f t="shared" si="41"/>
        <v/>
      </c>
      <c r="V340"/>
    </row>
    <row r="341" spans="13:22" x14ac:dyDescent="0.3">
      <c r="M341" s="1" t="str">
        <f t="shared" si="35"/>
        <v/>
      </c>
      <c r="N341" s="1" t="str">
        <f t="shared" si="36"/>
        <v/>
      </c>
      <c r="O341" s="1" t="str">
        <f ca="1">IF(F341="","",IF(INT(F341)=INT(NOW()),IF(NETWORKDAYS.INTL(F341,F341,1,FERIADOS!$A$2:$A$50)=0,0,MAX(0,(MIN(NOW(),INT(NOW())+18/24)-MAX(F341,INT(F341)+8/24)))*24),MAX(0,(INT(F341)+18/24-MAX(F341,INT(F341)+8/24)))*24*NETWORKDAYS.INTL(F341,F341,1,FERIADOS!$A$2:$A$50)+MAX(0,NETWORKDAYS.INTL(F341+1,NOW()-1,1,FERIADOS!$A$2:$A$50))*10+MAX(0,(MIN(NOW(),INT(NOW())+18/24)-(INT(NOW())+8/24)))*24*NETWORKDAYS.INTL(NOW(),NOW(),1,FERIADOS!$A$2:$A$50)))</f>
        <v/>
      </c>
      <c r="P341" s="1" t="str">
        <f t="shared" si="37"/>
        <v/>
      </c>
      <c r="Q341" s="1" t="str">
        <f t="shared" si="38"/>
        <v/>
      </c>
      <c r="R341" s="1" t="str">
        <f t="shared" si="39"/>
        <v/>
      </c>
      <c r="S341" s="1" t="str">
        <f>IF($A341="","",COUNTIF($N$2:N341,$N341))</f>
        <v/>
      </c>
      <c r="T341" s="1" t="str">
        <f t="shared" si="40"/>
        <v/>
      </c>
      <c r="U341" s="1" t="str">
        <f t="shared" si="41"/>
        <v/>
      </c>
      <c r="V341"/>
    </row>
    <row r="342" spans="13:22" x14ac:dyDescent="0.3">
      <c r="M342" s="1" t="str">
        <f t="shared" si="35"/>
        <v/>
      </c>
      <c r="N342" s="1" t="str">
        <f t="shared" si="36"/>
        <v/>
      </c>
      <c r="O342" s="1" t="str">
        <f ca="1">IF(F342="","",IF(INT(F342)=INT(NOW()),IF(NETWORKDAYS.INTL(F342,F342,1,FERIADOS!$A$2:$A$50)=0,0,MAX(0,(MIN(NOW(),INT(NOW())+18/24)-MAX(F342,INT(F342)+8/24)))*24),MAX(0,(INT(F342)+18/24-MAX(F342,INT(F342)+8/24)))*24*NETWORKDAYS.INTL(F342,F342,1,FERIADOS!$A$2:$A$50)+MAX(0,NETWORKDAYS.INTL(F342+1,NOW()-1,1,FERIADOS!$A$2:$A$50))*10+MAX(0,(MIN(NOW(),INT(NOW())+18/24)-(INT(NOW())+8/24)))*24*NETWORKDAYS.INTL(NOW(),NOW(),1,FERIADOS!$A$2:$A$50)))</f>
        <v/>
      </c>
      <c r="P342" s="1" t="str">
        <f t="shared" si="37"/>
        <v/>
      </c>
      <c r="Q342" s="1" t="str">
        <f t="shared" si="38"/>
        <v/>
      </c>
      <c r="R342" s="1" t="str">
        <f t="shared" si="39"/>
        <v/>
      </c>
      <c r="S342" s="1" t="str">
        <f>IF($A342="","",COUNTIF($N$2:N342,$N342))</f>
        <v/>
      </c>
      <c r="T342" s="1" t="str">
        <f t="shared" si="40"/>
        <v/>
      </c>
      <c r="U342" s="1" t="str">
        <f t="shared" si="41"/>
        <v/>
      </c>
      <c r="V342"/>
    </row>
    <row r="343" spans="13:22" x14ac:dyDescent="0.3">
      <c r="M343" s="1" t="str">
        <f t="shared" si="35"/>
        <v/>
      </c>
      <c r="N343" s="1" t="str">
        <f t="shared" si="36"/>
        <v/>
      </c>
      <c r="O343" s="1" t="str">
        <f ca="1">IF(F343="","",IF(INT(F343)=INT(NOW()),IF(NETWORKDAYS.INTL(F343,F343,1,FERIADOS!$A$2:$A$50)=0,0,MAX(0,(MIN(NOW(),INT(NOW())+18/24)-MAX(F343,INT(F343)+8/24)))*24),MAX(0,(INT(F343)+18/24-MAX(F343,INT(F343)+8/24)))*24*NETWORKDAYS.INTL(F343,F343,1,FERIADOS!$A$2:$A$50)+MAX(0,NETWORKDAYS.INTL(F343+1,NOW()-1,1,FERIADOS!$A$2:$A$50))*10+MAX(0,(MIN(NOW(),INT(NOW())+18/24)-(INT(NOW())+8/24)))*24*NETWORKDAYS.INTL(NOW(),NOW(),1,FERIADOS!$A$2:$A$50)))</f>
        <v/>
      </c>
      <c r="P343" s="1" t="str">
        <f t="shared" si="37"/>
        <v/>
      </c>
      <c r="Q343" s="1" t="str">
        <f t="shared" si="38"/>
        <v/>
      </c>
      <c r="R343" s="1" t="str">
        <f t="shared" si="39"/>
        <v/>
      </c>
      <c r="S343" s="1" t="str">
        <f>IF($A343="","",COUNTIF($N$2:N343,$N343))</f>
        <v/>
      </c>
      <c r="T343" s="1" t="str">
        <f t="shared" si="40"/>
        <v/>
      </c>
      <c r="U343" s="1" t="str">
        <f t="shared" si="41"/>
        <v/>
      </c>
      <c r="V343"/>
    </row>
    <row r="344" spans="13:22" x14ac:dyDescent="0.3">
      <c r="M344" s="1" t="str">
        <f t="shared" si="35"/>
        <v/>
      </c>
      <c r="N344" s="1" t="str">
        <f t="shared" si="36"/>
        <v/>
      </c>
      <c r="O344" s="1" t="str">
        <f ca="1">IF(F344="","",IF(INT(F344)=INT(NOW()),IF(NETWORKDAYS.INTL(F344,F344,1,FERIADOS!$A$2:$A$50)=0,0,MAX(0,(MIN(NOW(),INT(NOW())+18/24)-MAX(F344,INT(F344)+8/24)))*24),MAX(0,(INT(F344)+18/24-MAX(F344,INT(F344)+8/24)))*24*NETWORKDAYS.INTL(F344,F344,1,FERIADOS!$A$2:$A$50)+MAX(0,NETWORKDAYS.INTL(F344+1,NOW()-1,1,FERIADOS!$A$2:$A$50))*10+MAX(0,(MIN(NOW(),INT(NOW())+18/24)-(INT(NOW())+8/24)))*24*NETWORKDAYS.INTL(NOW(),NOW(),1,FERIADOS!$A$2:$A$50)))</f>
        <v/>
      </c>
      <c r="P344" s="1" t="str">
        <f t="shared" si="37"/>
        <v/>
      </c>
      <c r="Q344" s="1" t="str">
        <f t="shared" si="38"/>
        <v/>
      </c>
      <c r="R344" s="1" t="str">
        <f t="shared" si="39"/>
        <v/>
      </c>
      <c r="S344" s="1" t="str">
        <f>IF($A344="","",COUNTIF($N$2:N344,$N344))</f>
        <v/>
      </c>
      <c r="T344" s="1" t="str">
        <f t="shared" si="40"/>
        <v/>
      </c>
      <c r="U344" s="1" t="str">
        <f t="shared" si="41"/>
        <v/>
      </c>
      <c r="V344"/>
    </row>
    <row r="345" spans="13:22" x14ac:dyDescent="0.3">
      <c r="M345" s="1" t="str">
        <f t="shared" si="35"/>
        <v/>
      </c>
      <c r="N345" s="1" t="str">
        <f t="shared" si="36"/>
        <v/>
      </c>
      <c r="O345" s="1" t="str">
        <f ca="1">IF(F345="","",IF(INT(F345)=INT(NOW()),IF(NETWORKDAYS.INTL(F345,F345,1,FERIADOS!$A$2:$A$50)=0,0,MAX(0,(MIN(NOW(),INT(NOW())+18/24)-MAX(F345,INT(F345)+8/24)))*24),MAX(0,(INT(F345)+18/24-MAX(F345,INT(F345)+8/24)))*24*NETWORKDAYS.INTL(F345,F345,1,FERIADOS!$A$2:$A$50)+MAX(0,NETWORKDAYS.INTL(F345+1,NOW()-1,1,FERIADOS!$A$2:$A$50))*10+MAX(0,(MIN(NOW(),INT(NOW())+18/24)-(INT(NOW())+8/24)))*24*NETWORKDAYS.INTL(NOW(),NOW(),1,FERIADOS!$A$2:$A$50)))</f>
        <v/>
      </c>
      <c r="P345" s="1" t="str">
        <f t="shared" si="37"/>
        <v/>
      </c>
      <c r="Q345" s="1" t="str">
        <f t="shared" si="38"/>
        <v/>
      </c>
      <c r="R345" s="1" t="str">
        <f t="shared" si="39"/>
        <v/>
      </c>
      <c r="S345" s="1" t="str">
        <f>IF($A345="","",COUNTIF($N$2:N345,$N345))</f>
        <v/>
      </c>
      <c r="T345" s="1" t="str">
        <f t="shared" si="40"/>
        <v/>
      </c>
      <c r="U345" s="1" t="str">
        <f t="shared" si="41"/>
        <v/>
      </c>
      <c r="V345"/>
    </row>
    <row r="346" spans="13:22" x14ac:dyDescent="0.3">
      <c r="M346" s="1" t="str">
        <f t="shared" si="35"/>
        <v/>
      </c>
      <c r="N346" s="1" t="str">
        <f t="shared" si="36"/>
        <v/>
      </c>
      <c r="O346" s="1" t="str">
        <f ca="1">IF(F346="","",IF(INT(F346)=INT(NOW()),IF(NETWORKDAYS.INTL(F346,F346,1,FERIADOS!$A$2:$A$50)=0,0,MAX(0,(MIN(NOW(),INT(NOW())+18/24)-MAX(F346,INT(F346)+8/24)))*24),MAX(0,(INT(F346)+18/24-MAX(F346,INT(F346)+8/24)))*24*NETWORKDAYS.INTL(F346,F346,1,FERIADOS!$A$2:$A$50)+MAX(0,NETWORKDAYS.INTL(F346+1,NOW()-1,1,FERIADOS!$A$2:$A$50))*10+MAX(0,(MIN(NOW(),INT(NOW())+18/24)-(INT(NOW())+8/24)))*24*NETWORKDAYS.INTL(NOW(),NOW(),1,FERIADOS!$A$2:$A$50)))</f>
        <v/>
      </c>
      <c r="P346" s="1" t="str">
        <f t="shared" si="37"/>
        <v/>
      </c>
      <c r="Q346" s="1" t="str">
        <f t="shared" si="38"/>
        <v/>
      </c>
      <c r="R346" s="1" t="str">
        <f t="shared" si="39"/>
        <v/>
      </c>
      <c r="S346" s="1" t="str">
        <f>IF($A346="","",COUNTIF($N$2:N346,$N346))</f>
        <v/>
      </c>
      <c r="T346" s="1" t="str">
        <f t="shared" si="40"/>
        <v/>
      </c>
      <c r="U346" s="1" t="str">
        <f t="shared" si="41"/>
        <v/>
      </c>
      <c r="V346"/>
    </row>
    <row r="347" spans="13:22" x14ac:dyDescent="0.3">
      <c r="M347" s="1" t="str">
        <f t="shared" si="35"/>
        <v/>
      </c>
      <c r="N347" s="1" t="str">
        <f t="shared" si="36"/>
        <v/>
      </c>
      <c r="O347" s="1" t="str">
        <f ca="1">IF(F347="","",IF(INT(F347)=INT(NOW()),IF(NETWORKDAYS.INTL(F347,F347,1,FERIADOS!$A$2:$A$50)=0,0,MAX(0,(MIN(NOW(),INT(NOW())+18/24)-MAX(F347,INT(F347)+8/24)))*24),MAX(0,(INT(F347)+18/24-MAX(F347,INT(F347)+8/24)))*24*NETWORKDAYS.INTL(F347,F347,1,FERIADOS!$A$2:$A$50)+MAX(0,NETWORKDAYS.INTL(F347+1,NOW()-1,1,FERIADOS!$A$2:$A$50))*10+MAX(0,(MIN(NOW(),INT(NOW())+18/24)-(INT(NOW())+8/24)))*24*NETWORKDAYS.INTL(NOW(),NOW(),1,FERIADOS!$A$2:$A$50)))</f>
        <v/>
      </c>
      <c r="P347" s="1" t="str">
        <f t="shared" si="37"/>
        <v/>
      </c>
      <c r="Q347" s="1" t="str">
        <f t="shared" si="38"/>
        <v/>
      </c>
      <c r="R347" s="1" t="str">
        <f t="shared" si="39"/>
        <v/>
      </c>
      <c r="S347" s="1" t="str">
        <f>IF($A347="","",COUNTIF($N$2:N347,$N347))</f>
        <v/>
      </c>
      <c r="T347" s="1" t="str">
        <f t="shared" si="40"/>
        <v/>
      </c>
      <c r="U347" s="1" t="str">
        <f t="shared" si="41"/>
        <v/>
      </c>
      <c r="V347"/>
    </row>
    <row r="348" spans="13:22" x14ac:dyDescent="0.3">
      <c r="M348" s="1" t="str">
        <f t="shared" si="35"/>
        <v/>
      </c>
      <c r="N348" s="1" t="str">
        <f t="shared" si="36"/>
        <v/>
      </c>
      <c r="O348" s="1" t="str">
        <f ca="1">IF(F348="","",IF(INT(F348)=INT(NOW()),IF(NETWORKDAYS.INTL(F348,F348,1,FERIADOS!$A$2:$A$50)=0,0,MAX(0,(MIN(NOW(),INT(NOW())+18/24)-MAX(F348,INT(F348)+8/24)))*24),MAX(0,(INT(F348)+18/24-MAX(F348,INT(F348)+8/24)))*24*NETWORKDAYS.INTL(F348,F348,1,FERIADOS!$A$2:$A$50)+MAX(0,NETWORKDAYS.INTL(F348+1,NOW()-1,1,FERIADOS!$A$2:$A$50))*10+MAX(0,(MIN(NOW(),INT(NOW())+18/24)-(INT(NOW())+8/24)))*24*NETWORKDAYS.INTL(NOW(),NOW(),1,FERIADOS!$A$2:$A$50)))</f>
        <v/>
      </c>
      <c r="P348" s="1" t="str">
        <f t="shared" si="37"/>
        <v/>
      </c>
      <c r="Q348" s="1" t="str">
        <f t="shared" si="38"/>
        <v/>
      </c>
      <c r="R348" s="1" t="str">
        <f t="shared" si="39"/>
        <v/>
      </c>
      <c r="S348" s="1" t="str">
        <f>IF($A348="","",COUNTIF($N$2:N348,$N348))</f>
        <v/>
      </c>
      <c r="T348" s="1" t="str">
        <f t="shared" si="40"/>
        <v/>
      </c>
      <c r="U348" s="1" t="str">
        <f t="shared" si="41"/>
        <v/>
      </c>
      <c r="V348"/>
    </row>
    <row r="349" spans="13:22" x14ac:dyDescent="0.3">
      <c r="M349" s="1" t="str">
        <f t="shared" si="35"/>
        <v/>
      </c>
      <c r="N349" s="1" t="str">
        <f t="shared" si="36"/>
        <v/>
      </c>
      <c r="O349" s="1" t="str">
        <f ca="1">IF(F349="","",IF(INT(F349)=INT(NOW()),IF(NETWORKDAYS.INTL(F349,F349,1,FERIADOS!$A$2:$A$50)=0,0,MAX(0,(MIN(NOW(),INT(NOW())+18/24)-MAX(F349,INT(F349)+8/24)))*24),MAX(0,(INT(F349)+18/24-MAX(F349,INT(F349)+8/24)))*24*NETWORKDAYS.INTL(F349,F349,1,FERIADOS!$A$2:$A$50)+MAX(0,NETWORKDAYS.INTL(F349+1,NOW()-1,1,FERIADOS!$A$2:$A$50))*10+MAX(0,(MIN(NOW(),INT(NOW())+18/24)-(INT(NOW())+8/24)))*24*NETWORKDAYS.INTL(NOW(),NOW(),1,FERIADOS!$A$2:$A$50)))</f>
        <v/>
      </c>
      <c r="P349" s="1" t="str">
        <f t="shared" si="37"/>
        <v/>
      </c>
      <c r="Q349" s="1" t="str">
        <f t="shared" si="38"/>
        <v/>
      </c>
      <c r="R349" s="1" t="str">
        <f t="shared" si="39"/>
        <v/>
      </c>
      <c r="S349" s="1" t="str">
        <f>IF($A349="","",COUNTIF($N$2:N349,$N349))</f>
        <v/>
      </c>
      <c r="T349" s="1" t="str">
        <f t="shared" si="40"/>
        <v/>
      </c>
      <c r="U349" s="1" t="str">
        <f t="shared" si="41"/>
        <v/>
      </c>
      <c r="V349"/>
    </row>
    <row r="350" spans="13:22" x14ac:dyDescent="0.3">
      <c r="M350" s="1" t="str">
        <f t="shared" si="35"/>
        <v/>
      </c>
      <c r="N350" s="1" t="str">
        <f t="shared" si="36"/>
        <v/>
      </c>
      <c r="O350" s="1" t="str">
        <f ca="1">IF(F350="","",IF(INT(F350)=INT(NOW()),IF(NETWORKDAYS.INTL(F350,F350,1,FERIADOS!$A$2:$A$50)=0,0,MAX(0,(MIN(NOW(),INT(NOW())+18/24)-MAX(F350,INT(F350)+8/24)))*24),MAX(0,(INT(F350)+18/24-MAX(F350,INT(F350)+8/24)))*24*NETWORKDAYS.INTL(F350,F350,1,FERIADOS!$A$2:$A$50)+MAX(0,NETWORKDAYS.INTL(F350+1,NOW()-1,1,FERIADOS!$A$2:$A$50))*10+MAX(0,(MIN(NOW(),INT(NOW())+18/24)-(INT(NOW())+8/24)))*24*NETWORKDAYS.INTL(NOW(),NOW(),1,FERIADOS!$A$2:$A$50)))</f>
        <v/>
      </c>
      <c r="P350" s="1" t="str">
        <f t="shared" si="37"/>
        <v/>
      </c>
      <c r="Q350" s="1" t="str">
        <f t="shared" si="38"/>
        <v/>
      </c>
      <c r="R350" s="1" t="str">
        <f t="shared" si="39"/>
        <v/>
      </c>
      <c r="S350" s="1" t="str">
        <f>IF($A350="","",COUNTIF($N$2:N350,$N350))</f>
        <v/>
      </c>
      <c r="T350" s="1" t="str">
        <f t="shared" si="40"/>
        <v/>
      </c>
      <c r="U350" s="1" t="str">
        <f t="shared" si="41"/>
        <v/>
      </c>
      <c r="V350"/>
    </row>
    <row r="351" spans="13:22" x14ac:dyDescent="0.3">
      <c r="M351" s="1" t="str">
        <f t="shared" si="35"/>
        <v/>
      </c>
      <c r="N351" s="1" t="str">
        <f t="shared" si="36"/>
        <v/>
      </c>
      <c r="O351" s="1" t="str">
        <f ca="1">IF(F351="","",IF(INT(F351)=INT(NOW()),IF(NETWORKDAYS.INTL(F351,F351,1,FERIADOS!$A$2:$A$50)=0,0,MAX(0,(MIN(NOW(),INT(NOW())+18/24)-MAX(F351,INT(F351)+8/24)))*24),MAX(0,(INT(F351)+18/24-MAX(F351,INT(F351)+8/24)))*24*NETWORKDAYS.INTL(F351,F351,1,FERIADOS!$A$2:$A$50)+MAX(0,NETWORKDAYS.INTL(F351+1,NOW()-1,1,FERIADOS!$A$2:$A$50))*10+MAX(0,(MIN(NOW(),INT(NOW())+18/24)-(INT(NOW())+8/24)))*24*NETWORKDAYS.INTL(NOW(),NOW(),1,FERIADOS!$A$2:$A$50)))</f>
        <v/>
      </c>
      <c r="P351" s="1" t="str">
        <f t="shared" si="37"/>
        <v/>
      </c>
      <c r="Q351" s="1" t="str">
        <f t="shared" si="38"/>
        <v/>
      </c>
      <c r="R351" s="1" t="str">
        <f t="shared" si="39"/>
        <v/>
      </c>
      <c r="S351" s="1" t="str">
        <f>IF($A351="","",COUNTIF($N$2:N351,$N351))</f>
        <v/>
      </c>
      <c r="T351" s="1" t="str">
        <f t="shared" si="40"/>
        <v/>
      </c>
      <c r="U351" s="1" t="str">
        <f t="shared" si="41"/>
        <v/>
      </c>
      <c r="V351"/>
    </row>
    <row r="352" spans="13:22" x14ac:dyDescent="0.3">
      <c r="M352" s="1" t="str">
        <f t="shared" si="35"/>
        <v/>
      </c>
      <c r="N352" s="1" t="str">
        <f t="shared" si="36"/>
        <v/>
      </c>
      <c r="O352" s="1" t="str">
        <f ca="1">IF(F352="","",IF(INT(F352)=INT(NOW()),IF(NETWORKDAYS.INTL(F352,F352,1,FERIADOS!$A$2:$A$50)=0,0,MAX(0,(MIN(NOW(),INT(NOW())+18/24)-MAX(F352,INT(F352)+8/24)))*24),MAX(0,(INT(F352)+18/24-MAX(F352,INT(F352)+8/24)))*24*NETWORKDAYS.INTL(F352,F352,1,FERIADOS!$A$2:$A$50)+MAX(0,NETWORKDAYS.INTL(F352+1,NOW()-1,1,FERIADOS!$A$2:$A$50))*10+MAX(0,(MIN(NOW(),INT(NOW())+18/24)-(INT(NOW())+8/24)))*24*NETWORKDAYS.INTL(NOW(),NOW(),1,FERIADOS!$A$2:$A$50)))</f>
        <v/>
      </c>
      <c r="P352" s="1" t="str">
        <f t="shared" si="37"/>
        <v/>
      </c>
      <c r="Q352" s="1" t="str">
        <f t="shared" si="38"/>
        <v/>
      </c>
      <c r="R352" s="1" t="str">
        <f t="shared" si="39"/>
        <v/>
      </c>
      <c r="S352" s="1" t="str">
        <f>IF($A352="","",COUNTIF($N$2:N352,$N352))</f>
        <v/>
      </c>
      <c r="T352" s="1" t="str">
        <f t="shared" si="40"/>
        <v/>
      </c>
      <c r="U352" s="1" t="str">
        <f t="shared" si="41"/>
        <v/>
      </c>
      <c r="V352"/>
    </row>
    <row r="353" spans="13:22" x14ac:dyDescent="0.3">
      <c r="M353" s="1" t="str">
        <f t="shared" si="35"/>
        <v/>
      </c>
      <c r="N353" s="1" t="str">
        <f t="shared" si="36"/>
        <v/>
      </c>
      <c r="O353" s="1" t="str">
        <f ca="1">IF(F353="","",IF(INT(F353)=INT(NOW()),IF(NETWORKDAYS.INTL(F353,F353,1,FERIADOS!$A$2:$A$50)=0,0,MAX(0,(MIN(NOW(),INT(NOW())+18/24)-MAX(F353,INT(F353)+8/24)))*24),MAX(0,(INT(F353)+18/24-MAX(F353,INT(F353)+8/24)))*24*NETWORKDAYS.INTL(F353,F353,1,FERIADOS!$A$2:$A$50)+MAX(0,NETWORKDAYS.INTL(F353+1,NOW()-1,1,FERIADOS!$A$2:$A$50))*10+MAX(0,(MIN(NOW(),INT(NOW())+18/24)-(INT(NOW())+8/24)))*24*NETWORKDAYS.INTL(NOW(),NOW(),1,FERIADOS!$A$2:$A$50)))</f>
        <v/>
      </c>
      <c r="P353" s="1" t="str">
        <f t="shared" si="37"/>
        <v/>
      </c>
      <c r="Q353" s="1" t="str">
        <f t="shared" si="38"/>
        <v/>
      </c>
      <c r="R353" s="1" t="str">
        <f t="shared" si="39"/>
        <v/>
      </c>
      <c r="S353" s="1" t="str">
        <f>IF($A353="","",COUNTIF($N$2:N353,$N353))</f>
        <v/>
      </c>
      <c r="T353" s="1" t="str">
        <f t="shared" si="40"/>
        <v/>
      </c>
      <c r="U353" s="1" t="str">
        <f t="shared" si="41"/>
        <v/>
      </c>
      <c r="V353"/>
    </row>
    <row r="354" spans="13:22" x14ac:dyDescent="0.3">
      <c r="M354" s="1" t="str">
        <f t="shared" si="35"/>
        <v/>
      </c>
      <c r="N354" s="1" t="str">
        <f t="shared" si="36"/>
        <v/>
      </c>
      <c r="O354" s="1" t="str">
        <f ca="1">IF(F354="","",IF(INT(F354)=INT(NOW()),IF(NETWORKDAYS.INTL(F354,F354,1,FERIADOS!$A$2:$A$50)=0,0,MAX(0,(MIN(NOW(),INT(NOW())+18/24)-MAX(F354,INT(F354)+8/24)))*24),MAX(0,(INT(F354)+18/24-MAX(F354,INT(F354)+8/24)))*24*NETWORKDAYS.INTL(F354,F354,1,FERIADOS!$A$2:$A$50)+MAX(0,NETWORKDAYS.INTL(F354+1,NOW()-1,1,FERIADOS!$A$2:$A$50))*10+MAX(0,(MIN(NOW(),INT(NOW())+18/24)-(INT(NOW())+8/24)))*24*NETWORKDAYS.INTL(NOW(),NOW(),1,FERIADOS!$A$2:$A$50)))</f>
        <v/>
      </c>
      <c r="P354" s="1" t="str">
        <f t="shared" si="37"/>
        <v/>
      </c>
      <c r="Q354" s="1" t="str">
        <f t="shared" si="38"/>
        <v/>
      </c>
      <c r="R354" s="1" t="str">
        <f t="shared" si="39"/>
        <v/>
      </c>
      <c r="S354" s="1" t="str">
        <f>IF($A354="","",COUNTIF($N$2:N354,$N354))</f>
        <v/>
      </c>
      <c r="T354" s="1" t="str">
        <f t="shared" si="40"/>
        <v/>
      </c>
      <c r="U354" s="1" t="str">
        <f t="shared" si="41"/>
        <v/>
      </c>
      <c r="V354"/>
    </row>
    <row r="355" spans="13:22" x14ac:dyDescent="0.3">
      <c r="M355" s="1" t="str">
        <f t="shared" si="35"/>
        <v/>
      </c>
      <c r="N355" s="1" t="str">
        <f t="shared" si="36"/>
        <v/>
      </c>
      <c r="O355" s="1" t="str">
        <f ca="1">IF(F355="","",IF(INT(F355)=INT(NOW()),IF(NETWORKDAYS.INTL(F355,F355,1,FERIADOS!$A$2:$A$50)=0,0,MAX(0,(MIN(NOW(),INT(NOW())+18/24)-MAX(F355,INT(F355)+8/24)))*24),MAX(0,(INT(F355)+18/24-MAX(F355,INT(F355)+8/24)))*24*NETWORKDAYS.INTL(F355,F355,1,FERIADOS!$A$2:$A$50)+MAX(0,NETWORKDAYS.INTL(F355+1,NOW()-1,1,FERIADOS!$A$2:$A$50))*10+MAX(0,(MIN(NOW(),INT(NOW())+18/24)-(INT(NOW())+8/24)))*24*NETWORKDAYS.INTL(NOW(),NOW(),1,FERIADOS!$A$2:$A$50)))</f>
        <v/>
      </c>
      <c r="P355" s="1" t="str">
        <f t="shared" si="37"/>
        <v/>
      </c>
      <c r="Q355" s="1" t="str">
        <f t="shared" si="38"/>
        <v/>
      </c>
      <c r="R355" s="1" t="str">
        <f t="shared" si="39"/>
        <v/>
      </c>
      <c r="S355" s="1" t="str">
        <f>IF($A355="","",COUNTIF($N$2:N355,$N355))</f>
        <v/>
      </c>
      <c r="T355" s="1" t="str">
        <f t="shared" si="40"/>
        <v/>
      </c>
      <c r="U355" s="1" t="str">
        <f t="shared" si="41"/>
        <v/>
      </c>
      <c r="V355"/>
    </row>
    <row r="356" spans="13:22" x14ac:dyDescent="0.3">
      <c r="M356" s="1" t="str">
        <f t="shared" si="35"/>
        <v/>
      </c>
      <c r="N356" s="1" t="str">
        <f t="shared" si="36"/>
        <v/>
      </c>
      <c r="O356" s="1" t="str">
        <f ca="1">IF(F356="","",IF(INT(F356)=INT(NOW()),IF(NETWORKDAYS.INTL(F356,F356,1,FERIADOS!$A$2:$A$50)=0,0,MAX(0,(MIN(NOW(),INT(NOW())+18/24)-MAX(F356,INT(F356)+8/24)))*24),MAX(0,(INT(F356)+18/24-MAX(F356,INT(F356)+8/24)))*24*NETWORKDAYS.INTL(F356,F356,1,FERIADOS!$A$2:$A$50)+MAX(0,NETWORKDAYS.INTL(F356+1,NOW()-1,1,FERIADOS!$A$2:$A$50))*10+MAX(0,(MIN(NOW(),INT(NOW())+18/24)-(INT(NOW())+8/24)))*24*NETWORKDAYS.INTL(NOW(),NOW(),1,FERIADOS!$A$2:$A$50)))</f>
        <v/>
      </c>
      <c r="P356" s="1" t="str">
        <f t="shared" si="37"/>
        <v/>
      </c>
      <c r="Q356" s="1" t="str">
        <f t="shared" si="38"/>
        <v/>
      </c>
      <c r="R356" s="1" t="str">
        <f t="shared" si="39"/>
        <v/>
      </c>
      <c r="S356" s="1" t="str">
        <f>IF($A356="","",COUNTIF($N$2:N356,$N356))</f>
        <v/>
      </c>
      <c r="T356" s="1" t="str">
        <f t="shared" si="40"/>
        <v/>
      </c>
      <c r="U356" s="1" t="str">
        <f t="shared" si="41"/>
        <v/>
      </c>
      <c r="V356"/>
    </row>
    <row r="357" spans="13:22" x14ac:dyDescent="0.3">
      <c r="M357" s="1" t="str">
        <f t="shared" si="35"/>
        <v/>
      </c>
      <c r="N357" s="1" t="str">
        <f t="shared" si="36"/>
        <v/>
      </c>
      <c r="O357" s="1" t="str">
        <f ca="1">IF(F357="","",IF(INT(F357)=INT(NOW()),IF(NETWORKDAYS.INTL(F357,F357,1,FERIADOS!$A$2:$A$50)=0,0,MAX(0,(MIN(NOW(),INT(NOW())+18/24)-MAX(F357,INT(F357)+8/24)))*24),MAX(0,(INT(F357)+18/24-MAX(F357,INT(F357)+8/24)))*24*NETWORKDAYS.INTL(F357,F357,1,FERIADOS!$A$2:$A$50)+MAX(0,NETWORKDAYS.INTL(F357+1,NOW()-1,1,FERIADOS!$A$2:$A$50))*10+MAX(0,(MIN(NOW(),INT(NOW())+18/24)-(INT(NOW())+8/24)))*24*NETWORKDAYS.INTL(NOW(),NOW(),1,FERIADOS!$A$2:$A$50)))</f>
        <v/>
      </c>
      <c r="P357" s="1" t="str">
        <f t="shared" si="37"/>
        <v/>
      </c>
      <c r="Q357" s="1" t="str">
        <f t="shared" si="38"/>
        <v/>
      </c>
      <c r="R357" s="1" t="str">
        <f t="shared" si="39"/>
        <v/>
      </c>
      <c r="S357" s="1" t="str">
        <f>IF($A357="","",COUNTIF($N$2:N357,$N357))</f>
        <v/>
      </c>
      <c r="T357" s="1" t="str">
        <f t="shared" si="40"/>
        <v/>
      </c>
      <c r="U357" s="1" t="str">
        <f t="shared" si="41"/>
        <v/>
      </c>
      <c r="V357"/>
    </row>
    <row r="358" spans="13:22" x14ac:dyDescent="0.3">
      <c r="M358" s="1" t="str">
        <f t="shared" si="35"/>
        <v/>
      </c>
      <c r="N358" s="1" t="str">
        <f t="shared" si="36"/>
        <v/>
      </c>
      <c r="O358" s="1" t="str">
        <f ca="1">IF(F358="","",IF(INT(F358)=INT(NOW()),IF(NETWORKDAYS.INTL(F358,F358,1,FERIADOS!$A$2:$A$50)=0,0,MAX(0,(MIN(NOW(),INT(NOW())+18/24)-MAX(F358,INT(F358)+8/24)))*24),MAX(0,(INT(F358)+18/24-MAX(F358,INT(F358)+8/24)))*24*NETWORKDAYS.INTL(F358,F358,1,FERIADOS!$A$2:$A$50)+MAX(0,NETWORKDAYS.INTL(F358+1,NOW()-1,1,FERIADOS!$A$2:$A$50))*10+MAX(0,(MIN(NOW(),INT(NOW())+18/24)-(INT(NOW())+8/24)))*24*NETWORKDAYS.INTL(NOW(),NOW(),1,FERIADOS!$A$2:$A$50)))</f>
        <v/>
      </c>
      <c r="P358" s="1" t="str">
        <f t="shared" si="37"/>
        <v/>
      </c>
      <c r="Q358" s="1" t="str">
        <f t="shared" si="38"/>
        <v/>
      </c>
      <c r="R358" s="1" t="str">
        <f t="shared" si="39"/>
        <v/>
      </c>
      <c r="S358" s="1" t="str">
        <f>IF($A358="","",COUNTIF($N$2:N358,$N358))</f>
        <v/>
      </c>
      <c r="T358" s="1" t="str">
        <f t="shared" si="40"/>
        <v/>
      </c>
      <c r="U358" s="1" t="str">
        <f t="shared" si="41"/>
        <v/>
      </c>
      <c r="V358"/>
    </row>
    <row r="359" spans="13:22" x14ac:dyDescent="0.3">
      <c r="M359" s="1" t="str">
        <f t="shared" si="35"/>
        <v/>
      </c>
      <c r="N359" s="1" t="str">
        <f t="shared" si="36"/>
        <v/>
      </c>
      <c r="O359" s="1" t="str">
        <f ca="1">IF(F359="","",IF(INT(F359)=INT(NOW()),IF(NETWORKDAYS.INTL(F359,F359,1,FERIADOS!$A$2:$A$50)=0,0,MAX(0,(MIN(NOW(),INT(NOW())+18/24)-MAX(F359,INT(F359)+8/24)))*24),MAX(0,(INT(F359)+18/24-MAX(F359,INT(F359)+8/24)))*24*NETWORKDAYS.INTL(F359,F359,1,FERIADOS!$A$2:$A$50)+MAX(0,NETWORKDAYS.INTL(F359+1,NOW()-1,1,FERIADOS!$A$2:$A$50))*10+MAX(0,(MIN(NOW(),INT(NOW())+18/24)-(INT(NOW())+8/24)))*24*NETWORKDAYS.INTL(NOW(),NOW(),1,FERIADOS!$A$2:$A$50)))</f>
        <v/>
      </c>
      <c r="P359" s="1" t="str">
        <f t="shared" si="37"/>
        <v/>
      </c>
      <c r="Q359" s="1" t="str">
        <f t="shared" si="38"/>
        <v/>
      </c>
      <c r="R359" s="1" t="str">
        <f t="shared" si="39"/>
        <v/>
      </c>
      <c r="S359" s="1" t="str">
        <f>IF($A359="","",COUNTIF($N$2:N359,$N359))</f>
        <v/>
      </c>
      <c r="T359" s="1" t="str">
        <f t="shared" si="40"/>
        <v/>
      </c>
      <c r="U359" s="1" t="str">
        <f t="shared" si="41"/>
        <v/>
      </c>
      <c r="V359"/>
    </row>
    <row r="360" spans="13:22" x14ac:dyDescent="0.3">
      <c r="M360" s="1" t="str">
        <f t="shared" si="35"/>
        <v/>
      </c>
      <c r="N360" s="1" t="str">
        <f t="shared" si="36"/>
        <v/>
      </c>
      <c r="O360" s="1" t="str">
        <f ca="1">IF(F360="","",IF(INT(F360)=INT(NOW()),IF(NETWORKDAYS.INTL(F360,F360,1,FERIADOS!$A$2:$A$50)=0,0,MAX(0,(MIN(NOW(),INT(NOW())+18/24)-MAX(F360,INT(F360)+8/24)))*24),MAX(0,(INT(F360)+18/24-MAX(F360,INT(F360)+8/24)))*24*NETWORKDAYS.INTL(F360,F360,1,FERIADOS!$A$2:$A$50)+MAX(0,NETWORKDAYS.INTL(F360+1,NOW()-1,1,FERIADOS!$A$2:$A$50))*10+MAX(0,(MIN(NOW(),INT(NOW())+18/24)-(INT(NOW())+8/24)))*24*NETWORKDAYS.INTL(NOW(),NOW(),1,FERIADOS!$A$2:$A$50)))</f>
        <v/>
      </c>
      <c r="P360" s="1" t="str">
        <f t="shared" si="37"/>
        <v/>
      </c>
      <c r="Q360" s="1" t="str">
        <f t="shared" si="38"/>
        <v/>
      </c>
      <c r="R360" s="1" t="str">
        <f t="shared" si="39"/>
        <v/>
      </c>
      <c r="S360" s="1" t="str">
        <f>IF($A360="","",COUNTIF($N$2:N360,$N360))</f>
        <v/>
      </c>
      <c r="T360" s="1" t="str">
        <f t="shared" si="40"/>
        <v/>
      </c>
      <c r="U360" s="1" t="str">
        <f t="shared" si="41"/>
        <v/>
      </c>
      <c r="V360"/>
    </row>
    <row r="361" spans="13:22" x14ac:dyDescent="0.3">
      <c r="M361" s="1" t="str">
        <f t="shared" si="35"/>
        <v/>
      </c>
      <c r="N361" s="1" t="str">
        <f t="shared" si="36"/>
        <v/>
      </c>
      <c r="O361" s="1" t="str">
        <f ca="1">IF(F361="","",IF(INT(F361)=INT(NOW()),IF(NETWORKDAYS.INTL(F361,F361,1,FERIADOS!$A$2:$A$50)=0,0,MAX(0,(MIN(NOW(),INT(NOW())+18/24)-MAX(F361,INT(F361)+8/24)))*24),MAX(0,(INT(F361)+18/24-MAX(F361,INT(F361)+8/24)))*24*NETWORKDAYS.INTL(F361,F361,1,FERIADOS!$A$2:$A$50)+MAX(0,NETWORKDAYS.INTL(F361+1,NOW()-1,1,FERIADOS!$A$2:$A$50))*10+MAX(0,(MIN(NOW(),INT(NOW())+18/24)-(INT(NOW())+8/24)))*24*NETWORKDAYS.INTL(NOW(),NOW(),1,FERIADOS!$A$2:$A$50)))</f>
        <v/>
      </c>
      <c r="P361" s="1" t="str">
        <f t="shared" si="37"/>
        <v/>
      </c>
      <c r="Q361" s="1" t="str">
        <f t="shared" si="38"/>
        <v/>
      </c>
      <c r="R361" s="1" t="str">
        <f t="shared" si="39"/>
        <v/>
      </c>
      <c r="S361" s="1" t="str">
        <f>IF($A361="","",COUNTIF($N$2:N361,$N361))</f>
        <v/>
      </c>
      <c r="T361" s="1" t="str">
        <f t="shared" si="40"/>
        <v/>
      </c>
      <c r="U361" s="1" t="str">
        <f t="shared" si="41"/>
        <v/>
      </c>
      <c r="V361"/>
    </row>
    <row r="362" spans="13:22" x14ac:dyDescent="0.3">
      <c r="M362" s="1" t="str">
        <f t="shared" si="35"/>
        <v/>
      </c>
      <c r="N362" s="1" t="str">
        <f t="shared" si="36"/>
        <v/>
      </c>
      <c r="O362" s="1" t="str">
        <f ca="1">IF(F362="","",IF(INT(F362)=INT(NOW()),IF(NETWORKDAYS.INTL(F362,F362,1,FERIADOS!$A$2:$A$50)=0,0,MAX(0,(MIN(NOW(),INT(NOW())+18/24)-MAX(F362,INT(F362)+8/24)))*24),MAX(0,(INT(F362)+18/24-MAX(F362,INT(F362)+8/24)))*24*NETWORKDAYS.INTL(F362,F362,1,FERIADOS!$A$2:$A$50)+MAX(0,NETWORKDAYS.INTL(F362+1,NOW()-1,1,FERIADOS!$A$2:$A$50))*10+MAX(0,(MIN(NOW(),INT(NOW())+18/24)-(INT(NOW())+8/24)))*24*NETWORKDAYS.INTL(NOW(),NOW(),1,FERIADOS!$A$2:$A$50)))</f>
        <v/>
      </c>
      <c r="P362" s="1" t="str">
        <f t="shared" si="37"/>
        <v/>
      </c>
      <c r="Q362" s="1" t="str">
        <f t="shared" si="38"/>
        <v/>
      </c>
      <c r="R362" s="1" t="str">
        <f t="shared" si="39"/>
        <v/>
      </c>
      <c r="S362" s="1" t="str">
        <f>IF($A362="","",COUNTIF($N$2:N362,$N362))</f>
        <v/>
      </c>
      <c r="T362" s="1" t="str">
        <f t="shared" si="40"/>
        <v/>
      </c>
      <c r="U362" s="1" t="str">
        <f t="shared" si="41"/>
        <v/>
      </c>
      <c r="V362"/>
    </row>
    <row r="363" spans="13:22" x14ac:dyDescent="0.3">
      <c r="M363" s="1" t="str">
        <f t="shared" si="35"/>
        <v/>
      </c>
      <c r="N363" s="1" t="str">
        <f t="shared" si="36"/>
        <v/>
      </c>
      <c r="O363" s="1" t="str">
        <f ca="1">IF(F363="","",IF(INT(F363)=INT(NOW()),IF(NETWORKDAYS.INTL(F363,F363,1,FERIADOS!$A$2:$A$50)=0,0,MAX(0,(MIN(NOW(),INT(NOW())+18/24)-MAX(F363,INT(F363)+8/24)))*24),MAX(0,(INT(F363)+18/24-MAX(F363,INT(F363)+8/24)))*24*NETWORKDAYS.INTL(F363,F363,1,FERIADOS!$A$2:$A$50)+MAX(0,NETWORKDAYS.INTL(F363+1,NOW()-1,1,FERIADOS!$A$2:$A$50))*10+MAX(0,(MIN(NOW(),INT(NOW())+18/24)-(INT(NOW())+8/24)))*24*NETWORKDAYS.INTL(NOW(),NOW(),1,FERIADOS!$A$2:$A$50)))</f>
        <v/>
      </c>
      <c r="P363" s="1" t="str">
        <f t="shared" si="37"/>
        <v/>
      </c>
      <c r="Q363" s="1" t="str">
        <f t="shared" si="38"/>
        <v/>
      </c>
      <c r="R363" s="1" t="str">
        <f t="shared" si="39"/>
        <v/>
      </c>
      <c r="S363" s="1" t="str">
        <f>IF($A363="","",COUNTIF($N$2:N363,$N363))</f>
        <v/>
      </c>
      <c r="T363" s="1" t="str">
        <f t="shared" si="40"/>
        <v/>
      </c>
      <c r="U363" s="1" t="str">
        <f t="shared" si="41"/>
        <v/>
      </c>
      <c r="V363"/>
    </row>
    <row r="364" spans="13:22" x14ac:dyDescent="0.3">
      <c r="M364" s="1" t="str">
        <f t="shared" si="35"/>
        <v/>
      </c>
      <c r="N364" s="1" t="str">
        <f t="shared" si="36"/>
        <v/>
      </c>
      <c r="O364" s="1" t="str">
        <f ca="1">IF(F364="","",IF(INT(F364)=INT(NOW()),IF(NETWORKDAYS.INTL(F364,F364,1,FERIADOS!$A$2:$A$50)=0,0,MAX(0,(MIN(NOW(),INT(NOW())+18/24)-MAX(F364,INT(F364)+8/24)))*24),MAX(0,(INT(F364)+18/24-MAX(F364,INT(F364)+8/24)))*24*NETWORKDAYS.INTL(F364,F364,1,FERIADOS!$A$2:$A$50)+MAX(0,NETWORKDAYS.INTL(F364+1,NOW()-1,1,FERIADOS!$A$2:$A$50))*10+MAX(0,(MIN(NOW(),INT(NOW())+18/24)-(INT(NOW())+8/24)))*24*NETWORKDAYS.INTL(NOW(),NOW(),1,FERIADOS!$A$2:$A$50)))</f>
        <v/>
      </c>
      <c r="P364" s="1" t="str">
        <f t="shared" si="37"/>
        <v/>
      </c>
      <c r="Q364" s="1" t="str">
        <f t="shared" si="38"/>
        <v/>
      </c>
      <c r="R364" s="1" t="str">
        <f t="shared" si="39"/>
        <v/>
      </c>
      <c r="S364" s="1" t="str">
        <f>IF($A364="","",COUNTIF($N$2:N364,$N364))</f>
        <v/>
      </c>
      <c r="T364" s="1" t="str">
        <f t="shared" si="40"/>
        <v/>
      </c>
      <c r="U364" s="1" t="str">
        <f t="shared" si="41"/>
        <v/>
      </c>
      <c r="V364"/>
    </row>
    <row r="365" spans="13:22" x14ac:dyDescent="0.3">
      <c r="M365" s="1" t="str">
        <f t="shared" si="35"/>
        <v/>
      </c>
      <c r="N365" s="1" t="str">
        <f t="shared" si="36"/>
        <v/>
      </c>
      <c r="O365" s="1" t="str">
        <f ca="1">IF(F365="","",IF(INT(F365)=INT(NOW()),IF(NETWORKDAYS.INTL(F365,F365,1,FERIADOS!$A$2:$A$50)=0,0,MAX(0,(MIN(NOW(),INT(NOW())+18/24)-MAX(F365,INT(F365)+8/24)))*24),MAX(0,(INT(F365)+18/24-MAX(F365,INT(F365)+8/24)))*24*NETWORKDAYS.INTL(F365,F365,1,FERIADOS!$A$2:$A$50)+MAX(0,NETWORKDAYS.INTL(F365+1,NOW()-1,1,FERIADOS!$A$2:$A$50))*10+MAX(0,(MIN(NOW(),INT(NOW())+18/24)-(INT(NOW())+8/24)))*24*NETWORKDAYS.INTL(NOW(),NOW(),1,FERIADOS!$A$2:$A$50)))</f>
        <v/>
      </c>
      <c r="P365" s="1" t="str">
        <f t="shared" si="37"/>
        <v/>
      </c>
      <c r="Q365" s="1" t="str">
        <f t="shared" si="38"/>
        <v/>
      </c>
      <c r="R365" s="1" t="str">
        <f t="shared" si="39"/>
        <v/>
      </c>
      <c r="S365" s="1" t="str">
        <f>IF($A365="","",COUNTIF($N$2:N365,$N365))</f>
        <v/>
      </c>
      <c r="T365" s="1" t="str">
        <f t="shared" si="40"/>
        <v/>
      </c>
      <c r="U365" s="1" t="str">
        <f t="shared" si="41"/>
        <v/>
      </c>
      <c r="V365"/>
    </row>
    <row r="366" spans="13:22" x14ac:dyDescent="0.3">
      <c r="M366" s="1" t="str">
        <f t="shared" si="35"/>
        <v/>
      </c>
      <c r="N366" s="1" t="str">
        <f t="shared" si="36"/>
        <v/>
      </c>
      <c r="O366" s="1" t="str">
        <f ca="1">IF(F366="","",IF(INT(F366)=INT(NOW()),IF(NETWORKDAYS.INTL(F366,F366,1,FERIADOS!$A$2:$A$50)=0,0,MAX(0,(MIN(NOW(),INT(NOW())+18/24)-MAX(F366,INT(F366)+8/24)))*24),MAX(0,(INT(F366)+18/24-MAX(F366,INT(F366)+8/24)))*24*NETWORKDAYS.INTL(F366,F366,1,FERIADOS!$A$2:$A$50)+MAX(0,NETWORKDAYS.INTL(F366+1,NOW()-1,1,FERIADOS!$A$2:$A$50))*10+MAX(0,(MIN(NOW(),INT(NOW())+18/24)-(INT(NOW())+8/24)))*24*NETWORKDAYS.INTL(NOW(),NOW(),1,FERIADOS!$A$2:$A$50)))</f>
        <v/>
      </c>
      <c r="P366" s="1" t="str">
        <f t="shared" si="37"/>
        <v/>
      </c>
      <c r="Q366" s="1" t="str">
        <f t="shared" si="38"/>
        <v/>
      </c>
      <c r="R366" s="1" t="str">
        <f t="shared" si="39"/>
        <v/>
      </c>
      <c r="S366" s="1" t="str">
        <f>IF($A366="","",COUNTIF($N$2:N366,$N366))</f>
        <v/>
      </c>
      <c r="T366" s="1" t="str">
        <f t="shared" si="40"/>
        <v/>
      </c>
      <c r="U366" s="1" t="str">
        <f t="shared" si="41"/>
        <v/>
      </c>
      <c r="V366"/>
    </row>
    <row r="367" spans="13:22" x14ac:dyDescent="0.3">
      <c r="M367" s="1" t="str">
        <f t="shared" si="35"/>
        <v/>
      </c>
      <c r="N367" s="1" t="str">
        <f t="shared" si="36"/>
        <v/>
      </c>
      <c r="O367" s="1" t="str">
        <f ca="1">IF(F367="","",IF(INT(F367)=INT(NOW()),IF(NETWORKDAYS.INTL(F367,F367,1,FERIADOS!$A$2:$A$50)=0,0,MAX(0,(MIN(NOW(),INT(NOW())+18/24)-MAX(F367,INT(F367)+8/24)))*24),MAX(0,(INT(F367)+18/24-MAX(F367,INT(F367)+8/24)))*24*NETWORKDAYS.INTL(F367,F367,1,FERIADOS!$A$2:$A$50)+MAX(0,NETWORKDAYS.INTL(F367+1,NOW()-1,1,FERIADOS!$A$2:$A$50))*10+MAX(0,(MIN(NOW(),INT(NOW())+18/24)-(INT(NOW())+8/24)))*24*NETWORKDAYS.INTL(NOW(),NOW(),1,FERIADOS!$A$2:$A$50)))</f>
        <v/>
      </c>
      <c r="P367" s="1" t="str">
        <f t="shared" si="37"/>
        <v/>
      </c>
      <c r="Q367" s="1" t="str">
        <f t="shared" si="38"/>
        <v/>
      </c>
      <c r="R367" s="1" t="str">
        <f t="shared" si="39"/>
        <v/>
      </c>
      <c r="S367" s="1" t="str">
        <f>IF($A367="","",COUNTIF($N$2:N367,$N367))</f>
        <v/>
      </c>
      <c r="T367" s="1" t="str">
        <f t="shared" si="40"/>
        <v/>
      </c>
      <c r="U367" s="1" t="str">
        <f t="shared" si="41"/>
        <v/>
      </c>
      <c r="V367"/>
    </row>
    <row r="368" spans="13:22" x14ac:dyDescent="0.3">
      <c r="M368" s="1" t="str">
        <f t="shared" si="35"/>
        <v/>
      </c>
      <c r="N368" s="1" t="str">
        <f t="shared" si="36"/>
        <v/>
      </c>
      <c r="O368" s="1" t="str">
        <f ca="1">IF(F368="","",IF(INT(F368)=INT(NOW()),IF(NETWORKDAYS.INTL(F368,F368,1,FERIADOS!$A$2:$A$50)=0,0,MAX(0,(MIN(NOW(),INT(NOW())+18/24)-MAX(F368,INT(F368)+8/24)))*24),MAX(0,(INT(F368)+18/24-MAX(F368,INT(F368)+8/24)))*24*NETWORKDAYS.INTL(F368,F368,1,FERIADOS!$A$2:$A$50)+MAX(0,NETWORKDAYS.INTL(F368+1,NOW()-1,1,FERIADOS!$A$2:$A$50))*10+MAX(0,(MIN(NOW(),INT(NOW())+18/24)-(INT(NOW())+8/24)))*24*NETWORKDAYS.INTL(NOW(),NOW(),1,FERIADOS!$A$2:$A$50)))</f>
        <v/>
      </c>
      <c r="P368" s="1" t="str">
        <f t="shared" si="37"/>
        <v/>
      </c>
      <c r="Q368" s="1" t="str">
        <f t="shared" si="38"/>
        <v/>
      </c>
      <c r="R368" s="1" t="str">
        <f t="shared" si="39"/>
        <v/>
      </c>
      <c r="S368" s="1" t="str">
        <f>IF($A368="","",COUNTIF($N$2:N368,$N368))</f>
        <v/>
      </c>
      <c r="T368" s="1" t="str">
        <f t="shared" si="40"/>
        <v/>
      </c>
      <c r="U368" s="1" t="str">
        <f t="shared" si="41"/>
        <v/>
      </c>
      <c r="V368"/>
    </row>
    <row r="369" spans="13:22" x14ac:dyDescent="0.3">
      <c r="M369" s="1" t="str">
        <f t="shared" si="35"/>
        <v/>
      </c>
      <c r="N369" s="1" t="str">
        <f t="shared" si="36"/>
        <v/>
      </c>
      <c r="O369" s="1" t="str">
        <f ca="1">IF(F369="","",IF(INT(F369)=INT(NOW()),IF(NETWORKDAYS.INTL(F369,F369,1,FERIADOS!$A$2:$A$50)=0,0,MAX(0,(MIN(NOW(),INT(NOW())+18/24)-MAX(F369,INT(F369)+8/24)))*24),MAX(0,(INT(F369)+18/24-MAX(F369,INT(F369)+8/24)))*24*NETWORKDAYS.INTL(F369,F369,1,FERIADOS!$A$2:$A$50)+MAX(0,NETWORKDAYS.INTL(F369+1,NOW()-1,1,FERIADOS!$A$2:$A$50))*10+MAX(0,(MIN(NOW(),INT(NOW())+18/24)-(INT(NOW())+8/24)))*24*NETWORKDAYS.INTL(NOW(),NOW(),1,FERIADOS!$A$2:$A$50)))</f>
        <v/>
      </c>
      <c r="P369" s="1" t="str">
        <f t="shared" si="37"/>
        <v/>
      </c>
      <c r="Q369" s="1" t="str">
        <f t="shared" si="38"/>
        <v/>
      </c>
      <c r="R369" s="1" t="str">
        <f t="shared" si="39"/>
        <v/>
      </c>
      <c r="S369" s="1" t="str">
        <f>IF($A369="","",COUNTIF($N$2:N369,$N369))</f>
        <v/>
      </c>
      <c r="T369" s="1" t="str">
        <f t="shared" si="40"/>
        <v/>
      </c>
      <c r="U369" s="1" t="str">
        <f t="shared" si="41"/>
        <v/>
      </c>
      <c r="V369"/>
    </row>
    <row r="370" spans="13:22" x14ac:dyDescent="0.3">
      <c r="M370" s="1" t="str">
        <f t="shared" si="35"/>
        <v/>
      </c>
      <c r="N370" s="1" t="str">
        <f t="shared" si="36"/>
        <v/>
      </c>
      <c r="O370" s="1" t="str">
        <f ca="1">IF(F370="","",IF(INT(F370)=INT(NOW()),IF(NETWORKDAYS.INTL(F370,F370,1,FERIADOS!$A$2:$A$50)=0,0,MAX(0,(MIN(NOW(),INT(NOW())+18/24)-MAX(F370,INT(F370)+8/24)))*24),MAX(0,(INT(F370)+18/24-MAX(F370,INT(F370)+8/24)))*24*NETWORKDAYS.INTL(F370,F370,1,FERIADOS!$A$2:$A$50)+MAX(0,NETWORKDAYS.INTL(F370+1,NOW()-1,1,FERIADOS!$A$2:$A$50))*10+MAX(0,(MIN(NOW(),INT(NOW())+18/24)-(INT(NOW())+8/24)))*24*NETWORKDAYS.INTL(NOW(),NOW(),1,FERIADOS!$A$2:$A$50)))</f>
        <v/>
      </c>
      <c r="P370" s="1" t="str">
        <f t="shared" si="37"/>
        <v/>
      </c>
      <c r="Q370" s="1" t="str">
        <f t="shared" si="38"/>
        <v/>
      </c>
      <c r="R370" s="1" t="str">
        <f t="shared" si="39"/>
        <v/>
      </c>
      <c r="S370" s="1" t="str">
        <f>IF($A370="","",COUNTIF($N$2:N370,$N370))</f>
        <v/>
      </c>
      <c r="T370" s="1" t="str">
        <f t="shared" si="40"/>
        <v/>
      </c>
      <c r="U370" s="1" t="str">
        <f t="shared" si="41"/>
        <v/>
      </c>
      <c r="V370"/>
    </row>
    <row r="371" spans="13:22" x14ac:dyDescent="0.3">
      <c r="M371" s="1" t="str">
        <f t="shared" si="35"/>
        <v/>
      </c>
      <c r="N371" s="1" t="str">
        <f t="shared" si="36"/>
        <v/>
      </c>
      <c r="O371" s="1" t="str">
        <f ca="1">IF(F371="","",IF(INT(F371)=INT(NOW()),IF(NETWORKDAYS.INTL(F371,F371,1,FERIADOS!$A$2:$A$50)=0,0,MAX(0,(MIN(NOW(),INT(NOW())+18/24)-MAX(F371,INT(F371)+8/24)))*24),MAX(0,(INT(F371)+18/24-MAX(F371,INT(F371)+8/24)))*24*NETWORKDAYS.INTL(F371,F371,1,FERIADOS!$A$2:$A$50)+MAX(0,NETWORKDAYS.INTL(F371+1,NOW()-1,1,FERIADOS!$A$2:$A$50))*10+MAX(0,(MIN(NOW(),INT(NOW())+18/24)-(INT(NOW())+8/24)))*24*NETWORKDAYS.INTL(NOW(),NOW(),1,FERIADOS!$A$2:$A$50)))</f>
        <v/>
      </c>
      <c r="P371" s="1" t="str">
        <f t="shared" si="37"/>
        <v/>
      </c>
      <c r="Q371" s="1" t="str">
        <f t="shared" si="38"/>
        <v/>
      </c>
      <c r="R371" s="1" t="str">
        <f t="shared" si="39"/>
        <v/>
      </c>
      <c r="S371" s="1" t="str">
        <f>IF($A371="","",COUNTIF($N$2:N371,$N371))</f>
        <v/>
      </c>
      <c r="T371" s="1" t="str">
        <f t="shared" si="40"/>
        <v/>
      </c>
      <c r="U371" s="1" t="str">
        <f t="shared" si="41"/>
        <v/>
      </c>
      <c r="V371"/>
    </row>
    <row r="372" spans="13:22" x14ac:dyDescent="0.3">
      <c r="M372" s="1" t="str">
        <f t="shared" si="35"/>
        <v/>
      </c>
      <c r="N372" s="1" t="str">
        <f t="shared" si="36"/>
        <v/>
      </c>
      <c r="O372" s="1" t="str">
        <f ca="1">IF(F372="","",IF(INT(F372)=INT(NOW()),IF(NETWORKDAYS.INTL(F372,F372,1,FERIADOS!$A$2:$A$50)=0,0,MAX(0,(MIN(NOW(),INT(NOW())+18/24)-MAX(F372,INT(F372)+8/24)))*24),MAX(0,(INT(F372)+18/24-MAX(F372,INT(F372)+8/24)))*24*NETWORKDAYS.INTL(F372,F372,1,FERIADOS!$A$2:$A$50)+MAX(0,NETWORKDAYS.INTL(F372+1,NOW()-1,1,FERIADOS!$A$2:$A$50))*10+MAX(0,(MIN(NOW(),INT(NOW())+18/24)-(INT(NOW())+8/24)))*24*NETWORKDAYS.INTL(NOW(),NOW(),1,FERIADOS!$A$2:$A$50)))</f>
        <v/>
      </c>
      <c r="P372" s="1" t="str">
        <f t="shared" si="37"/>
        <v/>
      </c>
      <c r="Q372" s="1" t="str">
        <f t="shared" si="38"/>
        <v/>
      </c>
      <c r="R372" s="1" t="str">
        <f t="shared" si="39"/>
        <v/>
      </c>
      <c r="S372" s="1" t="str">
        <f>IF($A372="","",COUNTIF($N$2:N372,$N372))</f>
        <v/>
      </c>
      <c r="T372" s="1" t="str">
        <f t="shared" si="40"/>
        <v/>
      </c>
      <c r="U372" s="1" t="str">
        <f t="shared" si="41"/>
        <v/>
      </c>
      <c r="V372"/>
    </row>
    <row r="373" spans="13:22" x14ac:dyDescent="0.3">
      <c r="M373" s="1" t="str">
        <f t="shared" si="35"/>
        <v/>
      </c>
      <c r="N373" s="1" t="str">
        <f t="shared" si="36"/>
        <v/>
      </c>
      <c r="O373" s="1" t="str">
        <f ca="1">IF(F373="","",IF(INT(F373)=INT(NOW()),IF(NETWORKDAYS.INTL(F373,F373,1,FERIADOS!$A$2:$A$50)=0,0,MAX(0,(MIN(NOW(),INT(NOW())+18/24)-MAX(F373,INT(F373)+8/24)))*24),MAX(0,(INT(F373)+18/24-MAX(F373,INT(F373)+8/24)))*24*NETWORKDAYS.INTL(F373,F373,1,FERIADOS!$A$2:$A$50)+MAX(0,NETWORKDAYS.INTL(F373+1,NOW()-1,1,FERIADOS!$A$2:$A$50))*10+MAX(0,(MIN(NOW(),INT(NOW())+18/24)-(INT(NOW())+8/24)))*24*NETWORKDAYS.INTL(NOW(),NOW(),1,FERIADOS!$A$2:$A$50)))</f>
        <v/>
      </c>
      <c r="P373" s="1" t="str">
        <f t="shared" si="37"/>
        <v/>
      </c>
      <c r="Q373" s="1" t="str">
        <f t="shared" si="38"/>
        <v/>
      </c>
      <c r="R373" s="1" t="str">
        <f t="shared" si="39"/>
        <v/>
      </c>
      <c r="S373" s="1" t="str">
        <f>IF($A373="","",COUNTIF($N$2:N373,$N373))</f>
        <v/>
      </c>
      <c r="T373" s="1" t="str">
        <f t="shared" si="40"/>
        <v/>
      </c>
      <c r="U373" s="1" t="str">
        <f t="shared" si="41"/>
        <v/>
      </c>
      <c r="V373"/>
    </row>
    <row r="374" spans="13:22" x14ac:dyDescent="0.3">
      <c r="M374" s="1" t="str">
        <f t="shared" si="35"/>
        <v/>
      </c>
      <c r="N374" s="1" t="str">
        <f t="shared" si="36"/>
        <v/>
      </c>
      <c r="O374" s="1" t="str">
        <f ca="1">IF(F374="","",IF(INT(F374)=INT(NOW()),IF(NETWORKDAYS.INTL(F374,F374,1,FERIADOS!$A$2:$A$50)=0,0,MAX(0,(MIN(NOW(),INT(NOW())+18/24)-MAX(F374,INT(F374)+8/24)))*24),MAX(0,(INT(F374)+18/24-MAX(F374,INT(F374)+8/24)))*24*NETWORKDAYS.INTL(F374,F374,1,FERIADOS!$A$2:$A$50)+MAX(0,NETWORKDAYS.INTL(F374+1,NOW()-1,1,FERIADOS!$A$2:$A$50))*10+MAX(0,(MIN(NOW(),INT(NOW())+18/24)-(INT(NOW())+8/24)))*24*NETWORKDAYS.INTL(NOW(),NOW(),1,FERIADOS!$A$2:$A$50)))</f>
        <v/>
      </c>
      <c r="P374" s="1" t="str">
        <f t="shared" si="37"/>
        <v/>
      </c>
      <c r="Q374" s="1" t="str">
        <f t="shared" si="38"/>
        <v/>
      </c>
      <c r="R374" s="1" t="str">
        <f t="shared" si="39"/>
        <v/>
      </c>
      <c r="S374" s="1" t="str">
        <f>IF($A374="","",COUNTIF($N$2:N374,$N374))</f>
        <v/>
      </c>
      <c r="T374" s="1" t="str">
        <f t="shared" si="40"/>
        <v/>
      </c>
      <c r="U374" s="1" t="str">
        <f t="shared" si="41"/>
        <v/>
      </c>
      <c r="V374"/>
    </row>
    <row r="375" spans="13:22" x14ac:dyDescent="0.3">
      <c r="M375" s="1" t="str">
        <f t="shared" si="35"/>
        <v/>
      </c>
      <c r="N375" s="1" t="str">
        <f t="shared" si="36"/>
        <v/>
      </c>
      <c r="O375" s="1" t="str">
        <f ca="1">IF(F375="","",IF(INT(F375)=INT(NOW()),IF(NETWORKDAYS.INTL(F375,F375,1,FERIADOS!$A$2:$A$50)=0,0,MAX(0,(MIN(NOW(),INT(NOW())+18/24)-MAX(F375,INT(F375)+8/24)))*24),MAX(0,(INT(F375)+18/24-MAX(F375,INT(F375)+8/24)))*24*NETWORKDAYS.INTL(F375,F375,1,FERIADOS!$A$2:$A$50)+MAX(0,NETWORKDAYS.INTL(F375+1,NOW()-1,1,FERIADOS!$A$2:$A$50))*10+MAX(0,(MIN(NOW(),INT(NOW())+18/24)-(INT(NOW())+8/24)))*24*NETWORKDAYS.INTL(NOW(),NOW(),1,FERIADOS!$A$2:$A$50)))</f>
        <v/>
      </c>
      <c r="P375" s="1" t="str">
        <f t="shared" si="37"/>
        <v/>
      </c>
      <c r="Q375" s="1" t="str">
        <f t="shared" si="38"/>
        <v/>
      </c>
      <c r="R375" s="1" t="str">
        <f t="shared" si="39"/>
        <v/>
      </c>
      <c r="S375" s="1" t="str">
        <f>IF($A375="","",COUNTIF($N$2:N375,$N375))</f>
        <v/>
      </c>
      <c r="T375" s="1" t="str">
        <f t="shared" si="40"/>
        <v/>
      </c>
      <c r="U375" s="1" t="str">
        <f t="shared" si="41"/>
        <v/>
      </c>
      <c r="V375"/>
    </row>
    <row r="376" spans="13:22" x14ac:dyDescent="0.3">
      <c r="M376" s="1" t="str">
        <f t="shared" si="35"/>
        <v/>
      </c>
      <c r="N376" s="1" t="str">
        <f t="shared" si="36"/>
        <v/>
      </c>
      <c r="O376" s="1" t="str">
        <f ca="1">IF(F376="","",IF(INT(F376)=INT(NOW()),IF(NETWORKDAYS.INTL(F376,F376,1,FERIADOS!$A$2:$A$50)=0,0,MAX(0,(MIN(NOW(),INT(NOW())+18/24)-MAX(F376,INT(F376)+8/24)))*24),MAX(0,(INT(F376)+18/24-MAX(F376,INT(F376)+8/24)))*24*NETWORKDAYS.INTL(F376,F376,1,FERIADOS!$A$2:$A$50)+MAX(0,NETWORKDAYS.INTL(F376+1,NOW()-1,1,FERIADOS!$A$2:$A$50))*10+MAX(0,(MIN(NOW(),INT(NOW())+18/24)-(INT(NOW())+8/24)))*24*NETWORKDAYS.INTL(NOW(),NOW(),1,FERIADOS!$A$2:$A$50)))</f>
        <v/>
      </c>
      <c r="P376" s="1" t="str">
        <f t="shared" si="37"/>
        <v/>
      </c>
      <c r="Q376" s="1" t="str">
        <f t="shared" si="38"/>
        <v/>
      </c>
      <c r="R376" s="1" t="str">
        <f t="shared" si="39"/>
        <v/>
      </c>
      <c r="S376" s="1" t="str">
        <f>IF($A376="","",COUNTIF($N$2:N376,$N376))</f>
        <v/>
      </c>
      <c r="T376" s="1" t="str">
        <f t="shared" si="40"/>
        <v/>
      </c>
      <c r="U376" s="1" t="str">
        <f t="shared" si="41"/>
        <v/>
      </c>
      <c r="V376"/>
    </row>
    <row r="377" spans="13:22" x14ac:dyDescent="0.3">
      <c r="M377" s="1" t="str">
        <f t="shared" si="35"/>
        <v/>
      </c>
      <c r="N377" s="1" t="str">
        <f t="shared" si="36"/>
        <v/>
      </c>
      <c r="O377" s="1" t="str">
        <f ca="1">IF(F377="","",IF(INT(F377)=INT(NOW()),IF(NETWORKDAYS.INTL(F377,F377,1,FERIADOS!$A$2:$A$50)=0,0,MAX(0,(MIN(NOW(),INT(NOW())+18/24)-MAX(F377,INT(F377)+8/24)))*24),MAX(0,(INT(F377)+18/24-MAX(F377,INT(F377)+8/24)))*24*NETWORKDAYS.INTL(F377,F377,1,FERIADOS!$A$2:$A$50)+MAX(0,NETWORKDAYS.INTL(F377+1,NOW()-1,1,FERIADOS!$A$2:$A$50))*10+MAX(0,(MIN(NOW(),INT(NOW())+18/24)-(INT(NOW())+8/24)))*24*NETWORKDAYS.INTL(NOW(),NOW(),1,FERIADOS!$A$2:$A$50)))</f>
        <v/>
      </c>
      <c r="P377" s="1" t="str">
        <f t="shared" si="37"/>
        <v/>
      </c>
      <c r="Q377" s="1" t="str">
        <f t="shared" si="38"/>
        <v/>
      </c>
      <c r="R377" s="1" t="str">
        <f t="shared" si="39"/>
        <v/>
      </c>
      <c r="S377" s="1" t="str">
        <f>IF($A377="","",COUNTIF($N$2:N377,$N377))</f>
        <v/>
      </c>
      <c r="T377" s="1" t="str">
        <f t="shared" si="40"/>
        <v/>
      </c>
      <c r="U377" s="1" t="str">
        <f t="shared" si="41"/>
        <v/>
      </c>
      <c r="V377"/>
    </row>
    <row r="378" spans="13:22" x14ac:dyDescent="0.3">
      <c r="M378" s="1" t="str">
        <f t="shared" si="35"/>
        <v/>
      </c>
      <c r="N378" s="1" t="str">
        <f t="shared" si="36"/>
        <v/>
      </c>
      <c r="O378" s="1" t="str">
        <f ca="1">IF(F378="","",IF(INT(F378)=INT(NOW()),IF(NETWORKDAYS.INTL(F378,F378,1,FERIADOS!$A$2:$A$50)=0,0,MAX(0,(MIN(NOW(),INT(NOW())+18/24)-MAX(F378,INT(F378)+8/24)))*24),MAX(0,(INT(F378)+18/24-MAX(F378,INT(F378)+8/24)))*24*NETWORKDAYS.INTL(F378,F378,1,FERIADOS!$A$2:$A$50)+MAX(0,NETWORKDAYS.INTL(F378+1,NOW()-1,1,FERIADOS!$A$2:$A$50))*10+MAX(0,(MIN(NOW(),INT(NOW())+18/24)-(INT(NOW())+8/24)))*24*NETWORKDAYS.INTL(NOW(),NOW(),1,FERIADOS!$A$2:$A$50)))</f>
        <v/>
      </c>
      <c r="P378" s="1" t="str">
        <f t="shared" si="37"/>
        <v/>
      </c>
      <c r="Q378" s="1" t="str">
        <f t="shared" si="38"/>
        <v/>
      </c>
      <c r="R378" s="1" t="str">
        <f t="shared" si="39"/>
        <v/>
      </c>
      <c r="S378" s="1" t="str">
        <f>IF($A378="","",COUNTIF($N$2:N378,$N378))</f>
        <v/>
      </c>
      <c r="T378" s="1" t="str">
        <f t="shared" si="40"/>
        <v/>
      </c>
      <c r="U378" s="1" t="str">
        <f t="shared" si="41"/>
        <v/>
      </c>
      <c r="V378"/>
    </row>
    <row r="379" spans="13:22" x14ac:dyDescent="0.3">
      <c r="M379" s="1" t="str">
        <f t="shared" si="35"/>
        <v/>
      </c>
      <c r="N379" s="1" t="str">
        <f t="shared" si="36"/>
        <v/>
      </c>
      <c r="O379" s="1" t="str">
        <f ca="1">IF(F379="","",IF(INT(F379)=INT(NOW()),IF(NETWORKDAYS.INTL(F379,F379,1,FERIADOS!$A$2:$A$50)=0,0,MAX(0,(MIN(NOW(),INT(NOW())+18/24)-MAX(F379,INT(F379)+8/24)))*24),MAX(0,(INT(F379)+18/24-MAX(F379,INT(F379)+8/24)))*24*NETWORKDAYS.INTL(F379,F379,1,FERIADOS!$A$2:$A$50)+MAX(0,NETWORKDAYS.INTL(F379+1,NOW()-1,1,FERIADOS!$A$2:$A$50))*10+MAX(0,(MIN(NOW(),INT(NOW())+18/24)-(INT(NOW())+8/24)))*24*NETWORKDAYS.INTL(NOW(),NOW(),1,FERIADOS!$A$2:$A$50)))</f>
        <v/>
      </c>
      <c r="P379" s="1" t="str">
        <f t="shared" si="37"/>
        <v/>
      </c>
      <c r="Q379" s="1" t="str">
        <f t="shared" si="38"/>
        <v/>
      </c>
      <c r="R379" s="1" t="str">
        <f t="shared" si="39"/>
        <v/>
      </c>
      <c r="S379" s="1" t="str">
        <f>IF($A379="","",COUNTIF($N$2:N379,$N379))</f>
        <v/>
      </c>
      <c r="T379" s="1" t="str">
        <f t="shared" si="40"/>
        <v/>
      </c>
      <c r="U379" s="1" t="str">
        <f t="shared" si="41"/>
        <v/>
      </c>
      <c r="V379"/>
    </row>
    <row r="380" spans="13:22" x14ac:dyDescent="0.3">
      <c r="M380" s="1" t="str">
        <f t="shared" si="35"/>
        <v/>
      </c>
      <c r="N380" s="1" t="str">
        <f t="shared" si="36"/>
        <v/>
      </c>
      <c r="O380" s="1" t="str">
        <f ca="1">IF(F380="","",IF(INT(F380)=INT(NOW()),IF(NETWORKDAYS.INTL(F380,F380,1,FERIADOS!$A$2:$A$50)=0,0,MAX(0,(MIN(NOW(),INT(NOW())+18/24)-MAX(F380,INT(F380)+8/24)))*24),MAX(0,(INT(F380)+18/24-MAX(F380,INT(F380)+8/24)))*24*NETWORKDAYS.INTL(F380,F380,1,FERIADOS!$A$2:$A$50)+MAX(0,NETWORKDAYS.INTL(F380+1,NOW()-1,1,FERIADOS!$A$2:$A$50))*10+MAX(0,(MIN(NOW(),INT(NOW())+18/24)-(INT(NOW())+8/24)))*24*NETWORKDAYS.INTL(NOW(),NOW(),1,FERIADOS!$A$2:$A$50)))</f>
        <v/>
      </c>
      <c r="P380" s="1" t="str">
        <f t="shared" si="37"/>
        <v/>
      </c>
      <c r="Q380" s="1" t="str">
        <f t="shared" si="38"/>
        <v/>
      </c>
      <c r="R380" s="1" t="str">
        <f t="shared" si="39"/>
        <v/>
      </c>
      <c r="S380" s="1" t="str">
        <f>IF($A380="","",COUNTIF($N$2:N380,$N380))</f>
        <v/>
      </c>
      <c r="T380" s="1" t="str">
        <f t="shared" si="40"/>
        <v/>
      </c>
      <c r="U380" s="1" t="str">
        <f t="shared" si="41"/>
        <v/>
      </c>
      <c r="V380"/>
    </row>
    <row r="381" spans="13:22" x14ac:dyDescent="0.3">
      <c r="M381" s="1" t="str">
        <f t="shared" si="35"/>
        <v/>
      </c>
      <c r="N381" s="1" t="str">
        <f t="shared" si="36"/>
        <v/>
      </c>
      <c r="O381" s="1" t="str">
        <f ca="1">IF(F381="","",IF(INT(F381)=INT(NOW()),IF(NETWORKDAYS.INTL(F381,F381,1,FERIADOS!$A$2:$A$50)=0,0,MAX(0,(MIN(NOW(),INT(NOW())+18/24)-MAX(F381,INT(F381)+8/24)))*24),MAX(0,(INT(F381)+18/24-MAX(F381,INT(F381)+8/24)))*24*NETWORKDAYS.INTL(F381,F381,1,FERIADOS!$A$2:$A$50)+MAX(0,NETWORKDAYS.INTL(F381+1,NOW()-1,1,FERIADOS!$A$2:$A$50))*10+MAX(0,(MIN(NOW(),INT(NOW())+18/24)-(INT(NOW())+8/24)))*24*NETWORKDAYS.INTL(NOW(),NOW(),1,FERIADOS!$A$2:$A$50)))</f>
        <v/>
      </c>
      <c r="P381" s="1" t="str">
        <f t="shared" si="37"/>
        <v/>
      </c>
      <c r="Q381" s="1" t="str">
        <f t="shared" si="38"/>
        <v/>
      </c>
      <c r="R381" s="1" t="str">
        <f t="shared" si="39"/>
        <v/>
      </c>
      <c r="S381" s="1" t="str">
        <f>IF($A381="","",COUNTIF($N$2:N381,$N381))</f>
        <v/>
      </c>
      <c r="T381" s="1" t="str">
        <f t="shared" si="40"/>
        <v/>
      </c>
      <c r="U381" s="1" t="str">
        <f t="shared" si="41"/>
        <v/>
      </c>
      <c r="V381"/>
    </row>
    <row r="382" spans="13:22" x14ac:dyDescent="0.3">
      <c r="M382" s="1" t="str">
        <f t="shared" si="35"/>
        <v/>
      </c>
      <c r="N382" s="1" t="str">
        <f t="shared" si="36"/>
        <v/>
      </c>
      <c r="O382" s="1" t="str">
        <f ca="1">IF(F382="","",IF(INT(F382)=INT(NOW()),IF(NETWORKDAYS.INTL(F382,F382,1,FERIADOS!$A$2:$A$50)=0,0,MAX(0,(MIN(NOW(),INT(NOW())+18/24)-MAX(F382,INT(F382)+8/24)))*24),MAX(0,(INT(F382)+18/24-MAX(F382,INT(F382)+8/24)))*24*NETWORKDAYS.INTL(F382,F382,1,FERIADOS!$A$2:$A$50)+MAX(0,NETWORKDAYS.INTL(F382+1,NOW()-1,1,FERIADOS!$A$2:$A$50))*10+MAX(0,(MIN(NOW(),INT(NOW())+18/24)-(INT(NOW())+8/24)))*24*NETWORKDAYS.INTL(NOW(),NOW(),1,FERIADOS!$A$2:$A$50)))</f>
        <v/>
      </c>
      <c r="P382" s="1" t="str">
        <f t="shared" si="37"/>
        <v/>
      </c>
      <c r="Q382" s="1" t="str">
        <f t="shared" si="38"/>
        <v/>
      </c>
      <c r="R382" s="1" t="str">
        <f t="shared" si="39"/>
        <v/>
      </c>
      <c r="S382" s="1" t="str">
        <f>IF($A382="","",COUNTIF($N$2:N382,$N382))</f>
        <v/>
      </c>
      <c r="T382" s="1" t="str">
        <f t="shared" si="40"/>
        <v/>
      </c>
      <c r="U382" s="1" t="str">
        <f t="shared" si="41"/>
        <v/>
      </c>
      <c r="V382"/>
    </row>
    <row r="383" spans="13:22" x14ac:dyDescent="0.3">
      <c r="M383" s="1" t="str">
        <f t="shared" si="35"/>
        <v/>
      </c>
      <c r="N383" s="1" t="str">
        <f t="shared" si="36"/>
        <v/>
      </c>
      <c r="O383" s="1" t="str">
        <f ca="1">IF(F383="","",IF(INT(F383)=INT(NOW()),IF(NETWORKDAYS.INTL(F383,F383,1,FERIADOS!$A$2:$A$50)=0,0,MAX(0,(MIN(NOW(),INT(NOW())+18/24)-MAX(F383,INT(F383)+8/24)))*24),MAX(0,(INT(F383)+18/24-MAX(F383,INT(F383)+8/24)))*24*NETWORKDAYS.INTL(F383,F383,1,FERIADOS!$A$2:$A$50)+MAX(0,NETWORKDAYS.INTL(F383+1,NOW()-1,1,FERIADOS!$A$2:$A$50))*10+MAX(0,(MIN(NOW(),INT(NOW())+18/24)-(INT(NOW())+8/24)))*24*NETWORKDAYS.INTL(NOW(),NOW(),1,FERIADOS!$A$2:$A$50)))</f>
        <v/>
      </c>
      <c r="P383" s="1" t="str">
        <f t="shared" si="37"/>
        <v/>
      </c>
      <c r="Q383" s="1" t="str">
        <f t="shared" si="38"/>
        <v/>
      </c>
      <c r="R383" s="1" t="str">
        <f t="shared" si="39"/>
        <v/>
      </c>
      <c r="S383" s="1" t="str">
        <f>IF($A383="","",COUNTIF($N$2:N383,$N383))</f>
        <v/>
      </c>
      <c r="T383" s="1" t="str">
        <f t="shared" si="40"/>
        <v/>
      </c>
      <c r="U383" s="1" t="str">
        <f t="shared" si="41"/>
        <v/>
      </c>
      <c r="V383"/>
    </row>
    <row r="384" spans="13:22" x14ac:dyDescent="0.3">
      <c r="M384" s="1" t="str">
        <f t="shared" si="35"/>
        <v/>
      </c>
      <c r="N384" s="1" t="str">
        <f t="shared" si="36"/>
        <v/>
      </c>
      <c r="O384" s="1" t="str">
        <f ca="1">IF(F384="","",IF(INT(F384)=INT(NOW()),IF(NETWORKDAYS.INTL(F384,F384,1,FERIADOS!$A$2:$A$50)=0,0,MAX(0,(MIN(NOW(),INT(NOW())+18/24)-MAX(F384,INT(F384)+8/24)))*24),MAX(0,(INT(F384)+18/24-MAX(F384,INT(F384)+8/24)))*24*NETWORKDAYS.INTL(F384,F384,1,FERIADOS!$A$2:$A$50)+MAX(0,NETWORKDAYS.INTL(F384+1,NOW()-1,1,FERIADOS!$A$2:$A$50))*10+MAX(0,(MIN(NOW(),INT(NOW())+18/24)-(INT(NOW())+8/24)))*24*NETWORKDAYS.INTL(NOW(),NOW(),1,FERIADOS!$A$2:$A$50)))</f>
        <v/>
      </c>
      <c r="P384" s="1" t="str">
        <f t="shared" si="37"/>
        <v/>
      </c>
      <c r="Q384" s="1" t="str">
        <f t="shared" si="38"/>
        <v/>
      </c>
      <c r="R384" s="1" t="str">
        <f t="shared" si="39"/>
        <v/>
      </c>
      <c r="S384" s="1" t="str">
        <f>IF($A384="","",COUNTIF($N$2:N384,$N384))</f>
        <v/>
      </c>
      <c r="T384" s="1" t="str">
        <f t="shared" si="40"/>
        <v/>
      </c>
      <c r="U384" s="1" t="str">
        <f t="shared" si="41"/>
        <v/>
      </c>
      <c r="V384"/>
    </row>
    <row r="385" spans="13:22" x14ac:dyDescent="0.3">
      <c r="M385" s="1" t="str">
        <f t="shared" si="35"/>
        <v/>
      </c>
      <c r="N385" s="1" t="str">
        <f t="shared" si="36"/>
        <v/>
      </c>
      <c r="O385" s="1" t="str">
        <f ca="1">IF(F385="","",IF(INT(F385)=INT(NOW()),IF(NETWORKDAYS.INTL(F385,F385,1,FERIADOS!$A$2:$A$50)=0,0,MAX(0,(MIN(NOW(),INT(NOW())+18/24)-MAX(F385,INT(F385)+8/24)))*24),MAX(0,(INT(F385)+18/24-MAX(F385,INT(F385)+8/24)))*24*NETWORKDAYS.INTL(F385,F385,1,FERIADOS!$A$2:$A$50)+MAX(0,NETWORKDAYS.INTL(F385+1,NOW()-1,1,FERIADOS!$A$2:$A$50))*10+MAX(0,(MIN(NOW(),INT(NOW())+18/24)-(INT(NOW())+8/24)))*24*NETWORKDAYS.INTL(NOW(),NOW(),1,FERIADOS!$A$2:$A$50)))</f>
        <v/>
      </c>
      <c r="P385" s="1" t="str">
        <f t="shared" si="37"/>
        <v/>
      </c>
      <c r="Q385" s="1" t="str">
        <f t="shared" si="38"/>
        <v/>
      </c>
      <c r="R385" s="1" t="str">
        <f t="shared" si="39"/>
        <v/>
      </c>
      <c r="S385" s="1" t="str">
        <f>IF($A385="","",COUNTIF($N$2:N385,$N385))</f>
        <v/>
      </c>
      <c r="T385" s="1" t="str">
        <f t="shared" si="40"/>
        <v/>
      </c>
      <c r="U385" s="1" t="str">
        <f t="shared" si="41"/>
        <v/>
      </c>
      <c r="V385"/>
    </row>
    <row r="386" spans="13:22" x14ac:dyDescent="0.3">
      <c r="M386" s="1" t="str">
        <f t="shared" ref="M386:M449" si="42">IF($A386="","",IF($L386="MA",IF(OR(UPPER($K386)="SAO LUIS",UPPER($K386)="SÃO LUIS",UPPER($K386)="PACO DO LUMIAR",UPPER($K386)="PAÇO DO LUMIAR",UPPER($K386)="SAO JOSE DE RIBAMAR",UPPER($K386)="SÃO JOSÉ DE RIBAMAR"),"MA CAP","MA INT"),IF($L386="PA",IF(OR(UPPER($K386)="BELEM",UPPER($K386)="BELÉM",UPPER($K386)="ANANINDEUA"),"PA CAP","PA INT"),IF($L386="PI",IF(UPPER($K386)="TERESINA","PI CAP","PI INT"),IF($L386="AM","AM INT",IF($L386="AP","AP","OUTROS"))))))</f>
        <v/>
      </c>
      <c r="N386" s="1" t="str">
        <f t="shared" ref="N386:N449" si="43">IF($A386="","",IF($M386="PI CAP","GIGA+ PI",IF($M386="PI INT","GIGA+ PI",IF($M386="MA CAP","SLN MA",IF($M386="MA INT","GIGA+ MA",IF($M386="PA CAP","SLN PA",IF($M386="PA INT","SLN PA",IF($M386="AM INT","ADX",IF($M386="AP","ADX","OUTROS")))))))))</f>
        <v/>
      </c>
      <c r="O386" s="1" t="str">
        <f ca="1">IF(F386="","",IF(INT(F386)=INT(NOW()),IF(NETWORKDAYS.INTL(F386,F386,1,FERIADOS!$A$2:$A$50)=0,0,MAX(0,(MIN(NOW(),INT(NOW())+18/24)-MAX(F386,INT(F386)+8/24)))*24),MAX(0,(INT(F386)+18/24-MAX(F386,INT(F386)+8/24)))*24*NETWORKDAYS.INTL(F386,F386,1,FERIADOS!$A$2:$A$50)+MAX(0,NETWORKDAYS.INTL(F386+1,NOW()-1,1,FERIADOS!$A$2:$A$50))*10+MAX(0,(MIN(NOW(),INT(NOW())+18/24)-(INT(NOW())+8/24)))*24*NETWORKDAYS.INTL(NOW(),NOW(),1,FERIADOS!$A$2:$A$50)))</f>
        <v/>
      </c>
      <c r="P386" s="1" t="str">
        <f t="shared" ref="P386:P449" si="44">IF($A386="","",IF(OR(O386="",O386=0),"00h 00m",TEXT(INT(O386),"00") &amp; "h " &amp; TEXT(INT((O386-INT(O386))*60),"00") &amp; "m"))</f>
        <v/>
      </c>
      <c r="Q386" s="1" t="str">
        <f t="shared" ref="Q386:Q449" si="45">IF($A386="","",IF(OR(O386="",O386&lt;=4),"🔵 Até 4h",IF(O386&lt;=8,"🟢 Entre 4h e 8h",IF(O386&lt;=12,"🟡 Entre 8h e 12h",IF(O386&lt;=24,"🟠 Entre 12h e 24h","🔴 Maior que 24h")))))</f>
        <v/>
      </c>
      <c r="R386" s="1" t="str">
        <f t="shared" ref="R386:R449" si="46">IF($A386="","",IF(OR(O386="",O386&lt;=8),"NO PRAZO","FORA DO PRAZO"))</f>
        <v/>
      </c>
      <c r="S386" s="1" t="str">
        <f>IF($A386="","",COUNTIF($N$2:N386,$N386))</f>
        <v/>
      </c>
      <c r="T386" s="1" t="str">
        <f t="shared" ref="T386:T449" si="47">IF($A386="","",IF($N386="SLN MA",1,IF($N386="GIGA+ MA",2,IF($N386="GIGA+ PI",3,IF($N386="SLN PA",4,IF($N386="ADX",5,6))))))</f>
        <v/>
      </c>
      <c r="U386" s="1" t="str">
        <f t="shared" ref="U386:U449" si="48">IF($A386="","",$T386*10000+$S386)</f>
        <v/>
      </c>
      <c r="V386"/>
    </row>
    <row r="387" spans="13:22" x14ac:dyDescent="0.3">
      <c r="M387" s="1" t="str">
        <f t="shared" si="42"/>
        <v/>
      </c>
      <c r="N387" s="1" t="str">
        <f t="shared" si="43"/>
        <v/>
      </c>
      <c r="O387" s="1" t="str">
        <f ca="1">IF(F387="","",IF(INT(F387)=INT(NOW()),IF(NETWORKDAYS.INTL(F387,F387,1,FERIADOS!$A$2:$A$50)=0,0,MAX(0,(MIN(NOW(),INT(NOW())+18/24)-MAX(F387,INT(F387)+8/24)))*24),MAX(0,(INT(F387)+18/24-MAX(F387,INT(F387)+8/24)))*24*NETWORKDAYS.INTL(F387,F387,1,FERIADOS!$A$2:$A$50)+MAX(0,NETWORKDAYS.INTL(F387+1,NOW()-1,1,FERIADOS!$A$2:$A$50))*10+MAX(0,(MIN(NOW(),INT(NOW())+18/24)-(INT(NOW())+8/24)))*24*NETWORKDAYS.INTL(NOW(),NOW(),1,FERIADOS!$A$2:$A$50)))</f>
        <v/>
      </c>
      <c r="P387" s="1" t="str">
        <f t="shared" si="44"/>
        <v/>
      </c>
      <c r="Q387" s="1" t="str">
        <f t="shared" si="45"/>
        <v/>
      </c>
      <c r="R387" s="1" t="str">
        <f t="shared" si="46"/>
        <v/>
      </c>
      <c r="S387" s="1" t="str">
        <f>IF($A387="","",COUNTIF($N$2:N387,$N387))</f>
        <v/>
      </c>
      <c r="T387" s="1" t="str">
        <f t="shared" si="47"/>
        <v/>
      </c>
      <c r="U387" s="1" t="str">
        <f t="shared" si="48"/>
        <v/>
      </c>
      <c r="V387"/>
    </row>
    <row r="388" spans="13:22" x14ac:dyDescent="0.3">
      <c r="M388" s="1" t="str">
        <f t="shared" si="42"/>
        <v/>
      </c>
      <c r="N388" s="1" t="str">
        <f t="shared" si="43"/>
        <v/>
      </c>
      <c r="O388" s="1" t="str">
        <f ca="1">IF(F388="","",IF(INT(F388)=INT(NOW()),IF(NETWORKDAYS.INTL(F388,F388,1,FERIADOS!$A$2:$A$50)=0,0,MAX(0,(MIN(NOW(),INT(NOW())+18/24)-MAX(F388,INT(F388)+8/24)))*24),MAX(0,(INT(F388)+18/24-MAX(F388,INT(F388)+8/24)))*24*NETWORKDAYS.INTL(F388,F388,1,FERIADOS!$A$2:$A$50)+MAX(0,NETWORKDAYS.INTL(F388+1,NOW()-1,1,FERIADOS!$A$2:$A$50))*10+MAX(0,(MIN(NOW(),INT(NOW())+18/24)-(INT(NOW())+8/24)))*24*NETWORKDAYS.INTL(NOW(),NOW(),1,FERIADOS!$A$2:$A$50)))</f>
        <v/>
      </c>
      <c r="P388" s="1" t="str">
        <f t="shared" si="44"/>
        <v/>
      </c>
      <c r="Q388" s="1" t="str">
        <f t="shared" si="45"/>
        <v/>
      </c>
      <c r="R388" s="1" t="str">
        <f t="shared" si="46"/>
        <v/>
      </c>
      <c r="S388" s="1" t="str">
        <f>IF($A388="","",COUNTIF($N$2:N388,$N388))</f>
        <v/>
      </c>
      <c r="T388" s="1" t="str">
        <f t="shared" si="47"/>
        <v/>
      </c>
      <c r="U388" s="1" t="str">
        <f t="shared" si="48"/>
        <v/>
      </c>
      <c r="V388"/>
    </row>
    <row r="389" spans="13:22" x14ac:dyDescent="0.3">
      <c r="M389" s="1" t="str">
        <f t="shared" si="42"/>
        <v/>
      </c>
      <c r="N389" s="1" t="str">
        <f t="shared" si="43"/>
        <v/>
      </c>
      <c r="O389" s="1" t="str">
        <f ca="1">IF(F389="","",IF(INT(F389)=INT(NOW()),IF(NETWORKDAYS.INTL(F389,F389,1,FERIADOS!$A$2:$A$50)=0,0,MAX(0,(MIN(NOW(),INT(NOW())+18/24)-MAX(F389,INT(F389)+8/24)))*24),MAX(0,(INT(F389)+18/24-MAX(F389,INT(F389)+8/24)))*24*NETWORKDAYS.INTL(F389,F389,1,FERIADOS!$A$2:$A$50)+MAX(0,NETWORKDAYS.INTL(F389+1,NOW()-1,1,FERIADOS!$A$2:$A$50))*10+MAX(0,(MIN(NOW(),INT(NOW())+18/24)-(INT(NOW())+8/24)))*24*NETWORKDAYS.INTL(NOW(),NOW(),1,FERIADOS!$A$2:$A$50)))</f>
        <v/>
      </c>
      <c r="P389" s="1" t="str">
        <f t="shared" si="44"/>
        <v/>
      </c>
      <c r="Q389" s="1" t="str">
        <f t="shared" si="45"/>
        <v/>
      </c>
      <c r="R389" s="1" t="str">
        <f t="shared" si="46"/>
        <v/>
      </c>
      <c r="S389" s="1" t="str">
        <f>IF($A389="","",COUNTIF($N$2:N389,$N389))</f>
        <v/>
      </c>
      <c r="T389" s="1" t="str">
        <f t="shared" si="47"/>
        <v/>
      </c>
      <c r="U389" s="1" t="str">
        <f t="shared" si="48"/>
        <v/>
      </c>
      <c r="V389"/>
    </row>
    <row r="390" spans="13:22" x14ac:dyDescent="0.3">
      <c r="M390" s="1" t="str">
        <f t="shared" si="42"/>
        <v/>
      </c>
      <c r="N390" s="1" t="str">
        <f t="shared" si="43"/>
        <v/>
      </c>
      <c r="O390" s="1" t="str">
        <f ca="1">IF(F390="","",IF(INT(F390)=INT(NOW()),IF(NETWORKDAYS.INTL(F390,F390,1,FERIADOS!$A$2:$A$50)=0,0,MAX(0,(MIN(NOW(),INT(NOW())+18/24)-MAX(F390,INT(F390)+8/24)))*24),MAX(0,(INT(F390)+18/24-MAX(F390,INT(F390)+8/24)))*24*NETWORKDAYS.INTL(F390,F390,1,FERIADOS!$A$2:$A$50)+MAX(0,NETWORKDAYS.INTL(F390+1,NOW()-1,1,FERIADOS!$A$2:$A$50))*10+MAX(0,(MIN(NOW(),INT(NOW())+18/24)-(INT(NOW())+8/24)))*24*NETWORKDAYS.INTL(NOW(),NOW(),1,FERIADOS!$A$2:$A$50)))</f>
        <v/>
      </c>
      <c r="P390" s="1" t="str">
        <f t="shared" si="44"/>
        <v/>
      </c>
      <c r="Q390" s="1" t="str">
        <f t="shared" si="45"/>
        <v/>
      </c>
      <c r="R390" s="1" t="str">
        <f t="shared" si="46"/>
        <v/>
      </c>
      <c r="S390" s="1" t="str">
        <f>IF($A390="","",COUNTIF($N$2:N390,$N390))</f>
        <v/>
      </c>
      <c r="T390" s="1" t="str">
        <f t="shared" si="47"/>
        <v/>
      </c>
      <c r="U390" s="1" t="str">
        <f t="shared" si="48"/>
        <v/>
      </c>
      <c r="V390"/>
    </row>
    <row r="391" spans="13:22" x14ac:dyDescent="0.3">
      <c r="M391" s="1" t="str">
        <f t="shared" si="42"/>
        <v/>
      </c>
      <c r="N391" s="1" t="str">
        <f t="shared" si="43"/>
        <v/>
      </c>
      <c r="O391" s="1" t="str">
        <f ca="1">IF(F391="","",IF(INT(F391)=INT(NOW()),IF(NETWORKDAYS.INTL(F391,F391,1,FERIADOS!$A$2:$A$50)=0,0,MAX(0,(MIN(NOW(),INT(NOW())+18/24)-MAX(F391,INT(F391)+8/24)))*24),MAX(0,(INT(F391)+18/24-MAX(F391,INT(F391)+8/24)))*24*NETWORKDAYS.INTL(F391,F391,1,FERIADOS!$A$2:$A$50)+MAX(0,NETWORKDAYS.INTL(F391+1,NOW()-1,1,FERIADOS!$A$2:$A$50))*10+MAX(0,(MIN(NOW(),INT(NOW())+18/24)-(INT(NOW())+8/24)))*24*NETWORKDAYS.INTL(NOW(),NOW(),1,FERIADOS!$A$2:$A$50)))</f>
        <v/>
      </c>
      <c r="P391" s="1" t="str">
        <f t="shared" si="44"/>
        <v/>
      </c>
      <c r="Q391" s="1" t="str">
        <f t="shared" si="45"/>
        <v/>
      </c>
      <c r="R391" s="1" t="str">
        <f t="shared" si="46"/>
        <v/>
      </c>
      <c r="S391" s="1" t="str">
        <f>IF($A391="","",COUNTIF($N$2:N391,$N391))</f>
        <v/>
      </c>
      <c r="T391" s="1" t="str">
        <f t="shared" si="47"/>
        <v/>
      </c>
      <c r="U391" s="1" t="str">
        <f t="shared" si="48"/>
        <v/>
      </c>
      <c r="V391"/>
    </row>
    <row r="392" spans="13:22" x14ac:dyDescent="0.3">
      <c r="M392" s="1" t="str">
        <f t="shared" si="42"/>
        <v/>
      </c>
      <c r="N392" s="1" t="str">
        <f t="shared" si="43"/>
        <v/>
      </c>
      <c r="O392" s="1" t="str">
        <f ca="1">IF(F392="","",IF(INT(F392)=INT(NOW()),IF(NETWORKDAYS.INTL(F392,F392,1,FERIADOS!$A$2:$A$50)=0,0,MAX(0,(MIN(NOW(),INT(NOW())+18/24)-MAX(F392,INT(F392)+8/24)))*24),MAX(0,(INT(F392)+18/24-MAX(F392,INT(F392)+8/24)))*24*NETWORKDAYS.INTL(F392,F392,1,FERIADOS!$A$2:$A$50)+MAX(0,NETWORKDAYS.INTL(F392+1,NOW()-1,1,FERIADOS!$A$2:$A$50))*10+MAX(0,(MIN(NOW(),INT(NOW())+18/24)-(INT(NOW())+8/24)))*24*NETWORKDAYS.INTL(NOW(),NOW(),1,FERIADOS!$A$2:$A$50)))</f>
        <v/>
      </c>
      <c r="P392" s="1" t="str">
        <f t="shared" si="44"/>
        <v/>
      </c>
      <c r="Q392" s="1" t="str">
        <f t="shared" si="45"/>
        <v/>
      </c>
      <c r="R392" s="1" t="str">
        <f t="shared" si="46"/>
        <v/>
      </c>
      <c r="S392" s="1" t="str">
        <f>IF($A392="","",COUNTIF($N$2:N392,$N392))</f>
        <v/>
      </c>
      <c r="T392" s="1" t="str">
        <f t="shared" si="47"/>
        <v/>
      </c>
      <c r="U392" s="1" t="str">
        <f t="shared" si="48"/>
        <v/>
      </c>
      <c r="V392"/>
    </row>
    <row r="393" spans="13:22" x14ac:dyDescent="0.3">
      <c r="M393" s="1" t="str">
        <f t="shared" si="42"/>
        <v/>
      </c>
      <c r="N393" s="1" t="str">
        <f t="shared" si="43"/>
        <v/>
      </c>
      <c r="O393" s="1" t="str">
        <f ca="1">IF(F393="","",IF(INT(F393)=INT(NOW()),IF(NETWORKDAYS.INTL(F393,F393,1,FERIADOS!$A$2:$A$50)=0,0,MAX(0,(MIN(NOW(),INT(NOW())+18/24)-MAX(F393,INT(F393)+8/24)))*24),MAX(0,(INT(F393)+18/24-MAX(F393,INT(F393)+8/24)))*24*NETWORKDAYS.INTL(F393,F393,1,FERIADOS!$A$2:$A$50)+MAX(0,NETWORKDAYS.INTL(F393+1,NOW()-1,1,FERIADOS!$A$2:$A$50))*10+MAX(0,(MIN(NOW(),INT(NOW())+18/24)-(INT(NOW())+8/24)))*24*NETWORKDAYS.INTL(NOW(),NOW(),1,FERIADOS!$A$2:$A$50)))</f>
        <v/>
      </c>
      <c r="P393" s="1" t="str">
        <f t="shared" si="44"/>
        <v/>
      </c>
      <c r="Q393" s="1" t="str">
        <f t="shared" si="45"/>
        <v/>
      </c>
      <c r="R393" s="1" t="str">
        <f t="shared" si="46"/>
        <v/>
      </c>
      <c r="S393" s="1" t="str">
        <f>IF($A393="","",COUNTIF($N$2:N393,$N393))</f>
        <v/>
      </c>
      <c r="T393" s="1" t="str">
        <f t="shared" si="47"/>
        <v/>
      </c>
      <c r="U393" s="1" t="str">
        <f t="shared" si="48"/>
        <v/>
      </c>
      <c r="V393"/>
    </row>
    <row r="394" spans="13:22" x14ac:dyDescent="0.3">
      <c r="M394" s="1" t="str">
        <f t="shared" si="42"/>
        <v/>
      </c>
      <c r="N394" s="1" t="str">
        <f t="shared" si="43"/>
        <v/>
      </c>
      <c r="O394" s="1" t="str">
        <f ca="1">IF(F394="","",IF(INT(F394)=INT(NOW()),IF(NETWORKDAYS.INTL(F394,F394,1,FERIADOS!$A$2:$A$50)=0,0,MAX(0,(MIN(NOW(),INT(NOW())+18/24)-MAX(F394,INT(F394)+8/24)))*24),MAX(0,(INT(F394)+18/24-MAX(F394,INT(F394)+8/24)))*24*NETWORKDAYS.INTL(F394,F394,1,FERIADOS!$A$2:$A$50)+MAX(0,NETWORKDAYS.INTL(F394+1,NOW()-1,1,FERIADOS!$A$2:$A$50))*10+MAX(0,(MIN(NOW(),INT(NOW())+18/24)-(INT(NOW())+8/24)))*24*NETWORKDAYS.INTL(NOW(),NOW(),1,FERIADOS!$A$2:$A$50)))</f>
        <v/>
      </c>
      <c r="P394" s="1" t="str">
        <f t="shared" si="44"/>
        <v/>
      </c>
      <c r="Q394" s="1" t="str">
        <f t="shared" si="45"/>
        <v/>
      </c>
      <c r="R394" s="1" t="str">
        <f t="shared" si="46"/>
        <v/>
      </c>
      <c r="S394" s="1" t="str">
        <f>IF($A394="","",COUNTIF($N$2:N394,$N394))</f>
        <v/>
      </c>
      <c r="T394" s="1" t="str">
        <f t="shared" si="47"/>
        <v/>
      </c>
      <c r="U394" s="1" t="str">
        <f t="shared" si="48"/>
        <v/>
      </c>
      <c r="V394"/>
    </row>
    <row r="395" spans="13:22" x14ac:dyDescent="0.3">
      <c r="M395" s="1" t="str">
        <f t="shared" si="42"/>
        <v/>
      </c>
      <c r="N395" s="1" t="str">
        <f t="shared" si="43"/>
        <v/>
      </c>
      <c r="O395" s="1" t="str">
        <f ca="1">IF(F395="","",IF(INT(F395)=INT(NOW()),IF(NETWORKDAYS.INTL(F395,F395,1,FERIADOS!$A$2:$A$50)=0,0,MAX(0,(MIN(NOW(),INT(NOW())+18/24)-MAX(F395,INT(F395)+8/24)))*24),MAX(0,(INT(F395)+18/24-MAX(F395,INT(F395)+8/24)))*24*NETWORKDAYS.INTL(F395,F395,1,FERIADOS!$A$2:$A$50)+MAX(0,NETWORKDAYS.INTL(F395+1,NOW()-1,1,FERIADOS!$A$2:$A$50))*10+MAX(0,(MIN(NOW(),INT(NOW())+18/24)-(INT(NOW())+8/24)))*24*NETWORKDAYS.INTL(NOW(),NOW(),1,FERIADOS!$A$2:$A$50)))</f>
        <v/>
      </c>
      <c r="P395" s="1" t="str">
        <f t="shared" si="44"/>
        <v/>
      </c>
      <c r="Q395" s="1" t="str">
        <f t="shared" si="45"/>
        <v/>
      </c>
      <c r="R395" s="1" t="str">
        <f t="shared" si="46"/>
        <v/>
      </c>
      <c r="S395" s="1" t="str">
        <f>IF($A395="","",COUNTIF($N$2:N395,$N395))</f>
        <v/>
      </c>
      <c r="T395" s="1" t="str">
        <f t="shared" si="47"/>
        <v/>
      </c>
      <c r="U395" s="1" t="str">
        <f t="shared" si="48"/>
        <v/>
      </c>
      <c r="V395"/>
    </row>
    <row r="396" spans="13:22" x14ac:dyDescent="0.3">
      <c r="M396" s="1" t="str">
        <f t="shared" si="42"/>
        <v/>
      </c>
      <c r="N396" s="1" t="str">
        <f t="shared" si="43"/>
        <v/>
      </c>
      <c r="O396" s="1" t="str">
        <f ca="1">IF(F396="","",IF(INT(F396)=INT(NOW()),IF(NETWORKDAYS.INTL(F396,F396,1,FERIADOS!$A$2:$A$50)=0,0,MAX(0,(MIN(NOW(),INT(NOW())+18/24)-MAX(F396,INT(F396)+8/24)))*24),MAX(0,(INT(F396)+18/24-MAX(F396,INT(F396)+8/24)))*24*NETWORKDAYS.INTL(F396,F396,1,FERIADOS!$A$2:$A$50)+MAX(0,NETWORKDAYS.INTL(F396+1,NOW()-1,1,FERIADOS!$A$2:$A$50))*10+MAX(0,(MIN(NOW(),INT(NOW())+18/24)-(INT(NOW())+8/24)))*24*NETWORKDAYS.INTL(NOW(),NOW(),1,FERIADOS!$A$2:$A$50)))</f>
        <v/>
      </c>
      <c r="P396" s="1" t="str">
        <f t="shared" si="44"/>
        <v/>
      </c>
      <c r="Q396" s="1" t="str">
        <f t="shared" si="45"/>
        <v/>
      </c>
      <c r="R396" s="1" t="str">
        <f t="shared" si="46"/>
        <v/>
      </c>
      <c r="S396" s="1" t="str">
        <f>IF($A396="","",COUNTIF($N$2:N396,$N396))</f>
        <v/>
      </c>
      <c r="T396" s="1" t="str">
        <f t="shared" si="47"/>
        <v/>
      </c>
      <c r="U396" s="1" t="str">
        <f t="shared" si="48"/>
        <v/>
      </c>
      <c r="V396"/>
    </row>
    <row r="397" spans="13:22" x14ac:dyDescent="0.3">
      <c r="M397" s="1" t="str">
        <f t="shared" si="42"/>
        <v/>
      </c>
      <c r="N397" s="1" t="str">
        <f t="shared" si="43"/>
        <v/>
      </c>
      <c r="O397" s="1" t="str">
        <f ca="1">IF(F397="","",IF(INT(F397)=INT(NOW()),IF(NETWORKDAYS.INTL(F397,F397,1,FERIADOS!$A$2:$A$50)=0,0,MAX(0,(MIN(NOW(),INT(NOW())+18/24)-MAX(F397,INT(F397)+8/24)))*24),MAX(0,(INT(F397)+18/24-MAX(F397,INT(F397)+8/24)))*24*NETWORKDAYS.INTL(F397,F397,1,FERIADOS!$A$2:$A$50)+MAX(0,NETWORKDAYS.INTL(F397+1,NOW()-1,1,FERIADOS!$A$2:$A$50))*10+MAX(0,(MIN(NOW(),INT(NOW())+18/24)-(INT(NOW())+8/24)))*24*NETWORKDAYS.INTL(NOW(),NOW(),1,FERIADOS!$A$2:$A$50)))</f>
        <v/>
      </c>
      <c r="P397" s="1" t="str">
        <f t="shared" si="44"/>
        <v/>
      </c>
      <c r="Q397" s="1" t="str">
        <f t="shared" si="45"/>
        <v/>
      </c>
      <c r="R397" s="1" t="str">
        <f t="shared" si="46"/>
        <v/>
      </c>
      <c r="S397" s="1" t="str">
        <f>IF($A397="","",COUNTIF($N$2:N397,$N397))</f>
        <v/>
      </c>
      <c r="T397" s="1" t="str">
        <f t="shared" si="47"/>
        <v/>
      </c>
      <c r="U397" s="1" t="str">
        <f t="shared" si="48"/>
        <v/>
      </c>
      <c r="V397"/>
    </row>
    <row r="398" spans="13:22" x14ac:dyDescent="0.3">
      <c r="M398" s="1" t="str">
        <f t="shared" si="42"/>
        <v/>
      </c>
      <c r="N398" s="1" t="str">
        <f t="shared" si="43"/>
        <v/>
      </c>
      <c r="O398" s="1" t="str">
        <f ca="1">IF(F398="","",IF(INT(F398)=INT(NOW()),IF(NETWORKDAYS.INTL(F398,F398,1,FERIADOS!$A$2:$A$50)=0,0,MAX(0,(MIN(NOW(),INT(NOW())+18/24)-MAX(F398,INT(F398)+8/24)))*24),MAX(0,(INT(F398)+18/24-MAX(F398,INT(F398)+8/24)))*24*NETWORKDAYS.INTL(F398,F398,1,FERIADOS!$A$2:$A$50)+MAX(0,NETWORKDAYS.INTL(F398+1,NOW()-1,1,FERIADOS!$A$2:$A$50))*10+MAX(0,(MIN(NOW(),INT(NOW())+18/24)-(INT(NOW())+8/24)))*24*NETWORKDAYS.INTL(NOW(),NOW(),1,FERIADOS!$A$2:$A$50)))</f>
        <v/>
      </c>
      <c r="P398" s="1" t="str">
        <f t="shared" si="44"/>
        <v/>
      </c>
      <c r="Q398" s="1" t="str">
        <f t="shared" si="45"/>
        <v/>
      </c>
      <c r="R398" s="1" t="str">
        <f t="shared" si="46"/>
        <v/>
      </c>
      <c r="S398" s="1" t="str">
        <f>IF($A398="","",COUNTIF($N$2:N398,$N398))</f>
        <v/>
      </c>
      <c r="T398" s="1" t="str">
        <f t="shared" si="47"/>
        <v/>
      </c>
      <c r="U398" s="1" t="str">
        <f t="shared" si="48"/>
        <v/>
      </c>
      <c r="V398"/>
    </row>
    <row r="399" spans="13:22" x14ac:dyDescent="0.3">
      <c r="M399" s="1" t="str">
        <f t="shared" si="42"/>
        <v/>
      </c>
      <c r="N399" s="1" t="str">
        <f t="shared" si="43"/>
        <v/>
      </c>
      <c r="O399" s="1" t="str">
        <f ca="1">IF(F399="","",IF(INT(F399)=INT(NOW()),IF(NETWORKDAYS.INTL(F399,F399,1,FERIADOS!$A$2:$A$50)=0,0,MAX(0,(MIN(NOW(),INT(NOW())+18/24)-MAX(F399,INT(F399)+8/24)))*24),MAX(0,(INT(F399)+18/24-MAX(F399,INT(F399)+8/24)))*24*NETWORKDAYS.INTL(F399,F399,1,FERIADOS!$A$2:$A$50)+MAX(0,NETWORKDAYS.INTL(F399+1,NOW()-1,1,FERIADOS!$A$2:$A$50))*10+MAX(0,(MIN(NOW(),INT(NOW())+18/24)-(INT(NOW())+8/24)))*24*NETWORKDAYS.INTL(NOW(),NOW(),1,FERIADOS!$A$2:$A$50)))</f>
        <v/>
      </c>
      <c r="P399" s="1" t="str">
        <f t="shared" si="44"/>
        <v/>
      </c>
      <c r="Q399" s="1" t="str">
        <f t="shared" si="45"/>
        <v/>
      </c>
      <c r="R399" s="1" t="str">
        <f t="shared" si="46"/>
        <v/>
      </c>
      <c r="S399" s="1" t="str">
        <f>IF($A399="","",COUNTIF($N$2:N399,$N399))</f>
        <v/>
      </c>
      <c r="T399" s="1" t="str">
        <f t="shared" si="47"/>
        <v/>
      </c>
      <c r="U399" s="1" t="str">
        <f t="shared" si="48"/>
        <v/>
      </c>
      <c r="V399"/>
    </row>
    <row r="400" spans="13:22" x14ac:dyDescent="0.3">
      <c r="M400" s="1" t="str">
        <f t="shared" si="42"/>
        <v/>
      </c>
      <c r="N400" s="1" t="str">
        <f t="shared" si="43"/>
        <v/>
      </c>
      <c r="O400" s="1" t="str">
        <f ca="1">IF(F400="","",IF(INT(F400)=INT(NOW()),IF(NETWORKDAYS.INTL(F400,F400,1,FERIADOS!$A$2:$A$50)=0,0,MAX(0,(MIN(NOW(),INT(NOW())+18/24)-MAX(F400,INT(F400)+8/24)))*24),MAX(0,(INT(F400)+18/24-MAX(F400,INT(F400)+8/24)))*24*NETWORKDAYS.INTL(F400,F400,1,FERIADOS!$A$2:$A$50)+MAX(0,NETWORKDAYS.INTL(F400+1,NOW()-1,1,FERIADOS!$A$2:$A$50))*10+MAX(0,(MIN(NOW(),INT(NOW())+18/24)-(INT(NOW())+8/24)))*24*NETWORKDAYS.INTL(NOW(),NOW(),1,FERIADOS!$A$2:$A$50)))</f>
        <v/>
      </c>
      <c r="P400" s="1" t="str">
        <f t="shared" si="44"/>
        <v/>
      </c>
      <c r="Q400" s="1" t="str">
        <f t="shared" si="45"/>
        <v/>
      </c>
      <c r="R400" s="1" t="str">
        <f t="shared" si="46"/>
        <v/>
      </c>
      <c r="S400" s="1" t="str">
        <f>IF($A400="","",COUNTIF($N$2:N400,$N400))</f>
        <v/>
      </c>
      <c r="T400" s="1" t="str">
        <f t="shared" si="47"/>
        <v/>
      </c>
      <c r="U400" s="1" t="str">
        <f t="shared" si="48"/>
        <v/>
      </c>
      <c r="V400"/>
    </row>
    <row r="401" spans="13:22" x14ac:dyDescent="0.3">
      <c r="M401" s="1" t="str">
        <f t="shared" si="42"/>
        <v/>
      </c>
      <c r="N401" s="1" t="str">
        <f t="shared" si="43"/>
        <v/>
      </c>
      <c r="O401" s="1" t="str">
        <f ca="1">IF(F401="","",IF(INT(F401)=INT(NOW()),IF(NETWORKDAYS.INTL(F401,F401,1,FERIADOS!$A$2:$A$50)=0,0,MAX(0,(MIN(NOW(),INT(NOW())+18/24)-MAX(F401,INT(F401)+8/24)))*24),MAX(0,(INT(F401)+18/24-MAX(F401,INT(F401)+8/24)))*24*NETWORKDAYS.INTL(F401,F401,1,FERIADOS!$A$2:$A$50)+MAX(0,NETWORKDAYS.INTL(F401+1,NOW()-1,1,FERIADOS!$A$2:$A$50))*10+MAX(0,(MIN(NOW(),INT(NOW())+18/24)-(INT(NOW())+8/24)))*24*NETWORKDAYS.INTL(NOW(),NOW(),1,FERIADOS!$A$2:$A$50)))</f>
        <v/>
      </c>
      <c r="P401" s="1" t="str">
        <f t="shared" si="44"/>
        <v/>
      </c>
      <c r="Q401" s="1" t="str">
        <f t="shared" si="45"/>
        <v/>
      </c>
      <c r="R401" s="1" t="str">
        <f t="shared" si="46"/>
        <v/>
      </c>
      <c r="S401" s="1" t="str">
        <f>IF($A401="","",COUNTIF($N$2:N401,$N401))</f>
        <v/>
      </c>
      <c r="T401" s="1" t="str">
        <f t="shared" si="47"/>
        <v/>
      </c>
      <c r="U401" s="1" t="str">
        <f t="shared" si="48"/>
        <v/>
      </c>
      <c r="V401"/>
    </row>
    <row r="402" spans="13:22" x14ac:dyDescent="0.3">
      <c r="M402" s="1" t="str">
        <f t="shared" si="42"/>
        <v/>
      </c>
      <c r="N402" s="1" t="str">
        <f t="shared" si="43"/>
        <v/>
      </c>
      <c r="O402" s="1" t="str">
        <f ca="1">IF(F402="","",IF(INT(F402)=INT(NOW()),IF(NETWORKDAYS.INTL(F402,F402,1,FERIADOS!$A$2:$A$50)=0,0,MAX(0,(MIN(NOW(),INT(NOW())+18/24)-MAX(F402,INT(F402)+8/24)))*24),MAX(0,(INT(F402)+18/24-MAX(F402,INT(F402)+8/24)))*24*NETWORKDAYS.INTL(F402,F402,1,FERIADOS!$A$2:$A$50)+MAX(0,NETWORKDAYS.INTL(F402+1,NOW()-1,1,FERIADOS!$A$2:$A$50))*10+MAX(0,(MIN(NOW(),INT(NOW())+18/24)-(INT(NOW())+8/24)))*24*NETWORKDAYS.INTL(NOW(),NOW(),1,FERIADOS!$A$2:$A$50)))</f>
        <v/>
      </c>
      <c r="P402" s="1" t="str">
        <f t="shared" si="44"/>
        <v/>
      </c>
      <c r="Q402" s="1" t="str">
        <f t="shared" si="45"/>
        <v/>
      </c>
      <c r="R402" s="1" t="str">
        <f t="shared" si="46"/>
        <v/>
      </c>
      <c r="S402" s="1" t="str">
        <f>IF($A402="","",COUNTIF($N$2:N402,$N402))</f>
        <v/>
      </c>
      <c r="T402" s="1" t="str">
        <f t="shared" si="47"/>
        <v/>
      </c>
      <c r="U402" s="1" t="str">
        <f t="shared" si="48"/>
        <v/>
      </c>
      <c r="V402"/>
    </row>
    <row r="403" spans="13:22" x14ac:dyDescent="0.3">
      <c r="M403" s="1" t="str">
        <f t="shared" si="42"/>
        <v/>
      </c>
      <c r="N403" s="1" t="str">
        <f t="shared" si="43"/>
        <v/>
      </c>
      <c r="O403" s="1" t="str">
        <f ca="1">IF(F403="","",IF(INT(F403)=INT(NOW()),IF(NETWORKDAYS.INTL(F403,F403,1,FERIADOS!$A$2:$A$50)=0,0,MAX(0,(MIN(NOW(),INT(NOW())+18/24)-MAX(F403,INT(F403)+8/24)))*24),MAX(0,(INT(F403)+18/24-MAX(F403,INT(F403)+8/24)))*24*NETWORKDAYS.INTL(F403,F403,1,FERIADOS!$A$2:$A$50)+MAX(0,NETWORKDAYS.INTL(F403+1,NOW()-1,1,FERIADOS!$A$2:$A$50))*10+MAX(0,(MIN(NOW(),INT(NOW())+18/24)-(INT(NOW())+8/24)))*24*NETWORKDAYS.INTL(NOW(),NOW(),1,FERIADOS!$A$2:$A$50)))</f>
        <v/>
      </c>
      <c r="P403" s="1" t="str">
        <f t="shared" si="44"/>
        <v/>
      </c>
      <c r="Q403" s="1" t="str">
        <f t="shared" si="45"/>
        <v/>
      </c>
      <c r="R403" s="1" t="str">
        <f t="shared" si="46"/>
        <v/>
      </c>
      <c r="S403" s="1" t="str">
        <f>IF($A403="","",COUNTIF($N$2:N403,$N403))</f>
        <v/>
      </c>
      <c r="T403" s="1" t="str">
        <f t="shared" si="47"/>
        <v/>
      </c>
      <c r="U403" s="1" t="str">
        <f t="shared" si="48"/>
        <v/>
      </c>
      <c r="V403"/>
    </row>
    <row r="404" spans="13:22" x14ac:dyDescent="0.3">
      <c r="M404" s="1" t="str">
        <f t="shared" si="42"/>
        <v/>
      </c>
      <c r="N404" s="1" t="str">
        <f t="shared" si="43"/>
        <v/>
      </c>
      <c r="O404" s="1" t="str">
        <f ca="1">IF(F404="","",IF(INT(F404)=INT(NOW()),IF(NETWORKDAYS.INTL(F404,F404,1,FERIADOS!$A$2:$A$50)=0,0,MAX(0,(MIN(NOW(),INT(NOW())+18/24)-MAX(F404,INT(F404)+8/24)))*24),MAX(0,(INT(F404)+18/24-MAX(F404,INT(F404)+8/24)))*24*NETWORKDAYS.INTL(F404,F404,1,FERIADOS!$A$2:$A$50)+MAX(0,NETWORKDAYS.INTL(F404+1,NOW()-1,1,FERIADOS!$A$2:$A$50))*10+MAX(0,(MIN(NOW(),INT(NOW())+18/24)-(INT(NOW())+8/24)))*24*NETWORKDAYS.INTL(NOW(),NOW(),1,FERIADOS!$A$2:$A$50)))</f>
        <v/>
      </c>
      <c r="P404" s="1" t="str">
        <f t="shared" si="44"/>
        <v/>
      </c>
      <c r="Q404" s="1" t="str">
        <f t="shared" si="45"/>
        <v/>
      </c>
      <c r="R404" s="1" t="str">
        <f t="shared" si="46"/>
        <v/>
      </c>
      <c r="S404" s="1" t="str">
        <f>IF($A404="","",COUNTIF($N$2:N404,$N404))</f>
        <v/>
      </c>
      <c r="T404" s="1" t="str">
        <f t="shared" si="47"/>
        <v/>
      </c>
      <c r="U404" s="1" t="str">
        <f t="shared" si="48"/>
        <v/>
      </c>
      <c r="V404"/>
    </row>
    <row r="405" spans="13:22" x14ac:dyDescent="0.3">
      <c r="M405" s="1" t="str">
        <f t="shared" si="42"/>
        <v/>
      </c>
      <c r="N405" s="1" t="str">
        <f t="shared" si="43"/>
        <v/>
      </c>
      <c r="O405" s="1" t="str">
        <f ca="1">IF(F405="","",IF(INT(F405)=INT(NOW()),IF(NETWORKDAYS.INTL(F405,F405,1,FERIADOS!$A$2:$A$50)=0,0,MAX(0,(MIN(NOW(),INT(NOW())+18/24)-MAX(F405,INT(F405)+8/24)))*24),MAX(0,(INT(F405)+18/24-MAX(F405,INT(F405)+8/24)))*24*NETWORKDAYS.INTL(F405,F405,1,FERIADOS!$A$2:$A$50)+MAX(0,NETWORKDAYS.INTL(F405+1,NOW()-1,1,FERIADOS!$A$2:$A$50))*10+MAX(0,(MIN(NOW(),INT(NOW())+18/24)-(INT(NOW())+8/24)))*24*NETWORKDAYS.INTL(NOW(),NOW(),1,FERIADOS!$A$2:$A$50)))</f>
        <v/>
      </c>
      <c r="P405" s="1" t="str">
        <f t="shared" si="44"/>
        <v/>
      </c>
      <c r="Q405" s="1" t="str">
        <f t="shared" si="45"/>
        <v/>
      </c>
      <c r="R405" s="1" t="str">
        <f t="shared" si="46"/>
        <v/>
      </c>
      <c r="S405" s="1" t="str">
        <f>IF($A405="","",COUNTIF($N$2:N405,$N405))</f>
        <v/>
      </c>
      <c r="T405" s="1" t="str">
        <f t="shared" si="47"/>
        <v/>
      </c>
      <c r="U405" s="1" t="str">
        <f t="shared" si="48"/>
        <v/>
      </c>
      <c r="V405"/>
    </row>
    <row r="406" spans="13:22" x14ac:dyDescent="0.3">
      <c r="M406" s="1" t="str">
        <f t="shared" si="42"/>
        <v/>
      </c>
      <c r="N406" s="1" t="str">
        <f t="shared" si="43"/>
        <v/>
      </c>
      <c r="O406" s="1" t="str">
        <f ca="1">IF(F406="","",IF(INT(F406)=INT(NOW()),IF(NETWORKDAYS.INTL(F406,F406,1,FERIADOS!$A$2:$A$50)=0,0,MAX(0,(MIN(NOW(),INT(NOW())+18/24)-MAX(F406,INT(F406)+8/24)))*24),MAX(0,(INT(F406)+18/24-MAX(F406,INT(F406)+8/24)))*24*NETWORKDAYS.INTL(F406,F406,1,FERIADOS!$A$2:$A$50)+MAX(0,NETWORKDAYS.INTL(F406+1,NOW()-1,1,FERIADOS!$A$2:$A$50))*10+MAX(0,(MIN(NOW(),INT(NOW())+18/24)-(INT(NOW())+8/24)))*24*NETWORKDAYS.INTL(NOW(),NOW(),1,FERIADOS!$A$2:$A$50)))</f>
        <v/>
      </c>
      <c r="P406" s="1" t="str">
        <f t="shared" si="44"/>
        <v/>
      </c>
      <c r="Q406" s="1" t="str">
        <f t="shared" si="45"/>
        <v/>
      </c>
      <c r="R406" s="1" t="str">
        <f t="shared" si="46"/>
        <v/>
      </c>
      <c r="S406" s="1" t="str">
        <f>IF($A406="","",COUNTIF($N$2:N406,$N406))</f>
        <v/>
      </c>
      <c r="T406" s="1" t="str">
        <f t="shared" si="47"/>
        <v/>
      </c>
      <c r="U406" s="1" t="str">
        <f t="shared" si="48"/>
        <v/>
      </c>
      <c r="V406"/>
    </row>
    <row r="407" spans="13:22" x14ac:dyDescent="0.3">
      <c r="M407" s="1" t="str">
        <f t="shared" si="42"/>
        <v/>
      </c>
      <c r="N407" s="1" t="str">
        <f t="shared" si="43"/>
        <v/>
      </c>
      <c r="O407" s="1" t="str">
        <f ca="1">IF(F407="","",IF(INT(F407)=INT(NOW()),IF(NETWORKDAYS.INTL(F407,F407,1,FERIADOS!$A$2:$A$50)=0,0,MAX(0,(MIN(NOW(),INT(NOW())+18/24)-MAX(F407,INT(F407)+8/24)))*24),MAX(0,(INT(F407)+18/24-MAX(F407,INT(F407)+8/24)))*24*NETWORKDAYS.INTL(F407,F407,1,FERIADOS!$A$2:$A$50)+MAX(0,NETWORKDAYS.INTL(F407+1,NOW()-1,1,FERIADOS!$A$2:$A$50))*10+MAX(0,(MIN(NOW(),INT(NOW())+18/24)-(INT(NOW())+8/24)))*24*NETWORKDAYS.INTL(NOW(),NOW(),1,FERIADOS!$A$2:$A$50)))</f>
        <v/>
      </c>
      <c r="P407" s="1" t="str">
        <f t="shared" si="44"/>
        <v/>
      </c>
      <c r="Q407" s="1" t="str">
        <f t="shared" si="45"/>
        <v/>
      </c>
      <c r="R407" s="1" t="str">
        <f t="shared" si="46"/>
        <v/>
      </c>
      <c r="S407" s="1" t="str">
        <f>IF($A407="","",COUNTIF($N$2:N407,$N407))</f>
        <v/>
      </c>
      <c r="T407" s="1" t="str">
        <f t="shared" si="47"/>
        <v/>
      </c>
      <c r="U407" s="1" t="str">
        <f t="shared" si="48"/>
        <v/>
      </c>
      <c r="V407"/>
    </row>
    <row r="408" spans="13:22" x14ac:dyDescent="0.3">
      <c r="M408" s="1" t="str">
        <f t="shared" si="42"/>
        <v/>
      </c>
      <c r="N408" s="1" t="str">
        <f t="shared" si="43"/>
        <v/>
      </c>
      <c r="O408" s="1" t="str">
        <f ca="1">IF(F408="","",IF(INT(F408)=INT(NOW()),IF(NETWORKDAYS.INTL(F408,F408,1,FERIADOS!$A$2:$A$50)=0,0,MAX(0,(MIN(NOW(),INT(NOW())+18/24)-MAX(F408,INT(F408)+8/24)))*24),MAX(0,(INT(F408)+18/24-MAX(F408,INT(F408)+8/24)))*24*NETWORKDAYS.INTL(F408,F408,1,FERIADOS!$A$2:$A$50)+MAX(0,NETWORKDAYS.INTL(F408+1,NOW()-1,1,FERIADOS!$A$2:$A$50))*10+MAX(0,(MIN(NOW(),INT(NOW())+18/24)-(INT(NOW())+8/24)))*24*NETWORKDAYS.INTL(NOW(),NOW(),1,FERIADOS!$A$2:$A$50)))</f>
        <v/>
      </c>
      <c r="P408" s="1" t="str">
        <f t="shared" si="44"/>
        <v/>
      </c>
      <c r="Q408" s="1" t="str">
        <f t="shared" si="45"/>
        <v/>
      </c>
      <c r="R408" s="1" t="str">
        <f t="shared" si="46"/>
        <v/>
      </c>
      <c r="S408" s="1" t="str">
        <f>IF($A408="","",COUNTIF($N$2:N408,$N408))</f>
        <v/>
      </c>
      <c r="T408" s="1" t="str">
        <f t="shared" si="47"/>
        <v/>
      </c>
      <c r="U408" s="1" t="str">
        <f t="shared" si="48"/>
        <v/>
      </c>
      <c r="V408"/>
    </row>
    <row r="409" spans="13:22" x14ac:dyDescent="0.3">
      <c r="M409" s="1" t="str">
        <f t="shared" si="42"/>
        <v/>
      </c>
      <c r="N409" s="1" t="str">
        <f t="shared" si="43"/>
        <v/>
      </c>
      <c r="O409" s="1" t="str">
        <f ca="1">IF(F409="","",IF(INT(F409)=INT(NOW()),IF(NETWORKDAYS.INTL(F409,F409,1,FERIADOS!$A$2:$A$50)=0,0,MAX(0,(MIN(NOW(),INT(NOW())+18/24)-MAX(F409,INT(F409)+8/24)))*24),MAX(0,(INT(F409)+18/24-MAX(F409,INT(F409)+8/24)))*24*NETWORKDAYS.INTL(F409,F409,1,FERIADOS!$A$2:$A$50)+MAX(0,NETWORKDAYS.INTL(F409+1,NOW()-1,1,FERIADOS!$A$2:$A$50))*10+MAX(0,(MIN(NOW(),INT(NOW())+18/24)-(INT(NOW())+8/24)))*24*NETWORKDAYS.INTL(NOW(),NOW(),1,FERIADOS!$A$2:$A$50)))</f>
        <v/>
      </c>
      <c r="P409" s="1" t="str">
        <f t="shared" si="44"/>
        <v/>
      </c>
      <c r="Q409" s="1" t="str">
        <f t="shared" si="45"/>
        <v/>
      </c>
      <c r="R409" s="1" t="str">
        <f t="shared" si="46"/>
        <v/>
      </c>
      <c r="S409" s="1" t="str">
        <f>IF($A409="","",COUNTIF($N$2:N409,$N409))</f>
        <v/>
      </c>
      <c r="T409" s="1" t="str">
        <f t="shared" si="47"/>
        <v/>
      </c>
      <c r="U409" s="1" t="str">
        <f t="shared" si="48"/>
        <v/>
      </c>
      <c r="V409"/>
    </row>
    <row r="410" spans="13:22" x14ac:dyDescent="0.3">
      <c r="M410" s="1" t="str">
        <f t="shared" si="42"/>
        <v/>
      </c>
      <c r="N410" s="1" t="str">
        <f t="shared" si="43"/>
        <v/>
      </c>
      <c r="O410" s="1" t="str">
        <f ca="1">IF(F410="","",IF(INT(F410)=INT(NOW()),IF(NETWORKDAYS.INTL(F410,F410,1,FERIADOS!$A$2:$A$50)=0,0,MAX(0,(MIN(NOW(),INT(NOW())+18/24)-MAX(F410,INT(F410)+8/24)))*24),MAX(0,(INT(F410)+18/24-MAX(F410,INT(F410)+8/24)))*24*NETWORKDAYS.INTL(F410,F410,1,FERIADOS!$A$2:$A$50)+MAX(0,NETWORKDAYS.INTL(F410+1,NOW()-1,1,FERIADOS!$A$2:$A$50))*10+MAX(0,(MIN(NOW(),INT(NOW())+18/24)-(INT(NOW())+8/24)))*24*NETWORKDAYS.INTL(NOW(),NOW(),1,FERIADOS!$A$2:$A$50)))</f>
        <v/>
      </c>
      <c r="P410" s="1" t="str">
        <f t="shared" si="44"/>
        <v/>
      </c>
      <c r="Q410" s="1" t="str">
        <f t="shared" si="45"/>
        <v/>
      </c>
      <c r="R410" s="1" t="str">
        <f t="shared" si="46"/>
        <v/>
      </c>
      <c r="S410" s="1" t="str">
        <f>IF($A410="","",COUNTIF($N$2:N410,$N410))</f>
        <v/>
      </c>
      <c r="T410" s="1" t="str">
        <f t="shared" si="47"/>
        <v/>
      </c>
      <c r="U410" s="1" t="str">
        <f t="shared" si="48"/>
        <v/>
      </c>
      <c r="V410"/>
    </row>
    <row r="411" spans="13:22" x14ac:dyDescent="0.3">
      <c r="M411" s="1" t="str">
        <f t="shared" si="42"/>
        <v/>
      </c>
      <c r="N411" s="1" t="str">
        <f t="shared" si="43"/>
        <v/>
      </c>
      <c r="O411" s="1" t="str">
        <f ca="1">IF(F411="","",IF(INT(F411)=INT(NOW()),IF(NETWORKDAYS.INTL(F411,F411,1,FERIADOS!$A$2:$A$50)=0,0,MAX(0,(MIN(NOW(),INT(NOW())+18/24)-MAX(F411,INT(F411)+8/24)))*24),MAX(0,(INT(F411)+18/24-MAX(F411,INT(F411)+8/24)))*24*NETWORKDAYS.INTL(F411,F411,1,FERIADOS!$A$2:$A$50)+MAX(0,NETWORKDAYS.INTL(F411+1,NOW()-1,1,FERIADOS!$A$2:$A$50))*10+MAX(0,(MIN(NOW(),INT(NOW())+18/24)-(INT(NOW())+8/24)))*24*NETWORKDAYS.INTL(NOW(),NOW(),1,FERIADOS!$A$2:$A$50)))</f>
        <v/>
      </c>
      <c r="P411" s="1" t="str">
        <f t="shared" si="44"/>
        <v/>
      </c>
      <c r="Q411" s="1" t="str">
        <f t="shared" si="45"/>
        <v/>
      </c>
      <c r="R411" s="1" t="str">
        <f t="shared" si="46"/>
        <v/>
      </c>
      <c r="S411" s="1" t="str">
        <f>IF($A411="","",COUNTIF($N$2:N411,$N411))</f>
        <v/>
      </c>
      <c r="T411" s="1" t="str">
        <f t="shared" si="47"/>
        <v/>
      </c>
      <c r="U411" s="1" t="str">
        <f t="shared" si="48"/>
        <v/>
      </c>
      <c r="V411"/>
    </row>
    <row r="412" spans="13:22" x14ac:dyDescent="0.3">
      <c r="M412" s="1" t="str">
        <f t="shared" si="42"/>
        <v/>
      </c>
      <c r="N412" s="1" t="str">
        <f t="shared" si="43"/>
        <v/>
      </c>
      <c r="O412" s="1" t="str">
        <f ca="1">IF(F412="","",IF(INT(F412)=INT(NOW()),IF(NETWORKDAYS.INTL(F412,F412,1,FERIADOS!$A$2:$A$50)=0,0,MAX(0,(MIN(NOW(),INT(NOW())+18/24)-MAX(F412,INT(F412)+8/24)))*24),MAX(0,(INT(F412)+18/24-MAX(F412,INT(F412)+8/24)))*24*NETWORKDAYS.INTL(F412,F412,1,FERIADOS!$A$2:$A$50)+MAX(0,NETWORKDAYS.INTL(F412+1,NOW()-1,1,FERIADOS!$A$2:$A$50))*10+MAX(0,(MIN(NOW(),INT(NOW())+18/24)-(INT(NOW())+8/24)))*24*NETWORKDAYS.INTL(NOW(),NOW(),1,FERIADOS!$A$2:$A$50)))</f>
        <v/>
      </c>
      <c r="P412" s="1" t="str">
        <f t="shared" si="44"/>
        <v/>
      </c>
      <c r="Q412" s="1" t="str">
        <f t="shared" si="45"/>
        <v/>
      </c>
      <c r="R412" s="1" t="str">
        <f t="shared" si="46"/>
        <v/>
      </c>
      <c r="S412" s="1" t="str">
        <f>IF($A412="","",COUNTIF($N$2:N412,$N412))</f>
        <v/>
      </c>
      <c r="T412" s="1" t="str">
        <f t="shared" si="47"/>
        <v/>
      </c>
      <c r="U412" s="1" t="str">
        <f t="shared" si="48"/>
        <v/>
      </c>
      <c r="V412"/>
    </row>
    <row r="413" spans="13:22" x14ac:dyDescent="0.3">
      <c r="M413" s="1" t="str">
        <f t="shared" si="42"/>
        <v/>
      </c>
      <c r="N413" s="1" t="str">
        <f t="shared" si="43"/>
        <v/>
      </c>
      <c r="O413" s="1" t="str">
        <f ca="1">IF(F413="","",IF(INT(F413)=INT(NOW()),IF(NETWORKDAYS.INTL(F413,F413,1,FERIADOS!$A$2:$A$50)=0,0,MAX(0,(MIN(NOW(),INT(NOW())+18/24)-MAX(F413,INT(F413)+8/24)))*24),MAX(0,(INT(F413)+18/24-MAX(F413,INT(F413)+8/24)))*24*NETWORKDAYS.INTL(F413,F413,1,FERIADOS!$A$2:$A$50)+MAX(0,NETWORKDAYS.INTL(F413+1,NOW()-1,1,FERIADOS!$A$2:$A$50))*10+MAX(0,(MIN(NOW(),INT(NOW())+18/24)-(INT(NOW())+8/24)))*24*NETWORKDAYS.INTL(NOW(),NOW(),1,FERIADOS!$A$2:$A$50)))</f>
        <v/>
      </c>
      <c r="P413" s="1" t="str">
        <f t="shared" si="44"/>
        <v/>
      </c>
      <c r="Q413" s="1" t="str">
        <f t="shared" si="45"/>
        <v/>
      </c>
      <c r="R413" s="1" t="str">
        <f t="shared" si="46"/>
        <v/>
      </c>
      <c r="S413" s="1" t="str">
        <f>IF($A413="","",COUNTIF($N$2:N413,$N413))</f>
        <v/>
      </c>
      <c r="T413" s="1" t="str">
        <f t="shared" si="47"/>
        <v/>
      </c>
      <c r="U413" s="1" t="str">
        <f t="shared" si="48"/>
        <v/>
      </c>
      <c r="V413"/>
    </row>
    <row r="414" spans="13:22" x14ac:dyDescent="0.3">
      <c r="M414" s="1" t="str">
        <f t="shared" si="42"/>
        <v/>
      </c>
      <c r="N414" s="1" t="str">
        <f t="shared" si="43"/>
        <v/>
      </c>
      <c r="O414" s="1" t="str">
        <f ca="1">IF(F414="","",IF(INT(F414)=INT(NOW()),IF(NETWORKDAYS.INTL(F414,F414,1,FERIADOS!$A$2:$A$50)=0,0,MAX(0,(MIN(NOW(),INT(NOW())+18/24)-MAX(F414,INT(F414)+8/24)))*24),MAX(0,(INT(F414)+18/24-MAX(F414,INT(F414)+8/24)))*24*NETWORKDAYS.INTL(F414,F414,1,FERIADOS!$A$2:$A$50)+MAX(0,NETWORKDAYS.INTL(F414+1,NOW()-1,1,FERIADOS!$A$2:$A$50))*10+MAX(0,(MIN(NOW(),INT(NOW())+18/24)-(INT(NOW())+8/24)))*24*NETWORKDAYS.INTL(NOW(),NOW(),1,FERIADOS!$A$2:$A$50)))</f>
        <v/>
      </c>
      <c r="P414" s="1" t="str">
        <f t="shared" si="44"/>
        <v/>
      </c>
      <c r="Q414" s="1" t="str">
        <f t="shared" si="45"/>
        <v/>
      </c>
      <c r="R414" s="1" t="str">
        <f t="shared" si="46"/>
        <v/>
      </c>
      <c r="S414" s="1" t="str">
        <f>IF($A414="","",COUNTIF($N$2:N414,$N414))</f>
        <v/>
      </c>
      <c r="T414" s="1" t="str">
        <f t="shared" si="47"/>
        <v/>
      </c>
      <c r="U414" s="1" t="str">
        <f t="shared" si="48"/>
        <v/>
      </c>
      <c r="V414"/>
    </row>
    <row r="415" spans="13:22" x14ac:dyDescent="0.3">
      <c r="M415" s="1" t="str">
        <f t="shared" si="42"/>
        <v/>
      </c>
      <c r="N415" s="1" t="str">
        <f t="shared" si="43"/>
        <v/>
      </c>
      <c r="O415" s="1" t="str">
        <f ca="1">IF(F415="","",IF(INT(F415)=INT(NOW()),IF(NETWORKDAYS.INTL(F415,F415,1,FERIADOS!$A$2:$A$50)=0,0,MAX(0,(MIN(NOW(),INT(NOW())+18/24)-MAX(F415,INT(F415)+8/24)))*24),MAX(0,(INT(F415)+18/24-MAX(F415,INT(F415)+8/24)))*24*NETWORKDAYS.INTL(F415,F415,1,FERIADOS!$A$2:$A$50)+MAX(0,NETWORKDAYS.INTL(F415+1,NOW()-1,1,FERIADOS!$A$2:$A$50))*10+MAX(0,(MIN(NOW(),INT(NOW())+18/24)-(INT(NOW())+8/24)))*24*NETWORKDAYS.INTL(NOW(),NOW(),1,FERIADOS!$A$2:$A$50)))</f>
        <v/>
      </c>
      <c r="P415" s="1" t="str">
        <f t="shared" si="44"/>
        <v/>
      </c>
      <c r="Q415" s="1" t="str">
        <f t="shared" si="45"/>
        <v/>
      </c>
      <c r="R415" s="1" t="str">
        <f t="shared" si="46"/>
        <v/>
      </c>
      <c r="S415" s="1" t="str">
        <f>IF($A415="","",COUNTIF($N$2:N415,$N415))</f>
        <v/>
      </c>
      <c r="T415" s="1" t="str">
        <f t="shared" si="47"/>
        <v/>
      </c>
      <c r="U415" s="1" t="str">
        <f t="shared" si="48"/>
        <v/>
      </c>
      <c r="V415"/>
    </row>
    <row r="416" spans="13:22" x14ac:dyDescent="0.3">
      <c r="M416" s="1" t="str">
        <f t="shared" si="42"/>
        <v/>
      </c>
      <c r="N416" s="1" t="str">
        <f t="shared" si="43"/>
        <v/>
      </c>
      <c r="O416" s="1" t="str">
        <f ca="1">IF(F416="","",IF(INT(F416)=INT(NOW()),IF(NETWORKDAYS.INTL(F416,F416,1,FERIADOS!$A$2:$A$50)=0,0,MAX(0,(MIN(NOW(),INT(NOW())+18/24)-MAX(F416,INT(F416)+8/24)))*24),MAX(0,(INT(F416)+18/24-MAX(F416,INT(F416)+8/24)))*24*NETWORKDAYS.INTL(F416,F416,1,FERIADOS!$A$2:$A$50)+MAX(0,NETWORKDAYS.INTL(F416+1,NOW()-1,1,FERIADOS!$A$2:$A$50))*10+MAX(0,(MIN(NOW(),INT(NOW())+18/24)-(INT(NOW())+8/24)))*24*NETWORKDAYS.INTL(NOW(),NOW(),1,FERIADOS!$A$2:$A$50)))</f>
        <v/>
      </c>
      <c r="P416" s="1" t="str">
        <f t="shared" si="44"/>
        <v/>
      </c>
      <c r="Q416" s="1" t="str">
        <f t="shared" si="45"/>
        <v/>
      </c>
      <c r="R416" s="1" t="str">
        <f t="shared" si="46"/>
        <v/>
      </c>
      <c r="S416" s="1" t="str">
        <f>IF($A416="","",COUNTIF($N$2:N416,$N416))</f>
        <v/>
      </c>
      <c r="T416" s="1" t="str">
        <f t="shared" si="47"/>
        <v/>
      </c>
      <c r="U416" s="1" t="str">
        <f t="shared" si="48"/>
        <v/>
      </c>
      <c r="V416"/>
    </row>
    <row r="417" spans="13:22" x14ac:dyDescent="0.3">
      <c r="M417" s="1" t="str">
        <f t="shared" si="42"/>
        <v/>
      </c>
      <c r="N417" s="1" t="str">
        <f t="shared" si="43"/>
        <v/>
      </c>
      <c r="O417" s="1" t="str">
        <f ca="1">IF(F417="","",IF(INT(F417)=INT(NOW()),IF(NETWORKDAYS.INTL(F417,F417,1,FERIADOS!$A$2:$A$50)=0,0,MAX(0,(MIN(NOW(),INT(NOW())+18/24)-MAX(F417,INT(F417)+8/24)))*24),MAX(0,(INT(F417)+18/24-MAX(F417,INT(F417)+8/24)))*24*NETWORKDAYS.INTL(F417,F417,1,FERIADOS!$A$2:$A$50)+MAX(0,NETWORKDAYS.INTL(F417+1,NOW()-1,1,FERIADOS!$A$2:$A$50))*10+MAX(0,(MIN(NOW(),INT(NOW())+18/24)-(INT(NOW())+8/24)))*24*NETWORKDAYS.INTL(NOW(),NOW(),1,FERIADOS!$A$2:$A$50)))</f>
        <v/>
      </c>
      <c r="P417" s="1" t="str">
        <f t="shared" si="44"/>
        <v/>
      </c>
      <c r="Q417" s="1" t="str">
        <f t="shared" si="45"/>
        <v/>
      </c>
      <c r="R417" s="1" t="str">
        <f t="shared" si="46"/>
        <v/>
      </c>
      <c r="S417" s="1" t="str">
        <f>IF($A417="","",COUNTIF($N$2:N417,$N417))</f>
        <v/>
      </c>
      <c r="T417" s="1" t="str">
        <f t="shared" si="47"/>
        <v/>
      </c>
      <c r="U417" s="1" t="str">
        <f t="shared" si="48"/>
        <v/>
      </c>
      <c r="V417"/>
    </row>
    <row r="418" spans="13:22" x14ac:dyDescent="0.3">
      <c r="M418" s="1" t="str">
        <f t="shared" si="42"/>
        <v/>
      </c>
      <c r="N418" s="1" t="str">
        <f t="shared" si="43"/>
        <v/>
      </c>
      <c r="O418" s="1" t="str">
        <f ca="1">IF(F418="","",IF(INT(F418)=INT(NOW()),IF(NETWORKDAYS.INTL(F418,F418,1,FERIADOS!$A$2:$A$50)=0,0,MAX(0,(MIN(NOW(),INT(NOW())+18/24)-MAX(F418,INT(F418)+8/24)))*24),MAX(0,(INT(F418)+18/24-MAX(F418,INT(F418)+8/24)))*24*NETWORKDAYS.INTL(F418,F418,1,FERIADOS!$A$2:$A$50)+MAX(0,NETWORKDAYS.INTL(F418+1,NOW()-1,1,FERIADOS!$A$2:$A$50))*10+MAX(0,(MIN(NOW(),INT(NOW())+18/24)-(INT(NOW())+8/24)))*24*NETWORKDAYS.INTL(NOW(),NOW(),1,FERIADOS!$A$2:$A$50)))</f>
        <v/>
      </c>
      <c r="P418" s="1" t="str">
        <f t="shared" si="44"/>
        <v/>
      </c>
      <c r="Q418" s="1" t="str">
        <f t="shared" si="45"/>
        <v/>
      </c>
      <c r="R418" s="1" t="str">
        <f t="shared" si="46"/>
        <v/>
      </c>
      <c r="S418" s="1" t="str">
        <f>IF($A418="","",COUNTIF($N$2:N418,$N418))</f>
        <v/>
      </c>
      <c r="T418" s="1" t="str">
        <f t="shared" si="47"/>
        <v/>
      </c>
      <c r="U418" s="1" t="str">
        <f t="shared" si="48"/>
        <v/>
      </c>
      <c r="V418"/>
    </row>
    <row r="419" spans="13:22" x14ac:dyDescent="0.3">
      <c r="M419" s="1" t="str">
        <f t="shared" si="42"/>
        <v/>
      </c>
      <c r="N419" s="1" t="str">
        <f t="shared" si="43"/>
        <v/>
      </c>
      <c r="O419" s="1" t="str">
        <f ca="1">IF(F419="","",IF(INT(F419)=INT(NOW()),IF(NETWORKDAYS.INTL(F419,F419,1,FERIADOS!$A$2:$A$50)=0,0,MAX(0,(MIN(NOW(),INT(NOW())+18/24)-MAX(F419,INT(F419)+8/24)))*24),MAX(0,(INT(F419)+18/24-MAX(F419,INT(F419)+8/24)))*24*NETWORKDAYS.INTL(F419,F419,1,FERIADOS!$A$2:$A$50)+MAX(0,NETWORKDAYS.INTL(F419+1,NOW()-1,1,FERIADOS!$A$2:$A$50))*10+MAX(0,(MIN(NOW(),INT(NOW())+18/24)-(INT(NOW())+8/24)))*24*NETWORKDAYS.INTL(NOW(),NOW(),1,FERIADOS!$A$2:$A$50)))</f>
        <v/>
      </c>
      <c r="P419" s="1" t="str">
        <f t="shared" si="44"/>
        <v/>
      </c>
      <c r="Q419" s="1" t="str">
        <f t="shared" si="45"/>
        <v/>
      </c>
      <c r="R419" s="1" t="str">
        <f t="shared" si="46"/>
        <v/>
      </c>
      <c r="S419" s="1" t="str">
        <f>IF($A419="","",COUNTIF($N$2:N419,$N419))</f>
        <v/>
      </c>
      <c r="T419" s="1" t="str">
        <f t="shared" si="47"/>
        <v/>
      </c>
      <c r="U419" s="1" t="str">
        <f t="shared" si="48"/>
        <v/>
      </c>
      <c r="V419"/>
    </row>
    <row r="420" spans="13:22" x14ac:dyDescent="0.3">
      <c r="M420" s="1" t="str">
        <f t="shared" si="42"/>
        <v/>
      </c>
      <c r="N420" s="1" t="str">
        <f t="shared" si="43"/>
        <v/>
      </c>
      <c r="O420" s="1" t="str">
        <f ca="1">IF(F420="","",IF(INT(F420)=INT(NOW()),IF(NETWORKDAYS.INTL(F420,F420,1,FERIADOS!$A$2:$A$50)=0,0,MAX(0,(MIN(NOW(),INT(NOW())+18/24)-MAX(F420,INT(F420)+8/24)))*24),MAX(0,(INT(F420)+18/24-MAX(F420,INT(F420)+8/24)))*24*NETWORKDAYS.INTL(F420,F420,1,FERIADOS!$A$2:$A$50)+MAX(0,NETWORKDAYS.INTL(F420+1,NOW()-1,1,FERIADOS!$A$2:$A$50))*10+MAX(0,(MIN(NOW(),INT(NOW())+18/24)-(INT(NOW())+8/24)))*24*NETWORKDAYS.INTL(NOW(),NOW(),1,FERIADOS!$A$2:$A$50)))</f>
        <v/>
      </c>
      <c r="P420" s="1" t="str">
        <f t="shared" si="44"/>
        <v/>
      </c>
      <c r="Q420" s="1" t="str">
        <f t="shared" si="45"/>
        <v/>
      </c>
      <c r="R420" s="1" t="str">
        <f t="shared" si="46"/>
        <v/>
      </c>
      <c r="S420" s="1" t="str">
        <f>IF($A420="","",COUNTIF($N$2:N420,$N420))</f>
        <v/>
      </c>
      <c r="T420" s="1" t="str">
        <f t="shared" si="47"/>
        <v/>
      </c>
      <c r="U420" s="1" t="str">
        <f t="shared" si="48"/>
        <v/>
      </c>
      <c r="V420"/>
    </row>
    <row r="421" spans="13:22" x14ac:dyDescent="0.3">
      <c r="M421" s="1" t="str">
        <f t="shared" si="42"/>
        <v/>
      </c>
      <c r="N421" s="1" t="str">
        <f t="shared" si="43"/>
        <v/>
      </c>
      <c r="O421" s="1" t="str">
        <f ca="1">IF(F421="","",IF(INT(F421)=INT(NOW()),IF(NETWORKDAYS.INTL(F421,F421,1,FERIADOS!$A$2:$A$50)=0,0,MAX(0,(MIN(NOW(),INT(NOW())+18/24)-MAX(F421,INT(F421)+8/24)))*24),MAX(0,(INT(F421)+18/24-MAX(F421,INT(F421)+8/24)))*24*NETWORKDAYS.INTL(F421,F421,1,FERIADOS!$A$2:$A$50)+MAX(0,NETWORKDAYS.INTL(F421+1,NOW()-1,1,FERIADOS!$A$2:$A$50))*10+MAX(0,(MIN(NOW(),INT(NOW())+18/24)-(INT(NOW())+8/24)))*24*NETWORKDAYS.INTL(NOW(),NOW(),1,FERIADOS!$A$2:$A$50)))</f>
        <v/>
      </c>
      <c r="P421" s="1" t="str">
        <f t="shared" si="44"/>
        <v/>
      </c>
      <c r="Q421" s="1" t="str">
        <f t="shared" si="45"/>
        <v/>
      </c>
      <c r="R421" s="1" t="str">
        <f t="shared" si="46"/>
        <v/>
      </c>
      <c r="S421" s="1" t="str">
        <f>IF($A421="","",COUNTIF($N$2:N421,$N421))</f>
        <v/>
      </c>
      <c r="T421" s="1" t="str">
        <f t="shared" si="47"/>
        <v/>
      </c>
      <c r="U421" s="1" t="str">
        <f t="shared" si="48"/>
        <v/>
      </c>
      <c r="V421"/>
    </row>
    <row r="422" spans="13:22" x14ac:dyDescent="0.3">
      <c r="M422" s="1" t="str">
        <f t="shared" si="42"/>
        <v/>
      </c>
      <c r="N422" s="1" t="str">
        <f t="shared" si="43"/>
        <v/>
      </c>
      <c r="O422" s="1" t="str">
        <f ca="1">IF(F422="","",IF(INT(F422)=INT(NOW()),IF(NETWORKDAYS.INTL(F422,F422,1,FERIADOS!$A$2:$A$50)=0,0,MAX(0,(MIN(NOW(),INT(NOW())+18/24)-MAX(F422,INT(F422)+8/24)))*24),MAX(0,(INT(F422)+18/24-MAX(F422,INT(F422)+8/24)))*24*NETWORKDAYS.INTL(F422,F422,1,FERIADOS!$A$2:$A$50)+MAX(0,NETWORKDAYS.INTL(F422+1,NOW()-1,1,FERIADOS!$A$2:$A$50))*10+MAX(0,(MIN(NOW(),INT(NOW())+18/24)-(INT(NOW())+8/24)))*24*NETWORKDAYS.INTL(NOW(),NOW(),1,FERIADOS!$A$2:$A$50)))</f>
        <v/>
      </c>
      <c r="P422" s="1" t="str">
        <f t="shared" si="44"/>
        <v/>
      </c>
      <c r="Q422" s="1" t="str">
        <f t="shared" si="45"/>
        <v/>
      </c>
      <c r="R422" s="1" t="str">
        <f t="shared" si="46"/>
        <v/>
      </c>
      <c r="S422" s="1" t="str">
        <f>IF($A422="","",COUNTIF($N$2:N422,$N422))</f>
        <v/>
      </c>
      <c r="T422" s="1" t="str">
        <f t="shared" si="47"/>
        <v/>
      </c>
      <c r="U422" s="1" t="str">
        <f t="shared" si="48"/>
        <v/>
      </c>
      <c r="V422"/>
    </row>
    <row r="423" spans="13:22" x14ac:dyDescent="0.3">
      <c r="M423" s="1" t="str">
        <f t="shared" si="42"/>
        <v/>
      </c>
      <c r="N423" s="1" t="str">
        <f t="shared" si="43"/>
        <v/>
      </c>
      <c r="O423" s="1" t="str">
        <f ca="1">IF(F423="","",IF(INT(F423)=INT(NOW()),IF(NETWORKDAYS.INTL(F423,F423,1,FERIADOS!$A$2:$A$50)=0,0,MAX(0,(MIN(NOW(),INT(NOW())+18/24)-MAX(F423,INT(F423)+8/24)))*24),MAX(0,(INT(F423)+18/24-MAX(F423,INT(F423)+8/24)))*24*NETWORKDAYS.INTL(F423,F423,1,FERIADOS!$A$2:$A$50)+MAX(0,NETWORKDAYS.INTL(F423+1,NOW()-1,1,FERIADOS!$A$2:$A$50))*10+MAX(0,(MIN(NOW(),INT(NOW())+18/24)-(INT(NOW())+8/24)))*24*NETWORKDAYS.INTL(NOW(),NOW(),1,FERIADOS!$A$2:$A$50)))</f>
        <v/>
      </c>
      <c r="P423" s="1" t="str">
        <f t="shared" si="44"/>
        <v/>
      </c>
      <c r="Q423" s="1" t="str">
        <f t="shared" si="45"/>
        <v/>
      </c>
      <c r="R423" s="1" t="str">
        <f t="shared" si="46"/>
        <v/>
      </c>
      <c r="S423" s="1" t="str">
        <f>IF($A423="","",COUNTIF($N$2:N423,$N423))</f>
        <v/>
      </c>
      <c r="T423" s="1" t="str">
        <f t="shared" si="47"/>
        <v/>
      </c>
      <c r="U423" s="1" t="str">
        <f t="shared" si="48"/>
        <v/>
      </c>
      <c r="V423"/>
    </row>
    <row r="424" spans="13:22" x14ac:dyDescent="0.3">
      <c r="M424" s="1" t="str">
        <f t="shared" si="42"/>
        <v/>
      </c>
      <c r="N424" s="1" t="str">
        <f t="shared" si="43"/>
        <v/>
      </c>
      <c r="O424" s="1" t="str">
        <f ca="1">IF(F424="","",IF(INT(F424)=INT(NOW()),IF(NETWORKDAYS.INTL(F424,F424,1,FERIADOS!$A$2:$A$50)=0,0,MAX(0,(MIN(NOW(),INT(NOW())+18/24)-MAX(F424,INT(F424)+8/24)))*24),MAX(0,(INT(F424)+18/24-MAX(F424,INT(F424)+8/24)))*24*NETWORKDAYS.INTL(F424,F424,1,FERIADOS!$A$2:$A$50)+MAX(0,NETWORKDAYS.INTL(F424+1,NOW()-1,1,FERIADOS!$A$2:$A$50))*10+MAX(0,(MIN(NOW(),INT(NOW())+18/24)-(INT(NOW())+8/24)))*24*NETWORKDAYS.INTL(NOW(),NOW(),1,FERIADOS!$A$2:$A$50)))</f>
        <v/>
      </c>
      <c r="P424" s="1" t="str">
        <f t="shared" si="44"/>
        <v/>
      </c>
      <c r="Q424" s="1" t="str">
        <f t="shared" si="45"/>
        <v/>
      </c>
      <c r="R424" s="1" t="str">
        <f t="shared" si="46"/>
        <v/>
      </c>
      <c r="S424" s="1" t="str">
        <f>IF($A424="","",COUNTIF($N$2:N424,$N424))</f>
        <v/>
      </c>
      <c r="T424" s="1" t="str">
        <f t="shared" si="47"/>
        <v/>
      </c>
      <c r="U424" s="1" t="str">
        <f t="shared" si="48"/>
        <v/>
      </c>
      <c r="V424"/>
    </row>
    <row r="425" spans="13:22" x14ac:dyDescent="0.3">
      <c r="M425" s="1" t="str">
        <f t="shared" si="42"/>
        <v/>
      </c>
      <c r="N425" s="1" t="str">
        <f t="shared" si="43"/>
        <v/>
      </c>
      <c r="O425" s="1" t="str">
        <f ca="1">IF(F425="","",IF(INT(F425)=INT(NOW()),IF(NETWORKDAYS.INTL(F425,F425,1,FERIADOS!$A$2:$A$50)=0,0,MAX(0,(MIN(NOW(),INT(NOW())+18/24)-MAX(F425,INT(F425)+8/24)))*24),MAX(0,(INT(F425)+18/24-MAX(F425,INT(F425)+8/24)))*24*NETWORKDAYS.INTL(F425,F425,1,FERIADOS!$A$2:$A$50)+MAX(0,NETWORKDAYS.INTL(F425+1,NOW()-1,1,FERIADOS!$A$2:$A$50))*10+MAX(0,(MIN(NOW(),INT(NOW())+18/24)-(INT(NOW())+8/24)))*24*NETWORKDAYS.INTL(NOW(),NOW(),1,FERIADOS!$A$2:$A$50)))</f>
        <v/>
      </c>
      <c r="P425" s="1" t="str">
        <f t="shared" si="44"/>
        <v/>
      </c>
      <c r="Q425" s="1" t="str">
        <f t="shared" si="45"/>
        <v/>
      </c>
      <c r="R425" s="1" t="str">
        <f t="shared" si="46"/>
        <v/>
      </c>
      <c r="S425" s="1" t="str">
        <f>IF($A425="","",COUNTIF($N$2:N425,$N425))</f>
        <v/>
      </c>
      <c r="T425" s="1" t="str">
        <f t="shared" si="47"/>
        <v/>
      </c>
      <c r="U425" s="1" t="str">
        <f t="shared" si="48"/>
        <v/>
      </c>
      <c r="V425"/>
    </row>
    <row r="426" spans="13:22" x14ac:dyDescent="0.3">
      <c r="M426" s="1" t="str">
        <f t="shared" si="42"/>
        <v/>
      </c>
      <c r="N426" s="1" t="str">
        <f t="shared" si="43"/>
        <v/>
      </c>
      <c r="O426" s="1" t="str">
        <f ca="1">IF(F426="","",IF(INT(F426)=INT(NOW()),IF(NETWORKDAYS.INTL(F426,F426,1,FERIADOS!$A$2:$A$50)=0,0,MAX(0,(MIN(NOW(),INT(NOW())+18/24)-MAX(F426,INT(F426)+8/24)))*24),MAX(0,(INT(F426)+18/24-MAX(F426,INT(F426)+8/24)))*24*NETWORKDAYS.INTL(F426,F426,1,FERIADOS!$A$2:$A$50)+MAX(0,NETWORKDAYS.INTL(F426+1,NOW()-1,1,FERIADOS!$A$2:$A$50))*10+MAX(0,(MIN(NOW(),INT(NOW())+18/24)-(INT(NOW())+8/24)))*24*NETWORKDAYS.INTL(NOW(),NOW(),1,FERIADOS!$A$2:$A$50)))</f>
        <v/>
      </c>
      <c r="P426" s="1" t="str">
        <f t="shared" si="44"/>
        <v/>
      </c>
      <c r="Q426" s="1" t="str">
        <f t="shared" si="45"/>
        <v/>
      </c>
      <c r="R426" s="1" t="str">
        <f t="shared" si="46"/>
        <v/>
      </c>
      <c r="S426" s="1" t="str">
        <f>IF($A426="","",COUNTIF($N$2:N426,$N426))</f>
        <v/>
      </c>
      <c r="T426" s="1" t="str">
        <f t="shared" si="47"/>
        <v/>
      </c>
      <c r="U426" s="1" t="str">
        <f t="shared" si="48"/>
        <v/>
      </c>
      <c r="V426"/>
    </row>
    <row r="427" spans="13:22" x14ac:dyDescent="0.3">
      <c r="M427" s="1" t="str">
        <f t="shared" si="42"/>
        <v/>
      </c>
      <c r="N427" s="1" t="str">
        <f t="shared" si="43"/>
        <v/>
      </c>
      <c r="O427" s="1" t="str">
        <f ca="1">IF(F427="","",IF(INT(F427)=INT(NOW()),IF(NETWORKDAYS.INTL(F427,F427,1,FERIADOS!$A$2:$A$50)=0,0,MAX(0,(MIN(NOW(),INT(NOW())+18/24)-MAX(F427,INT(F427)+8/24)))*24),MAX(0,(INT(F427)+18/24-MAX(F427,INT(F427)+8/24)))*24*NETWORKDAYS.INTL(F427,F427,1,FERIADOS!$A$2:$A$50)+MAX(0,NETWORKDAYS.INTL(F427+1,NOW()-1,1,FERIADOS!$A$2:$A$50))*10+MAX(0,(MIN(NOW(),INT(NOW())+18/24)-(INT(NOW())+8/24)))*24*NETWORKDAYS.INTL(NOW(),NOW(),1,FERIADOS!$A$2:$A$50)))</f>
        <v/>
      </c>
      <c r="P427" s="1" t="str">
        <f t="shared" si="44"/>
        <v/>
      </c>
      <c r="Q427" s="1" t="str">
        <f t="shared" si="45"/>
        <v/>
      </c>
      <c r="R427" s="1" t="str">
        <f t="shared" si="46"/>
        <v/>
      </c>
      <c r="S427" s="1" t="str">
        <f>IF($A427="","",COUNTIF($N$2:N427,$N427))</f>
        <v/>
      </c>
      <c r="T427" s="1" t="str">
        <f t="shared" si="47"/>
        <v/>
      </c>
      <c r="U427" s="1" t="str">
        <f t="shared" si="48"/>
        <v/>
      </c>
      <c r="V427"/>
    </row>
    <row r="428" spans="13:22" x14ac:dyDescent="0.3">
      <c r="M428" s="1" t="str">
        <f t="shared" si="42"/>
        <v/>
      </c>
      <c r="N428" s="1" t="str">
        <f t="shared" si="43"/>
        <v/>
      </c>
      <c r="O428" s="1" t="str">
        <f ca="1">IF(F428="","",IF(INT(F428)=INT(NOW()),IF(NETWORKDAYS.INTL(F428,F428,1,FERIADOS!$A$2:$A$50)=0,0,MAX(0,(MIN(NOW(),INT(NOW())+18/24)-MAX(F428,INT(F428)+8/24)))*24),MAX(0,(INT(F428)+18/24-MAX(F428,INT(F428)+8/24)))*24*NETWORKDAYS.INTL(F428,F428,1,FERIADOS!$A$2:$A$50)+MAX(0,NETWORKDAYS.INTL(F428+1,NOW()-1,1,FERIADOS!$A$2:$A$50))*10+MAX(0,(MIN(NOW(),INT(NOW())+18/24)-(INT(NOW())+8/24)))*24*NETWORKDAYS.INTL(NOW(),NOW(),1,FERIADOS!$A$2:$A$50)))</f>
        <v/>
      </c>
      <c r="P428" s="1" t="str">
        <f t="shared" si="44"/>
        <v/>
      </c>
      <c r="Q428" s="1" t="str">
        <f t="shared" si="45"/>
        <v/>
      </c>
      <c r="R428" s="1" t="str">
        <f t="shared" si="46"/>
        <v/>
      </c>
      <c r="S428" s="1" t="str">
        <f>IF($A428="","",COUNTIF($N$2:N428,$N428))</f>
        <v/>
      </c>
      <c r="T428" s="1" t="str">
        <f t="shared" si="47"/>
        <v/>
      </c>
      <c r="U428" s="1" t="str">
        <f t="shared" si="48"/>
        <v/>
      </c>
      <c r="V428"/>
    </row>
    <row r="429" spans="13:22" x14ac:dyDescent="0.3">
      <c r="M429" s="1" t="str">
        <f t="shared" si="42"/>
        <v/>
      </c>
      <c r="N429" s="1" t="str">
        <f t="shared" si="43"/>
        <v/>
      </c>
      <c r="O429" s="1" t="str">
        <f ca="1">IF(F429="","",IF(INT(F429)=INT(NOW()),IF(NETWORKDAYS.INTL(F429,F429,1,FERIADOS!$A$2:$A$50)=0,0,MAX(0,(MIN(NOW(),INT(NOW())+18/24)-MAX(F429,INT(F429)+8/24)))*24),MAX(0,(INT(F429)+18/24-MAX(F429,INT(F429)+8/24)))*24*NETWORKDAYS.INTL(F429,F429,1,FERIADOS!$A$2:$A$50)+MAX(0,NETWORKDAYS.INTL(F429+1,NOW()-1,1,FERIADOS!$A$2:$A$50))*10+MAX(0,(MIN(NOW(),INT(NOW())+18/24)-(INT(NOW())+8/24)))*24*NETWORKDAYS.INTL(NOW(),NOW(),1,FERIADOS!$A$2:$A$50)))</f>
        <v/>
      </c>
      <c r="P429" s="1" t="str">
        <f t="shared" si="44"/>
        <v/>
      </c>
      <c r="Q429" s="1" t="str">
        <f t="shared" si="45"/>
        <v/>
      </c>
      <c r="R429" s="1" t="str">
        <f t="shared" si="46"/>
        <v/>
      </c>
      <c r="S429" s="1" t="str">
        <f>IF($A429="","",COUNTIF($N$2:N429,$N429))</f>
        <v/>
      </c>
      <c r="T429" s="1" t="str">
        <f t="shared" si="47"/>
        <v/>
      </c>
      <c r="U429" s="1" t="str">
        <f t="shared" si="48"/>
        <v/>
      </c>
      <c r="V429"/>
    </row>
    <row r="430" spans="13:22" x14ac:dyDescent="0.3">
      <c r="M430" s="1" t="str">
        <f t="shared" si="42"/>
        <v/>
      </c>
      <c r="N430" s="1" t="str">
        <f t="shared" si="43"/>
        <v/>
      </c>
      <c r="O430" s="1" t="str">
        <f ca="1">IF(F430="","",IF(INT(F430)=INT(NOW()),IF(NETWORKDAYS.INTL(F430,F430,1,FERIADOS!$A$2:$A$50)=0,0,MAX(0,(MIN(NOW(),INT(NOW())+18/24)-MAX(F430,INT(F430)+8/24)))*24),MAX(0,(INT(F430)+18/24-MAX(F430,INT(F430)+8/24)))*24*NETWORKDAYS.INTL(F430,F430,1,FERIADOS!$A$2:$A$50)+MAX(0,NETWORKDAYS.INTL(F430+1,NOW()-1,1,FERIADOS!$A$2:$A$50))*10+MAX(0,(MIN(NOW(),INT(NOW())+18/24)-(INT(NOW())+8/24)))*24*NETWORKDAYS.INTL(NOW(),NOW(),1,FERIADOS!$A$2:$A$50)))</f>
        <v/>
      </c>
      <c r="P430" s="1" t="str">
        <f t="shared" si="44"/>
        <v/>
      </c>
      <c r="Q430" s="1" t="str">
        <f t="shared" si="45"/>
        <v/>
      </c>
      <c r="R430" s="1" t="str">
        <f t="shared" si="46"/>
        <v/>
      </c>
      <c r="S430" s="1" t="str">
        <f>IF($A430="","",COUNTIF($N$2:N430,$N430))</f>
        <v/>
      </c>
      <c r="T430" s="1" t="str">
        <f t="shared" si="47"/>
        <v/>
      </c>
      <c r="U430" s="1" t="str">
        <f t="shared" si="48"/>
        <v/>
      </c>
      <c r="V430"/>
    </row>
    <row r="431" spans="13:22" x14ac:dyDescent="0.3">
      <c r="M431" s="1" t="str">
        <f t="shared" si="42"/>
        <v/>
      </c>
      <c r="N431" s="1" t="str">
        <f t="shared" si="43"/>
        <v/>
      </c>
      <c r="O431" s="1" t="str">
        <f ca="1">IF(F431="","",IF(INT(F431)=INT(NOW()),IF(NETWORKDAYS.INTL(F431,F431,1,FERIADOS!$A$2:$A$50)=0,0,MAX(0,(MIN(NOW(),INT(NOW())+18/24)-MAX(F431,INT(F431)+8/24)))*24),MAX(0,(INT(F431)+18/24-MAX(F431,INT(F431)+8/24)))*24*NETWORKDAYS.INTL(F431,F431,1,FERIADOS!$A$2:$A$50)+MAX(0,NETWORKDAYS.INTL(F431+1,NOW()-1,1,FERIADOS!$A$2:$A$50))*10+MAX(0,(MIN(NOW(),INT(NOW())+18/24)-(INT(NOW())+8/24)))*24*NETWORKDAYS.INTL(NOW(),NOW(),1,FERIADOS!$A$2:$A$50)))</f>
        <v/>
      </c>
      <c r="P431" s="1" t="str">
        <f t="shared" si="44"/>
        <v/>
      </c>
      <c r="Q431" s="1" t="str">
        <f t="shared" si="45"/>
        <v/>
      </c>
      <c r="R431" s="1" t="str">
        <f t="shared" si="46"/>
        <v/>
      </c>
      <c r="S431" s="1" t="str">
        <f>IF($A431="","",COUNTIF($N$2:N431,$N431))</f>
        <v/>
      </c>
      <c r="T431" s="1" t="str">
        <f t="shared" si="47"/>
        <v/>
      </c>
      <c r="U431" s="1" t="str">
        <f t="shared" si="48"/>
        <v/>
      </c>
      <c r="V431"/>
    </row>
    <row r="432" spans="13:22" x14ac:dyDescent="0.3">
      <c r="M432" s="1" t="str">
        <f t="shared" si="42"/>
        <v/>
      </c>
      <c r="N432" s="1" t="str">
        <f t="shared" si="43"/>
        <v/>
      </c>
      <c r="O432" s="1" t="str">
        <f ca="1">IF(F432="","",IF(INT(F432)=INT(NOW()),IF(NETWORKDAYS.INTL(F432,F432,1,FERIADOS!$A$2:$A$50)=0,0,MAX(0,(MIN(NOW(),INT(NOW())+18/24)-MAX(F432,INT(F432)+8/24)))*24),MAX(0,(INT(F432)+18/24-MAX(F432,INT(F432)+8/24)))*24*NETWORKDAYS.INTL(F432,F432,1,FERIADOS!$A$2:$A$50)+MAX(0,NETWORKDAYS.INTL(F432+1,NOW()-1,1,FERIADOS!$A$2:$A$50))*10+MAX(0,(MIN(NOW(),INT(NOW())+18/24)-(INT(NOW())+8/24)))*24*NETWORKDAYS.INTL(NOW(),NOW(),1,FERIADOS!$A$2:$A$50)))</f>
        <v/>
      </c>
      <c r="P432" s="1" t="str">
        <f t="shared" si="44"/>
        <v/>
      </c>
      <c r="Q432" s="1" t="str">
        <f t="shared" si="45"/>
        <v/>
      </c>
      <c r="R432" s="1" t="str">
        <f t="shared" si="46"/>
        <v/>
      </c>
      <c r="S432" s="1" t="str">
        <f>IF($A432="","",COUNTIF($N$2:N432,$N432))</f>
        <v/>
      </c>
      <c r="T432" s="1" t="str">
        <f t="shared" si="47"/>
        <v/>
      </c>
      <c r="U432" s="1" t="str">
        <f t="shared" si="48"/>
        <v/>
      </c>
      <c r="V432"/>
    </row>
    <row r="433" spans="13:22" x14ac:dyDescent="0.3">
      <c r="M433" s="1" t="str">
        <f t="shared" si="42"/>
        <v/>
      </c>
      <c r="N433" s="1" t="str">
        <f t="shared" si="43"/>
        <v/>
      </c>
      <c r="O433" s="1" t="str">
        <f ca="1">IF(F433="","",IF(INT(F433)=INT(NOW()),IF(NETWORKDAYS.INTL(F433,F433,1,FERIADOS!$A$2:$A$50)=0,0,MAX(0,(MIN(NOW(),INT(NOW())+18/24)-MAX(F433,INT(F433)+8/24)))*24),MAX(0,(INT(F433)+18/24-MAX(F433,INT(F433)+8/24)))*24*NETWORKDAYS.INTL(F433,F433,1,FERIADOS!$A$2:$A$50)+MAX(0,NETWORKDAYS.INTL(F433+1,NOW()-1,1,FERIADOS!$A$2:$A$50))*10+MAX(0,(MIN(NOW(),INT(NOW())+18/24)-(INT(NOW())+8/24)))*24*NETWORKDAYS.INTL(NOW(),NOW(),1,FERIADOS!$A$2:$A$50)))</f>
        <v/>
      </c>
      <c r="P433" s="1" t="str">
        <f t="shared" si="44"/>
        <v/>
      </c>
      <c r="Q433" s="1" t="str">
        <f t="shared" si="45"/>
        <v/>
      </c>
      <c r="R433" s="1" t="str">
        <f t="shared" si="46"/>
        <v/>
      </c>
      <c r="S433" s="1" t="str">
        <f>IF($A433="","",COUNTIF($N$2:N433,$N433))</f>
        <v/>
      </c>
      <c r="T433" s="1" t="str">
        <f t="shared" si="47"/>
        <v/>
      </c>
      <c r="U433" s="1" t="str">
        <f t="shared" si="48"/>
        <v/>
      </c>
      <c r="V433"/>
    </row>
    <row r="434" spans="13:22" x14ac:dyDescent="0.3">
      <c r="M434" s="1" t="str">
        <f t="shared" si="42"/>
        <v/>
      </c>
      <c r="N434" s="1" t="str">
        <f t="shared" si="43"/>
        <v/>
      </c>
      <c r="O434" s="1" t="str">
        <f ca="1">IF(F434="","",IF(INT(F434)=INT(NOW()),IF(NETWORKDAYS.INTL(F434,F434,1,FERIADOS!$A$2:$A$50)=0,0,MAX(0,(MIN(NOW(),INT(NOW())+18/24)-MAX(F434,INT(F434)+8/24)))*24),MAX(0,(INT(F434)+18/24-MAX(F434,INT(F434)+8/24)))*24*NETWORKDAYS.INTL(F434,F434,1,FERIADOS!$A$2:$A$50)+MAX(0,NETWORKDAYS.INTL(F434+1,NOW()-1,1,FERIADOS!$A$2:$A$50))*10+MAX(0,(MIN(NOW(),INT(NOW())+18/24)-(INT(NOW())+8/24)))*24*NETWORKDAYS.INTL(NOW(),NOW(),1,FERIADOS!$A$2:$A$50)))</f>
        <v/>
      </c>
      <c r="P434" s="1" t="str">
        <f t="shared" si="44"/>
        <v/>
      </c>
      <c r="Q434" s="1" t="str">
        <f t="shared" si="45"/>
        <v/>
      </c>
      <c r="R434" s="1" t="str">
        <f t="shared" si="46"/>
        <v/>
      </c>
      <c r="S434" s="1" t="str">
        <f>IF($A434="","",COUNTIF($N$2:N434,$N434))</f>
        <v/>
      </c>
      <c r="T434" s="1" t="str">
        <f t="shared" si="47"/>
        <v/>
      </c>
      <c r="U434" s="1" t="str">
        <f t="shared" si="48"/>
        <v/>
      </c>
      <c r="V434"/>
    </row>
    <row r="435" spans="13:22" x14ac:dyDescent="0.3">
      <c r="M435" s="1" t="str">
        <f t="shared" si="42"/>
        <v/>
      </c>
      <c r="N435" s="1" t="str">
        <f t="shared" si="43"/>
        <v/>
      </c>
      <c r="O435" s="1" t="str">
        <f ca="1">IF(F435="","",IF(INT(F435)=INT(NOW()),IF(NETWORKDAYS.INTL(F435,F435,1,FERIADOS!$A$2:$A$50)=0,0,MAX(0,(MIN(NOW(),INT(NOW())+18/24)-MAX(F435,INT(F435)+8/24)))*24),MAX(0,(INT(F435)+18/24-MAX(F435,INT(F435)+8/24)))*24*NETWORKDAYS.INTL(F435,F435,1,FERIADOS!$A$2:$A$50)+MAX(0,NETWORKDAYS.INTL(F435+1,NOW()-1,1,FERIADOS!$A$2:$A$50))*10+MAX(0,(MIN(NOW(),INT(NOW())+18/24)-(INT(NOW())+8/24)))*24*NETWORKDAYS.INTL(NOW(),NOW(),1,FERIADOS!$A$2:$A$50)))</f>
        <v/>
      </c>
      <c r="P435" s="1" t="str">
        <f t="shared" si="44"/>
        <v/>
      </c>
      <c r="Q435" s="1" t="str">
        <f t="shared" si="45"/>
        <v/>
      </c>
      <c r="R435" s="1" t="str">
        <f t="shared" si="46"/>
        <v/>
      </c>
      <c r="S435" s="1" t="str">
        <f>IF($A435="","",COUNTIF($N$2:N435,$N435))</f>
        <v/>
      </c>
      <c r="T435" s="1" t="str">
        <f t="shared" si="47"/>
        <v/>
      </c>
      <c r="U435" s="1" t="str">
        <f t="shared" si="48"/>
        <v/>
      </c>
      <c r="V435"/>
    </row>
    <row r="436" spans="13:22" x14ac:dyDescent="0.3">
      <c r="M436" s="1" t="str">
        <f t="shared" si="42"/>
        <v/>
      </c>
      <c r="N436" s="1" t="str">
        <f t="shared" si="43"/>
        <v/>
      </c>
      <c r="O436" s="1" t="str">
        <f ca="1">IF(F436="","",IF(INT(F436)=INT(NOW()),IF(NETWORKDAYS.INTL(F436,F436,1,FERIADOS!$A$2:$A$50)=0,0,MAX(0,(MIN(NOW(),INT(NOW())+18/24)-MAX(F436,INT(F436)+8/24)))*24),MAX(0,(INT(F436)+18/24-MAX(F436,INT(F436)+8/24)))*24*NETWORKDAYS.INTL(F436,F436,1,FERIADOS!$A$2:$A$50)+MAX(0,NETWORKDAYS.INTL(F436+1,NOW()-1,1,FERIADOS!$A$2:$A$50))*10+MAX(0,(MIN(NOW(),INT(NOW())+18/24)-(INT(NOW())+8/24)))*24*NETWORKDAYS.INTL(NOW(),NOW(),1,FERIADOS!$A$2:$A$50)))</f>
        <v/>
      </c>
      <c r="P436" s="1" t="str">
        <f t="shared" si="44"/>
        <v/>
      </c>
      <c r="Q436" s="1" t="str">
        <f t="shared" si="45"/>
        <v/>
      </c>
      <c r="R436" s="1" t="str">
        <f t="shared" si="46"/>
        <v/>
      </c>
      <c r="S436" s="1" t="str">
        <f>IF($A436="","",COUNTIF($N$2:N436,$N436))</f>
        <v/>
      </c>
      <c r="T436" s="1" t="str">
        <f t="shared" si="47"/>
        <v/>
      </c>
      <c r="U436" s="1" t="str">
        <f t="shared" si="48"/>
        <v/>
      </c>
      <c r="V436"/>
    </row>
    <row r="437" spans="13:22" x14ac:dyDescent="0.3">
      <c r="M437" s="1" t="str">
        <f t="shared" si="42"/>
        <v/>
      </c>
      <c r="N437" s="1" t="str">
        <f t="shared" si="43"/>
        <v/>
      </c>
      <c r="O437" s="1" t="str">
        <f ca="1">IF(F437="","",IF(INT(F437)=INT(NOW()),IF(NETWORKDAYS.INTL(F437,F437,1,FERIADOS!$A$2:$A$50)=0,0,MAX(0,(MIN(NOW(),INT(NOW())+18/24)-MAX(F437,INT(F437)+8/24)))*24),MAX(0,(INT(F437)+18/24-MAX(F437,INT(F437)+8/24)))*24*NETWORKDAYS.INTL(F437,F437,1,FERIADOS!$A$2:$A$50)+MAX(0,NETWORKDAYS.INTL(F437+1,NOW()-1,1,FERIADOS!$A$2:$A$50))*10+MAX(0,(MIN(NOW(),INT(NOW())+18/24)-(INT(NOW())+8/24)))*24*NETWORKDAYS.INTL(NOW(),NOW(),1,FERIADOS!$A$2:$A$50)))</f>
        <v/>
      </c>
      <c r="P437" s="1" t="str">
        <f t="shared" si="44"/>
        <v/>
      </c>
      <c r="Q437" s="1" t="str">
        <f t="shared" si="45"/>
        <v/>
      </c>
      <c r="R437" s="1" t="str">
        <f t="shared" si="46"/>
        <v/>
      </c>
      <c r="S437" s="1" t="str">
        <f>IF($A437="","",COUNTIF($N$2:N437,$N437))</f>
        <v/>
      </c>
      <c r="T437" s="1" t="str">
        <f t="shared" si="47"/>
        <v/>
      </c>
      <c r="U437" s="1" t="str">
        <f t="shared" si="48"/>
        <v/>
      </c>
      <c r="V437"/>
    </row>
    <row r="438" spans="13:22" x14ac:dyDescent="0.3">
      <c r="M438" s="1" t="str">
        <f t="shared" si="42"/>
        <v/>
      </c>
      <c r="N438" s="1" t="str">
        <f t="shared" si="43"/>
        <v/>
      </c>
      <c r="O438" s="1" t="str">
        <f ca="1">IF(F438="","",IF(INT(F438)=INT(NOW()),IF(NETWORKDAYS.INTL(F438,F438,1,FERIADOS!$A$2:$A$50)=0,0,MAX(0,(MIN(NOW(),INT(NOW())+18/24)-MAX(F438,INT(F438)+8/24)))*24),MAX(0,(INT(F438)+18/24-MAX(F438,INT(F438)+8/24)))*24*NETWORKDAYS.INTL(F438,F438,1,FERIADOS!$A$2:$A$50)+MAX(0,NETWORKDAYS.INTL(F438+1,NOW()-1,1,FERIADOS!$A$2:$A$50))*10+MAX(0,(MIN(NOW(),INT(NOW())+18/24)-(INT(NOW())+8/24)))*24*NETWORKDAYS.INTL(NOW(),NOW(),1,FERIADOS!$A$2:$A$50)))</f>
        <v/>
      </c>
      <c r="P438" s="1" t="str">
        <f t="shared" si="44"/>
        <v/>
      </c>
      <c r="Q438" s="1" t="str">
        <f t="shared" si="45"/>
        <v/>
      </c>
      <c r="R438" s="1" t="str">
        <f t="shared" si="46"/>
        <v/>
      </c>
      <c r="S438" s="1" t="str">
        <f>IF($A438="","",COUNTIF($N$2:N438,$N438))</f>
        <v/>
      </c>
      <c r="T438" s="1" t="str">
        <f t="shared" si="47"/>
        <v/>
      </c>
      <c r="U438" s="1" t="str">
        <f t="shared" si="48"/>
        <v/>
      </c>
      <c r="V438"/>
    </row>
    <row r="439" spans="13:22" x14ac:dyDescent="0.3">
      <c r="M439" s="1" t="str">
        <f t="shared" si="42"/>
        <v/>
      </c>
      <c r="N439" s="1" t="str">
        <f t="shared" si="43"/>
        <v/>
      </c>
      <c r="O439" s="1" t="str">
        <f ca="1">IF(F439="","",IF(INT(F439)=INT(NOW()),IF(NETWORKDAYS.INTL(F439,F439,1,FERIADOS!$A$2:$A$50)=0,0,MAX(0,(MIN(NOW(),INT(NOW())+18/24)-MAX(F439,INT(F439)+8/24)))*24),MAX(0,(INT(F439)+18/24-MAX(F439,INT(F439)+8/24)))*24*NETWORKDAYS.INTL(F439,F439,1,FERIADOS!$A$2:$A$50)+MAX(0,NETWORKDAYS.INTL(F439+1,NOW()-1,1,FERIADOS!$A$2:$A$50))*10+MAX(0,(MIN(NOW(),INT(NOW())+18/24)-(INT(NOW())+8/24)))*24*NETWORKDAYS.INTL(NOW(),NOW(),1,FERIADOS!$A$2:$A$50)))</f>
        <v/>
      </c>
      <c r="P439" s="1" t="str">
        <f t="shared" si="44"/>
        <v/>
      </c>
      <c r="Q439" s="1" t="str">
        <f t="shared" si="45"/>
        <v/>
      </c>
      <c r="R439" s="1" t="str">
        <f t="shared" si="46"/>
        <v/>
      </c>
      <c r="S439" s="1" t="str">
        <f>IF($A439="","",COUNTIF($N$2:N439,$N439))</f>
        <v/>
      </c>
      <c r="T439" s="1" t="str">
        <f t="shared" si="47"/>
        <v/>
      </c>
      <c r="U439" s="1" t="str">
        <f t="shared" si="48"/>
        <v/>
      </c>
      <c r="V439"/>
    </row>
    <row r="440" spans="13:22" x14ac:dyDescent="0.3">
      <c r="M440" s="1" t="str">
        <f t="shared" si="42"/>
        <v/>
      </c>
      <c r="N440" s="1" t="str">
        <f t="shared" si="43"/>
        <v/>
      </c>
      <c r="O440" s="1" t="str">
        <f ca="1">IF(F440="","",IF(INT(F440)=INT(NOW()),IF(NETWORKDAYS.INTL(F440,F440,1,FERIADOS!$A$2:$A$50)=0,0,MAX(0,(MIN(NOW(),INT(NOW())+18/24)-MAX(F440,INT(F440)+8/24)))*24),MAX(0,(INT(F440)+18/24-MAX(F440,INT(F440)+8/24)))*24*NETWORKDAYS.INTL(F440,F440,1,FERIADOS!$A$2:$A$50)+MAX(0,NETWORKDAYS.INTL(F440+1,NOW()-1,1,FERIADOS!$A$2:$A$50))*10+MAX(0,(MIN(NOW(),INT(NOW())+18/24)-(INT(NOW())+8/24)))*24*NETWORKDAYS.INTL(NOW(),NOW(),1,FERIADOS!$A$2:$A$50)))</f>
        <v/>
      </c>
      <c r="P440" s="1" t="str">
        <f t="shared" si="44"/>
        <v/>
      </c>
      <c r="Q440" s="1" t="str">
        <f t="shared" si="45"/>
        <v/>
      </c>
      <c r="R440" s="1" t="str">
        <f t="shared" si="46"/>
        <v/>
      </c>
      <c r="S440" s="1" t="str">
        <f>IF($A440="","",COUNTIF($N$2:N440,$N440))</f>
        <v/>
      </c>
      <c r="T440" s="1" t="str">
        <f t="shared" si="47"/>
        <v/>
      </c>
      <c r="U440" s="1" t="str">
        <f t="shared" si="48"/>
        <v/>
      </c>
      <c r="V440"/>
    </row>
    <row r="441" spans="13:22" x14ac:dyDescent="0.3">
      <c r="M441" s="1" t="str">
        <f t="shared" si="42"/>
        <v/>
      </c>
      <c r="N441" s="1" t="str">
        <f t="shared" si="43"/>
        <v/>
      </c>
      <c r="O441" s="1" t="str">
        <f ca="1">IF(F441="","",IF(INT(F441)=INT(NOW()),IF(NETWORKDAYS.INTL(F441,F441,1,FERIADOS!$A$2:$A$50)=0,0,MAX(0,(MIN(NOW(),INT(NOW())+18/24)-MAX(F441,INT(F441)+8/24)))*24),MAX(0,(INT(F441)+18/24-MAX(F441,INT(F441)+8/24)))*24*NETWORKDAYS.INTL(F441,F441,1,FERIADOS!$A$2:$A$50)+MAX(0,NETWORKDAYS.INTL(F441+1,NOW()-1,1,FERIADOS!$A$2:$A$50))*10+MAX(0,(MIN(NOW(),INT(NOW())+18/24)-(INT(NOW())+8/24)))*24*NETWORKDAYS.INTL(NOW(),NOW(),1,FERIADOS!$A$2:$A$50)))</f>
        <v/>
      </c>
      <c r="P441" s="1" t="str">
        <f t="shared" si="44"/>
        <v/>
      </c>
      <c r="Q441" s="1" t="str">
        <f t="shared" si="45"/>
        <v/>
      </c>
      <c r="R441" s="1" t="str">
        <f t="shared" si="46"/>
        <v/>
      </c>
      <c r="S441" s="1" t="str">
        <f>IF($A441="","",COUNTIF($N$2:N441,$N441))</f>
        <v/>
      </c>
      <c r="T441" s="1" t="str">
        <f t="shared" si="47"/>
        <v/>
      </c>
      <c r="U441" s="1" t="str">
        <f t="shared" si="48"/>
        <v/>
      </c>
      <c r="V441"/>
    </row>
    <row r="442" spans="13:22" x14ac:dyDescent="0.3">
      <c r="M442" s="1" t="str">
        <f t="shared" si="42"/>
        <v/>
      </c>
      <c r="N442" s="1" t="str">
        <f t="shared" si="43"/>
        <v/>
      </c>
      <c r="O442" s="1" t="str">
        <f ca="1">IF(F442="","",IF(INT(F442)=INT(NOW()),IF(NETWORKDAYS.INTL(F442,F442,1,FERIADOS!$A$2:$A$50)=0,0,MAX(0,(MIN(NOW(),INT(NOW())+18/24)-MAX(F442,INT(F442)+8/24)))*24),MAX(0,(INT(F442)+18/24-MAX(F442,INT(F442)+8/24)))*24*NETWORKDAYS.INTL(F442,F442,1,FERIADOS!$A$2:$A$50)+MAX(0,NETWORKDAYS.INTL(F442+1,NOW()-1,1,FERIADOS!$A$2:$A$50))*10+MAX(0,(MIN(NOW(),INT(NOW())+18/24)-(INT(NOW())+8/24)))*24*NETWORKDAYS.INTL(NOW(),NOW(),1,FERIADOS!$A$2:$A$50)))</f>
        <v/>
      </c>
      <c r="P442" s="1" t="str">
        <f t="shared" si="44"/>
        <v/>
      </c>
      <c r="Q442" s="1" t="str">
        <f t="shared" si="45"/>
        <v/>
      </c>
      <c r="R442" s="1" t="str">
        <f t="shared" si="46"/>
        <v/>
      </c>
      <c r="S442" s="1" t="str">
        <f>IF($A442="","",COUNTIF($N$2:N442,$N442))</f>
        <v/>
      </c>
      <c r="T442" s="1" t="str">
        <f t="shared" si="47"/>
        <v/>
      </c>
      <c r="U442" s="1" t="str">
        <f t="shared" si="48"/>
        <v/>
      </c>
      <c r="V442"/>
    </row>
    <row r="443" spans="13:22" x14ac:dyDescent="0.3">
      <c r="M443" s="1" t="str">
        <f t="shared" si="42"/>
        <v/>
      </c>
      <c r="N443" s="1" t="str">
        <f t="shared" si="43"/>
        <v/>
      </c>
      <c r="O443" s="1" t="str">
        <f ca="1">IF(F443="","",IF(INT(F443)=INT(NOW()),IF(NETWORKDAYS.INTL(F443,F443,1,FERIADOS!$A$2:$A$50)=0,0,MAX(0,(MIN(NOW(),INT(NOW())+18/24)-MAX(F443,INT(F443)+8/24)))*24),MAX(0,(INT(F443)+18/24-MAX(F443,INT(F443)+8/24)))*24*NETWORKDAYS.INTL(F443,F443,1,FERIADOS!$A$2:$A$50)+MAX(0,NETWORKDAYS.INTL(F443+1,NOW()-1,1,FERIADOS!$A$2:$A$50))*10+MAX(0,(MIN(NOW(),INT(NOW())+18/24)-(INT(NOW())+8/24)))*24*NETWORKDAYS.INTL(NOW(),NOW(),1,FERIADOS!$A$2:$A$50)))</f>
        <v/>
      </c>
      <c r="P443" s="1" t="str">
        <f t="shared" si="44"/>
        <v/>
      </c>
      <c r="Q443" s="1" t="str">
        <f t="shared" si="45"/>
        <v/>
      </c>
      <c r="R443" s="1" t="str">
        <f t="shared" si="46"/>
        <v/>
      </c>
      <c r="S443" s="1" t="str">
        <f>IF($A443="","",COUNTIF($N$2:N443,$N443))</f>
        <v/>
      </c>
      <c r="T443" s="1" t="str">
        <f t="shared" si="47"/>
        <v/>
      </c>
      <c r="U443" s="1" t="str">
        <f t="shared" si="48"/>
        <v/>
      </c>
      <c r="V443"/>
    </row>
    <row r="444" spans="13:22" x14ac:dyDescent="0.3">
      <c r="M444" s="1" t="str">
        <f t="shared" si="42"/>
        <v/>
      </c>
      <c r="N444" s="1" t="str">
        <f t="shared" si="43"/>
        <v/>
      </c>
      <c r="O444" s="1" t="str">
        <f ca="1">IF(F444="","",IF(INT(F444)=INT(NOW()),IF(NETWORKDAYS.INTL(F444,F444,1,FERIADOS!$A$2:$A$50)=0,0,MAX(0,(MIN(NOW(),INT(NOW())+18/24)-MAX(F444,INT(F444)+8/24)))*24),MAX(0,(INT(F444)+18/24-MAX(F444,INT(F444)+8/24)))*24*NETWORKDAYS.INTL(F444,F444,1,FERIADOS!$A$2:$A$50)+MAX(0,NETWORKDAYS.INTL(F444+1,NOW()-1,1,FERIADOS!$A$2:$A$50))*10+MAX(0,(MIN(NOW(),INT(NOW())+18/24)-(INT(NOW())+8/24)))*24*NETWORKDAYS.INTL(NOW(),NOW(),1,FERIADOS!$A$2:$A$50)))</f>
        <v/>
      </c>
      <c r="P444" s="1" t="str">
        <f t="shared" si="44"/>
        <v/>
      </c>
      <c r="Q444" s="1" t="str">
        <f t="shared" si="45"/>
        <v/>
      </c>
      <c r="R444" s="1" t="str">
        <f t="shared" si="46"/>
        <v/>
      </c>
      <c r="S444" s="1" t="str">
        <f>IF($A444="","",COUNTIF($N$2:N444,$N444))</f>
        <v/>
      </c>
      <c r="T444" s="1" t="str">
        <f t="shared" si="47"/>
        <v/>
      </c>
      <c r="U444" s="1" t="str">
        <f t="shared" si="48"/>
        <v/>
      </c>
      <c r="V444"/>
    </row>
    <row r="445" spans="13:22" x14ac:dyDescent="0.3">
      <c r="M445" s="1" t="str">
        <f t="shared" si="42"/>
        <v/>
      </c>
      <c r="N445" s="1" t="str">
        <f t="shared" si="43"/>
        <v/>
      </c>
      <c r="O445" s="1" t="str">
        <f ca="1">IF(F445="","",IF(INT(F445)=INT(NOW()),IF(NETWORKDAYS.INTL(F445,F445,1,FERIADOS!$A$2:$A$50)=0,0,MAX(0,(MIN(NOW(),INT(NOW())+18/24)-MAX(F445,INT(F445)+8/24)))*24),MAX(0,(INT(F445)+18/24-MAX(F445,INT(F445)+8/24)))*24*NETWORKDAYS.INTL(F445,F445,1,FERIADOS!$A$2:$A$50)+MAX(0,NETWORKDAYS.INTL(F445+1,NOW()-1,1,FERIADOS!$A$2:$A$50))*10+MAX(0,(MIN(NOW(),INT(NOW())+18/24)-(INT(NOW())+8/24)))*24*NETWORKDAYS.INTL(NOW(),NOW(),1,FERIADOS!$A$2:$A$50)))</f>
        <v/>
      </c>
      <c r="P445" s="1" t="str">
        <f t="shared" si="44"/>
        <v/>
      </c>
      <c r="Q445" s="1" t="str">
        <f t="shared" si="45"/>
        <v/>
      </c>
      <c r="R445" s="1" t="str">
        <f t="shared" si="46"/>
        <v/>
      </c>
      <c r="S445" s="1" t="str">
        <f>IF($A445="","",COUNTIF($N$2:N445,$N445))</f>
        <v/>
      </c>
      <c r="T445" s="1" t="str">
        <f t="shared" si="47"/>
        <v/>
      </c>
      <c r="U445" s="1" t="str">
        <f t="shared" si="48"/>
        <v/>
      </c>
      <c r="V445"/>
    </row>
    <row r="446" spans="13:22" x14ac:dyDescent="0.3">
      <c r="M446" s="1" t="str">
        <f t="shared" si="42"/>
        <v/>
      </c>
      <c r="N446" s="1" t="str">
        <f t="shared" si="43"/>
        <v/>
      </c>
      <c r="O446" s="1" t="str">
        <f ca="1">IF(F446="","",IF(INT(F446)=INT(NOW()),IF(NETWORKDAYS.INTL(F446,F446,1,FERIADOS!$A$2:$A$50)=0,0,MAX(0,(MIN(NOW(),INT(NOW())+18/24)-MAX(F446,INT(F446)+8/24)))*24),MAX(0,(INT(F446)+18/24-MAX(F446,INT(F446)+8/24)))*24*NETWORKDAYS.INTL(F446,F446,1,FERIADOS!$A$2:$A$50)+MAX(0,NETWORKDAYS.INTL(F446+1,NOW()-1,1,FERIADOS!$A$2:$A$50))*10+MAX(0,(MIN(NOW(),INT(NOW())+18/24)-(INT(NOW())+8/24)))*24*NETWORKDAYS.INTL(NOW(),NOW(),1,FERIADOS!$A$2:$A$50)))</f>
        <v/>
      </c>
      <c r="P446" s="1" t="str">
        <f t="shared" si="44"/>
        <v/>
      </c>
      <c r="Q446" s="1" t="str">
        <f t="shared" si="45"/>
        <v/>
      </c>
      <c r="R446" s="1" t="str">
        <f t="shared" si="46"/>
        <v/>
      </c>
      <c r="S446" s="1" t="str">
        <f>IF($A446="","",COUNTIF($N$2:N446,$N446))</f>
        <v/>
      </c>
      <c r="T446" s="1" t="str">
        <f t="shared" si="47"/>
        <v/>
      </c>
      <c r="U446" s="1" t="str">
        <f t="shared" si="48"/>
        <v/>
      </c>
      <c r="V446"/>
    </row>
    <row r="447" spans="13:22" x14ac:dyDescent="0.3">
      <c r="M447" s="1" t="str">
        <f t="shared" si="42"/>
        <v/>
      </c>
      <c r="N447" s="1" t="str">
        <f t="shared" si="43"/>
        <v/>
      </c>
      <c r="O447" s="1" t="str">
        <f ca="1">IF(F447="","",IF(INT(F447)=INT(NOW()),IF(NETWORKDAYS.INTL(F447,F447,1,FERIADOS!$A$2:$A$50)=0,0,MAX(0,(MIN(NOW(),INT(NOW())+18/24)-MAX(F447,INT(F447)+8/24)))*24),MAX(0,(INT(F447)+18/24-MAX(F447,INT(F447)+8/24)))*24*NETWORKDAYS.INTL(F447,F447,1,FERIADOS!$A$2:$A$50)+MAX(0,NETWORKDAYS.INTL(F447+1,NOW()-1,1,FERIADOS!$A$2:$A$50))*10+MAX(0,(MIN(NOW(),INT(NOW())+18/24)-(INT(NOW())+8/24)))*24*NETWORKDAYS.INTL(NOW(),NOW(),1,FERIADOS!$A$2:$A$50)))</f>
        <v/>
      </c>
      <c r="P447" s="1" t="str">
        <f t="shared" si="44"/>
        <v/>
      </c>
      <c r="Q447" s="1" t="str">
        <f t="shared" si="45"/>
        <v/>
      </c>
      <c r="R447" s="1" t="str">
        <f t="shared" si="46"/>
        <v/>
      </c>
      <c r="S447" s="1" t="str">
        <f>IF($A447="","",COUNTIF($N$2:N447,$N447))</f>
        <v/>
      </c>
      <c r="T447" s="1" t="str">
        <f t="shared" si="47"/>
        <v/>
      </c>
      <c r="U447" s="1" t="str">
        <f t="shared" si="48"/>
        <v/>
      </c>
      <c r="V447"/>
    </row>
    <row r="448" spans="13:22" x14ac:dyDescent="0.3">
      <c r="M448" s="1" t="str">
        <f t="shared" si="42"/>
        <v/>
      </c>
      <c r="N448" s="1" t="str">
        <f t="shared" si="43"/>
        <v/>
      </c>
      <c r="O448" s="1" t="str">
        <f ca="1">IF(F448="","",IF(INT(F448)=INT(NOW()),IF(NETWORKDAYS.INTL(F448,F448,1,FERIADOS!$A$2:$A$50)=0,0,MAX(0,(MIN(NOW(),INT(NOW())+18/24)-MAX(F448,INT(F448)+8/24)))*24),MAX(0,(INT(F448)+18/24-MAX(F448,INT(F448)+8/24)))*24*NETWORKDAYS.INTL(F448,F448,1,FERIADOS!$A$2:$A$50)+MAX(0,NETWORKDAYS.INTL(F448+1,NOW()-1,1,FERIADOS!$A$2:$A$50))*10+MAX(0,(MIN(NOW(),INT(NOW())+18/24)-(INT(NOW())+8/24)))*24*NETWORKDAYS.INTL(NOW(),NOW(),1,FERIADOS!$A$2:$A$50)))</f>
        <v/>
      </c>
      <c r="P448" s="1" t="str">
        <f t="shared" si="44"/>
        <v/>
      </c>
      <c r="Q448" s="1" t="str">
        <f t="shared" si="45"/>
        <v/>
      </c>
      <c r="R448" s="1" t="str">
        <f t="shared" si="46"/>
        <v/>
      </c>
      <c r="S448" s="1" t="str">
        <f>IF($A448="","",COUNTIF($N$2:N448,$N448))</f>
        <v/>
      </c>
      <c r="T448" s="1" t="str">
        <f t="shared" si="47"/>
        <v/>
      </c>
      <c r="U448" s="1" t="str">
        <f t="shared" si="48"/>
        <v/>
      </c>
      <c r="V448"/>
    </row>
    <row r="449" spans="13:22" x14ac:dyDescent="0.3">
      <c r="M449" s="1" t="str">
        <f t="shared" si="42"/>
        <v/>
      </c>
      <c r="N449" s="1" t="str">
        <f t="shared" si="43"/>
        <v/>
      </c>
      <c r="O449" s="1" t="str">
        <f ca="1">IF(F449="","",IF(INT(F449)=INT(NOW()),IF(NETWORKDAYS.INTL(F449,F449,1,FERIADOS!$A$2:$A$50)=0,0,MAX(0,(MIN(NOW(),INT(NOW())+18/24)-MAX(F449,INT(F449)+8/24)))*24),MAX(0,(INT(F449)+18/24-MAX(F449,INT(F449)+8/24)))*24*NETWORKDAYS.INTL(F449,F449,1,FERIADOS!$A$2:$A$50)+MAX(0,NETWORKDAYS.INTL(F449+1,NOW()-1,1,FERIADOS!$A$2:$A$50))*10+MAX(0,(MIN(NOW(),INT(NOW())+18/24)-(INT(NOW())+8/24)))*24*NETWORKDAYS.INTL(NOW(),NOW(),1,FERIADOS!$A$2:$A$50)))</f>
        <v/>
      </c>
      <c r="P449" s="1" t="str">
        <f t="shared" si="44"/>
        <v/>
      </c>
      <c r="Q449" s="1" t="str">
        <f t="shared" si="45"/>
        <v/>
      </c>
      <c r="R449" s="1" t="str">
        <f t="shared" si="46"/>
        <v/>
      </c>
      <c r="S449" s="1" t="str">
        <f>IF($A449="","",COUNTIF($N$2:N449,$N449))</f>
        <v/>
      </c>
      <c r="T449" s="1" t="str">
        <f t="shared" si="47"/>
        <v/>
      </c>
      <c r="U449" s="1" t="str">
        <f t="shared" si="48"/>
        <v/>
      </c>
      <c r="V449"/>
    </row>
    <row r="450" spans="13:22" x14ac:dyDescent="0.3">
      <c r="M450" s="1" t="str">
        <f t="shared" ref="M450:M513" si="49">IF($A450="","",IF($L450="MA",IF(OR(UPPER($K450)="SAO LUIS",UPPER($K450)="SÃO LUIS",UPPER($K450)="PACO DO LUMIAR",UPPER($K450)="PAÇO DO LUMIAR",UPPER($K450)="SAO JOSE DE RIBAMAR",UPPER($K450)="SÃO JOSÉ DE RIBAMAR"),"MA CAP","MA INT"),IF($L450="PA",IF(OR(UPPER($K450)="BELEM",UPPER($K450)="BELÉM",UPPER($K450)="ANANINDEUA"),"PA CAP","PA INT"),IF($L450="PI",IF(UPPER($K450)="TERESINA","PI CAP","PI INT"),IF($L450="AM","AM INT",IF($L450="AP","AP","OUTROS"))))))</f>
        <v/>
      </c>
      <c r="N450" s="1" t="str">
        <f t="shared" ref="N450:N513" si="50">IF($A450="","",IF($M450="PI CAP","GIGA+ PI",IF($M450="PI INT","GIGA+ PI",IF($M450="MA CAP","SLN MA",IF($M450="MA INT","GIGA+ MA",IF($M450="PA CAP","SLN PA",IF($M450="PA INT","SLN PA",IF($M450="AM INT","ADX",IF($M450="AP","ADX","OUTROS")))))))))</f>
        <v/>
      </c>
      <c r="O450" s="1" t="str">
        <f ca="1">IF(F450="","",IF(INT(F450)=INT(NOW()),IF(NETWORKDAYS.INTL(F450,F450,1,FERIADOS!$A$2:$A$50)=0,0,MAX(0,(MIN(NOW(),INT(NOW())+18/24)-MAX(F450,INT(F450)+8/24)))*24),MAX(0,(INT(F450)+18/24-MAX(F450,INT(F450)+8/24)))*24*NETWORKDAYS.INTL(F450,F450,1,FERIADOS!$A$2:$A$50)+MAX(0,NETWORKDAYS.INTL(F450+1,NOW()-1,1,FERIADOS!$A$2:$A$50))*10+MAX(0,(MIN(NOW(),INT(NOW())+18/24)-(INT(NOW())+8/24)))*24*NETWORKDAYS.INTL(NOW(),NOW(),1,FERIADOS!$A$2:$A$50)))</f>
        <v/>
      </c>
      <c r="P450" s="1" t="str">
        <f t="shared" ref="P450:P513" si="51">IF($A450="","",IF(OR(O450="",O450=0),"00h 00m",TEXT(INT(O450),"00") &amp; "h " &amp; TEXT(INT((O450-INT(O450))*60),"00") &amp; "m"))</f>
        <v/>
      </c>
      <c r="Q450" s="1" t="str">
        <f t="shared" ref="Q450:Q513" si="52">IF($A450="","",IF(OR(O450="",O450&lt;=4),"🔵 Até 4h",IF(O450&lt;=8,"🟢 Entre 4h e 8h",IF(O450&lt;=12,"🟡 Entre 8h e 12h",IF(O450&lt;=24,"🟠 Entre 12h e 24h","🔴 Maior que 24h")))))</f>
        <v/>
      </c>
      <c r="R450" s="1" t="str">
        <f t="shared" ref="R450:R513" si="53">IF($A450="","",IF(OR(O450="",O450&lt;=8),"NO PRAZO","FORA DO PRAZO"))</f>
        <v/>
      </c>
      <c r="S450" s="1" t="str">
        <f>IF($A450="","",COUNTIF($N$2:N450,$N450))</f>
        <v/>
      </c>
      <c r="T450" s="1" t="str">
        <f t="shared" ref="T450:T513" si="54">IF($A450="","",IF($N450="SLN MA",1,IF($N450="GIGA+ MA",2,IF($N450="GIGA+ PI",3,IF($N450="SLN PA",4,IF($N450="ADX",5,6))))))</f>
        <v/>
      </c>
      <c r="U450" s="1" t="str">
        <f t="shared" ref="U450:U513" si="55">IF($A450="","",$T450*10000+$S450)</f>
        <v/>
      </c>
      <c r="V450"/>
    </row>
    <row r="451" spans="13:22" x14ac:dyDescent="0.3">
      <c r="M451" s="1" t="str">
        <f t="shared" si="49"/>
        <v/>
      </c>
      <c r="N451" s="1" t="str">
        <f t="shared" si="50"/>
        <v/>
      </c>
      <c r="O451" s="1" t="str">
        <f ca="1">IF(F451="","",IF(INT(F451)=INT(NOW()),IF(NETWORKDAYS.INTL(F451,F451,1,FERIADOS!$A$2:$A$50)=0,0,MAX(0,(MIN(NOW(),INT(NOW())+18/24)-MAX(F451,INT(F451)+8/24)))*24),MAX(0,(INT(F451)+18/24-MAX(F451,INT(F451)+8/24)))*24*NETWORKDAYS.INTL(F451,F451,1,FERIADOS!$A$2:$A$50)+MAX(0,NETWORKDAYS.INTL(F451+1,NOW()-1,1,FERIADOS!$A$2:$A$50))*10+MAX(0,(MIN(NOW(),INT(NOW())+18/24)-(INT(NOW())+8/24)))*24*NETWORKDAYS.INTL(NOW(),NOW(),1,FERIADOS!$A$2:$A$50)))</f>
        <v/>
      </c>
      <c r="P451" s="1" t="str">
        <f t="shared" si="51"/>
        <v/>
      </c>
      <c r="Q451" s="1" t="str">
        <f t="shared" si="52"/>
        <v/>
      </c>
      <c r="R451" s="1" t="str">
        <f t="shared" si="53"/>
        <v/>
      </c>
      <c r="S451" s="1" t="str">
        <f>IF($A451="","",COUNTIF($N$2:N451,$N451))</f>
        <v/>
      </c>
      <c r="T451" s="1" t="str">
        <f t="shared" si="54"/>
        <v/>
      </c>
      <c r="U451" s="1" t="str">
        <f t="shared" si="55"/>
        <v/>
      </c>
      <c r="V451"/>
    </row>
    <row r="452" spans="13:22" x14ac:dyDescent="0.3">
      <c r="M452" s="1" t="str">
        <f t="shared" si="49"/>
        <v/>
      </c>
      <c r="N452" s="1" t="str">
        <f t="shared" si="50"/>
        <v/>
      </c>
      <c r="O452" s="1" t="str">
        <f ca="1">IF(F452="","",IF(INT(F452)=INT(NOW()),IF(NETWORKDAYS.INTL(F452,F452,1,FERIADOS!$A$2:$A$50)=0,0,MAX(0,(MIN(NOW(),INT(NOW())+18/24)-MAX(F452,INT(F452)+8/24)))*24),MAX(0,(INT(F452)+18/24-MAX(F452,INT(F452)+8/24)))*24*NETWORKDAYS.INTL(F452,F452,1,FERIADOS!$A$2:$A$50)+MAX(0,NETWORKDAYS.INTL(F452+1,NOW()-1,1,FERIADOS!$A$2:$A$50))*10+MAX(0,(MIN(NOW(),INT(NOW())+18/24)-(INT(NOW())+8/24)))*24*NETWORKDAYS.INTL(NOW(),NOW(),1,FERIADOS!$A$2:$A$50)))</f>
        <v/>
      </c>
      <c r="P452" s="1" t="str">
        <f t="shared" si="51"/>
        <v/>
      </c>
      <c r="Q452" s="1" t="str">
        <f t="shared" si="52"/>
        <v/>
      </c>
      <c r="R452" s="1" t="str">
        <f t="shared" si="53"/>
        <v/>
      </c>
      <c r="S452" s="1" t="str">
        <f>IF($A452="","",COUNTIF($N$2:N452,$N452))</f>
        <v/>
      </c>
      <c r="T452" s="1" t="str">
        <f t="shared" si="54"/>
        <v/>
      </c>
      <c r="U452" s="1" t="str">
        <f t="shared" si="55"/>
        <v/>
      </c>
      <c r="V452"/>
    </row>
    <row r="453" spans="13:22" x14ac:dyDescent="0.3">
      <c r="M453" s="1" t="str">
        <f t="shared" si="49"/>
        <v/>
      </c>
      <c r="N453" s="1" t="str">
        <f t="shared" si="50"/>
        <v/>
      </c>
      <c r="O453" s="1" t="str">
        <f ca="1">IF(F453="","",IF(INT(F453)=INT(NOW()),IF(NETWORKDAYS.INTL(F453,F453,1,FERIADOS!$A$2:$A$50)=0,0,MAX(0,(MIN(NOW(),INT(NOW())+18/24)-MAX(F453,INT(F453)+8/24)))*24),MAX(0,(INT(F453)+18/24-MAX(F453,INT(F453)+8/24)))*24*NETWORKDAYS.INTL(F453,F453,1,FERIADOS!$A$2:$A$50)+MAX(0,NETWORKDAYS.INTL(F453+1,NOW()-1,1,FERIADOS!$A$2:$A$50))*10+MAX(0,(MIN(NOW(),INT(NOW())+18/24)-(INT(NOW())+8/24)))*24*NETWORKDAYS.INTL(NOW(),NOW(),1,FERIADOS!$A$2:$A$50)))</f>
        <v/>
      </c>
      <c r="P453" s="1" t="str">
        <f t="shared" si="51"/>
        <v/>
      </c>
      <c r="Q453" s="1" t="str">
        <f t="shared" si="52"/>
        <v/>
      </c>
      <c r="R453" s="1" t="str">
        <f t="shared" si="53"/>
        <v/>
      </c>
      <c r="S453" s="1" t="str">
        <f>IF($A453="","",COUNTIF($N$2:N453,$N453))</f>
        <v/>
      </c>
      <c r="T453" s="1" t="str">
        <f t="shared" si="54"/>
        <v/>
      </c>
      <c r="U453" s="1" t="str">
        <f t="shared" si="55"/>
        <v/>
      </c>
      <c r="V453"/>
    </row>
    <row r="454" spans="13:22" x14ac:dyDescent="0.3">
      <c r="M454" s="1" t="str">
        <f t="shared" si="49"/>
        <v/>
      </c>
      <c r="N454" s="1" t="str">
        <f t="shared" si="50"/>
        <v/>
      </c>
      <c r="O454" s="1" t="str">
        <f ca="1">IF(F454="","",IF(INT(F454)=INT(NOW()),IF(NETWORKDAYS.INTL(F454,F454,1,FERIADOS!$A$2:$A$50)=0,0,MAX(0,(MIN(NOW(),INT(NOW())+18/24)-MAX(F454,INT(F454)+8/24)))*24),MAX(0,(INT(F454)+18/24-MAX(F454,INT(F454)+8/24)))*24*NETWORKDAYS.INTL(F454,F454,1,FERIADOS!$A$2:$A$50)+MAX(0,NETWORKDAYS.INTL(F454+1,NOW()-1,1,FERIADOS!$A$2:$A$50))*10+MAX(0,(MIN(NOW(),INT(NOW())+18/24)-(INT(NOW())+8/24)))*24*NETWORKDAYS.INTL(NOW(),NOW(),1,FERIADOS!$A$2:$A$50)))</f>
        <v/>
      </c>
      <c r="P454" s="1" t="str">
        <f t="shared" si="51"/>
        <v/>
      </c>
      <c r="Q454" s="1" t="str">
        <f t="shared" si="52"/>
        <v/>
      </c>
      <c r="R454" s="1" t="str">
        <f t="shared" si="53"/>
        <v/>
      </c>
      <c r="S454" s="1" t="str">
        <f>IF($A454="","",COUNTIF($N$2:N454,$N454))</f>
        <v/>
      </c>
      <c r="T454" s="1" t="str">
        <f t="shared" si="54"/>
        <v/>
      </c>
      <c r="U454" s="1" t="str">
        <f t="shared" si="55"/>
        <v/>
      </c>
      <c r="V454"/>
    </row>
    <row r="455" spans="13:22" x14ac:dyDescent="0.3">
      <c r="M455" s="1" t="str">
        <f t="shared" si="49"/>
        <v/>
      </c>
      <c r="N455" s="1" t="str">
        <f t="shared" si="50"/>
        <v/>
      </c>
      <c r="O455" s="1" t="str">
        <f ca="1">IF(F455="","",IF(INT(F455)=INT(NOW()),IF(NETWORKDAYS.INTL(F455,F455,1,FERIADOS!$A$2:$A$50)=0,0,MAX(0,(MIN(NOW(),INT(NOW())+18/24)-MAX(F455,INT(F455)+8/24)))*24),MAX(0,(INT(F455)+18/24-MAX(F455,INT(F455)+8/24)))*24*NETWORKDAYS.INTL(F455,F455,1,FERIADOS!$A$2:$A$50)+MAX(0,NETWORKDAYS.INTL(F455+1,NOW()-1,1,FERIADOS!$A$2:$A$50))*10+MAX(0,(MIN(NOW(),INT(NOW())+18/24)-(INT(NOW())+8/24)))*24*NETWORKDAYS.INTL(NOW(),NOW(),1,FERIADOS!$A$2:$A$50)))</f>
        <v/>
      </c>
      <c r="P455" s="1" t="str">
        <f t="shared" si="51"/>
        <v/>
      </c>
      <c r="Q455" s="1" t="str">
        <f t="shared" si="52"/>
        <v/>
      </c>
      <c r="R455" s="1" t="str">
        <f t="shared" si="53"/>
        <v/>
      </c>
      <c r="S455" s="1" t="str">
        <f>IF($A455="","",COUNTIF($N$2:N455,$N455))</f>
        <v/>
      </c>
      <c r="T455" s="1" t="str">
        <f t="shared" si="54"/>
        <v/>
      </c>
      <c r="U455" s="1" t="str">
        <f t="shared" si="55"/>
        <v/>
      </c>
      <c r="V455"/>
    </row>
    <row r="456" spans="13:22" x14ac:dyDescent="0.3">
      <c r="M456" s="1" t="str">
        <f t="shared" si="49"/>
        <v/>
      </c>
      <c r="N456" s="1" t="str">
        <f t="shared" si="50"/>
        <v/>
      </c>
      <c r="O456" s="1" t="str">
        <f ca="1">IF(F456="","",IF(INT(F456)=INT(NOW()),IF(NETWORKDAYS.INTL(F456,F456,1,FERIADOS!$A$2:$A$50)=0,0,MAX(0,(MIN(NOW(),INT(NOW())+18/24)-MAX(F456,INT(F456)+8/24)))*24),MAX(0,(INT(F456)+18/24-MAX(F456,INT(F456)+8/24)))*24*NETWORKDAYS.INTL(F456,F456,1,FERIADOS!$A$2:$A$50)+MAX(0,NETWORKDAYS.INTL(F456+1,NOW()-1,1,FERIADOS!$A$2:$A$50))*10+MAX(0,(MIN(NOW(),INT(NOW())+18/24)-(INT(NOW())+8/24)))*24*NETWORKDAYS.INTL(NOW(),NOW(),1,FERIADOS!$A$2:$A$50)))</f>
        <v/>
      </c>
      <c r="P456" s="1" t="str">
        <f t="shared" si="51"/>
        <v/>
      </c>
      <c r="Q456" s="1" t="str">
        <f t="shared" si="52"/>
        <v/>
      </c>
      <c r="R456" s="1" t="str">
        <f t="shared" si="53"/>
        <v/>
      </c>
      <c r="S456" s="1" t="str">
        <f>IF($A456="","",COUNTIF($N$2:N456,$N456))</f>
        <v/>
      </c>
      <c r="T456" s="1" t="str">
        <f t="shared" si="54"/>
        <v/>
      </c>
      <c r="U456" s="1" t="str">
        <f t="shared" si="55"/>
        <v/>
      </c>
      <c r="V456"/>
    </row>
    <row r="457" spans="13:22" x14ac:dyDescent="0.3">
      <c r="M457" s="1" t="str">
        <f t="shared" si="49"/>
        <v/>
      </c>
      <c r="N457" s="1" t="str">
        <f t="shared" si="50"/>
        <v/>
      </c>
      <c r="O457" s="1" t="str">
        <f ca="1">IF(F457="","",IF(INT(F457)=INT(NOW()),IF(NETWORKDAYS.INTL(F457,F457,1,FERIADOS!$A$2:$A$50)=0,0,MAX(0,(MIN(NOW(),INT(NOW())+18/24)-MAX(F457,INT(F457)+8/24)))*24),MAX(0,(INT(F457)+18/24-MAX(F457,INT(F457)+8/24)))*24*NETWORKDAYS.INTL(F457,F457,1,FERIADOS!$A$2:$A$50)+MAX(0,NETWORKDAYS.INTL(F457+1,NOW()-1,1,FERIADOS!$A$2:$A$50))*10+MAX(0,(MIN(NOW(),INT(NOW())+18/24)-(INT(NOW())+8/24)))*24*NETWORKDAYS.INTL(NOW(),NOW(),1,FERIADOS!$A$2:$A$50)))</f>
        <v/>
      </c>
      <c r="P457" s="1" t="str">
        <f t="shared" si="51"/>
        <v/>
      </c>
      <c r="Q457" s="1" t="str">
        <f t="shared" si="52"/>
        <v/>
      </c>
      <c r="R457" s="1" t="str">
        <f t="shared" si="53"/>
        <v/>
      </c>
      <c r="S457" s="1" t="str">
        <f>IF($A457="","",COUNTIF($N$2:N457,$N457))</f>
        <v/>
      </c>
      <c r="T457" s="1" t="str">
        <f t="shared" si="54"/>
        <v/>
      </c>
      <c r="U457" s="1" t="str">
        <f t="shared" si="55"/>
        <v/>
      </c>
      <c r="V457"/>
    </row>
    <row r="458" spans="13:22" x14ac:dyDescent="0.3">
      <c r="M458" s="1" t="str">
        <f t="shared" si="49"/>
        <v/>
      </c>
      <c r="N458" s="1" t="str">
        <f t="shared" si="50"/>
        <v/>
      </c>
      <c r="O458" s="1" t="str">
        <f ca="1">IF(F458="","",IF(INT(F458)=INT(NOW()),IF(NETWORKDAYS.INTL(F458,F458,1,FERIADOS!$A$2:$A$50)=0,0,MAX(0,(MIN(NOW(),INT(NOW())+18/24)-MAX(F458,INT(F458)+8/24)))*24),MAX(0,(INT(F458)+18/24-MAX(F458,INT(F458)+8/24)))*24*NETWORKDAYS.INTL(F458,F458,1,FERIADOS!$A$2:$A$50)+MAX(0,NETWORKDAYS.INTL(F458+1,NOW()-1,1,FERIADOS!$A$2:$A$50))*10+MAX(0,(MIN(NOW(),INT(NOW())+18/24)-(INT(NOW())+8/24)))*24*NETWORKDAYS.INTL(NOW(),NOW(),1,FERIADOS!$A$2:$A$50)))</f>
        <v/>
      </c>
      <c r="P458" s="1" t="str">
        <f t="shared" si="51"/>
        <v/>
      </c>
      <c r="Q458" s="1" t="str">
        <f t="shared" si="52"/>
        <v/>
      </c>
      <c r="R458" s="1" t="str">
        <f t="shared" si="53"/>
        <v/>
      </c>
      <c r="S458" s="1" t="str">
        <f>IF($A458="","",COUNTIF($N$2:N458,$N458))</f>
        <v/>
      </c>
      <c r="T458" s="1" t="str">
        <f t="shared" si="54"/>
        <v/>
      </c>
      <c r="U458" s="1" t="str">
        <f t="shared" si="55"/>
        <v/>
      </c>
      <c r="V458"/>
    </row>
    <row r="459" spans="13:22" x14ac:dyDescent="0.3">
      <c r="M459" s="1" t="str">
        <f t="shared" si="49"/>
        <v/>
      </c>
      <c r="N459" s="1" t="str">
        <f t="shared" si="50"/>
        <v/>
      </c>
      <c r="O459" s="1" t="str">
        <f ca="1">IF(F459="","",IF(INT(F459)=INT(NOW()),IF(NETWORKDAYS.INTL(F459,F459,1,FERIADOS!$A$2:$A$50)=0,0,MAX(0,(MIN(NOW(),INT(NOW())+18/24)-MAX(F459,INT(F459)+8/24)))*24),MAX(0,(INT(F459)+18/24-MAX(F459,INT(F459)+8/24)))*24*NETWORKDAYS.INTL(F459,F459,1,FERIADOS!$A$2:$A$50)+MAX(0,NETWORKDAYS.INTL(F459+1,NOW()-1,1,FERIADOS!$A$2:$A$50))*10+MAX(0,(MIN(NOW(),INT(NOW())+18/24)-(INT(NOW())+8/24)))*24*NETWORKDAYS.INTL(NOW(),NOW(),1,FERIADOS!$A$2:$A$50)))</f>
        <v/>
      </c>
      <c r="P459" s="1" t="str">
        <f t="shared" si="51"/>
        <v/>
      </c>
      <c r="Q459" s="1" t="str">
        <f t="shared" si="52"/>
        <v/>
      </c>
      <c r="R459" s="1" t="str">
        <f t="shared" si="53"/>
        <v/>
      </c>
      <c r="S459" s="1" t="str">
        <f>IF($A459="","",COUNTIF($N$2:N459,$N459))</f>
        <v/>
      </c>
      <c r="T459" s="1" t="str">
        <f t="shared" si="54"/>
        <v/>
      </c>
      <c r="U459" s="1" t="str">
        <f t="shared" si="55"/>
        <v/>
      </c>
      <c r="V459"/>
    </row>
    <row r="460" spans="13:22" x14ac:dyDescent="0.3">
      <c r="M460" s="1" t="str">
        <f t="shared" si="49"/>
        <v/>
      </c>
      <c r="N460" s="1" t="str">
        <f t="shared" si="50"/>
        <v/>
      </c>
      <c r="O460" s="1" t="str">
        <f ca="1">IF(F460="","",IF(INT(F460)=INT(NOW()),IF(NETWORKDAYS.INTL(F460,F460,1,FERIADOS!$A$2:$A$50)=0,0,MAX(0,(MIN(NOW(),INT(NOW())+18/24)-MAX(F460,INT(F460)+8/24)))*24),MAX(0,(INT(F460)+18/24-MAX(F460,INT(F460)+8/24)))*24*NETWORKDAYS.INTL(F460,F460,1,FERIADOS!$A$2:$A$50)+MAX(0,NETWORKDAYS.INTL(F460+1,NOW()-1,1,FERIADOS!$A$2:$A$50))*10+MAX(0,(MIN(NOW(),INT(NOW())+18/24)-(INT(NOW())+8/24)))*24*NETWORKDAYS.INTL(NOW(),NOW(),1,FERIADOS!$A$2:$A$50)))</f>
        <v/>
      </c>
      <c r="P460" s="1" t="str">
        <f t="shared" si="51"/>
        <v/>
      </c>
      <c r="Q460" s="1" t="str">
        <f t="shared" si="52"/>
        <v/>
      </c>
      <c r="R460" s="1" t="str">
        <f t="shared" si="53"/>
        <v/>
      </c>
      <c r="S460" s="1" t="str">
        <f>IF($A460="","",COUNTIF($N$2:N460,$N460))</f>
        <v/>
      </c>
      <c r="T460" s="1" t="str">
        <f t="shared" si="54"/>
        <v/>
      </c>
      <c r="U460" s="1" t="str">
        <f t="shared" si="55"/>
        <v/>
      </c>
      <c r="V460"/>
    </row>
    <row r="461" spans="13:22" x14ac:dyDescent="0.3">
      <c r="M461" s="1" t="str">
        <f t="shared" si="49"/>
        <v/>
      </c>
      <c r="N461" s="1" t="str">
        <f t="shared" si="50"/>
        <v/>
      </c>
      <c r="O461" s="1" t="str">
        <f ca="1">IF(F461="","",IF(INT(F461)=INT(NOW()),IF(NETWORKDAYS.INTL(F461,F461,1,FERIADOS!$A$2:$A$50)=0,0,MAX(0,(MIN(NOW(),INT(NOW())+18/24)-MAX(F461,INT(F461)+8/24)))*24),MAX(0,(INT(F461)+18/24-MAX(F461,INT(F461)+8/24)))*24*NETWORKDAYS.INTL(F461,F461,1,FERIADOS!$A$2:$A$50)+MAX(0,NETWORKDAYS.INTL(F461+1,NOW()-1,1,FERIADOS!$A$2:$A$50))*10+MAX(0,(MIN(NOW(),INT(NOW())+18/24)-(INT(NOW())+8/24)))*24*NETWORKDAYS.INTL(NOW(),NOW(),1,FERIADOS!$A$2:$A$50)))</f>
        <v/>
      </c>
      <c r="P461" s="1" t="str">
        <f t="shared" si="51"/>
        <v/>
      </c>
      <c r="Q461" s="1" t="str">
        <f t="shared" si="52"/>
        <v/>
      </c>
      <c r="R461" s="1" t="str">
        <f t="shared" si="53"/>
        <v/>
      </c>
      <c r="S461" s="1" t="str">
        <f>IF($A461="","",COUNTIF($N$2:N461,$N461))</f>
        <v/>
      </c>
      <c r="T461" s="1" t="str">
        <f t="shared" si="54"/>
        <v/>
      </c>
      <c r="U461" s="1" t="str">
        <f t="shared" si="55"/>
        <v/>
      </c>
      <c r="V461"/>
    </row>
    <row r="462" spans="13:22" x14ac:dyDescent="0.3">
      <c r="M462" s="1" t="str">
        <f t="shared" si="49"/>
        <v/>
      </c>
      <c r="N462" s="1" t="str">
        <f t="shared" si="50"/>
        <v/>
      </c>
      <c r="O462" s="1" t="str">
        <f ca="1">IF(F462="","",IF(INT(F462)=INT(NOW()),IF(NETWORKDAYS.INTL(F462,F462,1,FERIADOS!$A$2:$A$50)=0,0,MAX(0,(MIN(NOW(),INT(NOW())+18/24)-MAX(F462,INT(F462)+8/24)))*24),MAX(0,(INT(F462)+18/24-MAX(F462,INT(F462)+8/24)))*24*NETWORKDAYS.INTL(F462,F462,1,FERIADOS!$A$2:$A$50)+MAX(0,NETWORKDAYS.INTL(F462+1,NOW()-1,1,FERIADOS!$A$2:$A$50))*10+MAX(0,(MIN(NOW(),INT(NOW())+18/24)-(INT(NOW())+8/24)))*24*NETWORKDAYS.INTL(NOW(),NOW(),1,FERIADOS!$A$2:$A$50)))</f>
        <v/>
      </c>
      <c r="P462" s="1" t="str">
        <f t="shared" si="51"/>
        <v/>
      </c>
      <c r="Q462" s="1" t="str">
        <f t="shared" si="52"/>
        <v/>
      </c>
      <c r="R462" s="1" t="str">
        <f t="shared" si="53"/>
        <v/>
      </c>
      <c r="S462" s="1" t="str">
        <f>IF($A462="","",COUNTIF($N$2:N462,$N462))</f>
        <v/>
      </c>
      <c r="T462" s="1" t="str">
        <f t="shared" si="54"/>
        <v/>
      </c>
      <c r="U462" s="1" t="str">
        <f t="shared" si="55"/>
        <v/>
      </c>
      <c r="V462"/>
    </row>
    <row r="463" spans="13:22" x14ac:dyDescent="0.3">
      <c r="M463" s="1" t="str">
        <f t="shared" si="49"/>
        <v/>
      </c>
      <c r="N463" s="1" t="str">
        <f t="shared" si="50"/>
        <v/>
      </c>
      <c r="O463" s="1" t="str">
        <f ca="1">IF(F463="","",IF(INT(F463)=INT(NOW()),IF(NETWORKDAYS.INTL(F463,F463,1,FERIADOS!$A$2:$A$50)=0,0,MAX(0,(MIN(NOW(),INT(NOW())+18/24)-MAX(F463,INT(F463)+8/24)))*24),MAX(0,(INT(F463)+18/24-MAX(F463,INT(F463)+8/24)))*24*NETWORKDAYS.INTL(F463,F463,1,FERIADOS!$A$2:$A$50)+MAX(0,NETWORKDAYS.INTL(F463+1,NOW()-1,1,FERIADOS!$A$2:$A$50))*10+MAX(0,(MIN(NOW(),INT(NOW())+18/24)-(INT(NOW())+8/24)))*24*NETWORKDAYS.INTL(NOW(),NOW(),1,FERIADOS!$A$2:$A$50)))</f>
        <v/>
      </c>
      <c r="P463" s="1" t="str">
        <f t="shared" si="51"/>
        <v/>
      </c>
      <c r="Q463" s="1" t="str">
        <f t="shared" si="52"/>
        <v/>
      </c>
      <c r="R463" s="1" t="str">
        <f t="shared" si="53"/>
        <v/>
      </c>
      <c r="S463" s="1" t="str">
        <f>IF($A463="","",COUNTIF($N$2:N463,$N463))</f>
        <v/>
      </c>
      <c r="T463" s="1" t="str">
        <f t="shared" si="54"/>
        <v/>
      </c>
      <c r="U463" s="1" t="str">
        <f t="shared" si="55"/>
        <v/>
      </c>
      <c r="V463"/>
    </row>
    <row r="464" spans="13:22" x14ac:dyDescent="0.3">
      <c r="M464" s="1" t="str">
        <f t="shared" si="49"/>
        <v/>
      </c>
      <c r="N464" s="1" t="str">
        <f t="shared" si="50"/>
        <v/>
      </c>
      <c r="O464" s="1" t="str">
        <f ca="1">IF(F464="","",IF(INT(F464)=INT(NOW()),IF(NETWORKDAYS.INTL(F464,F464,1,FERIADOS!$A$2:$A$50)=0,0,MAX(0,(MIN(NOW(),INT(NOW())+18/24)-MAX(F464,INT(F464)+8/24)))*24),MAX(0,(INT(F464)+18/24-MAX(F464,INT(F464)+8/24)))*24*NETWORKDAYS.INTL(F464,F464,1,FERIADOS!$A$2:$A$50)+MAX(0,NETWORKDAYS.INTL(F464+1,NOW()-1,1,FERIADOS!$A$2:$A$50))*10+MAX(0,(MIN(NOW(),INT(NOW())+18/24)-(INT(NOW())+8/24)))*24*NETWORKDAYS.INTL(NOW(),NOW(),1,FERIADOS!$A$2:$A$50)))</f>
        <v/>
      </c>
      <c r="P464" s="1" t="str">
        <f t="shared" si="51"/>
        <v/>
      </c>
      <c r="Q464" s="1" t="str">
        <f t="shared" si="52"/>
        <v/>
      </c>
      <c r="R464" s="1" t="str">
        <f t="shared" si="53"/>
        <v/>
      </c>
      <c r="S464" s="1" t="str">
        <f>IF($A464="","",COUNTIF($N$2:N464,$N464))</f>
        <v/>
      </c>
      <c r="T464" s="1" t="str">
        <f t="shared" si="54"/>
        <v/>
      </c>
      <c r="U464" s="1" t="str">
        <f t="shared" si="55"/>
        <v/>
      </c>
      <c r="V464"/>
    </row>
    <row r="465" spans="13:22" x14ac:dyDescent="0.3">
      <c r="M465" s="1" t="str">
        <f t="shared" si="49"/>
        <v/>
      </c>
      <c r="N465" s="1" t="str">
        <f t="shared" si="50"/>
        <v/>
      </c>
      <c r="O465" s="1" t="str">
        <f ca="1">IF(F465="","",IF(INT(F465)=INT(NOW()),IF(NETWORKDAYS.INTL(F465,F465,1,FERIADOS!$A$2:$A$50)=0,0,MAX(0,(MIN(NOW(),INT(NOW())+18/24)-MAX(F465,INT(F465)+8/24)))*24),MAX(0,(INT(F465)+18/24-MAX(F465,INT(F465)+8/24)))*24*NETWORKDAYS.INTL(F465,F465,1,FERIADOS!$A$2:$A$50)+MAX(0,NETWORKDAYS.INTL(F465+1,NOW()-1,1,FERIADOS!$A$2:$A$50))*10+MAX(0,(MIN(NOW(),INT(NOW())+18/24)-(INT(NOW())+8/24)))*24*NETWORKDAYS.INTL(NOW(),NOW(),1,FERIADOS!$A$2:$A$50)))</f>
        <v/>
      </c>
      <c r="P465" s="1" t="str">
        <f t="shared" si="51"/>
        <v/>
      </c>
      <c r="Q465" s="1" t="str">
        <f t="shared" si="52"/>
        <v/>
      </c>
      <c r="R465" s="1" t="str">
        <f t="shared" si="53"/>
        <v/>
      </c>
      <c r="S465" s="1" t="str">
        <f>IF($A465="","",COUNTIF($N$2:N465,$N465))</f>
        <v/>
      </c>
      <c r="T465" s="1" t="str">
        <f t="shared" si="54"/>
        <v/>
      </c>
      <c r="U465" s="1" t="str">
        <f t="shared" si="55"/>
        <v/>
      </c>
      <c r="V465"/>
    </row>
    <row r="466" spans="13:22" x14ac:dyDescent="0.3">
      <c r="M466" s="1" t="str">
        <f t="shared" si="49"/>
        <v/>
      </c>
      <c r="N466" s="1" t="str">
        <f t="shared" si="50"/>
        <v/>
      </c>
      <c r="O466" s="1" t="str">
        <f ca="1">IF(F466="","",IF(INT(F466)=INT(NOW()),IF(NETWORKDAYS.INTL(F466,F466,1,FERIADOS!$A$2:$A$50)=0,0,MAX(0,(MIN(NOW(),INT(NOW())+18/24)-MAX(F466,INT(F466)+8/24)))*24),MAX(0,(INT(F466)+18/24-MAX(F466,INT(F466)+8/24)))*24*NETWORKDAYS.INTL(F466,F466,1,FERIADOS!$A$2:$A$50)+MAX(0,NETWORKDAYS.INTL(F466+1,NOW()-1,1,FERIADOS!$A$2:$A$50))*10+MAX(0,(MIN(NOW(),INT(NOW())+18/24)-(INT(NOW())+8/24)))*24*NETWORKDAYS.INTL(NOW(),NOW(),1,FERIADOS!$A$2:$A$50)))</f>
        <v/>
      </c>
      <c r="P466" s="1" t="str">
        <f t="shared" si="51"/>
        <v/>
      </c>
      <c r="Q466" s="1" t="str">
        <f t="shared" si="52"/>
        <v/>
      </c>
      <c r="R466" s="1" t="str">
        <f t="shared" si="53"/>
        <v/>
      </c>
      <c r="S466" s="1" t="str">
        <f>IF($A466="","",COUNTIF($N$2:N466,$N466))</f>
        <v/>
      </c>
      <c r="T466" s="1" t="str">
        <f t="shared" si="54"/>
        <v/>
      </c>
      <c r="U466" s="1" t="str">
        <f t="shared" si="55"/>
        <v/>
      </c>
      <c r="V466"/>
    </row>
    <row r="467" spans="13:22" x14ac:dyDescent="0.3">
      <c r="M467" s="1" t="str">
        <f t="shared" si="49"/>
        <v/>
      </c>
      <c r="N467" s="1" t="str">
        <f t="shared" si="50"/>
        <v/>
      </c>
      <c r="O467" s="1" t="str">
        <f ca="1">IF(F467="","",IF(INT(F467)=INT(NOW()),IF(NETWORKDAYS.INTL(F467,F467,1,FERIADOS!$A$2:$A$50)=0,0,MAX(0,(MIN(NOW(),INT(NOW())+18/24)-MAX(F467,INT(F467)+8/24)))*24),MAX(0,(INT(F467)+18/24-MAX(F467,INT(F467)+8/24)))*24*NETWORKDAYS.INTL(F467,F467,1,FERIADOS!$A$2:$A$50)+MAX(0,NETWORKDAYS.INTL(F467+1,NOW()-1,1,FERIADOS!$A$2:$A$50))*10+MAX(0,(MIN(NOW(),INT(NOW())+18/24)-(INT(NOW())+8/24)))*24*NETWORKDAYS.INTL(NOW(),NOW(),1,FERIADOS!$A$2:$A$50)))</f>
        <v/>
      </c>
      <c r="P467" s="1" t="str">
        <f t="shared" si="51"/>
        <v/>
      </c>
      <c r="Q467" s="1" t="str">
        <f t="shared" si="52"/>
        <v/>
      </c>
      <c r="R467" s="1" t="str">
        <f t="shared" si="53"/>
        <v/>
      </c>
      <c r="S467" s="1" t="str">
        <f>IF($A467="","",COUNTIF($N$2:N467,$N467))</f>
        <v/>
      </c>
      <c r="T467" s="1" t="str">
        <f t="shared" si="54"/>
        <v/>
      </c>
      <c r="U467" s="1" t="str">
        <f t="shared" si="55"/>
        <v/>
      </c>
      <c r="V467"/>
    </row>
    <row r="468" spans="13:22" x14ac:dyDescent="0.3">
      <c r="M468" s="1" t="str">
        <f t="shared" si="49"/>
        <v/>
      </c>
      <c r="N468" s="1" t="str">
        <f t="shared" si="50"/>
        <v/>
      </c>
      <c r="O468" s="1" t="str">
        <f ca="1">IF(F468="","",IF(INT(F468)=INT(NOW()),IF(NETWORKDAYS.INTL(F468,F468,1,FERIADOS!$A$2:$A$50)=0,0,MAX(0,(MIN(NOW(),INT(NOW())+18/24)-MAX(F468,INT(F468)+8/24)))*24),MAX(0,(INT(F468)+18/24-MAX(F468,INT(F468)+8/24)))*24*NETWORKDAYS.INTL(F468,F468,1,FERIADOS!$A$2:$A$50)+MAX(0,NETWORKDAYS.INTL(F468+1,NOW()-1,1,FERIADOS!$A$2:$A$50))*10+MAX(0,(MIN(NOW(),INT(NOW())+18/24)-(INT(NOW())+8/24)))*24*NETWORKDAYS.INTL(NOW(),NOW(),1,FERIADOS!$A$2:$A$50)))</f>
        <v/>
      </c>
      <c r="P468" s="1" t="str">
        <f t="shared" si="51"/>
        <v/>
      </c>
      <c r="Q468" s="1" t="str">
        <f t="shared" si="52"/>
        <v/>
      </c>
      <c r="R468" s="1" t="str">
        <f t="shared" si="53"/>
        <v/>
      </c>
      <c r="S468" s="1" t="str">
        <f>IF($A468="","",COUNTIF($N$2:N468,$N468))</f>
        <v/>
      </c>
      <c r="T468" s="1" t="str">
        <f t="shared" si="54"/>
        <v/>
      </c>
      <c r="U468" s="1" t="str">
        <f t="shared" si="55"/>
        <v/>
      </c>
      <c r="V468"/>
    </row>
    <row r="469" spans="13:22" x14ac:dyDescent="0.3">
      <c r="M469" s="1" t="str">
        <f t="shared" si="49"/>
        <v/>
      </c>
      <c r="N469" s="1" t="str">
        <f t="shared" si="50"/>
        <v/>
      </c>
      <c r="O469" s="1" t="str">
        <f ca="1">IF(F469="","",IF(INT(F469)=INT(NOW()),IF(NETWORKDAYS.INTL(F469,F469,1,FERIADOS!$A$2:$A$50)=0,0,MAX(0,(MIN(NOW(),INT(NOW())+18/24)-MAX(F469,INT(F469)+8/24)))*24),MAX(0,(INT(F469)+18/24-MAX(F469,INT(F469)+8/24)))*24*NETWORKDAYS.INTL(F469,F469,1,FERIADOS!$A$2:$A$50)+MAX(0,NETWORKDAYS.INTL(F469+1,NOW()-1,1,FERIADOS!$A$2:$A$50))*10+MAX(0,(MIN(NOW(),INT(NOW())+18/24)-(INT(NOW())+8/24)))*24*NETWORKDAYS.INTL(NOW(),NOW(),1,FERIADOS!$A$2:$A$50)))</f>
        <v/>
      </c>
      <c r="P469" s="1" t="str">
        <f t="shared" si="51"/>
        <v/>
      </c>
      <c r="Q469" s="1" t="str">
        <f t="shared" si="52"/>
        <v/>
      </c>
      <c r="R469" s="1" t="str">
        <f t="shared" si="53"/>
        <v/>
      </c>
      <c r="S469" s="1" t="str">
        <f>IF($A469="","",COUNTIF($N$2:N469,$N469))</f>
        <v/>
      </c>
      <c r="T469" s="1" t="str">
        <f t="shared" si="54"/>
        <v/>
      </c>
      <c r="U469" s="1" t="str">
        <f t="shared" si="55"/>
        <v/>
      </c>
      <c r="V469"/>
    </row>
    <row r="470" spans="13:22" x14ac:dyDescent="0.3">
      <c r="M470" s="1" t="str">
        <f t="shared" si="49"/>
        <v/>
      </c>
      <c r="N470" s="1" t="str">
        <f t="shared" si="50"/>
        <v/>
      </c>
      <c r="O470" s="1" t="str">
        <f ca="1">IF(F470="","",IF(INT(F470)=INT(NOW()),IF(NETWORKDAYS.INTL(F470,F470,1,FERIADOS!$A$2:$A$50)=0,0,MAX(0,(MIN(NOW(),INT(NOW())+18/24)-MAX(F470,INT(F470)+8/24)))*24),MAX(0,(INT(F470)+18/24-MAX(F470,INT(F470)+8/24)))*24*NETWORKDAYS.INTL(F470,F470,1,FERIADOS!$A$2:$A$50)+MAX(0,NETWORKDAYS.INTL(F470+1,NOW()-1,1,FERIADOS!$A$2:$A$50))*10+MAX(0,(MIN(NOW(),INT(NOW())+18/24)-(INT(NOW())+8/24)))*24*NETWORKDAYS.INTL(NOW(),NOW(),1,FERIADOS!$A$2:$A$50)))</f>
        <v/>
      </c>
      <c r="P470" s="1" t="str">
        <f t="shared" si="51"/>
        <v/>
      </c>
      <c r="Q470" s="1" t="str">
        <f t="shared" si="52"/>
        <v/>
      </c>
      <c r="R470" s="1" t="str">
        <f t="shared" si="53"/>
        <v/>
      </c>
      <c r="S470" s="1" t="str">
        <f>IF($A470="","",COUNTIF($N$2:N470,$N470))</f>
        <v/>
      </c>
      <c r="T470" s="1" t="str">
        <f t="shared" si="54"/>
        <v/>
      </c>
      <c r="U470" s="1" t="str">
        <f t="shared" si="55"/>
        <v/>
      </c>
      <c r="V470"/>
    </row>
    <row r="471" spans="13:22" x14ac:dyDescent="0.3">
      <c r="M471" s="1" t="str">
        <f t="shared" si="49"/>
        <v/>
      </c>
      <c r="N471" s="1" t="str">
        <f t="shared" si="50"/>
        <v/>
      </c>
      <c r="O471" s="1" t="str">
        <f ca="1">IF(F471="","",IF(INT(F471)=INT(NOW()),IF(NETWORKDAYS.INTL(F471,F471,1,FERIADOS!$A$2:$A$50)=0,0,MAX(0,(MIN(NOW(),INT(NOW())+18/24)-MAX(F471,INT(F471)+8/24)))*24),MAX(0,(INT(F471)+18/24-MAX(F471,INT(F471)+8/24)))*24*NETWORKDAYS.INTL(F471,F471,1,FERIADOS!$A$2:$A$50)+MAX(0,NETWORKDAYS.INTL(F471+1,NOW()-1,1,FERIADOS!$A$2:$A$50))*10+MAX(0,(MIN(NOW(),INT(NOW())+18/24)-(INT(NOW())+8/24)))*24*NETWORKDAYS.INTL(NOW(),NOW(),1,FERIADOS!$A$2:$A$50)))</f>
        <v/>
      </c>
      <c r="P471" s="1" t="str">
        <f t="shared" si="51"/>
        <v/>
      </c>
      <c r="Q471" s="1" t="str">
        <f t="shared" si="52"/>
        <v/>
      </c>
      <c r="R471" s="1" t="str">
        <f t="shared" si="53"/>
        <v/>
      </c>
      <c r="S471" s="1" t="str">
        <f>IF($A471="","",COUNTIF($N$2:N471,$N471))</f>
        <v/>
      </c>
      <c r="T471" s="1" t="str">
        <f t="shared" si="54"/>
        <v/>
      </c>
      <c r="U471" s="1" t="str">
        <f t="shared" si="55"/>
        <v/>
      </c>
      <c r="V471"/>
    </row>
    <row r="472" spans="13:22" x14ac:dyDescent="0.3">
      <c r="M472" s="1" t="str">
        <f t="shared" si="49"/>
        <v/>
      </c>
      <c r="N472" s="1" t="str">
        <f t="shared" si="50"/>
        <v/>
      </c>
      <c r="O472" s="1" t="str">
        <f ca="1">IF(F472="","",IF(INT(F472)=INT(NOW()),IF(NETWORKDAYS.INTL(F472,F472,1,FERIADOS!$A$2:$A$50)=0,0,MAX(0,(MIN(NOW(),INT(NOW())+18/24)-MAX(F472,INT(F472)+8/24)))*24),MAX(0,(INT(F472)+18/24-MAX(F472,INT(F472)+8/24)))*24*NETWORKDAYS.INTL(F472,F472,1,FERIADOS!$A$2:$A$50)+MAX(0,NETWORKDAYS.INTL(F472+1,NOW()-1,1,FERIADOS!$A$2:$A$50))*10+MAX(0,(MIN(NOW(),INT(NOW())+18/24)-(INT(NOW())+8/24)))*24*NETWORKDAYS.INTL(NOW(),NOW(),1,FERIADOS!$A$2:$A$50)))</f>
        <v/>
      </c>
      <c r="P472" s="1" t="str">
        <f t="shared" si="51"/>
        <v/>
      </c>
      <c r="Q472" s="1" t="str">
        <f t="shared" si="52"/>
        <v/>
      </c>
      <c r="R472" s="1" t="str">
        <f t="shared" si="53"/>
        <v/>
      </c>
      <c r="S472" s="1" t="str">
        <f>IF($A472="","",COUNTIF($N$2:N472,$N472))</f>
        <v/>
      </c>
      <c r="T472" s="1" t="str">
        <f t="shared" si="54"/>
        <v/>
      </c>
      <c r="U472" s="1" t="str">
        <f t="shared" si="55"/>
        <v/>
      </c>
      <c r="V472"/>
    </row>
    <row r="473" spans="13:22" x14ac:dyDescent="0.3">
      <c r="M473" s="1" t="str">
        <f t="shared" si="49"/>
        <v/>
      </c>
      <c r="N473" s="1" t="str">
        <f t="shared" si="50"/>
        <v/>
      </c>
      <c r="O473" s="1" t="str">
        <f ca="1">IF(F473="","",IF(INT(F473)=INT(NOW()),IF(NETWORKDAYS.INTL(F473,F473,1,FERIADOS!$A$2:$A$50)=0,0,MAX(0,(MIN(NOW(),INT(NOW())+18/24)-MAX(F473,INT(F473)+8/24)))*24),MAX(0,(INT(F473)+18/24-MAX(F473,INT(F473)+8/24)))*24*NETWORKDAYS.INTL(F473,F473,1,FERIADOS!$A$2:$A$50)+MAX(0,NETWORKDAYS.INTL(F473+1,NOW()-1,1,FERIADOS!$A$2:$A$50))*10+MAX(0,(MIN(NOW(),INT(NOW())+18/24)-(INT(NOW())+8/24)))*24*NETWORKDAYS.INTL(NOW(),NOW(),1,FERIADOS!$A$2:$A$50)))</f>
        <v/>
      </c>
      <c r="P473" s="1" t="str">
        <f t="shared" si="51"/>
        <v/>
      </c>
      <c r="Q473" s="1" t="str">
        <f t="shared" si="52"/>
        <v/>
      </c>
      <c r="R473" s="1" t="str">
        <f t="shared" si="53"/>
        <v/>
      </c>
      <c r="S473" s="1" t="str">
        <f>IF($A473="","",COUNTIF($N$2:N473,$N473))</f>
        <v/>
      </c>
      <c r="T473" s="1" t="str">
        <f t="shared" si="54"/>
        <v/>
      </c>
      <c r="U473" s="1" t="str">
        <f t="shared" si="55"/>
        <v/>
      </c>
      <c r="V473"/>
    </row>
    <row r="474" spans="13:22" x14ac:dyDescent="0.3">
      <c r="M474" s="1" t="str">
        <f t="shared" si="49"/>
        <v/>
      </c>
      <c r="N474" s="1" t="str">
        <f t="shared" si="50"/>
        <v/>
      </c>
      <c r="O474" s="1" t="str">
        <f ca="1">IF(F474="","",IF(INT(F474)=INT(NOW()),IF(NETWORKDAYS.INTL(F474,F474,1,FERIADOS!$A$2:$A$50)=0,0,MAX(0,(MIN(NOW(),INT(NOW())+18/24)-MAX(F474,INT(F474)+8/24)))*24),MAX(0,(INT(F474)+18/24-MAX(F474,INT(F474)+8/24)))*24*NETWORKDAYS.INTL(F474,F474,1,FERIADOS!$A$2:$A$50)+MAX(0,NETWORKDAYS.INTL(F474+1,NOW()-1,1,FERIADOS!$A$2:$A$50))*10+MAX(0,(MIN(NOW(),INT(NOW())+18/24)-(INT(NOW())+8/24)))*24*NETWORKDAYS.INTL(NOW(),NOW(),1,FERIADOS!$A$2:$A$50)))</f>
        <v/>
      </c>
      <c r="P474" s="1" t="str">
        <f t="shared" si="51"/>
        <v/>
      </c>
      <c r="Q474" s="1" t="str">
        <f t="shared" si="52"/>
        <v/>
      </c>
      <c r="R474" s="1" t="str">
        <f t="shared" si="53"/>
        <v/>
      </c>
      <c r="S474" s="1" t="str">
        <f>IF($A474="","",COUNTIF($N$2:N474,$N474))</f>
        <v/>
      </c>
      <c r="T474" s="1" t="str">
        <f t="shared" si="54"/>
        <v/>
      </c>
      <c r="U474" s="1" t="str">
        <f t="shared" si="55"/>
        <v/>
      </c>
      <c r="V474"/>
    </row>
    <row r="475" spans="13:22" x14ac:dyDescent="0.3">
      <c r="M475" s="1" t="str">
        <f t="shared" si="49"/>
        <v/>
      </c>
      <c r="N475" s="1" t="str">
        <f t="shared" si="50"/>
        <v/>
      </c>
      <c r="O475" s="1" t="str">
        <f ca="1">IF(F475="","",IF(INT(F475)=INT(NOW()),IF(NETWORKDAYS.INTL(F475,F475,1,FERIADOS!$A$2:$A$50)=0,0,MAX(0,(MIN(NOW(),INT(NOW())+18/24)-MAX(F475,INT(F475)+8/24)))*24),MAX(0,(INT(F475)+18/24-MAX(F475,INT(F475)+8/24)))*24*NETWORKDAYS.INTL(F475,F475,1,FERIADOS!$A$2:$A$50)+MAX(0,NETWORKDAYS.INTL(F475+1,NOW()-1,1,FERIADOS!$A$2:$A$50))*10+MAX(0,(MIN(NOW(),INT(NOW())+18/24)-(INT(NOW())+8/24)))*24*NETWORKDAYS.INTL(NOW(),NOW(),1,FERIADOS!$A$2:$A$50)))</f>
        <v/>
      </c>
      <c r="P475" s="1" t="str">
        <f t="shared" si="51"/>
        <v/>
      </c>
      <c r="Q475" s="1" t="str">
        <f t="shared" si="52"/>
        <v/>
      </c>
      <c r="R475" s="1" t="str">
        <f t="shared" si="53"/>
        <v/>
      </c>
      <c r="S475" s="1" t="str">
        <f>IF($A475="","",COUNTIF($N$2:N475,$N475))</f>
        <v/>
      </c>
      <c r="T475" s="1" t="str">
        <f t="shared" si="54"/>
        <v/>
      </c>
      <c r="U475" s="1" t="str">
        <f t="shared" si="55"/>
        <v/>
      </c>
      <c r="V475"/>
    </row>
    <row r="476" spans="13:22" x14ac:dyDescent="0.3">
      <c r="M476" s="1" t="str">
        <f t="shared" si="49"/>
        <v/>
      </c>
      <c r="N476" s="1" t="str">
        <f t="shared" si="50"/>
        <v/>
      </c>
      <c r="O476" s="1" t="str">
        <f ca="1">IF(F476="","",IF(INT(F476)=INT(NOW()),IF(NETWORKDAYS.INTL(F476,F476,1,FERIADOS!$A$2:$A$50)=0,0,MAX(0,(MIN(NOW(),INT(NOW())+18/24)-MAX(F476,INT(F476)+8/24)))*24),MAX(0,(INT(F476)+18/24-MAX(F476,INT(F476)+8/24)))*24*NETWORKDAYS.INTL(F476,F476,1,FERIADOS!$A$2:$A$50)+MAX(0,NETWORKDAYS.INTL(F476+1,NOW()-1,1,FERIADOS!$A$2:$A$50))*10+MAX(0,(MIN(NOW(),INT(NOW())+18/24)-(INT(NOW())+8/24)))*24*NETWORKDAYS.INTL(NOW(),NOW(),1,FERIADOS!$A$2:$A$50)))</f>
        <v/>
      </c>
      <c r="P476" s="1" t="str">
        <f t="shared" si="51"/>
        <v/>
      </c>
      <c r="Q476" s="1" t="str">
        <f t="shared" si="52"/>
        <v/>
      </c>
      <c r="R476" s="1" t="str">
        <f t="shared" si="53"/>
        <v/>
      </c>
      <c r="S476" s="1" t="str">
        <f>IF($A476="","",COUNTIF($N$2:N476,$N476))</f>
        <v/>
      </c>
      <c r="T476" s="1" t="str">
        <f t="shared" si="54"/>
        <v/>
      </c>
      <c r="U476" s="1" t="str">
        <f t="shared" si="55"/>
        <v/>
      </c>
      <c r="V476"/>
    </row>
    <row r="477" spans="13:22" x14ac:dyDescent="0.3">
      <c r="M477" s="1" t="str">
        <f t="shared" si="49"/>
        <v/>
      </c>
      <c r="N477" s="1" t="str">
        <f t="shared" si="50"/>
        <v/>
      </c>
      <c r="O477" s="1" t="str">
        <f ca="1">IF(F477="","",IF(INT(F477)=INT(NOW()),IF(NETWORKDAYS.INTL(F477,F477,1,FERIADOS!$A$2:$A$50)=0,0,MAX(0,(MIN(NOW(),INT(NOW())+18/24)-MAX(F477,INT(F477)+8/24)))*24),MAX(0,(INT(F477)+18/24-MAX(F477,INT(F477)+8/24)))*24*NETWORKDAYS.INTL(F477,F477,1,FERIADOS!$A$2:$A$50)+MAX(0,NETWORKDAYS.INTL(F477+1,NOW()-1,1,FERIADOS!$A$2:$A$50))*10+MAX(0,(MIN(NOW(),INT(NOW())+18/24)-(INT(NOW())+8/24)))*24*NETWORKDAYS.INTL(NOW(),NOW(),1,FERIADOS!$A$2:$A$50)))</f>
        <v/>
      </c>
      <c r="P477" s="1" t="str">
        <f t="shared" si="51"/>
        <v/>
      </c>
      <c r="Q477" s="1" t="str">
        <f t="shared" si="52"/>
        <v/>
      </c>
      <c r="R477" s="1" t="str">
        <f t="shared" si="53"/>
        <v/>
      </c>
      <c r="S477" s="1" t="str">
        <f>IF($A477="","",COUNTIF($N$2:N477,$N477))</f>
        <v/>
      </c>
      <c r="T477" s="1" t="str">
        <f t="shared" si="54"/>
        <v/>
      </c>
      <c r="U477" s="1" t="str">
        <f t="shared" si="55"/>
        <v/>
      </c>
      <c r="V477"/>
    </row>
    <row r="478" spans="13:22" x14ac:dyDescent="0.3">
      <c r="M478" s="1" t="str">
        <f t="shared" si="49"/>
        <v/>
      </c>
      <c r="N478" s="1" t="str">
        <f t="shared" si="50"/>
        <v/>
      </c>
      <c r="O478" s="1" t="str">
        <f ca="1">IF(F478="","",IF(INT(F478)=INT(NOW()),IF(NETWORKDAYS.INTL(F478,F478,1,FERIADOS!$A$2:$A$50)=0,0,MAX(0,(MIN(NOW(),INT(NOW())+18/24)-MAX(F478,INT(F478)+8/24)))*24),MAX(0,(INT(F478)+18/24-MAX(F478,INT(F478)+8/24)))*24*NETWORKDAYS.INTL(F478,F478,1,FERIADOS!$A$2:$A$50)+MAX(0,NETWORKDAYS.INTL(F478+1,NOW()-1,1,FERIADOS!$A$2:$A$50))*10+MAX(0,(MIN(NOW(),INT(NOW())+18/24)-(INT(NOW())+8/24)))*24*NETWORKDAYS.INTL(NOW(),NOW(),1,FERIADOS!$A$2:$A$50)))</f>
        <v/>
      </c>
      <c r="P478" s="1" t="str">
        <f t="shared" si="51"/>
        <v/>
      </c>
      <c r="Q478" s="1" t="str">
        <f t="shared" si="52"/>
        <v/>
      </c>
      <c r="R478" s="1" t="str">
        <f t="shared" si="53"/>
        <v/>
      </c>
      <c r="S478" s="1" t="str">
        <f>IF($A478="","",COUNTIF($N$2:N478,$N478))</f>
        <v/>
      </c>
      <c r="T478" s="1" t="str">
        <f t="shared" si="54"/>
        <v/>
      </c>
      <c r="U478" s="1" t="str">
        <f t="shared" si="55"/>
        <v/>
      </c>
      <c r="V478"/>
    </row>
    <row r="479" spans="13:22" x14ac:dyDescent="0.3">
      <c r="M479" s="1" t="str">
        <f t="shared" si="49"/>
        <v/>
      </c>
      <c r="N479" s="1" t="str">
        <f t="shared" si="50"/>
        <v/>
      </c>
      <c r="O479" s="1" t="str">
        <f ca="1">IF(F479="","",IF(INT(F479)=INT(NOW()),IF(NETWORKDAYS.INTL(F479,F479,1,FERIADOS!$A$2:$A$50)=0,0,MAX(0,(MIN(NOW(),INT(NOW())+18/24)-MAX(F479,INT(F479)+8/24)))*24),MAX(0,(INT(F479)+18/24-MAX(F479,INT(F479)+8/24)))*24*NETWORKDAYS.INTL(F479,F479,1,FERIADOS!$A$2:$A$50)+MAX(0,NETWORKDAYS.INTL(F479+1,NOW()-1,1,FERIADOS!$A$2:$A$50))*10+MAX(0,(MIN(NOW(),INT(NOW())+18/24)-(INT(NOW())+8/24)))*24*NETWORKDAYS.INTL(NOW(),NOW(),1,FERIADOS!$A$2:$A$50)))</f>
        <v/>
      </c>
      <c r="P479" s="1" t="str">
        <f t="shared" si="51"/>
        <v/>
      </c>
      <c r="Q479" s="1" t="str">
        <f t="shared" si="52"/>
        <v/>
      </c>
      <c r="R479" s="1" t="str">
        <f t="shared" si="53"/>
        <v/>
      </c>
      <c r="S479" s="1" t="str">
        <f>IF($A479="","",COUNTIF($N$2:N479,$N479))</f>
        <v/>
      </c>
      <c r="T479" s="1" t="str">
        <f t="shared" si="54"/>
        <v/>
      </c>
      <c r="U479" s="1" t="str">
        <f t="shared" si="55"/>
        <v/>
      </c>
      <c r="V479"/>
    </row>
    <row r="480" spans="13:22" x14ac:dyDescent="0.3">
      <c r="M480" s="1" t="str">
        <f t="shared" si="49"/>
        <v/>
      </c>
      <c r="N480" s="1" t="str">
        <f t="shared" si="50"/>
        <v/>
      </c>
      <c r="O480" s="1" t="str">
        <f ca="1">IF(F480="","",IF(INT(F480)=INT(NOW()),IF(NETWORKDAYS.INTL(F480,F480,1,FERIADOS!$A$2:$A$50)=0,0,MAX(0,(MIN(NOW(),INT(NOW())+18/24)-MAX(F480,INT(F480)+8/24)))*24),MAX(0,(INT(F480)+18/24-MAX(F480,INT(F480)+8/24)))*24*NETWORKDAYS.INTL(F480,F480,1,FERIADOS!$A$2:$A$50)+MAX(0,NETWORKDAYS.INTL(F480+1,NOW()-1,1,FERIADOS!$A$2:$A$50))*10+MAX(0,(MIN(NOW(),INT(NOW())+18/24)-(INT(NOW())+8/24)))*24*NETWORKDAYS.INTL(NOW(),NOW(),1,FERIADOS!$A$2:$A$50)))</f>
        <v/>
      </c>
      <c r="P480" s="1" t="str">
        <f t="shared" si="51"/>
        <v/>
      </c>
      <c r="Q480" s="1" t="str">
        <f t="shared" si="52"/>
        <v/>
      </c>
      <c r="R480" s="1" t="str">
        <f t="shared" si="53"/>
        <v/>
      </c>
      <c r="S480" s="1" t="str">
        <f>IF($A480="","",COUNTIF($N$2:N480,$N480))</f>
        <v/>
      </c>
      <c r="T480" s="1" t="str">
        <f t="shared" si="54"/>
        <v/>
      </c>
      <c r="U480" s="1" t="str">
        <f t="shared" si="55"/>
        <v/>
      </c>
      <c r="V480"/>
    </row>
    <row r="481" spans="13:22" x14ac:dyDescent="0.3">
      <c r="M481" s="1" t="str">
        <f t="shared" si="49"/>
        <v/>
      </c>
      <c r="N481" s="1" t="str">
        <f t="shared" si="50"/>
        <v/>
      </c>
      <c r="O481" s="1" t="str">
        <f ca="1">IF(F481="","",IF(INT(F481)=INT(NOW()),IF(NETWORKDAYS.INTL(F481,F481,1,FERIADOS!$A$2:$A$50)=0,0,MAX(0,(MIN(NOW(),INT(NOW())+18/24)-MAX(F481,INT(F481)+8/24)))*24),MAX(0,(INT(F481)+18/24-MAX(F481,INT(F481)+8/24)))*24*NETWORKDAYS.INTL(F481,F481,1,FERIADOS!$A$2:$A$50)+MAX(0,NETWORKDAYS.INTL(F481+1,NOW()-1,1,FERIADOS!$A$2:$A$50))*10+MAX(0,(MIN(NOW(),INT(NOW())+18/24)-(INT(NOW())+8/24)))*24*NETWORKDAYS.INTL(NOW(),NOW(),1,FERIADOS!$A$2:$A$50)))</f>
        <v/>
      </c>
      <c r="P481" s="1" t="str">
        <f t="shared" si="51"/>
        <v/>
      </c>
      <c r="Q481" s="1" t="str">
        <f t="shared" si="52"/>
        <v/>
      </c>
      <c r="R481" s="1" t="str">
        <f t="shared" si="53"/>
        <v/>
      </c>
      <c r="S481" s="1" t="str">
        <f>IF($A481="","",COUNTIF($N$2:N481,$N481))</f>
        <v/>
      </c>
      <c r="T481" s="1" t="str">
        <f t="shared" si="54"/>
        <v/>
      </c>
      <c r="U481" s="1" t="str">
        <f t="shared" si="55"/>
        <v/>
      </c>
      <c r="V481"/>
    </row>
    <row r="482" spans="13:22" x14ac:dyDescent="0.3">
      <c r="M482" s="1" t="str">
        <f t="shared" si="49"/>
        <v/>
      </c>
      <c r="N482" s="1" t="str">
        <f t="shared" si="50"/>
        <v/>
      </c>
      <c r="O482" s="1" t="str">
        <f ca="1">IF(F482="","",IF(INT(F482)=INT(NOW()),IF(NETWORKDAYS.INTL(F482,F482,1,FERIADOS!$A$2:$A$50)=0,0,MAX(0,(MIN(NOW(),INT(NOW())+18/24)-MAX(F482,INT(F482)+8/24)))*24),MAX(0,(INT(F482)+18/24-MAX(F482,INT(F482)+8/24)))*24*NETWORKDAYS.INTL(F482,F482,1,FERIADOS!$A$2:$A$50)+MAX(0,NETWORKDAYS.INTL(F482+1,NOW()-1,1,FERIADOS!$A$2:$A$50))*10+MAX(0,(MIN(NOW(),INT(NOW())+18/24)-(INT(NOW())+8/24)))*24*NETWORKDAYS.INTL(NOW(),NOW(),1,FERIADOS!$A$2:$A$50)))</f>
        <v/>
      </c>
      <c r="P482" s="1" t="str">
        <f t="shared" si="51"/>
        <v/>
      </c>
      <c r="Q482" s="1" t="str">
        <f t="shared" si="52"/>
        <v/>
      </c>
      <c r="R482" s="1" t="str">
        <f t="shared" si="53"/>
        <v/>
      </c>
      <c r="S482" s="1" t="str">
        <f>IF($A482="","",COUNTIF($N$2:N482,$N482))</f>
        <v/>
      </c>
      <c r="T482" s="1" t="str">
        <f t="shared" si="54"/>
        <v/>
      </c>
      <c r="U482" s="1" t="str">
        <f t="shared" si="55"/>
        <v/>
      </c>
      <c r="V482"/>
    </row>
    <row r="483" spans="13:22" x14ac:dyDescent="0.3">
      <c r="M483" s="1" t="str">
        <f t="shared" si="49"/>
        <v/>
      </c>
      <c r="N483" s="1" t="str">
        <f t="shared" si="50"/>
        <v/>
      </c>
      <c r="O483" s="1" t="str">
        <f ca="1">IF(F483="","",IF(INT(F483)=INT(NOW()),IF(NETWORKDAYS.INTL(F483,F483,1,FERIADOS!$A$2:$A$50)=0,0,MAX(0,(MIN(NOW(),INT(NOW())+18/24)-MAX(F483,INT(F483)+8/24)))*24),MAX(0,(INT(F483)+18/24-MAX(F483,INT(F483)+8/24)))*24*NETWORKDAYS.INTL(F483,F483,1,FERIADOS!$A$2:$A$50)+MAX(0,NETWORKDAYS.INTL(F483+1,NOW()-1,1,FERIADOS!$A$2:$A$50))*10+MAX(0,(MIN(NOW(),INT(NOW())+18/24)-(INT(NOW())+8/24)))*24*NETWORKDAYS.INTL(NOW(),NOW(),1,FERIADOS!$A$2:$A$50)))</f>
        <v/>
      </c>
      <c r="P483" s="1" t="str">
        <f t="shared" si="51"/>
        <v/>
      </c>
      <c r="Q483" s="1" t="str">
        <f t="shared" si="52"/>
        <v/>
      </c>
      <c r="R483" s="1" t="str">
        <f t="shared" si="53"/>
        <v/>
      </c>
      <c r="S483" s="1" t="str">
        <f>IF($A483="","",COUNTIF($N$2:N483,$N483))</f>
        <v/>
      </c>
      <c r="T483" s="1" t="str">
        <f t="shared" si="54"/>
        <v/>
      </c>
      <c r="U483" s="1" t="str">
        <f t="shared" si="55"/>
        <v/>
      </c>
      <c r="V483"/>
    </row>
    <row r="484" spans="13:22" x14ac:dyDescent="0.3">
      <c r="M484" s="1" t="str">
        <f t="shared" si="49"/>
        <v/>
      </c>
      <c r="N484" s="1" t="str">
        <f t="shared" si="50"/>
        <v/>
      </c>
      <c r="O484" s="1" t="str">
        <f ca="1">IF(F484="","",IF(INT(F484)=INT(NOW()),IF(NETWORKDAYS.INTL(F484,F484,1,FERIADOS!$A$2:$A$50)=0,0,MAX(0,(MIN(NOW(),INT(NOW())+18/24)-MAX(F484,INT(F484)+8/24)))*24),MAX(0,(INT(F484)+18/24-MAX(F484,INT(F484)+8/24)))*24*NETWORKDAYS.INTL(F484,F484,1,FERIADOS!$A$2:$A$50)+MAX(0,NETWORKDAYS.INTL(F484+1,NOW()-1,1,FERIADOS!$A$2:$A$50))*10+MAX(0,(MIN(NOW(),INT(NOW())+18/24)-(INT(NOW())+8/24)))*24*NETWORKDAYS.INTL(NOW(),NOW(),1,FERIADOS!$A$2:$A$50)))</f>
        <v/>
      </c>
      <c r="P484" s="1" t="str">
        <f t="shared" si="51"/>
        <v/>
      </c>
      <c r="Q484" s="1" t="str">
        <f t="shared" si="52"/>
        <v/>
      </c>
      <c r="R484" s="1" t="str">
        <f t="shared" si="53"/>
        <v/>
      </c>
      <c r="S484" s="1" t="str">
        <f>IF($A484="","",COUNTIF($N$2:N484,$N484))</f>
        <v/>
      </c>
      <c r="T484" s="1" t="str">
        <f t="shared" si="54"/>
        <v/>
      </c>
      <c r="U484" s="1" t="str">
        <f t="shared" si="55"/>
        <v/>
      </c>
      <c r="V484"/>
    </row>
    <row r="485" spans="13:22" x14ac:dyDescent="0.3">
      <c r="M485" s="1" t="str">
        <f t="shared" si="49"/>
        <v/>
      </c>
      <c r="N485" s="1" t="str">
        <f t="shared" si="50"/>
        <v/>
      </c>
      <c r="O485" s="1" t="str">
        <f ca="1">IF(F485="","",IF(INT(F485)=INT(NOW()),IF(NETWORKDAYS.INTL(F485,F485,1,FERIADOS!$A$2:$A$50)=0,0,MAX(0,(MIN(NOW(),INT(NOW())+18/24)-MAX(F485,INT(F485)+8/24)))*24),MAX(0,(INT(F485)+18/24-MAX(F485,INT(F485)+8/24)))*24*NETWORKDAYS.INTL(F485,F485,1,FERIADOS!$A$2:$A$50)+MAX(0,NETWORKDAYS.INTL(F485+1,NOW()-1,1,FERIADOS!$A$2:$A$50))*10+MAX(0,(MIN(NOW(),INT(NOW())+18/24)-(INT(NOW())+8/24)))*24*NETWORKDAYS.INTL(NOW(),NOW(),1,FERIADOS!$A$2:$A$50)))</f>
        <v/>
      </c>
      <c r="P485" s="1" t="str">
        <f t="shared" si="51"/>
        <v/>
      </c>
      <c r="Q485" s="1" t="str">
        <f t="shared" si="52"/>
        <v/>
      </c>
      <c r="R485" s="1" t="str">
        <f t="shared" si="53"/>
        <v/>
      </c>
      <c r="S485" s="1" t="str">
        <f>IF($A485="","",COUNTIF($N$2:N485,$N485))</f>
        <v/>
      </c>
      <c r="T485" s="1" t="str">
        <f t="shared" si="54"/>
        <v/>
      </c>
      <c r="U485" s="1" t="str">
        <f t="shared" si="55"/>
        <v/>
      </c>
      <c r="V485"/>
    </row>
    <row r="486" spans="13:22" x14ac:dyDescent="0.3">
      <c r="M486" s="1" t="str">
        <f t="shared" si="49"/>
        <v/>
      </c>
      <c r="N486" s="1" t="str">
        <f t="shared" si="50"/>
        <v/>
      </c>
      <c r="O486" s="1" t="str">
        <f ca="1">IF(F486="","",IF(INT(F486)=INT(NOW()),IF(NETWORKDAYS.INTL(F486,F486,1,FERIADOS!$A$2:$A$50)=0,0,MAX(0,(MIN(NOW(),INT(NOW())+18/24)-MAX(F486,INT(F486)+8/24)))*24),MAX(0,(INT(F486)+18/24-MAX(F486,INT(F486)+8/24)))*24*NETWORKDAYS.INTL(F486,F486,1,FERIADOS!$A$2:$A$50)+MAX(0,NETWORKDAYS.INTL(F486+1,NOW()-1,1,FERIADOS!$A$2:$A$50))*10+MAX(0,(MIN(NOW(),INT(NOW())+18/24)-(INT(NOW())+8/24)))*24*NETWORKDAYS.INTL(NOW(),NOW(),1,FERIADOS!$A$2:$A$50)))</f>
        <v/>
      </c>
      <c r="P486" s="1" t="str">
        <f t="shared" si="51"/>
        <v/>
      </c>
      <c r="Q486" s="1" t="str">
        <f t="shared" si="52"/>
        <v/>
      </c>
      <c r="R486" s="1" t="str">
        <f t="shared" si="53"/>
        <v/>
      </c>
      <c r="S486" s="1" t="str">
        <f>IF($A486="","",COUNTIF($N$2:N486,$N486))</f>
        <v/>
      </c>
      <c r="T486" s="1" t="str">
        <f t="shared" si="54"/>
        <v/>
      </c>
      <c r="U486" s="1" t="str">
        <f t="shared" si="55"/>
        <v/>
      </c>
      <c r="V486"/>
    </row>
    <row r="487" spans="13:22" x14ac:dyDescent="0.3">
      <c r="M487" s="1" t="str">
        <f t="shared" si="49"/>
        <v/>
      </c>
      <c r="N487" s="1" t="str">
        <f t="shared" si="50"/>
        <v/>
      </c>
      <c r="O487" s="1" t="str">
        <f ca="1">IF(F487="","",IF(INT(F487)=INT(NOW()),IF(NETWORKDAYS.INTL(F487,F487,1,FERIADOS!$A$2:$A$50)=0,0,MAX(0,(MIN(NOW(),INT(NOW())+18/24)-MAX(F487,INT(F487)+8/24)))*24),MAX(0,(INT(F487)+18/24-MAX(F487,INT(F487)+8/24)))*24*NETWORKDAYS.INTL(F487,F487,1,FERIADOS!$A$2:$A$50)+MAX(0,NETWORKDAYS.INTL(F487+1,NOW()-1,1,FERIADOS!$A$2:$A$50))*10+MAX(0,(MIN(NOW(),INT(NOW())+18/24)-(INT(NOW())+8/24)))*24*NETWORKDAYS.INTL(NOW(),NOW(),1,FERIADOS!$A$2:$A$50)))</f>
        <v/>
      </c>
      <c r="P487" s="1" t="str">
        <f t="shared" si="51"/>
        <v/>
      </c>
      <c r="Q487" s="1" t="str">
        <f t="shared" si="52"/>
        <v/>
      </c>
      <c r="R487" s="1" t="str">
        <f t="shared" si="53"/>
        <v/>
      </c>
      <c r="S487" s="1" t="str">
        <f>IF($A487="","",COUNTIF($N$2:N487,$N487))</f>
        <v/>
      </c>
      <c r="T487" s="1" t="str">
        <f t="shared" si="54"/>
        <v/>
      </c>
      <c r="U487" s="1" t="str">
        <f t="shared" si="55"/>
        <v/>
      </c>
      <c r="V487"/>
    </row>
    <row r="488" spans="13:22" x14ac:dyDescent="0.3">
      <c r="M488" s="1" t="str">
        <f t="shared" si="49"/>
        <v/>
      </c>
      <c r="N488" s="1" t="str">
        <f t="shared" si="50"/>
        <v/>
      </c>
      <c r="O488" s="1" t="str">
        <f ca="1">IF(F488="","",IF(INT(F488)=INT(NOW()),IF(NETWORKDAYS.INTL(F488,F488,1,FERIADOS!$A$2:$A$50)=0,0,MAX(0,(MIN(NOW(),INT(NOW())+18/24)-MAX(F488,INT(F488)+8/24)))*24),MAX(0,(INT(F488)+18/24-MAX(F488,INT(F488)+8/24)))*24*NETWORKDAYS.INTL(F488,F488,1,FERIADOS!$A$2:$A$50)+MAX(0,NETWORKDAYS.INTL(F488+1,NOW()-1,1,FERIADOS!$A$2:$A$50))*10+MAX(0,(MIN(NOW(),INT(NOW())+18/24)-(INT(NOW())+8/24)))*24*NETWORKDAYS.INTL(NOW(),NOW(),1,FERIADOS!$A$2:$A$50)))</f>
        <v/>
      </c>
      <c r="P488" s="1" t="str">
        <f t="shared" si="51"/>
        <v/>
      </c>
      <c r="Q488" s="1" t="str">
        <f t="shared" si="52"/>
        <v/>
      </c>
      <c r="R488" s="1" t="str">
        <f t="shared" si="53"/>
        <v/>
      </c>
      <c r="S488" s="1" t="str">
        <f>IF($A488="","",COUNTIF($N$2:N488,$N488))</f>
        <v/>
      </c>
      <c r="T488" s="1" t="str">
        <f t="shared" si="54"/>
        <v/>
      </c>
      <c r="U488" s="1" t="str">
        <f t="shared" si="55"/>
        <v/>
      </c>
      <c r="V488"/>
    </row>
    <row r="489" spans="13:22" x14ac:dyDescent="0.3">
      <c r="M489" s="1" t="str">
        <f t="shared" si="49"/>
        <v/>
      </c>
      <c r="N489" s="1" t="str">
        <f t="shared" si="50"/>
        <v/>
      </c>
      <c r="O489" s="1" t="str">
        <f ca="1">IF(F489="","",IF(INT(F489)=INT(NOW()),IF(NETWORKDAYS.INTL(F489,F489,1,FERIADOS!$A$2:$A$50)=0,0,MAX(0,(MIN(NOW(),INT(NOW())+18/24)-MAX(F489,INT(F489)+8/24)))*24),MAX(0,(INT(F489)+18/24-MAX(F489,INT(F489)+8/24)))*24*NETWORKDAYS.INTL(F489,F489,1,FERIADOS!$A$2:$A$50)+MAX(0,NETWORKDAYS.INTL(F489+1,NOW()-1,1,FERIADOS!$A$2:$A$50))*10+MAX(0,(MIN(NOW(),INT(NOW())+18/24)-(INT(NOW())+8/24)))*24*NETWORKDAYS.INTL(NOW(),NOW(),1,FERIADOS!$A$2:$A$50)))</f>
        <v/>
      </c>
      <c r="P489" s="1" t="str">
        <f t="shared" si="51"/>
        <v/>
      </c>
      <c r="Q489" s="1" t="str">
        <f t="shared" si="52"/>
        <v/>
      </c>
      <c r="R489" s="1" t="str">
        <f t="shared" si="53"/>
        <v/>
      </c>
      <c r="S489" s="1" t="str">
        <f>IF($A489="","",COUNTIF($N$2:N489,$N489))</f>
        <v/>
      </c>
      <c r="T489" s="1" t="str">
        <f t="shared" si="54"/>
        <v/>
      </c>
      <c r="U489" s="1" t="str">
        <f t="shared" si="55"/>
        <v/>
      </c>
      <c r="V489"/>
    </row>
    <row r="490" spans="13:22" x14ac:dyDescent="0.3">
      <c r="M490" s="1" t="str">
        <f t="shared" si="49"/>
        <v/>
      </c>
      <c r="N490" s="1" t="str">
        <f t="shared" si="50"/>
        <v/>
      </c>
      <c r="O490" s="1" t="str">
        <f ca="1">IF(F490="","",IF(INT(F490)=INT(NOW()),IF(NETWORKDAYS.INTL(F490,F490,1,FERIADOS!$A$2:$A$50)=0,0,MAX(0,(MIN(NOW(),INT(NOW())+18/24)-MAX(F490,INT(F490)+8/24)))*24),MAX(0,(INT(F490)+18/24-MAX(F490,INT(F490)+8/24)))*24*NETWORKDAYS.INTL(F490,F490,1,FERIADOS!$A$2:$A$50)+MAX(0,NETWORKDAYS.INTL(F490+1,NOW()-1,1,FERIADOS!$A$2:$A$50))*10+MAX(0,(MIN(NOW(),INT(NOW())+18/24)-(INT(NOW())+8/24)))*24*NETWORKDAYS.INTL(NOW(),NOW(),1,FERIADOS!$A$2:$A$50)))</f>
        <v/>
      </c>
      <c r="P490" s="1" t="str">
        <f t="shared" si="51"/>
        <v/>
      </c>
      <c r="Q490" s="1" t="str">
        <f t="shared" si="52"/>
        <v/>
      </c>
      <c r="R490" s="1" t="str">
        <f t="shared" si="53"/>
        <v/>
      </c>
      <c r="S490" s="1" t="str">
        <f>IF($A490="","",COUNTIF($N$2:N490,$N490))</f>
        <v/>
      </c>
      <c r="T490" s="1" t="str">
        <f t="shared" si="54"/>
        <v/>
      </c>
      <c r="U490" s="1" t="str">
        <f t="shared" si="55"/>
        <v/>
      </c>
      <c r="V490"/>
    </row>
    <row r="491" spans="13:22" x14ac:dyDescent="0.3">
      <c r="M491" s="1" t="str">
        <f t="shared" si="49"/>
        <v/>
      </c>
      <c r="N491" s="1" t="str">
        <f t="shared" si="50"/>
        <v/>
      </c>
      <c r="O491" s="1" t="str">
        <f ca="1">IF(F491="","",IF(INT(F491)=INT(NOW()),IF(NETWORKDAYS.INTL(F491,F491,1,FERIADOS!$A$2:$A$50)=0,0,MAX(0,(MIN(NOW(),INT(NOW())+18/24)-MAX(F491,INT(F491)+8/24)))*24),MAX(0,(INT(F491)+18/24-MAX(F491,INT(F491)+8/24)))*24*NETWORKDAYS.INTL(F491,F491,1,FERIADOS!$A$2:$A$50)+MAX(0,NETWORKDAYS.INTL(F491+1,NOW()-1,1,FERIADOS!$A$2:$A$50))*10+MAX(0,(MIN(NOW(),INT(NOW())+18/24)-(INT(NOW())+8/24)))*24*NETWORKDAYS.INTL(NOW(),NOW(),1,FERIADOS!$A$2:$A$50)))</f>
        <v/>
      </c>
      <c r="P491" s="1" t="str">
        <f t="shared" si="51"/>
        <v/>
      </c>
      <c r="Q491" s="1" t="str">
        <f t="shared" si="52"/>
        <v/>
      </c>
      <c r="R491" s="1" t="str">
        <f t="shared" si="53"/>
        <v/>
      </c>
      <c r="S491" s="1" t="str">
        <f>IF($A491="","",COUNTIF($N$2:N491,$N491))</f>
        <v/>
      </c>
      <c r="T491" s="1" t="str">
        <f t="shared" si="54"/>
        <v/>
      </c>
      <c r="U491" s="1" t="str">
        <f t="shared" si="55"/>
        <v/>
      </c>
      <c r="V491"/>
    </row>
    <row r="492" spans="13:22" x14ac:dyDescent="0.3">
      <c r="M492" s="1" t="str">
        <f t="shared" si="49"/>
        <v/>
      </c>
      <c r="N492" s="1" t="str">
        <f t="shared" si="50"/>
        <v/>
      </c>
      <c r="O492" s="1" t="str">
        <f ca="1">IF(F492="","",IF(INT(F492)=INT(NOW()),IF(NETWORKDAYS.INTL(F492,F492,1,FERIADOS!$A$2:$A$50)=0,0,MAX(0,(MIN(NOW(),INT(NOW())+18/24)-MAX(F492,INT(F492)+8/24)))*24),MAX(0,(INT(F492)+18/24-MAX(F492,INT(F492)+8/24)))*24*NETWORKDAYS.INTL(F492,F492,1,FERIADOS!$A$2:$A$50)+MAX(0,NETWORKDAYS.INTL(F492+1,NOW()-1,1,FERIADOS!$A$2:$A$50))*10+MAX(0,(MIN(NOW(),INT(NOW())+18/24)-(INT(NOW())+8/24)))*24*NETWORKDAYS.INTL(NOW(),NOW(),1,FERIADOS!$A$2:$A$50)))</f>
        <v/>
      </c>
      <c r="P492" s="1" t="str">
        <f t="shared" si="51"/>
        <v/>
      </c>
      <c r="Q492" s="1" t="str">
        <f t="shared" si="52"/>
        <v/>
      </c>
      <c r="R492" s="1" t="str">
        <f t="shared" si="53"/>
        <v/>
      </c>
      <c r="S492" s="1" t="str">
        <f>IF($A492="","",COUNTIF($N$2:N492,$N492))</f>
        <v/>
      </c>
      <c r="T492" s="1" t="str">
        <f t="shared" si="54"/>
        <v/>
      </c>
      <c r="U492" s="1" t="str">
        <f t="shared" si="55"/>
        <v/>
      </c>
      <c r="V492"/>
    </row>
    <row r="493" spans="13:22" x14ac:dyDescent="0.3">
      <c r="M493" s="1" t="str">
        <f t="shared" si="49"/>
        <v/>
      </c>
      <c r="N493" s="1" t="str">
        <f t="shared" si="50"/>
        <v/>
      </c>
      <c r="O493" s="1" t="str">
        <f ca="1">IF(F493="","",IF(INT(F493)=INT(NOW()),IF(NETWORKDAYS.INTL(F493,F493,1,FERIADOS!$A$2:$A$50)=0,0,MAX(0,(MIN(NOW(),INT(NOW())+18/24)-MAX(F493,INT(F493)+8/24)))*24),MAX(0,(INT(F493)+18/24-MAX(F493,INT(F493)+8/24)))*24*NETWORKDAYS.INTL(F493,F493,1,FERIADOS!$A$2:$A$50)+MAX(0,NETWORKDAYS.INTL(F493+1,NOW()-1,1,FERIADOS!$A$2:$A$50))*10+MAX(0,(MIN(NOW(),INT(NOW())+18/24)-(INT(NOW())+8/24)))*24*NETWORKDAYS.INTL(NOW(),NOW(),1,FERIADOS!$A$2:$A$50)))</f>
        <v/>
      </c>
      <c r="P493" s="1" t="str">
        <f t="shared" si="51"/>
        <v/>
      </c>
      <c r="Q493" s="1" t="str">
        <f t="shared" si="52"/>
        <v/>
      </c>
      <c r="R493" s="1" t="str">
        <f t="shared" si="53"/>
        <v/>
      </c>
      <c r="S493" s="1" t="str">
        <f>IF($A493="","",COUNTIF($N$2:N493,$N493))</f>
        <v/>
      </c>
      <c r="T493" s="1" t="str">
        <f t="shared" si="54"/>
        <v/>
      </c>
      <c r="U493" s="1" t="str">
        <f t="shared" si="55"/>
        <v/>
      </c>
      <c r="V493"/>
    </row>
    <row r="494" spans="13:22" x14ac:dyDescent="0.3">
      <c r="M494" s="1" t="str">
        <f t="shared" si="49"/>
        <v/>
      </c>
      <c r="N494" s="1" t="str">
        <f t="shared" si="50"/>
        <v/>
      </c>
      <c r="O494" s="1" t="str">
        <f ca="1">IF(F494="","",IF(INT(F494)=INT(NOW()),IF(NETWORKDAYS.INTL(F494,F494,1,FERIADOS!$A$2:$A$50)=0,0,MAX(0,(MIN(NOW(),INT(NOW())+18/24)-MAX(F494,INT(F494)+8/24)))*24),MAX(0,(INT(F494)+18/24-MAX(F494,INT(F494)+8/24)))*24*NETWORKDAYS.INTL(F494,F494,1,FERIADOS!$A$2:$A$50)+MAX(0,NETWORKDAYS.INTL(F494+1,NOW()-1,1,FERIADOS!$A$2:$A$50))*10+MAX(0,(MIN(NOW(),INT(NOW())+18/24)-(INT(NOW())+8/24)))*24*NETWORKDAYS.INTL(NOW(),NOW(),1,FERIADOS!$A$2:$A$50)))</f>
        <v/>
      </c>
      <c r="P494" s="1" t="str">
        <f t="shared" si="51"/>
        <v/>
      </c>
      <c r="Q494" s="1" t="str">
        <f t="shared" si="52"/>
        <v/>
      </c>
      <c r="R494" s="1" t="str">
        <f t="shared" si="53"/>
        <v/>
      </c>
      <c r="S494" s="1" t="str">
        <f>IF($A494="","",COUNTIF($N$2:N494,$N494))</f>
        <v/>
      </c>
      <c r="T494" s="1" t="str">
        <f t="shared" si="54"/>
        <v/>
      </c>
      <c r="U494" s="1" t="str">
        <f t="shared" si="55"/>
        <v/>
      </c>
      <c r="V494"/>
    </row>
    <row r="495" spans="13:22" x14ac:dyDescent="0.3">
      <c r="M495" s="1" t="str">
        <f t="shared" si="49"/>
        <v/>
      </c>
      <c r="N495" s="1" t="str">
        <f t="shared" si="50"/>
        <v/>
      </c>
      <c r="O495" s="1" t="str">
        <f ca="1">IF(F495="","",IF(INT(F495)=INT(NOW()),IF(NETWORKDAYS.INTL(F495,F495,1,FERIADOS!$A$2:$A$50)=0,0,MAX(0,(MIN(NOW(),INT(NOW())+18/24)-MAX(F495,INT(F495)+8/24)))*24),MAX(0,(INT(F495)+18/24-MAX(F495,INT(F495)+8/24)))*24*NETWORKDAYS.INTL(F495,F495,1,FERIADOS!$A$2:$A$50)+MAX(0,NETWORKDAYS.INTL(F495+1,NOW()-1,1,FERIADOS!$A$2:$A$50))*10+MAX(0,(MIN(NOW(),INT(NOW())+18/24)-(INT(NOW())+8/24)))*24*NETWORKDAYS.INTL(NOW(),NOW(),1,FERIADOS!$A$2:$A$50)))</f>
        <v/>
      </c>
      <c r="P495" s="1" t="str">
        <f t="shared" si="51"/>
        <v/>
      </c>
      <c r="Q495" s="1" t="str">
        <f t="shared" si="52"/>
        <v/>
      </c>
      <c r="R495" s="1" t="str">
        <f t="shared" si="53"/>
        <v/>
      </c>
      <c r="S495" s="1" t="str">
        <f>IF($A495="","",COUNTIF($N$2:N495,$N495))</f>
        <v/>
      </c>
      <c r="T495" s="1" t="str">
        <f t="shared" si="54"/>
        <v/>
      </c>
      <c r="U495" s="1" t="str">
        <f t="shared" si="55"/>
        <v/>
      </c>
      <c r="V495"/>
    </row>
    <row r="496" spans="13:22" x14ac:dyDescent="0.3">
      <c r="M496" s="1" t="str">
        <f t="shared" si="49"/>
        <v/>
      </c>
      <c r="N496" s="1" t="str">
        <f t="shared" si="50"/>
        <v/>
      </c>
      <c r="O496" s="1" t="str">
        <f ca="1">IF(F496="","",IF(INT(F496)=INT(NOW()),IF(NETWORKDAYS.INTL(F496,F496,1,FERIADOS!$A$2:$A$50)=0,0,MAX(0,(MIN(NOW(),INT(NOW())+18/24)-MAX(F496,INT(F496)+8/24)))*24),MAX(0,(INT(F496)+18/24-MAX(F496,INT(F496)+8/24)))*24*NETWORKDAYS.INTL(F496,F496,1,FERIADOS!$A$2:$A$50)+MAX(0,NETWORKDAYS.INTL(F496+1,NOW()-1,1,FERIADOS!$A$2:$A$50))*10+MAX(0,(MIN(NOW(),INT(NOW())+18/24)-(INT(NOW())+8/24)))*24*NETWORKDAYS.INTL(NOW(),NOW(),1,FERIADOS!$A$2:$A$50)))</f>
        <v/>
      </c>
      <c r="P496" s="1" t="str">
        <f t="shared" si="51"/>
        <v/>
      </c>
      <c r="Q496" s="1" t="str">
        <f t="shared" si="52"/>
        <v/>
      </c>
      <c r="R496" s="1" t="str">
        <f t="shared" si="53"/>
        <v/>
      </c>
      <c r="S496" s="1" t="str">
        <f>IF($A496="","",COUNTIF($N$2:N496,$N496))</f>
        <v/>
      </c>
      <c r="T496" s="1" t="str">
        <f t="shared" si="54"/>
        <v/>
      </c>
      <c r="U496" s="1" t="str">
        <f t="shared" si="55"/>
        <v/>
      </c>
      <c r="V496"/>
    </row>
    <row r="497" spans="13:22" x14ac:dyDescent="0.3">
      <c r="M497" s="1" t="str">
        <f t="shared" si="49"/>
        <v/>
      </c>
      <c r="N497" s="1" t="str">
        <f t="shared" si="50"/>
        <v/>
      </c>
      <c r="O497" s="1" t="str">
        <f ca="1">IF(F497="","",IF(INT(F497)=INT(NOW()),IF(NETWORKDAYS.INTL(F497,F497,1,FERIADOS!$A$2:$A$50)=0,0,MAX(0,(MIN(NOW(),INT(NOW())+18/24)-MAX(F497,INT(F497)+8/24)))*24),MAX(0,(INT(F497)+18/24-MAX(F497,INT(F497)+8/24)))*24*NETWORKDAYS.INTL(F497,F497,1,FERIADOS!$A$2:$A$50)+MAX(0,NETWORKDAYS.INTL(F497+1,NOW()-1,1,FERIADOS!$A$2:$A$50))*10+MAX(0,(MIN(NOW(),INT(NOW())+18/24)-(INT(NOW())+8/24)))*24*NETWORKDAYS.INTL(NOW(),NOW(),1,FERIADOS!$A$2:$A$50)))</f>
        <v/>
      </c>
      <c r="P497" s="1" t="str">
        <f t="shared" si="51"/>
        <v/>
      </c>
      <c r="Q497" s="1" t="str">
        <f t="shared" si="52"/>
        <v/>
      </c>
      <c r="R497" s="1" t="str">
        <f t="shared" si="53"/>
        <v/>
      </c>
      <c r="S497" s="1" t="str">
        <f>IF($A497="","",COUNTIF($N$2:N497,$N497))</f>
        <v/>
      </c>
      <c r="T497" s="1" t="str">
        <f t="shared" si="54"/>
        <v/>
      </c>
      <c r="U497" s="1" t="str">
        <f t="shared" si="55"/>
        <v/>
      </c>
      <c r="V497"/>
    </row>
    <row r="498" spans="13:22" x14ac:dyDescent="0.3">
      <c r="M498" s="1" t="str">
        <f t="shared" si="49"/>
        <v/>
      </c>
      <c r="N498" s="1" t="str">
        <f t="shared" si="50"/>
        <v/>
      </c>
      <c r="O498" s="1" t="str">
        <f ca="1">IF(F498="","",IF(INT(F498)=INT(NOW()),IF(NETWORKDAYS.INTL(F498,F498,1,FERIADOS!$A$2:$A$50)=0,0,MAX(0,(MIN(NOW(),INT(NOW())+18/24)-MAX(F498,INT(F498)+8/24)))*24),MAX(0,(INT(F498)+18/24-MAX(F498,INT(F498)+8/24)))*24*NETWORKDAYS.INTL(F498,F498,1,FERIADOS!$A$2:$A$50)+MAX(0,NETWORKDAYS.INTL(F498+1,NOW()-1,1,FERIADOS!$A$2:$A$50))*10+MAX(0,(MIN(NOW(),INT(NOW())+18/24)-(INT(NOW())+8/24)))*24*NETWORKDAYS.INTL(NOW(),NOW(),1,FERIADOS!$A$2:$A$50)))</f>
        <v/>
      </c>
      <c r="P498" s="1" t="str">
        <f t="shared" si="51"/>
        <v/>
      </c>
      <c r="Q498" s="1" t="str">
        <f t="shared" si="52"/>
        <v/>
      </c>
      <c r="R498" s="1" t="str">
        <f t="shared" si="53"/>
        <v/>
      </c>
      <c r="S498" s="1" t="str">
        <f>IF($A498="","",COUNTIF($N$2:N498,$N498))</f>
        <v/>
      </c>
      <c r="T498" s="1" t="str">
        <f t="shared" si="54"/>
        <v/>
      </c>
      <c r="U498" s="1" t="str">
        <f t="shared" si="55"/>
        <v/>
      </c>
      <c r="V498"/>
    </row>
    <row r="499" spans="13:22" x14ac:dyDescent="0.3">
      <c r="M499" s="1" t="str">
        <f t="shared" si="49"/>
        <v/>
      </c>
      <c r="N499" s="1" t="str">
        <f t="shared" si="50"/>
        <v/>
      </c>
      <c r="O499" s="1" t="str">
        <f ca="1">IF(F499="","",IF(INT(F499)=INT(NOW()),IF(NETWORKDAYS.INTL(F499,F499,1,FERIADOS!$A$2:$A$50)=0,0,MAX(0,(MIN(NOW(),INT(NOW())+18/24)-MAX(F499,INT(F499)+8/24)))*24),MAX(0,(INT(F499)+18/24-MAX(F499,INT(F499)+8/24)))*24*NETWORKDAYS.INTL(F499,F499,1,FERIADOS!$A$2:$A$50)+MAX(0,NETWORKDAYS.INTL(F499+1,NOW()-1,1,FERIADOS!$A$2:$A$50))*10+MAX(0,(MIN(NOW(),INT(NOW())+18/24)-(INT(NOW())+8/24)))*24*NETWORKDAYS.INTL(NOW(),NOW(),1,FERIADOS!$A$2:$A$50)))</f>
        <v/>
      </c>
      <c r="P499" s="1" t="str">
        <f t="shared" si="51"/>
        <v/>
      </c>
      <c r="Q499" s="1" t="str">
        <f t="shared" si="52"/>
        <v/>
      </c>
      <c r="R499" s="1" t="str">
        <f t="shared" si="53"/>
        <v/>
      </c>
      <c r="S499" s="1" t="str">
        <f>IF($A499="","",COUNTIF($N$2:N499,$N499))</f>
        <v/>
      </c>
      <c r="T499" s="1" t="str">
        <f t="shared" si="54"/>
        <v/>
      </c>
      <c r="U499" s="1" t="str">
        <f t="shared" si="55"/>
        <v/>
      </c>
      <c r="V499"/>
    </row>
    <row r="500" spans="13:22" x14ac:dyDescent="0.3">
      <c r="M500" s="1" t="str">
        <f t="shared" si="49"/>
        <v/>
      </c>
      <c r="N500" s="1" t="str">
        <f t="shared" si="50"/>
        <v/>
      </c>
      <c r="O500" s="1" t="str">
        <f ca="1">IF(F500="","",IF(INT(F500)=INT(NOW()),IF(NETWORKDAYS.INTL(F500,F500,1,FERIADOS!$A$2:$A$50)=0,0,MAX(0,(MIN(NOW(),INT(NOW())+18/24)-MAX(F500,INT(F500)+8/24)))*24),MAX(0,(INT(F500)+18/24-MAX(F500,INT(F500)+8/24)))*24*NETWORKDAYS.INTL(F500,F500,1,FERIADOS!$A$2:$A$50)+MAX(0,NETWORKDAYS.INTL(F500+1,NOW()-1,1,FERIADOS!$A$2:$A$50))*10+MAX(0,(MIN(NOW(),INT(NOW())+18/24)-(INT(NOW())+8/24)))*24*NETWORKDAYS.INTL(NOW(),NOW(),1,FERIADOS!$A$2:$A$50)))</f>
        <v/>
      </c>
      <c r="P500" s="1" t="str">
        <f t="shared" si="51"/>
        <v/>
      </c>
      <c r="Q500" s="1" t="str">
        <f t="shared" si="52"/>
        <v/>
      </c>
      <c r="R500" s="1" t="str">
        <f t="shared" si="53"/>
        <v/>
      </c>
      <c r="S500" s="1" t="str">
        <f>IF($A500="","",COUNTIF($N$2:N500,$N500))</f>
        <v/>
      </c>
      <c r="T500" s="1" t="str">
        <f t="shared" si="54"/>
        <v/>
      </c>
      <c r="U500" s="1" t="str">
        <f t="shared" si="55"/>
        <v/>
      </c>
      <c r="V500"/>
    </row>
    <row r="501" spans="13:22" x14ac:dyDescent="0.3">
      <c r="M501" s="1" t="str">
        <f t="shared" si="49"/>
        <v/>
      </c>
      <c r="N501" s="1" t="str">
        <f t="shared" si="50"/>
        <v/>
      </c>
      <c r="O501" s="1" t="str">
        <f ca="1">IF(F501="","",IF(INT(F501)=INT(NOW()),IF(NETWORKDAYS.INTL(F501,F501,1,FERIADOS!$A$2:$A$50)=0,0,MAX(0,(MIN(NOW(),INT(NOW())+18/24)-MAX(F501,INT(F501)+8/24)))*24),MAX(0,(INT(F501)+18/24-MAX(F501,INT(F501)+8/24)))*24*NETWORKDAYS.INTL(F501,F501,1,FERIADOS!$A$2:$A$50)+MAX(0,NETWORKDAYS.INTL(F501+1,NOW()-1,1,FERIADOS!$A$2:$A$50))*10+MAX(0,(MIN(NOW(),INT(NOW())+18/24)-(INT(NOW())+8/24)))*24*NETWORKDAYS.INTL(NOW(),NOW(),1,FERIADOS!$A$2:$A$50)))</f>
        <v/>
      </c>
      <c r="P501" s="1" t="str">
        <f t="shared" si="51"/>
        <v/>
      </c>
      <c r="Q501" s="1" t="str">
        <f t="shared" si="52"/>
        <v/>
      </c>
      <c r="R501" s="1" t="str">
        <f t="shared" si="53"/>
        <v/>
      </c>
      <c r="S501" s="1" t="str">
        <f>IF($A501="","",COUNTIF($N$2:N501,$N501))</f>
        <v/>
      </c>
      <c r="T501" s="1" t="str">
        <f t="shared" si="54"/>
        <v/>
      </c>
      <c r="U501" s="1" t="str">
        <f t="shared" si="55"/>
        <v/>
      </c>
      <c r="V501"/>
    </row>
    <row r="502" spans="13:22" x14ac:dyDescent="0.3">
      <c r="M502" s="1" t="str">
        <f t="shared" si="49"/>
        <v/>
      </c>
      <c r="N502" s="1" t="str">
        <f t="shared" si="50"/>
        <v/>
      </c>
      <c r="O502" s="1" t="str">
        <f ca="1">IF(F502="","",IF(INT(F502)=INT(NOW()),IF(NETWORKDAYS.INTL(F502,F502,1,FERIADOS!$A$2:$A$50)=0,0,MAX(0,(MIN(NOW(),INT(NOW())+18/24)-MAX(F502,INT(F502)+8/24)))*24),MAX(0,(INT(F502)+18/24-MAX(F502,INT(F502)+8/24)))*24*NETWORKDAYS.INTL(F502,F502,1,FERIADOS!$A$2:$A$50)+MAX(0,NETWORKDAYS.INTL(F502+1,NOW()-1,1,FERIADOS!$A$2:$A$50))*10+MAX(0,(MIN(NOW(),INT(NOW())+18/24)-(INT(NOW())+8/24)))*24*NETWORKDAYS.INTL(NOW(),NOW(),1,FERIADOS!$A$2:$A$50)))</f>
        <v/>
      </c>
      <c r="P502" s="1" t="str">
        <f t="shared" si="51"/>
        <v/>
      </c>
      <c r="Q502" s="1" t="str">
        <f t="shared" si="52"/>
        <v/>
      </c>
      <c r="R502" s="1" t="str">
        <f t="shared" si="53"/>
        <v/>
      </c>
      <c r="S502" s="1" t="str">
        <f>IF($A502="","",COUNTIF($N$2:N502,$N502))</f>
        <v/>
      </c>
      <c r="T502" s="1" t="str">
        <f t="shared" si="54"/>
        <v/>
      </c>
      <c r="U502" s="1" t="str">
        <f t="shared" si="55"/>
        <v/>
      </c>
      <c r="V502"/>
    </row>
    <row r="503" spans="13:22" x14ac:dyDescent="0.3">
      <c r="M503" s="1" t="str">
        <f t="shared" si="49"/>
        <v/>
      </c>
      <c r="N503" s="1" t="str">
        <f t="shared" si="50"/>
        <v/>
      </c>
      <c r="O503" s="1" t="str">
        <f ca="1">IF(F503="","",IF(INT(F503)=INT(NOW()),IF(NETWORKDAYS.INTL(F503,F503,1,FERIADOS!$A$2:$A$50)=0,0,MAX(0,(MIN(NOW(),INT(NOW())+18/24)-MAX(F503,INT(F503)+8/24)))*24),MAX(0,(INT(F503)+18/24-MAX(F503,INT(F503)+8/24)))*24*NETWORKDAYS.INTL(F503,F503,1,FERIADOS!$A$2:$A$50)+MAX(0,NETWORKDAYS.INTL(F503+1,NOW()-1,1,FERIADOS!$A$2:$A$50))*10+MAX(0,(MIN(NOW(),INT(NOW())+18/24)-(INT(NOW())+8/24)))*24*NETWORKDAYS.INTL(NOW(),NOW(),1,FERIADOS!$A$2:$A$50)))</f>
        <v/>
      </c>
      <c r="P503" s="1" t="str">
        <f t="shared" si="51"/>
        <v/>
      </c>
      <c r="Q503" s="1" t="str">
        <f t="shared" si="52"/>
        <v/>
      </c>
      <c r="R503" s="1" t="str">
        <f t="shared" si="53"/>
        <v/>
      </c>
      <c r="S503" s="1" t="str">
        <f>IF($A503="","",COUNTIF($N$2:N503,$N503))</f>
        <v/>
      </c>
      <c r="T503" s="1" t="str">
        <f t="shared" si="54"/>
        <v/>
      </c>
      <c r="U503" s="1" t="str">
        <f t="shared" si="55"/>
        <v/>
      </c>
      <c r="V503"/>
    </row>
    <row r="504" spans="13:22" x14ac:dyDescent="0.3">
      <c r="M504" s="1" t="str">
        <f t="shared" si="49"/>
        <v/>
      </c>
      <c r="N504" s="1" t="str">
        <f t="shared" si="50"/>
        <v/>
      </c>
      <c r="O504" s="1" t="str">
        <f ca="1">IF(F504="","",IF(INT(F504)=INT(NOW()),IF(NETWORKDAYS.INTL(F504,F504,1,FERIADOS!$A$2:$A$50)=0,0,MAX(0,(MIN(NOW(),INT(NOW())+18/24)-MAX(F504,INT(F504)+8/24)))*24),MAX(0,(INT(F504)+18/24-MAX(F504,INT(F504)+8/24)))*24*NETWORKDAYS.INTL(F504,F504,1,FERIADOS!$A$2:$A$50)+MAX(0,NETWORKDAYS.INTL(F504+1,NOW()-1,1,FERIADOS!$A$2:$A$50))*10+MAX(0,(MIN(NOW(),INT(NOW())+18/24)-(INT(NOW())+8/24)))*24*NETWORKDAYS.INTL(NOW(),NOW(),1,FERIADOS!$A$2:$A$50)))</f>
        <v/>
      </c>
      <c r="P504" s="1" t="str">
        <f t="shared" si="51"/>
        <v/>
      </c>
      <c r="Q504" s="1" t="str">
        <f t="shared" si="52"/>
        <v/>
      </c>
      <c r="R504" s="1" t="str">
        <f t="shared" si="53"/>
        <v/>
      </c>
      <c r="S504" s="1" t="str">
        <f>IF($A504="","",COUNTIF($N$2:N504,$N504))</f>
        <v/>
      </c>
      <c r="T504" s="1" t="str">
        <f t="shared" si="54"/>
        <v/>
      </c>
      <c r="U504" s="1" t="str">
        <f t="shared" si="55"/>
        <v/>
      </c>
      <c r="V504"/>
    </row>
    <row r="505" spans="13:22" x14ac:dyDescent="0.3">
      <c r="M505" s="1" t="str">
        <f t="shared" si="49"/>
        <v/>
      </c>
      <c r="N505" s="1" t="str">
        <f t="shared" si="50"/>
        <v/>
      </c>
      <c r="O505" s="1" t="str">
        <f ca="1">IF(F505="","",IF(INT(F505)=INT(NOW()),IF(NETWORKDAYS.INTL(F505,F505,1,FERIADOS!$A$2:$A$50)=0,0,MAX(0,(MIN(NOW(),INT(NOW())+18/24)-MAX(F505,INT(F505)+8/24)))*24),MAX(0,(INT(F505)+18/24-MAX(F505,INT(F505)+8/24)))*24*NETWORKDAYS.INTL(F505,F505,1,FERIADOS!$A$2:$A$50)+MAX(0,NETWORKDAYS.INTL(F505+1,NOW()-1,1,FERIADOS!$A$2:$A$50))*10+MAX(0,(MIN(NOW(),INT(NOW())+18/24)-(INT(NOW())+8/24)))*24*NETWORKDAYS.INTL(NOW(),NOW(),1,FERIADOS!$A$2:$A$50)))</f>
        <v/>
      </c>
      <c r="P505" s="1" t="str">
        <f t="shared" si="51"/>
        <v/>
      </c>
      <c r="Q505" s="1" t="str">
        <f t="shared" si="52"/>
        <v/>
      </c>
      <c r="R505" s="1" t="str">
        <f t="shared" si="53"/>
        <v/>
      </c>
      <c r="S505" s="1" t="str">
        <f>IF($A505="","",COUNTIF($N$2:N505,$N505))</f>
        <v/>
      </c>
      <c r="T505" s="1" t="str">
        <f t="shared" si="54"/>
        <v/>
      </c>
      <c r="U505" s="1" t="str">
        <f t="shared" si="55"/>
        <v/>
      </c>
      <c r="V505"/>
    </row>
    <row r="506" spans="13:22" x14ac:dyDescent="0.3">
      <c r="M506" s="1" t="str">
        <f t="shared" si="49"/>
        <v/>
      </c>
      <c r="N506" s="1" t="str">
        <f t="shared" si="50"/>
        <v/>
      </c>
      <c r="O506" s="1" t="str">
        <f ca="1">IF(F506="","",IF(INT(F506)=INT(NOW()),IF(NETWORKDAYS.INTL(F506,F506,1,FERIADOS!$A$2:$A$50)=0,0,MAX(0,(MIN(NOW(),INT(NOW())+18/24)-MAX(F506,INT(F506)+8/24)))*24),MAX(0,(INT(F506)+18/24-MAX(F506,INT(F506)+8/24)))*24*NETWORKDAYS.INTL(F506,F506,1,FERIADOS!$A$2:$A$50)+MAX(0,NETWORKDAYS.INTL(F506+1,NOW()-1,1,FERIADOS!$A$2:$A$50))*10+MAX(0,(MIN(NOW(),INT(NOW())+18/24)-(INT(NOW())+8/24)))*24*NETWORKDAYS.INTL(NOW(),NOW(),1,FERIADOS!$A$2:$A$50)))</f>
        <v/>
      </c>
      <c r="P506" s="1" t="str">
        <f t="shared" si="51"/>
        <v/>
      </c>
      <c r="Q506" s="1" t="str">
        <f t="shared" si="52"/>
        <v/>
      </c>
      <c r="R506" s="1" t="str">
        <f t="shared" si="53"/>
        <v/>
      </c>
      <c r="S506" s="1" t="str">
        <f>IF($A506="","",COUNTIF($N$2:N506,$N506))</f>
        <v/>
      </c>
      <c r="T506" s="1" t="str">
        <f t="shared" si="54"/>
        <v/>
      </c>
      <c r="U506" s="1" t="str">
        <f t="shared" si="55"/>
        <v/>
      </c>
      <c r="V506"/>
    </row>
    <row r="507" spans="13:22" x14ac:dyDescent="0.3">
      <c r="M507" s="1" t="str">
        <f t="shared" si="49"/>
        <v/>
      </c>
      <c r="N507" s="1" t="str">
        <f t="shared" si="50"/>
        <v/>
      </c>
      <c r="O507" s="1" t="str">
        <f ca="1">IF(F507="","",IF(INT(F507)=INT(NOW()),IF(NETWORKDAYS.INTL(F507,F507,1,FERIADOS!$A$2:$A$50)=0,0,MAX(0,(MIN(NOW(),INT(NOW())+18/24)-MAX(F507,INT(F507)+8/24)))*24),MAX(0,(INT(F507)+18/24-MAX(F507,INT(F507)+8/24)))*24*NETWORKDAYS.INTL(F507,F507,1,FERIADOS!$A$2:$A$50)+MAX(0,NETWORKDAYS.INTL(F507+1,NOW()-1,1,FERIADOS!$A$2:$A$50))*10+MAX(0,(MIN(NOW(),INT(NOW())+18/24)-(INT(NOW())+8/24)))*24*NETWORKDAYS.INTL(NOW(),NOW(),1,FERIADOS!$A$2:$A$50)))</f>
        <v/>
      </c>
      <c r="P507" s="1" t="str">
        <f t="shared" si="51"/>
        <v/>
      </c>
      <c r="Q507" s="1" t="str">
        <f t="shared" si="52"/>
        <v/>
      </c>
      <c r="R507" s="1" t="str">
        <f t="shared" si="53"/>
        <v/>
      </c>
      <c r="S507" s="1" t="str">
        <f>IF($A507="","",COUNTIF($N$2:N507,$N507))</f>
        <v/>
      </c>
      <c r="T507" s="1" t="str">
        <f t="shared" si="54"/>
        <v/>
      </c>
      <c r="U507" s="1" t="str">
        <f t="shared" si="55"/>
        <v/>
      </c>
      <c r="V507"/>
    </row>
    <row r="508" spans="13:22" x14ac:dyDescent="0.3">
      <c r="M508" s="1" t="str">
        <f t="shared" si="49"/>
        <v/>
      </c>
      <c r="N508" s="1" t="str">
        <f t="shared" si="50"/>
        <v/>
      </c>
      <c r="O508" s="1" t="str">
        <f ca="1">IF(F508="","",IF(INT(F508)=INT(NOW()),IF(NETWORKDAYS.INTL(F508,F508,1,FERIADOS!$A$2:$A$50)=0,0,MAX(0,(MIN(NOW(),INT(NOW())+18/24)-MAX(F508,INT(F508)+8/24)))*24),MAX(0,(INT(F508)+18/24-MAX(F508,INT(F508)+8/24)))*24*NETWORKDAYS.INTL(F508,F508,1,FERIADOS!$A$2:$A$50)+MAX(0,NETWORKDAYS.INTL(F508+1,NOW()-1,1,FERIADOS!$A$2:$A$50))*10+MAX(0,(MIN(NOW(),INT(NOW())+18/24)-(INT(NOW())+8/24)))*24*NETWORKDAYS.INTL(NOW(),NOW(),1,FERIADOS!$A$2:$A$50)))</f>
        <v/>
      </c>
      <c r="P508" s="1" t="str">
        <f t="shared" si="51"/>
        <v/>
      </c>
      <c r="Q508" s="1" t="str">
        <f t="shared" si="52"/>
        <v/>
      </c>
      <c r="R508" s="1" t="str">
        <f t="shared" si="53"/>
        <v/>
      </c>
      <c r="S508" s="1" t="str">
        <f>IF($A508="","",COUNTIF($N$2:N508,$N508))</f>
        <v/>
      </c>
      <c r="T508" s="1" t="str">
        <f t="shared" si="54"/>
        <v/>
      </c>
      <c r="U508" s="1" t="str">
        <f t="shared" si="55"/>
        <v/>
      </c>
      <c r="V508"/>
    </row>
    <row r="509" spans="13:22" x14ac:dyDescent="0.3">
      <c r="M509" s="1" t="str">
        <f t="shared" si="49"/>
        <v/>
      </c>
      <c r="N509" s="1" t="str">
        <f t="shared" si="50"/>
        <v/>
      </c>
      <c r="O509" s="1" t="str">
        <f ca="1">IF(F509="","",IF(INT(F509)=INT(NOW()),IF(NETWORKDAYS.INTL(F509,F509,1,FERIADOS!$A$2:$A$50)=0,0,MAX(0,(MIN(NOW(),INT(NOW())+18/24)-MAX(F509,INT(F509)+8/24)))*24),MAX(0,(INT(F509)+18/24-MAX(F509,INT(F509)+8/24)))*24*NETWORKDAYS.INTL(F509,F509,1,FERIADOS!$A$2:$A$50)+MAX(0,NETWORKDAYS.INTL(F509+1,NOW()-1,1,FERIADOS!$A$2:$A$50))*10+MAX(0,(MIN(NOW(),INT(NOW())+18/24)-(INT(NOW())+8/24)))*24*NETWORKDAYS.INTL(NOW(),NOW(),1,FERIADOS!$A$2:$A$50)))</f>
        <v/>
      </c>
      <c r="P509" s="1" t="str">
        <f t="shared" si="51"/>
        <v/>
      </c>
      <c r="Q509" s="1" t="str">
        <f t="shared" si="52"/>
        <v/>
      </c>
      <c r="R509" s="1" t="str">
        <f t="shared" si="53"/>
        <v/>
      </c>
      <c r="S509" s="1" t="str">
        <f>IF($A509="","",COUNTIF($N$2:N509,$N509))</f>
        <v/>
      </c>
      <c r="T509" s="1" t="str">
        <f t="shared" si="54"/>
        <v/>
      </c>
      <c r="U509" s="1" t="str">
        <f t="shared" si="55"/>
        <v/>
      </c>
      <c r="V509"/>
    </row>
    <row r="510" spans="13:22" x14ac:dyDescent="0.3">
      <c r="M510" s="1" t="str">
        <f t="shared" si="49"/>
        <v/>
      </c>
      <c r="N510" s="1" t="str">
        <f t="shared" si="50"/>
        <v/>
      </c>
      <c r="O510" s="1" t="str">
        <f ca="1">IF(F510="","",IF(INT(F510)=INT(NOW()),IF(NETWORKDAYS.INTL(F510,F510,1,FERIADOS!$A$2:$A$50)=0,0,MAX(0,(MIN(NOW(),INT(NOW())+18/24)-MAX(F510,INT(F510)+8/24)))*24),MAX(0,(INT(F510)+18/24-MAX(F510,INT(F510)+8/24)))*24*NETWORKDAYS.INTL(F510,F510,1,FERIADOS!$A$2:$A$50)+MAX(0,NETWORKDAYS.INTL(F510+1,NOW()-1,1,FERIADOS!$A$2:$A$50))*10+MAX(0,(MIN(NOW(),INT(NOW())+18/24)-(INT(NOW())+8/24)))*24*NETWORKDAYS.INTL(NOW(),NOW(),1,FERIADOS!$A$2:$A$50)))</f>
        <v/>
      </c>
      <c r="P510" s="1" t="str">
        <f t="shared" si="51"/>
        <v/>
      </c>
      <c r="Q510" s="1" t="str">
        <f t="shared" si="52"/>
        <v/>
      </c>
      <c r="R510" s="1" t="str">
        <f t="shared" si="53"/>
        <v/>
      </c>
      <c r="S510" s="1" t="str">
        <f>IF($A510="","",COUNTIF($N$2:N510,$N510))</f>
        <v/>
      </c>
      <c r="T510" s="1" t="str">
        <f t="shared" si="54"/>
        <v/>
      </c>
      <c r="U510" s="1" t="str">
        <f t="shared" si="55"/>
        <v/>
      </c>
      <c r="V510"/>
    </row>
    <row r="511" spans="13:22" x14ac:dyDescent="0.3">
      <c r="M511" s="1" t="str">
        <f t="shared" si="49"/>
        <v/>
      </c>
      <c r="N511" s="1" t="str">
        <f t="shared" si="50"/>
        <v/>
      </c>
      <c r="O511" s="1" t="str">
        <f ca="1">IF(F511="","",IF(INT(F511)=INT(NOW()),IF(NETWORKDAYS.INTL(F511,F511,1,FERIADOS!$A$2:$A$50)=0,0,MAX(0,(MIN(NOW(),INT(NOW())+18/24)-MAX(F511,INT(F511)+8/24)))*24),MAX(0,(INT(F511)+18/24-MAX(F511,INT(F511)+8/24)))*24*NETWORKDAYS.INTL(F511,F511,1,FERIADOS!$A$2:$A$50)+MAX(0,NETWORKDAYS.INTL(F511+1,NOW()-1,1,FERIADOS!$A$2:$A$50))*10+MAX(0,(MIN(NOW(),INT(NOW())+18/24)-(INT(NOW())+8/24)))*24*NETWORKDAYS.INTL(NOW(),NOW(),1,FERIADOS!$A$2:$A$50)))</f>
        <v/>
      </c>
      <c r="P511" s="1" t="str">
        <f t="shared" si="51"/>
        <v/>
      </c>
      <c r="Q511" s="1" t="str">
        <f t="shared" si="52"/>
        <v/>
      </c>
      <c r="R511" s="1" t="str">
        <f t="shared" si="53"/>
        <v/>
      </c>
      <c r="S511" s="1" t="str">
        <f>IF($A511="","",COUNTIF($N$2:N511,$N511))</f>
        <v/>
      </c>
      <c r="T511" s="1" t="str">
        <f t="shared" si="54"/>
        <v/>
      </c>
      <c r="U511" s="1" t="str">
        <f t="shared" si="55"/>
        <v/>
      </c>
      <c r="V511"/>
    </row>
    <row r="512" spans="13:22" x14ac:dyDescent="0.3">
      <c r="M512" s="1" t="str">
        <f t="shared" si="49"/>
        <v/>
      </c>
      <c r="N512" s="1" t="str">
        <f t="shared" si="50"/>
        <v/>
      </c>
      <c r="O512" s="1" t="str">
        <f ca="1">IF(F512="","",IF(INT(F512)=INT(NOW()),IF(NETWORKDAYS.INTL(F512,F512,1,FERIADOS!$A$2:$A$50)=0,0,MAX(0,(MIN(NOW(),INT(NOW())+18/24)-MAX(F512,INT(F512)+8/24)))*24),MAX(0,(INT(F512)+18/24-MAX(F512,INT(F512)+8/24)))*24*NETWORKDAYS.INTL(F512,F512,1,FERIADOS!$A$2:$A$50)+MAX(0,NETWORKDAYS.INTL(F512+1,NOW()-1,1,FERIADOS!$A$2:$A$50))*10+MAX(0,(MIN(NOW(),INT(NOW())+18/24)-(INT(NOW())+8/24)))*24*NETWORKDAYS.INTL(NOW(),NOW(),1,FERIADOS!$A$2:$A$50)))</f>
        <v/>
      </c>
      <c r="P512" s="1" t="str">
        <f t="shared" si="51"/>
        <v/>
      </c>
      <c r="Q512" s="1" t="str">
        <f t="shared" si="52"/>
        <v/>
      </c>
      <c r="R512" s="1" t="str">
        <f t="shared" si="53"/>
        <v/>
      </c>
      <c r="S512" s="1" t="str">
        <f>IF($A512="","",COUNTIF($N$2:N512,$N512))</f>
        <v/>
      </c>
      <c r="T512" s="1" t="str">
        <f t="shared" si="54"/>
        <v/>
      </c>
      <c r="U512" s="1" t="str">
        <f t="shared" si="55"/>
        <v/>
      </c>
      <c r="V512"/>
    </row>
    <row r="513" spans="13:22" x14ac:dyDescent="0.3">
      <c r="M513" s="1" t="str">
        <f t="shared" si="49"/>
        <v/>
      </c>
      <c r="N513" s="1" t="str">
        <f t="shared" si="50"/>
        <v/>
      </c>
      <c r="O513" s="1" t="str">
        <f ca="1">IF(F513="","",IF(INT(F513)=INT(NOW()),IF(NETWORKDAYS.INTL(F513,F513,1,FERIADOS!$A$2:$A$50)=0,0,MAX(0,(MIN(NOW(),INT(NOW())+18/24)-MAX(F513,INT(F513)+8/24)))*24),MAX(0,(INT(F513)+18/24-MAX(F513,INT(F513)+8/24)))*24*NETWORKDAYS.INTL(F513,F513,1,FERIADOS!$A$2:$A$50)+MAX(0,NETWORKDAYS.INTL(F513+1,NOW()-1,1,FERIADOS!$A$2:$A$50))*10+MAX(0,(MIN(NOW(),INT(NOW())+18/24)-(INT(NOW())+8/24)))*24*NETWORKDAYS.INTL(NOW(),NOW(),1,FERIADOS!$A$2:$A$50)))</f>
        <v/>
      </c>
      <c r="P513" s="1" t="str">
        <f t="shared" si="51"/>
        <v/>
      </c>
      <c r="Q513" s="1" t="str">
        <f t="shared" si="52"/>
        <v/>
      </c>
      <c r="R513" s="1" t="str">
        <f t="shared" si="53"/>
        <v/>
      </c>
      <c r="S513" s="1" t="str">
        <f>IF($A513="","",COUNTIF($N$2:N513,$N513))</f>
        <v/>
      </c>
      <c r="T513" s="1" t="str">
        <f t="shared" si="54"/>
        <v/>
      </c>
      <c r="U513" s="1" t="str">
        <f t="shared" si="55"/>
        <v/>
      </c>
      <c r="V513"/>
    </row>
    <row r="514" spans="13:22" x14ac:dyDescent="0.3">
      <c r="M514" s="1" t="str">
        <f t="shared" ref="M514:M577" si="56">IF($A514="","",IF($L514="MA",IF(OR(UPPER($K514)="SAO LUIS",UPPER($K514)="SÃO LUIS",UPPER($K514)="PACO DO LUMIAR",UPPER($K514)="PAÇO DO LUMIAR",UPPER($K514)="SAO JOSE DE RIBAMAR",UPPER($K514)="SÃO JOSÉ DE RIBAMAR"),"MA CAP","MA INT"),IF($L514="PA",IF(OR(UPPER($K514)="BELEM",UPPER($K514)="BELÉM",UPPER($K514)="ANANINDEUA"),"PA CAP","PA INT"),IF($L514="PI",IF(UPPER($K514)="TERESINA","PI CAP","PI INT"),IF($L514="AM","AM INT",IF($L514="AP","AP","OUTROS"))))))</f>
        <v/>
      </c>
      <c r="N514" s="1" t="str">
        <f t="shared" ref="N514:N577" si="57">IF($A514="","",IF($M514="PI CAP","GIGA+ PI",IF($M514="PI INT","GIGA+ PI",IF($M514="MA CAP","SLN MA",IF($M514="MA INT","GIGA+ MA",IF($M514="PA CAP","SLN PA",IF($M514="PA INT","SLN PA",IF($M514="AM INT","ADX",IF($M514="AP","ADX","OUTROS")))))))))</f>
        <v/>
      </c>
      <c r="O514" s="1" t="str">
        <f ca="1">IF(F514="","",IF(INT(F514)=INT(NOW()),IF(NETWORKDAYS.INTL(F514,F514,1,FERIADOS!$A$2:$A$50)=0,0,MAX(0,(MIN(NOW(),INT(NOW())+18/24)-MAX(F514,INT(F514)+8/24)))*24),MAX(0,(INT(F514)+18/24-MAX(F514,INT(F514)+8/24)))*24*NETWORKDAYS.INTL(F514,F514,1,FERIADOS!$A$2:$A$50)+MAX(0,NETWORKDAYS.INTL(F514+1,NOW()-1,1,FERIADOS!$A$2:$A$50))*10+MAX(0,(MIN(NOW(),INT(NOW())+18/24)-(INT(NOW())+8/24)))*24*NETWORKDAYS.INTL(NOW(),NOW(),1,FERIADOS!$A$2:$A$50)))</f>
        <v/>
      </c>
      <c r="P514" s="1" t="str">
        <f t="shared" ref="P514:P577" si="58">IF($A514="","",IF(OR(O514="",O514=0),"00h 00m",TEXT(INT(O514),"00") &amp; "h " &amp; TEXT(INT((O514-INT(O514))*60),"00") &amp; "m"))</f>
        <v/>
      </c>
      <c r="Q514" s="1" t="str">
        <f t="shared" ref="Q514:Q577" si="59">IF($A514="","",IF(OR(O514="",O514&lt;=4),"🔵 Até 4h",IF(O514&lt;=8,"🟢 Entre 4h e 8h",IF(O514&lt;=12,"🟡 Entre 8h e 12h",IF(O514&lt;=24,"🟠 Entre 12h e 24h","🔴 Maior que 24h")))))</f>
        <v/>
      </c>
      <c r="R514" s="1" t="str">
        <f t="shared" ref="R514:R577" si="60">IF($A514="","",IF(OR(O514="",O514&lt;=8),"NO PRAZO","FORA DO PRAZO"))</f>
        <v/>
      </c>
      <c r="S514" s="1" t="str">
        <f>IF($A514="","",COUNTIF($N$2:N514,$N514))</f>
        <v/>
      </c>
      <c r="T514" s="1" t="str">
        <f t="shared" ref="T514:T577" si="61">IF($A514="","",IF($N514="SLN MA",1,IF($N514="GIGA+ MA",2,IF($N514="GIGA+ PI",3,IF($N514="SLN PA",4,IF($N514="ADX",5,6))))))</f>
        <v/>
      </c>
      <c r="U514" s="1" t="str">
        <f t="shared" ref="U514:U577" si="62">IF($A514="","",$T514*10000+$S514)</f>
        <v/>
      </c>
      <c r="V514"/>
    </row>
    <row r="515" spans="13:22" x14ac:dyDescent="0.3">
      <c r="M515" s="1" t="str">
        <f t="shared" si="56"/>
        <v/>
      </c>
      <c r="N515" s="1" t="str">
        <f t="shared" si="57"/>
        <v/>
      </c>
      <c r="O515" s="1" t="str">
        <f ca="1">IF(F515="","",IF(INT(F515)=INT(NOW()),IF(NETWORKDAYS.INTL(F515,F515,1,FERIADOS!$A$2:$A$50)=0,0,MAX(0,(MIN(NOW(),INT(NOW())+18/24)-MAX(F515,INT(F515)+8/24)))*24),MAX(0,(INT(F515)+18/24-MAX(F515,INT(F515)+8/24)))*24*NETWORKDAYS.INTL(F515,F515,1,FERIADOS!$A$2:$A$50)+MAX(0,NETWORKDAYS.INTL(F515+1,NOW()-1,1,FERIADOS!$A$2:$A$50))*10+MAX(0,(MIN(NOW(),INT(NOW())+18/24)-(INT(NOW())+8/24)))*24*NETWORKDAYS.INTL(NOW(),NOW(),1,FERIADOS!$A$2:$A$50)))</f>
        <v/>
      </c>
      <c r="P515" s="1" t="str">
        <f t="shared" si="58"/>
        <v/>
      </c>
      <c r="Q515" s="1" t="str">
        <f t="shared" si="59"/>
        <v/>
      </c>
      <c r="R515" s="1" t="str">
        <f t="shared" si="60"/>
        <v/>
      </c>
      <c r="S515" s="1" t="str">
        <f>IF($A515="","",COUNTIF($N$2:N515,$N515))</f>
        <v/>
      </c>
      <c r="T515" s="1" t="str">
        <f t="shared" si="61"/>
        <v/>
      </c>
      <c r="U515" s="1" t="str">
        <f t="shared" si="62"/>
        <v/>
      </c>
      <c r="V515"/>
    </row>
    <row r="516" spans="13:22" x14ac:dyDescent="0.3">
      <c r="M516" s="1" t="str">
        <f t="shared" si="56"/>
        <v/>
      </c>
      <c r="N516" s="1" t="str">
        <f t="shared" si="57"/>
        <v/>
      </c>
      <c r="O516" s="1" t="str">
        <f ca="1">IF(F516="","",IF(INT(F516)=INT(NOW()),IF(NETWORKDAYS.INTL(F516,F516,1,FERIADOS!$A$2:$A$50)=0,0,MAX(0,(MIN(NOW(),INT(NOW())+18/24)-MAX(F516,INT(F516)+8/24)))*24),MAX(0,(INT(F516)+18/24-MAX(F516,INT(F516)+8/24)))*24*NETWORKDAYS.INTL(F516,F516,1,FERIADOS!$A$2:$A$50)+MAX(0,NETWORKDAYS.INTL(F516+1,NOW()-1,1,FERIADOS!$A$2:$A$50))*10+MAX(0,(MIN(NOW(),INT(NOW())+18/24)-(INT(NOW())+8/24)))*24*NETWORKDAYS.INTL(NOW(),NOW(),1,FERIADOS!$A$2:$A$50)))</f>
        <v/>
      </c>
      <c r="P516" s="1" t="str">
        <f t="shared" si="58"/>
        <v/>
      </c>
      <c r="Q516" s="1" t="str">
        <f t="shared" si="59"/>
        <v/>
      </c>
      <c r="R516" s="1" t="str">
        <f t="shared" si="60"/>
        <v/>
      </c>
      <c r="S516" s="1" t="str">
        <f>IF($A516="","",COUNTIF($N$2:N516,$N516))</f>
        <v/>
      </c>
      <c r="T516" s="1" t="str">
        <f t="shared" si="61"/>
        <v/>
      </c>
      <c r="U516" s="1" t="str">
        <f t="shared" si="62"/>
        <v/>
      </c>
      <c r="V516"/>
    </row>
    <row r="517" spans="13:22" x14ac:dyDescent="0.3">
      <c r="M517" s="1" t="str">
        <f t="shared" si="56"/>
        <v/>
      </c>
      <c r="N517" s="1" t="str">
        <f t="shared" si="57"/>
        <v/>
      </c>
      <c r="O517" s="1" t="str">
        <f ca="1">IF(F517="","",IF(INT(F517)=INT(NOW()),IF(NETWORKDAYS.INTL(F517,F517,1,FERIADOS!$A$2:$A$50)=0,0,MAX(0,(MIN(NOW(),INT(NOW())+18/24)-MAX(F517,INT(F517)+8/24)))*24),MAX(0,(INT(F517)+18/24-MAX(F517,INT(F517)+8/24)))*24*NETWORKDAYS.INTL(F517,F517,1,FERIADOS!$A$2:$A$50)+MAX(0,NETWORKDAYS.INTL(F517+1,NOW()-1,1,FERIADOS!$A$2:$A$50))*10+MAX(0,(MIN(NOW(),INT(NOW())+18/24)-(INT(NOW())+8/24)))*24*NETWORKDAYS.INTL(NOW(),NOW(),1,FERIADOS!$A$2:$A$50)))</f>
        <v/>
      </c>
      <c r="P517" s="1" t="str">
        <f t="shared" si="58"/>
        <v/>
      </c>
      <c r="Q517" s="1" t="str">
        <f t="shared" si="59"/>
        <v/>
      </c>
      <c r="R517" s="1" t="str">
        <f t="shared" si="60"/>
        <v/>
      </c>
      <c r="S517" s="1" t="str">
        <f>IF($A517="","",COUNTIF($N$2:N517,$N517))</f>
        <v/>
      </c>
      <c r="T517" s="1" t="str">
        <f t="shared" si="61"/>
        <v/>
      </c>
      <c r="U517" s="1" t="str">
        <f t="shared" si="62"/>
        <v/>
      </c>
      <c r="V517"/>
    </row>
    <row r="518" spans="13:22" x14ac:dyDescent="0.3">
      <c r="M518" s="1" t="str">
        <f t="shared" si="56"/>
        <v/>
      </c>
      <c r="N518" s="1" t="str">
        <f t="shared" si="57"/>
        <v/>
      </c>
      <c r="O518" s="1" t="str">
        <f ca="1">IF(F518="","",IF(INT(F518)=INT(NOW()),IF(NETWORKDAYS.INTL(F518,F518,1,FERIADOS!$A$2:$A$50)=0,0,MAX(0,(MIN(NOW(),INT(NOW())+18/24)-MAX(F518,INT(F518)+8/24)))*24),MAX(0,(INT(F518)+18/24-MAX(F518,INT(F518)+8/24)))*24*NETWORKDAYS.INTL(F518,F518,1,FERIADOS!$A$2:$A$50)+MAX(0,NETWORKDAYS.INTL(F518+1,NOW()-1,1,FERIADOS!$A$2:$A$50))*10+MAX(0,(MIN(NOW(),INT(NOW())+18/24)-(INT(NOW())+8/24)))*24*NETWORKDAYS.INTL(NOW(),NOW(),1,FERIADOS!$A$2:$A$50)))</f>
        <v/>
      </c>
      <c r="P518" s="1" t="str">
        <f t="shared" si="58"/>
        <v/>
      </c>
      <c r="Q518" s="1" t="str">
        <f t="shared" si="59"/>
        <v/>
      </c>
      <c r="R518" s="1" t="str">
        <f t="shared" si="60"/>
        <v/>
      </c>
      <c r="S518" s="1" t="str">
        <f>IF($A518="","",COUNTIF($N$2:N518,$N518))</f>
        <v/>
      </c>
      <c r="T518" s="1" t="str">
        <f t="shared" si="61"/>
        <v/>
      </c>
      <c r="U518" s="1" t="str">
        <f t="shared" si="62"/>
        <v/>
      </c>
      <c r="V518"/>
    </row>
    <row r="519" spans="13:22" x14ac:dyDescent="0.3">
      <c r="M519" s="1" t="str">
        <f t="shared" si="56"/>
        <v/>
      </c>
      <c r="N519" s="1" t="str">
        <f t="shared" si="57"/>
        <v/>
      </c>
      <c r="O519" s="1" t="str">
        <f ca="1">IF(F519="","",IF(INT(F519)=INT(NOW()),IF(NETWORKDAYS.INTL(F519,F519,1,FERIADOS!$A$2:$A$50)=0,0,MAX(0,(MIN(NOW(),INT(NOW())+18/24)-MAX(F519,INT(F519)+8/24)))*24),MAX(0,(INT(F519)+18/24-MAX(F519,INT(F519)+8/24)))*24*NETWORKDAYS.INTL(F519,F519,1,FERIADOS!$A$2:$A$50)+MAX(0,NETWORKDAYS.INTL(F519+1,NOW()-1,1,FERIADOS!$A$2:$A$50))*10+MAX(0,(MIN(NOW(),INT(NOW())+18/24)-(INT(NOW())+8/24)))*24*NETWORKDAYS.INTL(NOW(),NOW(),1,FERIADOS!$A$2:$A$50)))</f>
        <v/>
      </c>
      <c r="P519" s="1" t="str">
        <f t="shared" si="58"/>
        <v/>
      </c>
      <c r="Q519" s="1" t="str">
        <f t="shared" si="59"/>
        <v/>
      </c>
      <c r="R519" s="1" t="str">
        <f t="shared" si="60"/>
        <v/>
      </c>
      <c r="S519" s="1" t="str">
        <f>IF($A519="","",COUNTIF($N$2:N519,$N519))</f>
        <v/>
      </c>
      <c r="T519" s="1" t="str">
        <f t="shared" si="61"/>
        <v/>
      </c>
      <c r="U519" s="1" t="str">
        <f t="shared" si="62"/>
        <v/>
      </c>
      <c r="V519"/>
    </row>
    <row r="520" spans="13:22" x14ac:dyDescent="0.3">
      <c r="M520" s="1" t="str">
        <f t="shared" si="56"/>
        <v/>
      </c>
      <c r="N520" s="1" t="str">
        <f t="shared" si="57"/>
        <v/>
      </c>
      <c r="O520" s="1" t="str">
        <f ca="1">IF(F520="","",IF(INT(F520)=INT(NOW()),IF(NETWORKDAYS.INTL(F520,F520,1,FERIADOS!$A$2:$A$50)=0,0,MAX(0,(MIN(NOW(),INT(NOW())+18/24)-MAX(F520,INT(F520)+8/24)))*24),MAX(0,(INT(F520)+18/24-MAX(F520,INT(F520)+8/24)))*24*NETWORKDAYS.INTL(F520,F520,1,FERIADOS!$A$2:$A$50)+MAX(0,NETWORKDAYS.INTL(F520+1,NOW()-1,1,FERIADOS!$A$2:$A$50))*10+MAX(0,(MIN(NOW(),INT(NOW())+18/24)-(INT(NOW())+8/24)))*24*NETWORKDAYS.INTL(NOW(),NOW(),1,FERIADOS!$A$2:$A$50)))</f>
        <v/>
      </c>
      <c r="P520" s="1" t="str">
        <f t="shared" si="58"/>
        <v/>
      </c>
      <c r="Q520" s="1" t="str">
        <f t="shared" si="59"/>
        <v/>
      </c>
      <c r="R520" s="1" t="str">
        <f t="shared" si="60"/>
        <v/>
      </c>
      <c r="S520" s="1" t="str">
        <f>IF($A520="","",COUNTIF($N$2:N520,$N520))</f>
        <v/>
      </c>
      <c r="T520" s="1" t="str">
        <f t="shared" si="61"/>
        <v/>
      </c>
      <c r="U520" s="1" t="str">
        <f t="shared" si="62"/>
        <v/>
      </c>
      <c r="V520"/>
    </row>
    <row r="521" spans="13:22" x14ac:dyDescent="0.3">
      <c r="M521" s="1" t="str">
        <f t="shared" si="56"/>
        <v/>
      </c>
      <c r="N521" s="1" t="str">
        <f t="shared" si="57"/>
        <v/>
      </c>
      <c r="O521" s="1" t="str">
        <f ca="1">IF(F521="","",IF(INT(F521)=INT(NOW()),IF(NETWORKDAYS.INTL(F521,F521,1,FERIADOS!$A$2:$A$50)=0,0,MAX(0,(MIN(NOW(),INT(NOW())+18/24)-MAX(F521,INT(F521)+8/24)))*24),MAX(0,(INT(F521)+18/24-MAX(F521,INT(F521)+8/24)))*24*NETWORKDAYS.INTL(F521,F521,1,FERIADOS!$A$2:$A$50)+MAX(0,NETWORKDAYS.INTL(F521+1,NOW()-1,1,FERIADOS!$A$2:$A$50))*10+MAX(0,(MIN(NOW(),INT(NOW())+18/24)-(INT(NOW())+8/24)))*24*NETWORKDAYS.INTL(NOW(),NOW(),1,FERIADOS!$A$2:$A$50)))</f>
        <v/>
      </c>
      <c r="P521" s="1" t="str">
        <f t="shared" si="58"/>
        <v/>
      </c>
      <c r="Q521" s="1" t="str">
        <f t="shared" si="59"/>
        <v/>
      </c>
      <c r="R521" s="1" t="str">
        <f t="shared" si="60"/>
        <v/>
      </c>
      <c r="S521" s="1" t="str">
        <f>IF($A521="","",COUNTIF($N$2:N521,$N521))</f>
        <v/>
      </c>
      <c r="T521" s="1" t="str">
        <f t="shared" si="61"/>
        <v/>
      </c>
      <c r="U521" s="1" t="str">
        <f t="shared" si="62"/>
        <v/>
      </c>
      <c r="V521"/>
    </row>
    <row r="522" spans="13:22" x14ac:dyDescent="0.3">
      <c r="M522" s="1" t="str">
        <f t="shared" si="56"/>
        <v/>
      </c>
      <c r="N522" s="1" t="str">
        <f t="shared" si="57"/>
        <v/>
      </c>
      <c r="O522" s="1" t="str">
        <f ca="1">IF(F522="","",IF(INT(F522)=INT(NOW()),IF(NETWORKDAYS.INTL(F522,F522,1,FERIADOS!$A$2:$A$50)=0,0,MAX(0,(MIN(NOW(),INT(NOW())+18/24)-MAX(F522,INT(F522)+8/24)))*24),MAX(0,(INT(F522)+18/24-MAX(F522,INT(F522)+8/24)))*24*NETWORKDAYS.INTL(F522,F522,1,FERIADOS!$A$2:$A$50)+MAX(0,NETWORKDAYS.INTL(F522+1,NOW()-1,1,FERIADOS!$A$2:$A$50))*10+MAX(0,(MIN(NOW(),INT(NOW())+18/24)-(INT(NOW())+8/24)))*24*NETWORKDAYS.INTL(NOW(),NOW(),1,FERIADOS!$A$2:$A$50)))</f>
        <v/>
      </c>
      <c r="P522" s="1" t="str">
        <f t="shared" si="58"/>
        <v/>
      </c>
      <c r="Q522" s="1" t="str">
        <f t="shared" si="59"/>
        <v/>
      </c>
      <c r="R522" s="1" t="str">
        <f t="shared" si="60"/>
        <v/>
      </c>
      <c r="S522" s="1" t="str">
        <f>IF($A522="","",COUNTIF($N$2:N522,$N522))</f>
        <v/>
      </c>
      <c r="T522" s="1" t="str">
        <f t="shared" si="61"/>
        <v/>
      </c>
      <c r="U522" s="1" t="str">
        <f t="shared" si="62"/>
        <v/>
      </c>
      <c r="V522"/>
    </row>
    <row r="523" spans="13:22" x14ac:dyDescent="0.3">
      <c r="M523" s="1" t="str">
        <f t="shared" si="56"/>
        <v/>
      </c>
      <c r="N523" s="1" t="str">
        <f t="shared" si="57"/>
        <v/>
      </c>
      <c r="O523" s="1" t="str">
        <f ca="1">IF(F523="","",IF(INT(F523)=INT(NOW()),IF(NETWORKDAYS.INTL(F523,F523,1,FERIADOS!$A$2:$A$50)=0,0,MAX(0,(MIN(NOW(),INT(NOW())+18/24)-MAX(F523,INT(F523)+8/24)))*24),MAX(0,(INT(F523)+18/24-MAX(F523,INT(F523)+8/24)))*24*NETWORKDAYS.INTL(F523,F523,1,FERIADOS!$A$2:$A$50)+MAX(0,NETWORKDAYS.INTL(F523+1,NOW()-1,1,FERIADOS!$A$2:$A$50))*10+MAX(0,(MIN(NOW(),INT(NOW())+18/24)-(INT(NOW())+8/24)))*24*NETWORKDAYS.INTL(NOW(),NOW(),1,FERIADOS!$A$2:$A$50)))</f>
        <v/>
      </c>
      <c r="P523" s="1" t="str">
        <f t="shared" si="58"/>
        <v/>
      </c>
      <c r="Q523" s="1" t="str">
        <f t="shared" si="59"/>
        <v/>
      </c>
      <c r="R523" s="1" t="str">
        <f t="shared" si="60"/>
        <v/>
      </c>
      <c r="S523" s="1" t="str">
        <f>IF($A523="","",COUNTIF($N$2:N523,$N523))</f>
        <v/>
      </c>
      <c r="T523" s="1" t="str">
        <f t="shared" si="61"/>
        <v/>
      </c>
      <c r="U523" s="1" t="str">
        <f t="shared" si="62"/>
        <v/>
      </c>
      <c r="V523"/>
    </row>
    <row r="524" spans="13:22" x14ac:dyDescent="0.3">
      <c r="M524" s="1" t="str">
        <f t="shared" si="56"/>
        <v/>
      </c>
      <c r="N524" s="1" t="str">
        <f t="shared" si="57"/>
        <v/>
      </c>
      <c r="O524" s="1" t="str">
        <f ca="1">IF(F524="","",IF(INT(F524)=INT(NOW()),IF(NETWORKDAYS.INTL(F524,F524,1,FERIADOS!$A$2:$A$50)=0,0,MAX(0,(MIN(NOW(),INT(NOW())+18/24)-MAX(F524,INT(F524)+8/24)))*24),MAX(0,(INT(F524)+18/24-MAX(F524,INT(F524)+8/24)))*24*NETWORKDAYS.INTL(F524,F524,1,FERIADOS!$A$2:$A$50)+MAX(0,NETWORKDAYS.INTL(F524+1,NOW()-1,1,FERIADOS!$A$2:$A$50))*10+MAX(0,(MIN(NOW(),INT(NOW())+18/24)-(INT(NOW())+8/24)))*24*NETWORKDAYS.INTL(NOW(),NOW(),1,FERIADOS!$A$2:$A$50)))</f>
        <v/>
      </c>
      <c r="P524" s="1" t="str">
        <f t="shared" si="58"/>
        <v/>
      </c>
      <c r="Q524" s="1" t="str">
        <f t="shared" si="59"/>
        <v/>
      </c>
      <c r="R524" s="1" t="str">
        <f t="shared" si="60"/>
        <v/>
      </c>
      <c r="S524" s="1" t="str">
        <f>IF($A524="","",COUNTIF($N$2:N524,$N524))</f>
        <v/>
      </c>
      <c r="T524" s="1" t="str">
        <f t="shared" si="61"/>
        <v/>
      </c>
      <c r="U524" s="1" t="str">
        <f t="shared" si="62"/>
        <v/>
      </c>
      <c r="V524"/>
    </row>
    <row r="525" spans="13:22" x14ac:dyDescent="0.3">
      <c r="M525" s="1" t="str">
        <f t="shared" si="56"/>
        <v/>
      </c>
      <c r="N525" s="1" t="str">
        <f t="shared" si="57"/>
        <v/>
      </c>
      <c r="O525" s="1" t="str">
        <f ca="1">IF(F525="","",IF(INT(F525)=INT(NOW()),IF(NETWORKDAYS.INTL(F525,F525,1,FERIADOS!$A$2:$A$50)=0,0,MAX(0,(MIN(NOW(),INT(NOW())+18/24)-MAX(F525,INT(F525)+8/24)))*24),MAX(0,(INT(F525)+18/24-MAX(F525,INT(F525)+8/24)))*24*NETWORKDAYS.INTL(F525,F525,1,FERIADOS!$A$2:$A$50)+MAX(0,NETWORKDAYS.INTL(F525+1,NOW()-1,1,FERIADOS!$A$2:$A$50))*10+MAX(0,(MIN(NOW(),INT(NOW())+18/24)-(INT(NOW())+8/24)))*24*NETWORKDAYS.INTL(NOW(),NOW(),1,FERIADOS!$A$2:$A$50)))</f>
        <v/>
      </c>
      <c r="P525" s="1" t="str">
        <f t="shared" si="58"/>
        <v/>
      </c>
      <c r="Q525" s="1" t="str">
        <f t="shared" si="59"/>
        <v/>
      </c>
      <c r="R525" s="1" t="str">
        <f t="shared" si="60"/>
        <v/>
      </c>
      <c r="S525" s="1" t="str">
        <f>IF($A525="","",COUNTIF($N$2:N525,$N525))</f>
        <v/>
      </c>
      <c r="T525" s="1" t="str">
        <f t="shared" si="61"/>
        <v/>
      </c>
      <c r="U525" s="1" t="str">
        <f t="shared" si="62"/>
        <v/>
      </c>
      <c r="V525"/>
    </row>
    <row r="526" spans="13:22" x14ac:dyDescent="0.3">
      <c r="M526" s="1" t="str">
        <f t="shared" si="56"/>
        <v/>
      </c>
      <c r="N526" s="1" t="str">
        <f t="shared" si="57"/>
        <v/>
      </c>
      <c r="O526" s="1" t="str">
        <f ca="1">IF(F526="","",IF(INT(F526)=INT(NOW()),IF(NETWORKDAYS.INTL(F526,F526,1,FERIADOS!$A$2:$A$50)=0,0,MAX(0,(MIN(NOW(),INT(NOW())+18/24)-MAX(F526,INT(F526)+8/24)))*24),MAX(0,(INT(F526)+18/24-MAX(F526,INT(F526)+8/24)))*24*NETWORKDAYS.INTL(F526,F526,1,FERIADOS!$A$2:$A$50)+MAX(0,NETWORKDAYS.INTL(F526+1,NOW()-1,1,FERIADOS!$A$2:$A$50))*10+MAX(0,(MIN(NOW(),INT(NOW())+18/24)-(INT(NOW())+8/24)))*24*NETWORKDAYS.INTL(NOW(),NOW(),1,FERIADOS!$A$2:$A$50)))</f>
        <v/>
      </c>
      <c r="P526" s="1" t="str">
        <f t="shared" si="58"/>
        <v/>
      </c>
      <c r="Q526" s="1" t="str">
        <f t="shared" si="59"/>
        <v/>
      </c>
      <c r="R526" s="1" t="str">
        <f t="shared" si="60"/>
        <v/>
      </c>
      <c r="S526" s="1" t="str">
        <f>IF($A526="","",COUNTIF($N$2:N526,$N526))</f>
        <v/>
      </c>
      <c r="T526" s="1" t="str">
        <f t="shared" si="61"/>
        <v/>
      </c>
      <c r="U526" s="1" t="str">
        <f t="shared" si="62"/>
        <v/>
      </c>
      <c r="V526"/>
    </row>
    <row r="527" spans="13:22" x14ac:dyDescent="0.3">
      <c r="M527" s="1" t="str">
        <f t="shared" si="56"/>
        <v/>
      </c>
      <c r="N527" s="1" t="str">
        <f t="shared" si="57"/>
        <v/>
      </c>
      <c r="O527" s="1" t="str">
        <f ca="1">IF(F527="","",IF(INT(F527)=INT(NOW()),IF(NETWORKDAYS.INTL(F527,F527,1,FERIADOS!$A$2:$A$50)=0,0,MAX(0,(MIN(NOW(),INT(NOW())+18/24)-MAX(F527,INT(F527)+8/24)))*24),MAX(0,(INT(F527)+18/24-MAX(F527,INT(F527)+8/24)))*24*NETWORKDAYS.INTL(F527,F527,1,FERIADOS!$A$2:$A$50)+MAX(0,NETWORKDAYS.INTL(F527+1,NOW()-1,1,FERIADOS!$A$2:$A$50))*10+MAX(0,(MIN(NOW(),INT(NOW())+18/24)-(INT(NOW())+8/24)))*24*NETWORKDAYS.INTL(NOW(),NOW(),1,FERIADOS!$A$2:$A$50)))</f>
        <v/>
      </c>
      <c r="P527" s="1" t="str">
        <f t="shared" si="58"/>
        <v/>
      </c>
      <c r="Q527" s="1" t="str">
        <f t="shared" si="59"/>
        <v/>
      </c>
      <c r="R527" s="1" t="str">
        <f t="shared" si="60"/>
        <v/>
      </c>
      <c r="S527" s="1" t="str">
        <f>IF($A527="","",COUNTIF($N$2:N527,$N527))</f>
        <v/>
      </c>
      <c r="T527" s="1" t="str">
        <f t="shared" si="61"/>
        <v/>
      </c>
      <c r="U527" s="1" t="str">
        <f t="shared" si="62"/>
        <v/>
      </c>
      <c r="V527"/>
    </row>
    <row r="528" spans="13:22" x14ac:dyDescent="0.3">
      <c r="M528" s="1" t="str">
        <f t="shared" si="56"/>
        <v/>
      </c>
      <c r="N528" s="1" t="str">
        <f t="shared" si="57"/>
        <v/>
      </c>
      <c r="O528" s="1" t="str">
        <f ca="1">IF(F528="","",IF(INT(F528)=INT(NOW()),IF(NETWORKDAYS.INTL(F528,F528,1,FERIADOS!$A$2:$A$50)=0,0,MAX(0,(MIN(NOW(),INT(NOW())+18/24)-MAX(F528,INT(F528)+8/24)))*24),MAX(0,(INT(F528)+18/24-MAX(F528,INT(F528)+8/24)))*24*NETWORKDAYS.INTL(F528,F528,1,FERIADOS!$A$2:$A$50)+MAX(0,NETWORKDAYS.INTL(F528+1,NOW()-1,1,FERIADOS!$A$2:$A$50))*10+MAX(0,(MIN(NOW(),INT(NOW())+18/24)-(INT(NOW())+8/24)))*24*NETWORKDAYS.INTL(NOW(),NOW(),1,FERIADOS!$A$2:$A$50)))</f>
        <v/>
      </c>
      <c r="P528" s="1" t="str">
        <f t="shared" si="58"/>
        <v/>
      </c>
      <c r="Q528" s="1" t="str">
        <f t="shared" si="59"/>
        <v/>
      </c>
      <c r="R528" s="1" t="str">
        <f t="shared" si="60"/>
        <v/>
      </c>
      <c r="S528" s="1" t="str">
        <f>IF($A528="","",COUNTIF($N$2:N528,$N528))</f>
        <v/>
      </c>
      <c r="T528" s="1" t="str">
        <f t="shared" si="61"/>
        <v/>
      </c>
      <c r="U528" s="1" t="str">
        <f t="shared" si="62"/>
        <v/>
      </c>
      <c r="V528"/>
    </row>
    <row r="529" spans="13:22" x14ac:dyDescent="0.3">
      <c r="M529" s="1" t="str">
        <f t="shared" si="56"/>
        <v/>
      </c>
      <c r="N529" s="1" t="str">
        <f t="shared" si="57"/>
        <v/>
      </c>
      <c r="O529" s="1" t="str">
        <f ca="1">IF(F529="","",IF(INT(F529)=INT(NOW()),IF(NETWORKDAYS.INTL(F529,F529,1,FERIADOS!$A$2:$A$50)=0,0,MAX(0,(MIN(NOW(),INT(NOW())+18/24)-MAX(F529,INT(F529)+8/24)))*24),MAX(0,(INT(F529)+18/24-MAX(F529,INT(F529)+8/24)))*24*NETWORKDAYS.INTL(F529,F529,1,FERIADOS!$A$2:$A$50)+MAX(0,NETWORKDAYS.INTL(F529+1,NOW()-1,1,FERIADOS!$A$2:$A$50))*10+MAX(0,(MIN(NOW(),INT(NOW())+18/24)-(INT(NOW())+8/24)))*24*NETWORKDAYS.INTL(NOW(),NOW(),1,FERIADOS!$A$2:$A$50)))</f>
        <v/>
      </c>
      <c r="P529" s="1" t="str">
        <f t="shared" si="58"/>
        <v/>
      </c>
      <c r="Q529" s="1" t="str">
        <f t="shared" si="59"/>
        <v/>
      </c>
      <c r="R529" s="1" t="str">
        <f t="shared" si="60"/>
        <v/>
      </c>
      <c r="S529" s="1" t="str">
        <f>IF($A529="","",COUNTIF($N$2:N529,$N529))</f>
        <v/>
      </c>
      <c r="T529" s="1" t="str">
        <f t="shared" si="61"/>
        <v/>
      </c>
      <c r="U529" s="1" t="str">
        <f t="shared" si="62"/>
        <v/>
      </c>
      <c r="V529"/>
    </row>
    <row r="530" spans="13:22" x14ac:dyDescent="0.3">
      <c r="M530" s="1" t="str">
        <f t="shared" si="56"/>
        <v/>
      </c>
      <c r="N530" s="1" t="str">
        <f t="shared" si="57"/>
        <v/>
      </c>
      <c r="O530" s="1" t="str">
        <f ca="1">IF(F530="","",IF(INT(F530)=INT(NOW()),IF(NETWORKDAYS.INTL(F530,F530,1,FERIADOS!$A$2:$A$50)=0,0,MAX(0,(MIN(NOW(),INT(NOW())+18/24)-MAX(F530,INT(F530)+8/24)))*24),MAX(0,(INT(F530)+18/24-MAX(F530,INT(F530)+8/24)))*24*NETWORKDAYS.INTL(F530,F530,1,FERIADOS!$A$2:$A$50)+MAX(0,NETWORKDAYS.INTL(F530+1,NOW()-1,1,FERIADOS!$A$2:$A$50))*10+MAX(0,(MIN(NOW(),INT(NOW())+18/24)-(INT(NOW())+8/24)))*24*NETWORKDAYS.INTL(NOW(),NOW(),1,FERIADOS!$A$2:$A$50)))</f>
        <v/>
      </c>
      <c r="P530" s="1" t="str">
        <f t="shared" si="58"/>
        <v/>
      </c>
      <c r="Q530" s="1" t="str">
        <f t="shared" si="59"/>
        <v/>
      </c>
      <c r="R530" s="1" t="str">
        <f t="shared" si="60"/>
        <v/>
      </c>
      <c r="S530" s="1" t="str">
        <f>IF($A530="","",COUNTIF($N$2:N530,$N530))</f>
        <v/>
      </c>
      <c r="T530" s="1" t="str">
        <f t="shared" si="61"/>
        <v/>
      </c>
      <c r="U530" s="1" t="str">
        <f t="shared" si="62"/>
        <v/>
      </c>
      <c r="V530"/>
    </row>
    <row r="531" spans="13:22" x14ac:dyDescent="0.3">
      <c r="M531" s="1" t="str">
        <f t="shared" si="56"/>
        <v/>
      </c>
      <c r="N531" s="1" t="str">
        <f t="shared" si="57"/>
        <v/>
      </c>
      <c r="O531" s="1" t="str">
        <f ca="1">IF(F531="","",IF(INT(F531)=INT(NOW()),IF(NETWORKDAYS.INTL(F531,F531,1,FERIADOS!$A$2:$A$50)=0,0,MAX(0,(MIN(NOW(),INT(NOW())+18/24)-MAX(F531,INT(F531)+8/24)))*24),MAX(0,(INT(F531)+18/24-MAX(F531,INT(F531)+8/24)))*24*NETWORKDAYS.INTL(F531,F531,1,FERIADOS!$A$2:$A$50)+MAX(0,NETWORKDAYS.INTL(F531+1,NOW()-1,1,FERIADOS!$A$2:$A$50))*10+MAX(0,(MIN(NOW(),INT(NOW())+18/24)-(INT(NOW())+8/24)))*24*NETWORKDAYS.INTL(NOW(),NOW(),1,FERIADOS!$A$2:$A$50)))</f>
        <v/>
      </c>
      <c r="P531" s="1" t="str">
        <f t="shared" si="58"/>
        <v/>
      </c>
      <c r="Q531" s="1" t="str">
        <f t="shared" si="59"/>
        <v/>
      </c>
      <c r="R531" s="1" t="str">
        <f t="shared" si="60"/>
        <v/>
      </c>
      <c r="S531" s="1" t="str">
        <f>IF($A531="","",COUNTIF($N$2:N531,$N531))</f>
        <v/>
      </c>
      <c r="T531" s="1" t="str">
        <f t="shared" si="61"/>
        <v/>
      </c>
      <c r="U531" s="1" t="str">
        <f t="shared" si="62"/>
        <v/>
      </c>
      <c r="V531"/>
    </row>
    <row r="532" spans="13:22" x14ac:dyDescent="0.3">
      <c r="M532" s="1" t="str">
        <f t="shared" si="56"/>
        <v/>
      </c>
      <c r="N532" s="1" t="str">
        <f t="shared" si="57"/>
        <v/>
      </c>
      <c r="O532" s="1" t="str">
        <f ca="1">IF(F532="","",IF(INT(F532)=INT(NOW()),IF(NETWORKDAYS.INTL(F532,F532,1,FERIADOS!$A$2:$A$50)=0,0,MAX(0,(MIN(NOW(),INT(NOW())+18/24)-MAX(F532,INT(F532)+8/24)))*24),MAX(0,(INT(F532)+18/24-MAX(F532,INT(F532)+8/24)))*24*NETWORKDAYS.INTL(F532,F532,1,FERIADOS!$A$2:$A$50)+MAX(0,NETWORKDAYS.INTL(F532+1,NOW()-1,1,FERIADOS!$A$2:$A$50))*10+MAX(0,(MIN(NOW(),INT(NOW())+18/24)-(INT(NOW())+8/24)))*24*NETWORKDAYS.INTL(NOW(),NOW(),1,FERIADOS!$A$2:$A$50)))</f>
        <v/>
      </c>
      <c r="P532" s="1" t="str">
        <f t="shared" si="58"/>
        <v/>
      </c>
      <c r="Q532" s="1" t="str">
        <f t="shared" si="59"/>
        <v/>
      </c>
      <c r="R532" s="1" t="str">
        <f t="shared" si="60"/>
        <v/>
      </c>
      <c r="S532" s="1" t="str">
        <f>IF($A532="","",COUNTIF($N$2:N532,$N532))</f>
        <v/>
      </c>
      <c r="T532" s="1" t="str">
        <f t="shared" si="61"/>
        <v/>
      </c>
      <c r="U532" s="1" t="str">
        <f t="shared" si="62"/>
        <v/>
      </c>
      <c r="V532"/>
    </row>
    <row r="533" spans="13:22" x14ac:dyDescent="0.3">
      <c r="M533" s="1" t="str">
        <f t="shared" si="56"/>
        <v/>
      </c>
      <c r="N533" s="1" t="str">
        <f t="shared" si="57"/>
        <v/>
      </c>
      <c r="O533" s="1" t="str">
        <f ca="1">IF(F533="","",IF(INT(F533)=INT(NOW()),IF(NETWORKDAYS.INTL(F533,F533,1,FERIADOS!$A$2:$A$50)=0,0,MAX(0,(MIN(NOW(),INT(NOW())+18/24)-MAX(F533,INT(F533)+8/24)))*24),MAX(0,(INT(F533)+18/24-MAX(F533,INT(F533)+8/24)))*24*NETWORKDAYS.INTL(F533,F533,1,FERIADOS!$A$2:$A$50)+MAX(0,NETWORKDAYS.INTL(F533+1,NOW()-1,1,FERIADOS!$A$2:$A$50))*10+MAX(0,(MIN(NOW(),INT(NOW())+18/24)-(INT(NOW())+8/24)))*24*NETWORKDAYS.INTL(NOW(),NOW(),1,FERIADOS!$A$2:$A$50)))</f>
        <v/>
      </c>
      <c r="P533" s="1" t="str">
        <f t="shared" si="58"/>
        <v/>
      </c>
      <c r="Q533" s="1" t="str">
        <f t="shared" si="59"/>
        <v/>
      </c>
      <c r="R533" s="1" t="str">
        <f t="shared" si="60"/>
        <v/>
      </c>
      <c r="S533" s="1" t="str">
        <f>IF($A533="","",COUNTIF($N$2:N533,$N533))</f>
        <v/>
      </c>
      <c r="T533" s="1" t="str">
        <f t="shared" si="61"/>
        <v/>
      </c>
      <c r="U533" s="1" t="str">
        <f t="shared" si="62"/>
        <v/>
      </c>
      <c r="V533"/>
    </row>
    <row r="534" spans="13:22" x14ac:dyDescent="0.3">
      <c r="M534" s="1" t="str">
        <f t="shared" si="56"/>
        <v/>
      </c>
      <c r="N534" s="1" t="str">
        <f t="shared" si="57"/>
        <v/>
      </c>
      <c r="O534" s="1" t="str">
        <f ca="1">IF(F534="","",IF(INT(F534)=INT(NOW()),IF(NETWORKDAYS.INTL(F534,F534,1,FERIADOS!$A$2:$A$50)=0,0,MAX(0,(MIN(NOW(),INT(NOW())+18/24)-MAX(F534,INT(F534)+8/24)))*24),MAX(0,(INT(F534)+18/24-MAX(F534,INT(F534)+8/24)))*24*NETWORKDAYS.INTL(F534,F534,1,FERIADOS!$A$2:$A$50)+MAX(0,NETWORKDAYS.INTL(F534+1,NOW()-1,1,FERIADOS!$A$2:$A$50))*10+MAX(0,(MIN(NOW(),INT(NOW())+18/24)-(INT(NOW())+8/24)))*24*NETWORKDAYS.INTL(NOW(),NOW(),1,FERIADOS!$A$2:$A$50)))</f>
        <v/>
      </c>
      <c r="P534" s="1" t="str">
        <f t="shared" si="58"/>
        <v/>
      </c>
      <c r="Q534" s="1" t="str">
        <f t="shared" si="59"/>
        <v/>
      </c>
      <c r="R534" s="1" t="str">
        <f t="shared" si="60"/>
        <v/>
      </c>
      <c r="S534" s="1" t="str">
        <f>IF($A534="","",COUNTIF($N$2:N534,$N534))</f>
        <v/>
      </c>
      <c r="T534" s="1" t="str">
        <f t="shared" si="61"/>
        <v/>
      </c>
      <c r="U534" s="1" t="str">
        <f t="shared" si="62"/>
        <v/>
      </c>
      <c r="V534"/>
    </row>
    <row r="535" spans="13:22" x14ac:dyDescent="0.3">
      <c r="M535" s="1" t="str">
        <f t="shared" si="56"/>
        <v/>
      </c>
      <c r="N535" s="1" t="str">
        <f t="shared" si="57"/>
        <v/>
      </c>
      <c r="O535" s="1" t="str">
        <f ca="1">IF(F535="","",IF(INT(F535)=INT(NOW()),IF(NETWORKDAYS.INTL(F535,F535,1,FERIADOS!$A$2:$A$50)=0,0,MAX(0,(MIN(NOW(),INT(NOW())+18/24)-MAX(F535,INT(F535)+8/24)))*24),MAX(0,(INT(F535)+18/24-MAX(F535,INT(F535)+8/24)))*24*NETWORKDAYS.INTL(F535,F535,1,FERIADOS!$A$2:$A$50)+MAX(0,NETWORKDAYS.INTL(F535+1,NOW()-1,1,FERIADOS!$A$2:$A$50))*10+MAX(0,(MIN(NOW(),INT(NOW())+18/24)-(INT(NOW())+8/24)))*24*NETWORKDAYS.INTL(NOW(),NOW(),1,FERIADOS!$A$2:$A$50)))</f>
        <v/>
      </c>
      <c r="P535" s="1" t="str">
        <f t="shared" si="58"/>
        <v/>
      </c>
      <c r="Q535" s="1" t="str">
        <f t="shared" si="59"/>
        <v/>
      </c>
      <c r="R535" s="1" t="str">
        <f t="shared" si="60"/>
        <v/>
      </c>
      <c r="S535" s="1" t="str">
        <f>IF($A535="","",COUNTIF($N$2:N535,$N535))</f>
        <v/>
      </c>
      <c r="T535" s="1" t="str">
        <f t="shared" si="61"/>
        <v/>
      </c>
      <c r="U535" s="1" t="str">
        <f t="shared" si="62"/>
        <v/>
      </c>
      <c r="V535"/>
    </row>
    <row r="536" spans="13:22" x14ac:dyDescent="0.3">
      <c r="M536" s="1" t="str">
        <f t="shared" si="56"/>
        <v/>
      </c>
      <c r="N536" s="1" t="str">
        <f t="shared" si="57"/>
        <v/>
      </c>
      <c r="O536" s="1" t="str">
        <f ca="1">IF(F536="","",IF(INT(F536)=INT(NOW()),IF(NETWORKDAYS.INTL(F536,F536,1,FERIADOS!$A$2:$A$50)=0,0,MAX(0,(MIN(NOW(),INT(NOW())+18/24)-MAX(F536,INT(F536)+8/24)))*24),MAX(0,(INT(F536)+18/24-MAX(F536,INT(F536)+8/24)))*24*NETWORKDAYS.INTL(F536,F536,1,FERIADOS!$A$2:$A$50)+MAX(0,NETWORKDAYS.INTL(F536+1,NOW()-1,1,FERIADOS!$A$2:$A$50))*10+MAX(0,(MIN(NOW(),INT(NOW())+18/24)-(INT(NOW())+8/24)))*24*NETWORKDAYS.INTL(NOW(),NOW(),1,FERIADOS!$A$2:$A$50)))</f>
        <v/>
      </c>
      <c r="P536" s="1" t="str">
        <f t="shared" si="58"/>
        <v/>
      </c>
      <c r="Q536" s="1" t="str">
        <f t="shared" si="59"/>
        <v/>
      </c>
      <c r="R536" s="1" t="str">
        <f t="shared" si="60"/>
        <v/>
      </c>
      <c r="S536" s="1" t="str">
        <f>IF($A536="","",COUNTIF($N$2:N536,$N536))</f>
        <v/>
      </c>
      <c r="T536" s="1" t="str">
        <f t="shared" si="61"/>
        <v/>
      </c>
      <c r="U536" s="1" t="str">
        <f t="shared" si="62"/>
        <v/>
      </c>
      <c r="V536"/>
    </row>
    <row r="537" spans="13:22" x14ac:dyDescent="0.3">
      <c r="M537" s="1" t="str">
        <f t="shared" si="56"/>
        <v/>
      </c>
      <c r="N537" s="1" t="str">
        <f t="shared" si="57"/>
        <v/>
      </c>
      <c r="O537" s="1" t="str">
        <f ca="1">IF(F537="","",IF(INT(F537)=INT(NOW()),IF(NETWORKDAYS.INTL(F537,F537,1,FERIADOS!$A$2:$A$50)=0,0,MAX(0,(MIN(NOW(),INT(NOW())+18/24)-MAX(F537,INT(F537)+8/24)))*24),MAX(0,(INT(F537)+18/24-MAX(F537,INT(F537)+8/24)))*24*NETWORKDAYS.INTL(F537,F537,1,FERIADOS!$A$2:$A$50)+MAX(0,NETWORKDAYS.INTL(F537+1,NOW()-1,1,FERIADOS!$A$2:$A$50))*10+MAX(0,(MIN(NOW(),INT(NOW())+18/24)-(INT(NOW())+8/24)))*24*NETWORKDAYS.INTL(NOW(),NOW(),1,FERIADOS!$A$2:$A$50)))</f>
        <v/>
      </c>
      <c r="P537" s="1" t="str">
        <f t="shared" si="58"/>
        <v/>
      </c>
      <c r="Q537" s="1" t="str">
        <f t="shared" si="59"/>
        <v/>
      </c>
      <c r="R537" s="1" t="str">
        <f t="shared" si="60"/>
        <v/>
      </c>
      <c r="S537" s="1" t="str">
        <f>IF($A537="","",COUNTIF($N$2:N537,$N537))</f>
        <v/>
      </c>
      <c r="T537" s="1" t="str">
        <f t="shared" si="61"/>
        <v/>
      </c>
      <c r="U537" s="1" t="str">
        <f t="shared" si="62"/>
        <v/>
      </c>
      <c r="V537"/>
    </row>
    <row r="538" spans="13:22" x14ac:dyDescent="0.3">
      <c r="M538" s="1" t="str">
        <f t="shared" si="56"/>
        <v/>
      </c>
      <c r="N538" s="1" t="str">
        <f t="shared" si="57"/>
        <v/>
      </c>
      <c r="O538" s="1" t="str">
        <f ca="1">IF(F538="","",IF(INT(F538)=INT(NOW()),IF(NETWORKDAYS.INTL(F538,F538,1,FERIADOS!$A$2:$A$50)=0,0,MAX(0,(MIN(NOW(),INT(NOW())+18/24)-MAX(F538,INT(F538)+8/24)))*24),MAX(0,(INT(F538)+18/24-MAX(F538,INT(F538)+8/24)))*24*NETWORKDAYS.INTL(F538,F538,1,FERIADOS!$A$2:$A$50)+MAX(0,NETWORKDAYS.INTL(F538+1,NOW()-1,1,FERIADOS!$A$2:$A$50))*10+MAX(0,(MIN(NOW(),INT(NOW())+18/24)-(INT(NOW())+8/24)))*24*NETWORKDAYS.INTL(NOW(),NOW(),1,FERIADOS!$A$2:$A$50)))</f>
        <v/>
      </c>
      <c r="P538" s="1" t="str">
        <f t="shared" si="58"/>
        <v/>
      </c>
      <c r="Q538" s="1" t="str">
        <f t="shared" si="59"/>
        <v/>
      </c>
      <c r="R538" s="1" t="str">
        <f t="shared" si="60"/>
        <v/>
      </c>
      <c r="S538" s="1" t="str">
        <f>IF($A538="","",COUNTIF($N$2:N538,$N538))</f>
        <v/>
      </c>
      <c r="T538" s="1" t="str">
        <f t="shared" si="61"/>
        <v/>
      </c>
      <c r="U538" s="1" t="str">
        <f t="shared" si="62"/>
        <v/>
      </c>
      <c r="V538"/>
    </row>
    <row r="539" spans="13:22" x14ac:dyDescent="0.3">
      <c r="M539" s="1" t="str">
        <f t="shared" si="56"/>
        <v/>
      </c>
      <c r="N539" s="1" t="str">
        <f t="shared" si="57"/>
        <v/>
      </c>
      <c r="O539" s="1" t="str">
        <f ca="1">IF(F539="","",IF(INT(F539)=INT(NOW()),IF(NETWORKDAYS.INTL(F539,F539,1,FERIADOS!$A$2:$A$50)=0,0,MAX(0,(MIN(NOW(),INT(NOW())+18/24)-MAX(F539,INT(F539)+8/24)))*24),MAX(0,(INT(F539)+18/24-MAX(F539,INT(F539)+8/24)))*24*NETWORKDAYS.INTL(F539,F539,1,FERIADOS!$A$2:$A$50)+MAX(0,NETWORKDAYS.INTL(F539+1,NOW()-1,1,FERIADOS!$A$2:$A$50))*10+MAX(0,(MIN(NOW(),INT(NOW())+18/24)-(INT(NOW())+8/24)))*24*NETWORKDAYS.INTL(NOW(),NOW(),1,FERIADOS!$A$2:$A$50)))</f>
        <v/>
      </c>
      <c r="P539" s="1" t="str">
        <f t="shared" si="58"/>
        <v/>
      </c>
      <c r="Q539" s="1" t="str">
        <f t="shared" si="59"/>
        <v/>
      </c>
      <c r="R539" s="1" t="str">
        <f t="shared" si="60"/>
        <v/>
      </c>
      <c r="S539" s="1" t="str">
        <f>IF($A539="","",COUNTIF($N$2:N539,$N539))</f>
        <v/>
      </c>
      <c r="T539" s="1" t="str">
        <f t="shared" si="61"/>
        <v/>
      </c>
      <c r="U539" s="1" t="str">
        <f t="shared" si="62"/>
        <v/>
      </c>
      <c r="V539"/>
    </row>
    <row r="540" spans="13:22" x14ac:dyDescent="0.3">
      <c r="M540" s="1" t="str">
        <f t="shared" si="56"/>
        <v/>
      </c>
      <c r="N540" s="1" t="str">
        <f t="shared" si="57"/>
        <v/>
      </c>
      <c r="O540" s="1" t="str">
        <f ca="1">IF(F540="","",IF(INT(F540)=INT(NOW()),IF(NETWORKDAYS.INTL(F540,F540,1,FERIADOS!$A$2:$A$50)=0,0,MAX(0,(MIN(NOW(),INT(NOW())+18/24)-MAX(F540,INT(F540)+8/24)))*24),MAX(0,(INT(F540)+18/24-MAX(F540,INT(F540)+8/24)))*24*NETWORKDAYS.INTL(F540,F540,1,FERIADOS!$A$2:$A$50)+MAX(0,NETWORKDAYS.INTL(F540+1,NOW()-1,1,FERIADOS!$A$2:$A$50))*10+MAX(0,(MIN(NOW(),INT(NOW())+18/24)-(INT(NOW())+8/24)))*24*NETWORKDAYS.INTL(NOW(),NOW(),1,FERIADOS!$A$2:$A$50)))</f>
        <v/>
      </c>
      <c r="P540" s="1" t="str">
        <f t="shared" si="58"/>
        <v/>
      </c>
      <c r="Q540" s="1" t="str">
        <f t="shared" si="59"/>
        <v/>
      </c>
      <c r="R540" s="1" t="str">
        <f t="shared" si="60"/>
        <v/>
      </c>
      <c r="S540" s="1" t="str">
        <f>IF($A540="","",COUNTIF($N$2:N540,$N540))</f>
        <v/>
      </c>
      <c r="T540" s="1" t="str">
        <f t="shared" si="61"/>
        <v/>
      </c>
      <c r="U540" s="1" t="str">
        <f t="shared" si="62"/>
        <v/>
      </c>
      <c r="V540"/>
    </row>
    <row r="541" spans="13:22" x14ac:dyDescent="0.3">
      <c r="M541" s="1" t="str">
        <f t="shared" si="56"/>
        <v/>
      </c>
      <c r="N541" s="1" t="str">
        <f t="shared" si="57"/>
        <v/>
      </c>
      <c r="O541" s="1" t="str">
        <f ca="1">IF(F541="","",IF(INT(F541)=INT(NOW()),IF(NETWORKDAYS.INTL(F541,F541,1,FERIADOS!$A$2:$A$50)=0,0,MAX(0,(MIN(NOW(),INT(NOW())+18/24)-MAX(F541,INT(F541)+8/24)))*24),MAX(0,(INT(F541)+18/24-MAX(F541,INT(F541)+8/24)))*24*NETWORKDAYS.INTL(F541,F541,1,FERIADOS!$A$2:$A$50)+MAX(0,NETWORKDAYS.INTL(F541+1,NOW()-1,1,FERIADOS!$A$2:$A$50))*10+MAX(0,(MIN(NOW(),INT(NOW())+18/24)-(INT(NOW())+8/24)))*24*NETWORKDAYS.INTL(NOW(),NOW(),1,FERIADOS!$A$2:$A$50)))</f>
        <v/>
      </c>
      <c r="P541" s="1" t="str">
        <f t="shared" si="58"/>
        <v/>
      </c>
      <c r="Q541" s="1" t="str">
        <f t="shared" si="59"/>
        <v/>
      </c>
      <c r="R541" s="1" t="str">
        <f t="shared" si="60"/>
        <v/>
      </c>
      <c r="S541" s="1" t="str">
        <f>IF($A541="","",COUNTIF($N$2:N541,$N541))</f>
        <v/>
      </c>
      <c r="T541" s="1" t="str">
        <f t="shared" si="61"/>
        <v/>
      </c>
      <c r="U541" s="1" t="str">
        <f t="shared" si="62"/>
        <v/>
      </c>
      <c r="V541"/>
    </row>
    <row r="542" spans="13:22" x14ac:dyDescent="0.3">
      <c r="M542" s="1" t="str">
        <f t="shared" si="56"/>
        <v/>
      </c>
      <c r="N542" s="1" t="str">
        <f t="shared" si="57"/>
        <v/>
      </c>
      <c r="O542" s="1" t="str">
        <f ca="1">IF(F542="","",IF(INT(F542)=INT(NOW()),IF(NETWORKDAYS.INTL(F542,F542,1,FERIADOS!$A$2:$A$50)=0,0,MAX(0,(MIN(NOW(),INT(NOW())+18/24)-MAX(F542,INT(F542)+8/24)))*24),MAX(0,(INT(F542)+18/24-MAX(F542,INT(F542)+8/24)))*24*NETWORKDAYS.INTL(F542,F542,1,FERIADOS!$A$2:$A$50)+MAX(0,NETWORKDAYS.INTL(F542+1,NOW()-1,1,FERIADOS!$A$2:$A$50))*10+MAX(0,(MIN(NOW(),INT(NOW())+18/24)-(INT(NOW())+8/24)))*24*NETWORKDAYS.INTL(NOW(),NOW(),1,FERIADOS!$A$2:$A$50)))</f>
        <v/>
      </c>
      <c r="P542" s="1" t="str">
        <f t="shared" si="58"/>
        <v/>
      </c>
      <c r="Q542" s="1" t="str">
        <f t="shared" si="59"/>
        <v/>
      </c>
      <c r="R542" s="1" t="str">
        <f t="shared" si="60"/>
        <v/>
      </c>
      <c r="S542" s="1" t="str">
        <f>IF($A542="","",COUNTIF($N$2:N542,$N542))</f>
        <v/>
      </c>
      <c r="T542" s="1" t="str">
        <f t="shared" si="61"/>
        <v/>
      </c>
      <c r="U542" s="1" t="str">
        <f t="shared" si="62"/>
        <v/>
      </c>
      <c r="V542"/>
    </row>
    <row r="543" spans="13:22" x14ac:dyDescent="0.3">
      <c r="M543" s="1" t="str">
        <f t="shared" si="56"/>
        <v/>
      </c>
      <c r="N543" s="1" t="str">
        <f t="shared" si="57"/>
        <v/>
      </c>
      <c r="O543" s="1" t="str">
        <f ca="1">IF(F543="","",IF(INT(F543)=INT(NOW()),IF(NETWORKDAYS.INTL(F543,F543,1,FERIADOS!$A$2:$A$50)=0,0,MAX(0,(MIN(NOW(),INT(NOW())+18/24)-MAX(F543,INT(F543)+8/24)))*24),MAX(0,(INT(F543)+18/24-MAX(F543,INT(F543)+8/24)))*24*NETWORKDAYS.INTL(F543,F543,1,FERIADOS!$A$2:$A$50)+MAX(0,NETWORKDAYS.INTL(F543+1,NOW()-1,1,FERIADOS!$A$2:$A$50))*10+MAX(0,(MIN(NOW(),INT(NOW())+18/24)-(INT(NOW())+8/24)))*24*NETWORKDAYS.INTL(NOW(),NOW(),1,FERIADOS!$A$2:$A$50)))</f>
        <v/>
      </c>
      <c r="P543" s="1" t="str">
        <f t="shared" si="58"/>
        <v/>
      </c>
      <c r="Q543" s="1" t="str">
        <f t="shared" si="59"/>
        <v/>
      </c>
      <c r="R543" s="1" t="str">
        <f t="shared" si="60"/>
        <v/>
      </c>
      <c r="S543" s="1" t="str">
        <f>IF($A543="","",COUNTIF($N$2:N543,$N543))</f>
        <v/>
      </c>
      <c r="T543" s="1" t="str">
        <f t="shared" si="61"/>
        <v/>
      </c>
      <c r="U543" s="1" t="str">
        <f t="shared" si="62"/>
        <v/>
      </c>
      <c r="V543"/>
    </row>
    <row r="544" spans="13:22" x14ac:dyDescent="0.3">
      <c r="M544" s="1" t="str">
        <f t="shared" si="56"/>
        <v/>
      </c>
      <c r="N544" s="1" t="str">
        <f t="shared" si="57"/>
        <v/>
      </c>
      <c r="O544" s="1" t="str">
        <f ca="1">IF(F544="","",IF(INT(F544)=INT(NOW()),IF(NETWORKDAYS.INTL(F544,F544,1,FERIADOS!$A$2:$A$50)=0,0,MAX(0,(MIN(NOW(),INT(NOW())+18/24)-MAX(F544,INT(F544)+8/24)))*24),MAX(0,(INT(F544)+18/24-MAX(F544,INT(F544)+8/24)))*24*NETWORKDAYS.INTL(F544,F544,1,FERIADOS!$A$2:$A$50)+MAX(0,NETWORKDAYS.INTL(F544+1,NOW()-1,1,FERIADOS!$A$2:$A$50))*10+MAX(0,(MIN(NOW(),INT(NOW())+18/24)-(INT(NOW())+8/24)))*24*NETWORKDAYS.INTL(NOW(),NOW(),1,FERIADOS!$A$2:$A$50)))</f>
        <v/>
      </c>
      <c r="P544" s="1" t="str">
        <f t="shared" si="58"/>
        <v/>
      </c>
      <c r="Q544" s="1" t="str">
        <f t="shared" si="59"/>
        <v/>
      </c>
      <c r="R544" s="1" t="str">
        <f t="shared" si="60"/>
        <v/>
      </c>
      <c r="S544" s="1" t="str">
        <f>IF($A544="","",COUNTIF($N$2:N544,$N544))</f>
        <v/>
      </c>
      <c r="T544" s="1" t="str">
        <f t="shared" si="61"/>
        <v/>
      </c>
      <c r="U544" s="1" t="str">
        <f t="shared" si="62"/>
        <v/>
      </c>
      <c r="V544"/>
    </row>
    <row r="545" spans="13:22" x14ac:dyDescent="0.3">
      <c r="M545" s="1" t="str">
        <f t="shared" si="56"/>
        <v/>
      </c>
      <c r="N545" s="1" t="str">
        <f t="shared" si="57"/>
        <v/>
      </c>
      <c r="O545" s="1" t="str">
        <f ca="1">IF(F545="","",IF(INT(F545)=INT(NOW()),IF(NETWORKDAYS.INTL(F545,F545,1,FERIADOS!$A$2:$A$50)=0,0,MAX(0,(MIN(NOW(),INT(NOW())+18/24)-MAX(F545,INT(F545)+8/24)))*24),MAX(0,(INT(F545)+18/24-MAX(F545,INT(F545)+8/24)))*24*NETWORKDAYS.INTL(F545,F545,1,FERIADOS!$A$2:$A$50)+MAX(0,NETWORKDAYS.INTL(F545+1,NOW()-1,1,FERIADOS!$A$2:$A$50))*10+MAX(0,(MIN(NOW(),INT(NOW())+18/24)-(INT(NOW())+8/24)))*24*NETWORKDAYS.INTL(NOW(),NOW(),1,FERIADOS!$A$2:$A$50)))</f>
        <v/>
      </c>
      <c r="P545" s="1" t="str">
        <f t="shared" si="58"/>
        <v/>
      </c>
      <c r="Q545" s="1" t="str">
        <f t="shared" si="59"/>
        <v/>
      </c>
      <c r="R545" s="1" t="str">
        <f t="shared" si="60"/>
        <v/>
      </c>
      <c r="S545" s="1" t="str">
        <f>IF($A545="","",COUNTIF($N$2:N545,$N545))</f>
        <v/>
      </c>
      <c r="T545" s="1" t="str">
        <f t="shared" si="61"/>
        <v/>
      </c>
      <c r="U545" s="1" t="str">
        <f t="shared" si="62"/>
        <v/>
      </c>
      <c r="V545"/>
    </row>
    <row r="546" spans="13:22" x14ac:dyDescent="0.3">
      <c r="M546" s="1" t="str">
        <f t="shared" si="56"/>
        <v/>
      </c>
      <c r="N546" s="1" t="str">
        <f t="shared" si="57"/>
        <v/>
      </c>
      <c r="O546" s="1" t="str">
        <f ca="1">IF(F546="","",IF(INT(F546)=INT(NOW()),IF(NETWORKDAYS.INTL(F546,F546,1,FERIADOS!$A$2:$A$50)=0,0,MAX(0,(MIN(NOW(),INT(NOW())+18/24)-MAX(F546,INT(F546)+8/24)))*24),MAX(0,(INT(F546)+18/24-MAX(F546,INT(F546)+8/24)))*24*NETWORKDAYS.INTL(F546,F546,1,FERIADOS!$A$2:$A$50)+MAX(0,NETWORKDAYS.INTL(F546+1,NOW()-1,1,FERIADOS!$A$2:$A$50))*10+MAX(0,(MIN(NOW(),INT(NOW())+18/24)-(INT(NOW())+8/24)))*24*NETWORKDAYS.INTL(NOW(),NOW(),1,FERIADOS!$A$2:$A$50)))</f>
        <v/>
      </c>
      <c r="P546" s="1" t="str">
        <f t="shared" si="58"/>
        <v/>
      </c>
      <c r="Q546" s="1" t="str">
        <f t="shared" si="59"/>
        <v/>
      </c>
      <c r="R546" s="1" t="str">
        <f t="shared" si="60"/>
        <v/>
      </c>
      <c r="S546" s="1" t="str">
        <f>IF($A546="","",COUNTIF($N$2:N546,$N546))</f>
        <v/>
      </c>
      <c r="T546" s="1" t="str">
        <f t="shared" si="61"/>
        <v/>
      </c>
      <c r="U546" s="1" t="str">
        <f t="shared" si="62"/>
        <v/>
      </c>
      <c r="V546"/>
    </row>
    <row r="547" spans="13:22" x14ac:dyDescent="0.3">
      <c r="M547" s="1" t="str">
        <f t="shared" si="56"/>
        <v/>
      </c>
      <c r="N547" s="1" t="str">
        <f t="shared" si="57"/>
        <v/>
      </c>
      <c r="O547" s="1" t="str">
        <f ca="1">IF(F547="","",IF(INT(F547)=INT(NOW()),IF(NETWORKDAYS.INTL(F547,F547,1,FERIADOS!$A$2:$A$50)=0,0,MAX(0,(MIN(NOW(),INT(NOW())+18/24)-MAX(F547,INT(F547)+8/24)))*24),MAX(0,(INT(F547)+18/24-MAX(F547,INT(F547)+8/24)))*24*NETWORKDAYS.INTL(F547,F547,1,FERIADOS!$A$2:$A$50)+MAX(0,NETWORKDAYS.INTL(F547+1,NOW()-1,1,FERIADOS!$A$2:$A$50))*10+MAX(0,(MIN(NOW(),INT(NOW())+18/24)-(INT(NOW())+8/24)))*24*NETWORKDAYS.INTL(NOW(),NOW(),1,FERIADOS!$A$2:$A$50)))</f>
        <v/>
      </c>
      <c r="P547" s="1" t="str">
        <f t="shared" si="58"/>
        <v/>
      </c>
      <c r="Q547" s="1" t="str">
        <f t="shared" si="59"/>
        <v/>
      </c>
      <c r="R547" s="1" t="str">
        <f t="shared" si="60"/>
        <v/>
      </c>
      <c r="S547" s="1" t="str">
        <f>IF($A547="","",COUNTIF($N$2:N547,$N547))</f>
        <v/>
      </c>
      <c r="T547" s="1" t="str">
        <f t="shared" si="61"/>
        <v/>
      </c>
      <c r="U547" s="1" t="str">
        <f t="shared" si="62"/>
        <v/>
      </c>
      <c r="V547"/>
    </row>
    <row r="548" spans="13:22" x14ac:dyDescent="0.3">
      <c r="M548" s="1" t="str">
        <f t="shared" si="56"/>
        <v/>
      </c>
      <c r="N548" s="1" t="str">
        <f t="shared" si="57"/>
        <v/>
      </c>
      <c r="O548" s="1" t="str">
        <f ca="1">IF(F548="","",IF(INT(F548)=INT(NOW()),IF(NETWORKDAYS.INTL(F548,F548,1,FERIADOS!$A$2:$A$50)=0,0,MAX(0,(MIN(NOW(),INT(NOW())+18/24)-MAX(F548,INT(F548)+8/24)))*24),MAX(0,(INT(F548)+18/24-MAX(F548,INT(F548)+8/24)))*24*NETWORKDAYS.INTL(F548,F548,1,FERIADOS!$A$2:$A$50)+MAX(0,NETWORKDAYS.INTL(F548+1,NOW()-1,1,FERIADOS!$A$2:$A$50))*10+MAX(0,(MIN(NOW(),INT(NOW())+18/24)-(INT(NOW())+8/24)))*24*NETWORKDAYS.INTL(NOW(),NOW(),1,FERIADOS!$A$2:$A$50)))</f>
        <v/>
      </c>
      <c r="P548" s="1" t="str">
        <f t="shared" si="58"/>
        <v/>
      </c>
      <c r="Q548" s="1" t="str">
        <f t="shared" si="59"/>
        <v/>
      </c>
      <c r="R548" s="1" t="str">
        <f t="shared" si="60"/>
        <v/>
      </c>
      <c r="S548" s="1" t="str">
        <f>IF($A548="","",COUNTIF($N$2:N548,$N548))</f>
        <v/>
      </c>
      <c r="T548" s="1" t="str">
        <f t="shared" si="61"/>
        <v/>
      </c>
      <c r="U548" s="1" t="str">
        <f t="shared" si="62"/>
        <v/>
      </c>
      <c r="V548"/>
    </row>
    <row r="549" spans="13:22" x14ac:dyDescent="0.3">
      <c r="M549" s="1" t="str">
        <f t="shared" si="56"/>
        <v/>
      </c>
      <c r="N549" s="1" t="str">
        <f t="shared" si="57"/>
        <v/>
      </c>
      <c r="O549" s="1" t="str">
        <f ca="1">IF(F549="","",IF(INT(F549)=INT(NOW()),IF(NETWORKDAYS.INTL(F549,F549,1,FERIADOS!$A$2:$A$50)=0,0,MAX(0,(MIN(NOW(),INT(NOW())+18/24)-MAX(F549,INT(F549)+8/24)))*24),MAX(0,(INT(F549)+18/24-MAX(F549,INT(F549)+8/24)))*24*NETWORKDAYS.INTL(F549,F549,1,FERIADOS!$A$2:$A$50)+MAX(0,NETWORKDAYS.INTL(F549+1,NOW()-1,1,FERIADOS!$A$2:$A$50))*10+MAX(0,(MIN(NOW(),INT(NOW())+18/24)-(INT(NOW())+8/24)))*24*NETWORKDAYS.INTL(NOW(),NOW(),1,FERIADOS!$A$2:$A$50)))</f>
        <v/>
      </c>
      <c r="P549" s="1" t="str">
        <f t="shared" si="58"/>
        <v/>
      </c>
      <c r="Q549" s="1" t="str">
        <f t="shared" si="59"/>
        <v/>
      </c>
      <c r="R549" s="1" t="str">
        <f t="shared" si="60"/>
        <v/>
      </c>
      <c r="S549" s="1" t="str">
        <f>IF($A549="","",COUNTIF($N$2:N549,$N549))</f>
        <v/>
      </c>
      <c r="T549" s="1" t="str">
        <f t="shared" si="61"/>
        <v/>
      </c>
      <c r="U549" s="1" t="str">
        <f t="shared" si="62"/>
        <v/>
      </c>
      <c r="V549"/>
    </row>
    <row r="550" spans="13:22" x14ac:dyDescent="0.3">
      <c r="M550" s="1" t="str">
        <f t="shared" si="56"/>
        <v/>
      </c>
      <c r="N550" s="1" t="str">
        <f t="shared" si="57"/>
        <v/>
      </c>
      <c r="O550" s="1" t="str">
        <f ca="1">IF(F550="","",IF(INT(F550)=INT(NOW()),IF(NETWORKDAYS.INTL(F550,F550,1,FERIADOS!$A$2:$A$50)=0,0,MAX(0,(MIN(NOW(),INT(NOW())+18/24)-MAX(F550,INT(F550)+8/24)))*24),MAX(0,(INT(F550)+18/24-MAX(F550,INT(F550)+8/24)))*24*NETWORKDAYS.INTL(F550,F550,1,FERIADOS!$A$2:$A$50)+MAX(0,NETWORKDAYS.INTL(F550+1,NOW()-1,1,FERIADOS!$A$2:$A$50))*10+MAX(0,(MIN(NOW(),INT(NOW())+18/24)-(INT(NOW())+8/24)))*24*NETWORKDAYS.INTL(NOW(),NOW(),1,FERIADOS!$A$2:$A$50)))</f>
        <v/>
      </c>
      <c r="P550" s="1" t="str">
        <f t="shared" si="58"/>
        <v/>
      </c>
      <c r="Q550" s="1" t="str">
        <f t="shared" si="59"/>
        <v/>
      </c>
      <c r="R550" s="1" t="str">
        <f t="shared" si="60"/>
        <v/>
      </c>
      <c r="S550" s="1" t="str">
        <f>IF($A550="","",COUNTIF($N$2:N550,$N550))</f>
        <v/>
      </c>
      <c r="T550" s="1" t="str">
        <f t="shared" si="61"/>
        <v/>
      </c>
      <c r="U550" s="1" t="str">
        <f t="shared" si="62"/>
        <v/>
      </c>
      <c r="V550"/>
    </row>
    <row r="551" spans="13:22" x14ac:dyDescent="0.3">
      <c r="M551" s="1" t="str">
        <f t="shared" si="56"/>
        <v/>
      </c>
      <c r="N551" s="1" t="str">
        <f t="shared" si="57"/>
        <v/>
      </c>
      <c r="O551" s="1" t="str">
        <f ca="1">IF(F551="","",IF(INT(F551)=INT(NOW()),IF(NETWORKDAYS.INTL(F551,F551,1,FERIADOS!$A$2:$A$50)=0,0,MAX(0,(MIN(NOW(),INT(NOW())+18/24)-MAX(F551,INT(F551)+8/24)))*24),MAX(0,(INT(F551)+18/24-MAX(F551,INT(F551)+8/24)))*24*NETWORKDAYS.INTL(F551,F551,1,FERIADOS!$A$2:$A$50)+MAX(0,NETWORKDAYS.INTL(F551+1,NOW()-1,1,FERIADOS!$A$2:$A$50))*10+MAX(0,(MIN(NOW(),INT(NOW())+18/24)-(INT(NOW())+8/24)))*24*NETWORKDAYS.INTL(NOW(),NOW(),1,FERIADOS!$A$2:$A$50)))</f>
        <v/>
      </c>
      <c r="P551" s="1" t="str">
        <f t="shared" si="58"/>
        <v/>
      </c>
      <c r="Q551" s="1" t="str">
        <f t="shared" si="59"/>
        <v/>
      </c>
      <c r="R551" s="1" t="str">
        <f t="shared" si="60"/>
        <v/>
      </c>
      <c r="S551" s="1" t="str">
        <f>IF($A551="","",COUNTIF($N$2:N551,$N551))</f>
        <v/>
      </c>
      <c r="T551" s="1" t="str">
        <f t="shared" si="61"/>
        <v/>
      </c>
      <c r="U551" s="1" t="str">
        <f t="shared" si="62"/>
        <v/>
      </c>
      <c r="V551"/>
    </row>
    <row r="552" spans="13:22" x14ac:dyDescent="0.3">
      <c r="M552" s="1" t="str">
        <f t="shared" si="56"/>
        <v/>
      </c>
      <c r="N552" s="1" t="str">
        <f t="shared" si="57"/>
        <v/>
      </c>
      <c r="O552" s="1" t="str">
        <f ca="1">IF(F552="","",IF(INT(F552)=INT(NOW()),IF(NETWORKDAYS.INTL(F552,F552,1,FERIADOS!$A$2:$A$50)=0,0,MAX(0,(MIN(NOW(),INT(NOW())+18/24)-MAX(F552,INT(F552)+8/24)))*24),MAX(0,(INT(F552)+18/24-MAX(F552,INT(F552)+8/24)))*24*NETWORKDAYS.INTL(F552,F552,1,FERIADOS!$A$2:$A$50)+MAX(0,NETWORKDAYS.INTL(F552+1,NOW()-1,1,FERIADOS!$A$2:$A$50))*10+MAX(0,(MIN(NOW(),INT(NOW())+18/24)-(INT(NOW())+8/24)))*24*NETWORKDAYS.INTL(NOW(),NOW(),1,FERIADOS!$A$2:$A$50)))</f>
        <v/>
      </c>
      <c r="P552" s="1" t="str">
        <f t="shared" si="58"/>
        <v/>
      </c>
      <c r="Q552" s="1" t="str">
        <f t="shared" si="59"/>
        <v/>
      </c>
      <c r="R552" s="1" t="str">
        <f t="shared" si="60"/>
        <v/>
      </c>
      <c r="S552" s="1" t="str">
        <f>IF($A552="","",COUNTIF($N$2:N552,$N552))</f>
        <v/>
      </c>
      <c r="T552" s="1" t="str">
        <f t="shared" si="61"/>
        <v/>
      </c>
      <c r="U552" s="1" t="str">
        <f t="shared" si="62"/>
        <v/>
      </c>
      <c r="V552"/>
    </row>
    <row r="553" spans="13:22" x14ac:dyDescent="0.3">
      <c r="M553" s="1" t="str">
        <f t="shared" si="56"/>
        <v/>
      </c>
      <c r="N553" s="1" t="str">
        <f t="shared" si="57"/>
        <v/>
      </c>
      <c r="O553" s="1" t="str">
        <f ca="1">IF(F553="","",IF(INT(F553)=INT(NOW()),IF(NETWORKDAYS.INTL(F553,F553,1,FERIADOS!$A$2:$A$50)=0,0,MAX(0,(MIN(NOW(),INT(NOW())+18/24)-MAX(F553,INT(F553)+8/24)))*24),MAX(0,(INT(F553)+18/24-MAX(F553,INT(F553)+8/24)))*24*NETWORKDAYS.INTL(F553,F553,1,FERIADOS!$A$2:$A$50)+MAX(0,NETWORKDAYS.INTL(F553+1,NOW()-1,1,FERIADOS!$A$2:$A$50))*10+MAX(0,(MIN(NOW(),INT(NOW())+18/24)-(INT(NOW())+8/24)))*24*NETWORKDAYS.INTL(NOW(),NOW(),1,FERIADOS!$A$2:$A$50)))</f>
        <v/>
      </c>
      <c r="P553" s="1" t="str">
        <f t="shared" si="58"/>
        <v/>
      </c>
      <c r="Q553" s="1" t="str">
        <f t="shared" si="59"/>
        <v/>
      </c>
      <c r="R553" s="1" t="str">
        <f t="shared" si="60"/>
        <v/>
      </c>
      <c r="S553" s="1" t="str">
        <f>IF($A553="","",COUNTIF($N$2:N553,$N553))</f>
        <v/>
      </c>
      <c r="T553" s="1" t="str">
        <f t="shared" si="61"/>
        <v/>
      </c>
      <c r="U553" s="1" t="str">
        <f t="shared" si="62"/>
        <v/>
      </c>
      <c r="V553"/>
    </row>
    <row r="554" spans="13:22" x14ac:dyDescent="0.3">
      <c r="M554" s="1" t="str">
        <f t="shared" si="56"/>
        <v/>
      </c>
      <c r="N554" s="1" t="str">
        <f t="shared" si="57"/>
        <v/>
      </c>
      <c r="O554" s="1" t="str">
        <f ca="1">IF(F554="","",IF(INT(F554)=INT(NOW()),IF(NETWORKDAYS.INTL(F554,F554,1,FERIADOS!$A$2:$A$50)=0,0,MAX(0,(MIN(NOW(),INT(NOW())+18/24)-MAX(F554,INT(F554)+8/24)))*24),MAX(0,(INT(F554)+18/24-MAX(F554,INT(F554)+8/24)))*24*NETWORKDAYS.INTL(F554,F554,1,FERIADOS!$A$2:$A$50)+MAX(0,NETWORKDAYS.INTL(F554+1,NOW()-1,1,FERIADOS!$A$2:$A$50))*10+MAX(0,(MIN(NOW(),INT(NOW())+18/24)-(INT(NOW())+8/24)))*24*NETWORKDAYS.INTL(NOW(),NOW(),1,FERIADOS!$A$2:$A$50)))</f>
        <v/>
      </c>
      <c r="P554" s="1" t="str">
        <f t="shared" si="58"/>
        <v/>
      </c>
      <c r="Q554" s="1" t="str">
        <f t="shared" si="59"/>
        <v/>
      </c>
      <c r="R554" s="1" t="str">
        <f t="shared" si="60"/>
        <v/>
      </c>
      <c r="S554" s="1" t="str">
        <f>IF($A554="","",COUNTIF($N$2:N554,$N554))</f>
        <v/>
      </c>
      <c r="T554" s="1" t="str">
        <f t="shared" si="61"/>
        <v/>
      </c>
      <c r="U554" s="1" t="str">
        <f t="shared" si="62"/>
        <v/>
      </c>
      <c r="V554"/>
    </row>
    <row r="555" spans="13:22" x14ac:dyDescent="0.3">
      <c r="M555" s="1" t="str">
        <f t="shared" si="56"/>
        <v/>
      </c>
      <c r="N555" s="1" t="str">
        <f t="shared" si="57"/>
        <v/>
      </c>
      <c r="O555" s="1" t="str">
        <f ca="1">IF(F555="","",IF(INT(F555)=INT(NOW()),IF(NETWORKDAYS.INTL(F555,F555,1,FERIADOS!$A$2:$A$50)=0,0,MAX(0,(MIN(NOW(),INT(NOW())+18/24)-MAX(F555,INT(F555)+8/24)))*24),MAX(0,(INT(F555)+18/24-MAX(F555,INT(F555)+8/24)))*24*NETWORKDAYS.INTL(F555,F555,1,FERIADOS!$A$2:$A$50)+MAX(0,NETWORKDAYS.INTL(F555+1,NOW()-1,1,FERIADOS!$A$2:$A$50))*10+MAX(0,(MIN(NOW(),INT(NOW())+18/24)-(INT(NOW())+8/24)))*24*NETWORKDAYS.INTL(NOW(),NOW(),1,FERIADOS!$A$2:$A$50)))</f>
        <v/>
      </c>
      <c r="P555" s="1" t="str">
        <f t="shared" si="58"/>
        <v/>
      </c>
      <c r="Q555" s="1" t="str">
        <f t="shared" si="59"/>
        <v/>
      </c>
      <c r="R555" s="1" t="str">
        <f t="shared" si="60"/>
        <v/>
      </c>
      <c r="S555" s="1" t="str">
        <f>IF($A555="","",COUNTIF($N$2:N555,$N555))</f>
        <v/>
      </c>
      <c r="T555" s="1" t="str">
        <f t="shared" si="61"/>
        <v/>
      </c>
      <c r="U555" s="1" t="str">
        <f t="shared" si="62"/>
        <v/>
      </c>
      <c r="V555"/>
    </row>
    <row r="556" spans="13:22" x14ac:dyDescent="0.3">
      <c r="M556" s="1" t="str">
        <f t="shared" si="56"/>
        <v/>
      </c>
      <c r="N556" s="1" t="str">
        <f t="shared" si="57"/>
        <v/>
      </c>
      <c r="O556" s="1" t="str">
        <f ca="1">IF(F556="","",IF(INT(F556)=INT(NOW()),IF(NETWORKDAYS.INTL(F556,F556,1,FERIADOS!$A$2:$A$50)=0,0,MAX(0,(MIN(NOW(),INT(NOW())+18/24)-MAX(F556,INT(F556)+8/24)))*24),MAX(0,(INT(F556)+18/24-MAX(F556,INT(F556)+8/24)))*24*NETWORKDAYS.INTL(F556,F556,1,FERIADOS!$A$2:$A$50)+MAX(0,NETWORKDAYS.INTL(F556+1,NOW()-1,1,FERIADOS!$A$2:$A$50))*10+MAX(0,(MIN(NOW(),INT(NOW())+18/24)-(INT(NOW())+8/24)))*24*NETWORKDAYS.INTL(NOW(),NOW(),1,FERIADOS!$A$2:$A$50)))</f>
        <v/>
      </c>
      <c r="P556" s="1" t="str">
        <f t="shared" si="58"/>
        <v/>
      </c>
      <c r="Q556" s="1" t="str">
        <f t="shared" si="59"/>
        <v/>
      </c>
      <c r="R556" s="1" t="str">
        <f t="shared" si="60"/>
        <v/>
      </c>
      <c r="S556" s="1" t="str">
        <f>IF($A556="","",COUNTIF($N$2:N556,$N556))</f>
        <v/>
      </c>
      <c r="T556" s="1" t="str">
        <f t="shared" si="61"/>
        <v/>
      </c>
      <c r="U556" s="1" t="str">
        <f t="shared" si="62"/>
        <v/>
      </c>
      <c r="V556"/>
    </row>
    <row r="557" spans="13:22" x14ac:dyDescent="0.3">
      <c r="M557" s="1" t="str">
        <f t="shared" si="56"/>
        <v/>
      </c>
      <c r="N557" s="1" t="str">
        <f t="shared" si="57"/>
        <v/>
      </c>
      <c r="O557" s="1" t="str">
        <f ca="1">IF(F557="","",IF(INT(F557)=INT(NOW()),IF(NETWORKDAYS.INTL(F557,F557,1,FERIADOS!$A$2:$A$50)=0,0,MAX(0,(MIN(NOW(),INT(NOW())+18/24)-MAX(F557,INT(F557)+8/24)))*24),MAX(0,(INT(F557)+18/24-MAX(F557,INT(F557)+8/24)))*24*NETWORKDAYS.INTL(F557,F557,1,FERIADOS!$A$2:$A$50)+MAX(0,NETWORKDAYS.INTL(F557+1,NOW()-1,1,FERIADOS!$A$2:$A$50))*10+MAX(0,(MIN(NOW(),INT(NOW())+18/24)-(INT(NOW())+8/24)))*24*NETWORKDAYS.INTL(NOW(),NOW(),1,FERIADOS!$A$2:$A$50)))</f>
        <v/>
      </c>
      <c r="P557" s="1" t="str">
        <f t="shared" si="58"/>
        <v/>
      </c>
      <c r="Q557" s="1" t="str">
        <f t="shared" si="59"/>
        <v/>
      </c>
      <c r="R557" s="1" t="str">
        <f t="shared" si="60"/>
        <v/>
      </c>
      <c r="S557" s="1" t="str">
        <f>IF($A557="","",COUNTIF($N$2:N557,$N557))</f>
        <v/>
      </c>
      <c r="T557" s="1" t="str">
        <f t="shared" si="61"/>
        <v/>
      </c>
      <c r="U557" s="1" t="str">
        <f t="shared" si="62"/>
        <v/>
      </c>
      <c r="V557"/>
    </row>
    <row r="558" spans="13:22" x14ac:dyDescent="0.3">
      <c r="M558" s="1" t="str">
        <f t="shared" si="56"/>
        <v/>
      </c>
      <c r="N558" s="1" t="str">
        <f t="shared" si="57"/>
        <v/>
      </c>
      <c r="O558" s="1" t="str">
        <f ca="1">IF(F558="","",IF(INT(F558)=INT(NOW()),IF(NETWORKDAYS.INTL(F558,F558,1,FERIADOS!$A$2:$A$50)=0,0,MAX(0,(MIN(NOW(),INT(NOW())+18/24)-MAX(F558,INT(F558)+8/24)))*24),MAX(0,(INT(F558)+18/24-MAX(F558,INT(F558)+8/24)))*24*NETWORKDAYS.INTL(F558,F558,1,FERIADOS!$A$2:$A$50)+MAX(0,NETWORKDAYS.INTL(F558+1,NOW()-1,1,FERIADOS!$A$2:$A$50))*10+MAX(0,(MIN(NOW(),INT(NOW())+18/24)-(INT(NOW())+8/24)))*24*NETWORKDAYS.INTL(NOW(),NOW(),1,FERIADOS!$A$2:$A$50)))</f>
        <v/>
      </c>
      <c r="P558" s="1" t="str">
        <f t="shared" si="58"/>
        <v/>
      </c>
      <c r="Q558" s="1" t="str">
        <f t="shared" si="59"/>
        <v/>
      </c>
      <c r="R558" s="1" t="str">
        <f t="shared" si="60"/>
        <v/>
      </c>
      <c r="S558" s="1" t="str">
        <f>IF($A558="","",COUNTIF($N$2:N558,$N558))</f>
        <v/>
      </c>
      <c r="T558" s="1" t="str">
        <f t="shared" si="61"/>
        <v/>
      </c>
      <c r="U558" s="1" t="str">
        <f t="shared" si="62"/>
        <v/>
      </c>
      <c r="V558"/>
    </row>
    <row r="559" spans="13:22" x14ac:dyDescent="0.3">
      <c r="M559" s="1" t="str">
        <f t="shared" si="56"/>
        <v/>
      </c>
      <c r="N559" s="1" t="str">
        <f t="shared" si="57"/>
        <v/>
      </c>
      <c r="O559" s="1" t="str">
        <f ca="1">IF(F559="","",IF(INT(F559)=INT(NOW()),IF(NETWORKDAYS.INTL(F559,F559,1,FERIADOS!$A$2:$A$50)=0,0,MAX(0,(MIN(NOW(),INT(NOW())+18/24)-MAX(F559,INT(F559)+8/24)))*24),MAX(0,(INT(F559)+18/24-MAX(F559,INT(F559)+8/24)))*24*NETWORKDAYS.INTL(F559,F559,1,FERIADOS!$A$2:$A$50)+MAX(0,NETWORKDAYS.INTL(F559+1,NOW()-1,1,FERIADOS!$A$2:$A$50))*10+MAX(0,(MIN(NOW(),INT(NOW())+18/24)-(INT(NOW())+8/24)))*24*NETWORKDAYS.INTL(NOW(),NOW(),1,FERIADOS!$A$2:$A$50)))</f>
        <v/>
      </c>
      <c r="P559" s="1" t="str">
        <f t="shared" si="58"/>
        <v/>
      </c>
      <c r="Q559" s="1" t="str">
        <f t="shared" si="59"/>
        <v/>
      </c>
      <c r="R559" s="1" t="str">
        <f t="shared" si="60"/>
        <v/>
      </c>
      <c r="S559" s="1" t="str">
        <f>IF($A559="","",COUNTIF($N$2:N559,$N559))</f>
        <v/>
      </c>
      <c r="T559" s="1" t="str">
        <f t="shared" si="61"/>
        <v/>
      </c>
      <c r="U559" s="1" t="str">
        <f t="shared" si="62"/>
        <v/>
      </c>
      <c r="V559"/>
    </row>
    <row r="560" spans="13:22" x14ac:dyDescent="0.3">
      <c r="M560" s="1" t="str">
        <f t="shared" si="56"/>
        <v/>
      </c>
      <c r="N560" s="1" t="str">
        <f t="shared" si="57"/>
        <v/>
      </c>
      <c r="O560" s="1" t="str">
        <f ca="1">IF(F560="","",IF(INT(F560)=INT(NOW()),IF(NETWORKDAYS.INTL(F560,F560,1,FERIADOS!$A$2:$A$50)=0,0,MAX(0,(MIN(NOW(),INT(NOW())+18/24)-MAX(F560,INT(F560)+8/24)))*24),MAX(0,(INT(F560)+18/24-MAX(F560,INT(F560)+8/24)))*24*NETWORKDAYS.INTL(F560,F560,1,FERIADOS!$A$2:$A$50)+MAX(0,NETWORKDAYS.INTL(F560+1,NOW()-1,1,FERIADOS!$A$2:$A$50))*10+MAX(0,(MIN(NOW(),INT(NOW())+18/24)-(INT(NOW())+8/24)))*24*NETWORKDAYS.INTL(NOW(),NOW(),1,FERIADOS!$A$2:$A$50)))</f>
        <v/>
      </c>
      <c r="P560" s="1" t="str">
        <f t="shared" si="58"/>
        <v/>
      </c>
      <c r="Q560" s="1" t="str">
        <f t="shared" si="59"/>
        <v/>
      </c>
      <c r="R560" s="1" t="str">
        <f t="shared" si="60"/>
        <v/>
      </c>
      <c r="S560" s="1" t="str">
        <f>IF($A560="","",COUNTIF($N$2:N560,$N560))</f>
        <v/>
      </c>
      <c r="T560" s="1" t="str">
        <f t="shared" si="61"/>
        <v/>
      </c>
      <c r="U560" s="1" t="str">
        <f t="shared" si="62"/>
        <v/>
      </c>
      <c r="V560"/>
    </row>
    <row r="561" spans="13:22" x14ac:dyDescent="0.3">
      <c r="M561" s="1" t="str">
        <f t="shared" si="56"/>
        <v/>
      </c>
      <c r="N561" s="1" t="str">
        <f t="shared" si="57"/>
        <v/>
      </c>
      <c r="O561" s="1" t="str">
        <f ca="1">IF(F561="","",IF(INT(F561)=INT(NOW()),IF(NETWORKDAYS.INTL(F561,F561,1,FERIADOS!$A$2:$A$50)=0,0,MAX(0,(MIN(NOW(),INT(NOW())+18/24)-MAX(F561,INT(F561)+8/24)))*24),MAX(0,(INT(F561)+18/24-MAX(F561,INT(F561)+8/24)))*24*NETWORKDAYS.INTL(F561,F561,1,FERIADOS!$A$2:$A$50)+MAX(0,NETWORKDAYS.INTL(F561+1,NOW()-1,1,FERIADOS!$A$2:$A$50))*10+MAX(0,(MIN(NOW(),INT(NOW())+18/24)-(INT(NOW())+8/24)))*24*NETWORKDAYS.INTL(NOW(),NOW(),1,FERIADOS!$A$2:$A$50)))</f>
        <v/>
      </c>
      <c r="P561" s="1" t="str">
        <f t="shared" si="58"/>
        <v/>
      </c>
      <c r="Q561" s="1" t="str">
        <f t="shared" si="59"/>
        <v/>
      </c>
      <c r="R561" s="1" t="str">
        <f t="shared" si="60"/>
        <v/>
      </c>
      <c r="S561" s="1" t="str">
        <f>IF($A561="","",COUNTIF($N$2:N561,$N561))</f>
        <v/>
      </c>
      <c r="T561" s="1" t="str">
        <f t="shared" si="61"/>
        <v/>
      </c>
      <c r="U561" s="1" t="str">
        <f t="shared" si="62"/>
        <v/>
      </c>
      <c r="V561"/>
    </row>
    <row r="562" spans="13:22" x14ac:dyDescent="0.3">
      <c r="M562" s="1" t="str">
        <f t="shared" si="56"/>
        <v/>
      </c>
      <c r="N562" s="1" t="str">
        <f t="shared" si="57"/>
        <v/>
      </c>
      <c r="O562" s="1" t="str">
        <f ca="1">IF(F562="","",IF(INT(F562)=INT(NOW()),IF(NETWORKDAYS.INTL(F562,F562,1,FERIADOS!$A$2:$A$50)=0,0,MAX(0,(MIN(NOW(),INT(NOW())+18/24)-MAX(F562,INT(F562)+8/24)))*24),MAX(0,(INT(F562)+18/24-MAX(F562,INT(F562)+8/24)))*24*NETWORKDAYS.INTL(F562,F562,1,FERIADOS!$A$2:$A$50)+MAX(0,NETWORKDAYS.INTL(F562+1,NOW()-1,1,FERIADOS!$A$2:$A$50))*10+MAX(0,(MIN(NOW(),INT(NOW())+18/24)-(INT(NOW())+8/24)))*24*NETWORKDAYS.INTL(NOW(),NOW(),1,FERIADOS!$A$2:$A$50)))</f>
        <v/>
      </c>
      <c r="P562" s="1" t="str">
        <f t="shared" si="58"/>
        <v/>
      </c>
      <c r="Q562" s="1" t="str">
        <f t="shared" si="59"/>
        <v/>
      </c>
      <c r="R562" s="1" t="str">
        <f t="shared" si="60"/>
        <v/>
      </c>
      <c r="S562" s="1" t="str">
        <f>IF($A562="","",COUNTIF($N$2:N562,$N562))</f>
        <v/>
      </c>
      <c r="T562" s="1" t="str">
        <f t="shared" si="61"/>
        <v/>
      </c>
      <c r="U562" s="1" t="str">
        <f t="shared" si="62"/>
        <v/>
      </c>
      <c r="V562"/>
    </row>
    <row r="563" spans="13:22" x14ac:dyDescent="0.3">
      <c r="M563" s="1" t="str">
        <f t="shared" si="56"/>
        <v/>
      </c>
      <c r="N563" s="1" t="str">
        <f t="shared" si="57"/>
        <v/>
      </c>
      <c r="O563" s="1" t="str">
        <f ca="1">IF(F563="","",IF(INT(F563)=INT(NOW()),IF(NETWORKDAYS.INTL(F563,F563,1,FERIADOS!$A$2:$A$50)=0,0,MAX(0,(MIN(NOW(),INT(NOW())+18/24)-MAX(F563,INT(F563)+8/24)))*24),MAX(0,(INT(F563)+18/24-MAX(F563,INT(F563)+8/24)))*24*NETWORKDAYS.INTL(F563,F563,1,FERIADOS!$A$2:$A$50)+MAX(0,NETWORKDAYS.INTL(F563+1,NOW()-1,1,FERIADOS!$A$2:$A$50))*10+MAX(0,(MIN(NOW(),INT(NOW())+18/24)-(INT(NOW())+8/24)))*24*NETWORKDAYS.INTL(NOW(),NOW(),1,FERIADOS!$A$2:$A$50)))</f>
        <v/>
      </c>
      <c r="P563" s="1" t="str">
        <f t="shared" si="58"/>
        <v/>
      </c>
      <c r="Q563" s="1" t="str">
        <f t="shared" si="59"/>
        <v/>
      </c>
      <c r="R563" s="1" t="str">
        <f t="shared" si="60"/>
        <v/>
      </c>
      <c r="S563" s="1" t="str">
        <f>IF($A563="","",COUNTIF($N$2:N563,$N563))</f>
        <v/>
      </c>
      <c r="T563" s="1" t="str">
        <f t="shared" si="61"/>
        <v/>
      </c>
      <c r="U563" s="1" t="str">
        <f t="shared" si="62"/>
        <v/>
      </c>
      <c r="V563"/>
    </row>
    <row r="564" spans="13:22" x14ac:dyDescent="0.3">
      <c r="M564" s="1" t="str">
        <f t="shared" si="56"/>
        <v/>
      </c>
      <c r="N564" s="1" t="str">
        <f t="shared" si="57"/>
        <v/>
      </c>
      <c r="O564" s="1" t="str">
        <f ca="1">IF(F564="","",IF(INT(F564)=INT(NOW()),IF(NETWORKDAYS.INTL(F564,F564,1,FERIADOS!$A$2:$A$50)=0,0,MAX(0,(MIN(NOW(),INT(NOW())+18/24)-MAX(F564,INT(F564)+8/24)))*24),MAX(0,(INT(F564)+18/24-MAX(F564,INT(F564)+8/24)))*24*NETWORKDAYS.INTL(F564,F564,1,FERIADOS!$A$2:$A$50)+MAX(0,NETWORKDAYS.INTL(F564+1,NOW()-1,1,FERIADOS!$A$2:$A$50))*10+MAX(0,(MIN(NOW(),INT(NOW())+18/24)-(INT(NOW())+8/24)))*24*NETWORKDAYS.INTL(NOW(),NOW(),1,FERIADOS!$A$2:$A$50)))</f>
        <v/>
      </c>
      <c r="P564" s="1" t="str">
        <f t="shared" si="58"/>
        <v/>
      </c>
      <c r="Q564" s="1" t="str">
        <f t="shared" si="59"/>
        <v/>
      </c>
      <c r="R564" s="1" t="str">
        <f t="shared" si="60"/>
        <v/>
      </c>
      <c r="S564" s="1" t="str">
        <f>IF($A564="","",COUNTIF($N$2:N564,$N564))</f>
        <v/>
      </c>
      <c r="T564" s="1" t="str">
        <f t="shared" si="61"/>
        <v/>
      </c>
      <c r="U564" s="1" t="str">
        <f t="shared" si="62"/>
        <v/>
      </c>
      <c r="V564"/>
    </row>
    <row r="565" spans="13:22" x14ac:dyDescent="0.3">
      <c r="M565" s="1" t="str">
        <f t="shared" si="56"/>
        <v/>
      </c>
      <c r="N565" s="1" t="str">
        <f t="shared" si="57"/>
        <v/>
      </c>
      <c r="O565" s="1" t="str">
        <f ca="1">IF(F565="","",IF(INT(F565)=INT(NOW()),IF(NETWORKDAYS.INTL(F565,F565,1,FERIADOS!$A$2:$A$50)=0,0,MAX(0,(MIN(NOW(),INT(NOW())+18/24)-MAX(F565,INT(F565)+8/24)))*24),MAX(0,(INT(F565)+18/24-MAX(F565,INT(F565)+8/24)))*24*NETWORKDAYS.INTL(F565,F565,1,FERIADOS!$A$2:$A$50)+MAX(0,NETWORKDAYS.INTL(F565+1,NOW()-1,1,FERIADOS!$A$2:$A$50))*10+MAX(0,(MIN(NOW(),INT(NOW())+18/24)-(INT(NOW())+8/24)))*24*NETWORKDAYS.INTL(NOW(),NOW(),1,FERIADOS!$A$2:$A$50)))</f>
        <v/>
      </c>
      <c r="P565" s="1" t="str">
        <f t="shared" si="58"/>
        <v/>
      </c>
      <c r="Q565" s="1" t="str">
        <f t="shared" si="59"/>
        <v/>
      </c>
      <c r="R565" s="1" t="str">
        <f t="shared" si="60"/>
        <v/>
      </c>
      <c r="S565" s="1" t="str">
        <f>IF($A565="","",COUNTIF($N$2:N565,$N565))</f>
        <v/>
      </c>
      <c r="T565" s="1" t="str">
        <f t="shared" si="61"/>
        <v/>
      </c>
      <c r="U565" s="1" t="str">
        <f t="shared" si="62"/>
        <v/>
      </c>
      <c r="V565"/>
    </row>
    <row r="566" spans="13:22" x14ac:dyDescent="0.3">
      <c r="M566" s="1" t="str">
        <f t="shared" si="56"/>
        <v/>
      </c>
      <c r="N566" s="1" t="str">
        <f t="shared" si="57"/>
        <v/>
      </c>
      <c r="O566" s="1" t="str">
        <f ca="1">IF(F566="","",IF(INT(F566)=INT(NOW()),IF(NETWORKDAYS.INTL(F566,F566,1,FERIADOS!$A$2:$A$50)=0,0,MAX(0,(MIN(NOW(),INT(NOW())+18/24)-MAX(F566,INT(F566)+8/24)))*24),MAX(0,(INT(F566)+18/24-MAX(F566,INT(F566)+8/24)))*24*NETWORKDAYS.INTL(F566,F566,1,FERIADOS!$A$2:$A$50)+MAX(0,NETWORKDAYS.INTL(F566+1,NOW()-1,1,FERIADOS!$A$2:$A$50))*10+MAX(0,(MIN(NOW(),INT(NOW())+18/24)-(INT(NOW())+8/24)))*24*NETWORKDAYS.INTL(NOW(),NOW(),1,FERIADOS!$A$2:$A$50)))</f>
        <v/>
      </c>
      <c r="P566" s="1" t="str">
        <f t="shared" si="58"/>
        <v/>
      </c>
      <c r="Q566" s="1" t="str">
        <f t="shared" si="59"/>
        <v/>
      </c>
      <c r="R566" s="1" t="str">
        <f t="shared" si="60"/>
        <v/>
      </c>
      <c r="S566" s="1" t="str">
        <f>IF($A566="","",COUNTIF($N$2:N566,$N566))</f>
        <v/>
      </c>
      <c r="T566" s="1" t="str">
        <f t="shared" si="61"/>
        <v/>
      </c>
      <c r="U566" s="1" t="str">
        <f t="shared" si="62"/>
        <v/>
      </c>
      <c r="V566"/>
    </row>
    <row r="567" spans="13:22" x14ac:dyDescent="0.3">
      <c r="M567" s="1" t="str">
        <f t="shared" si="56"/>
        <v/>
      </c>
      <c r="N567" s="1" t="str">
        <f t="shared" si="57"/>
        <v/>
      </c>
      <c r="O567" s="1" t="str">
        <f ca="1">IF(F567="","",IF(INT(F567)=INT(NOW()),IF(NETWORKDAYS.INTL(F567,F567,1,FERIADOS!$A$2:$A$50)=0,0,MAX(0,(MIN(NOW(),INT(NOW())+18/24)-MAX(F567,INT(F567)+8/24)))*24),MAX(0,(INT(F567)+18/24-MAX(F567,INT(F567)+8/24)))*24*NETWORKDAYS.INTL(F567,F567,1,FERIADOS!$A$2:$A$50)+MAX(0,NETWORKDAYS.INTL(F567+1,NOW()-1,1,FERIADOS!$A$2:$A$50))*10+MAX(0,(MIN(NOW(),INT(NOW())+18/24)-(INT(NOW())+8/24)))*24*NETWORKDAYS.INTL(NOW(),NOW(),1,FERIADOS!$A$2:$A$50)))</f>
        <v/>
      </c>
      <c r="P567" s="1" t="str">
        <f t="shared" si="58"/>
        <v/>
      </c>
      <c r="Q567" s="1" t="str">
        <f t="shared" si="59"/>
        <v/>
      </c>
      <c r="R567" s="1" t="str">
        <f t="shared" si="60"/>
        <v/>
      </c>
      <c r="S567" s="1" t="str">
        <f>IF($A567="","",COUNTIF($N$2:N567,$N567))</f>
        <v/>
      </c>
      <c r="T567" s="1" t="str">
        <f t="shared" si="61"/>
        <v/>
      </c>
      <c r="U567" s="1" t="str">
        <f t="shared" si="62"/>
        <v/>
      </c>
      <c r="V567"/>
    </row>
    <row r="568" spans="13:22" x14ac:dyDescent="0.3">
      <c r="M568" s="1" t="str">
        <f t="shared" si="56"/>
        <v/>
      </c>
      <c r="N568" s="1" t="str">
        <f t="shared" si="57"/>
        <v/>
      </c>
      <c r="O568" s="1" t="str">
        <f ca="1">IF(F568="","",IF(INT(F568)=INT(NOW()),IF(NETWORKDAYS.INTL(F568,F568,1,FERIADOS!$A$2:$A$50)=0,0,MAX(0,(MIN(NOW(),INT(NOW())+18/24)-MAX(F568,INT(F568)+8/24)))*24),MAX(0,(INT(F568)+18/24-MAX(F568,INT(F568)+8/24)))*24*NETWORKDAYS.INTL(F568,F568,1,FERIADOS!$A$2:$A$50)+MAX(0,NETWORKDAYS.INTL(F568+1,NOW()-1,1,FERIADOS!$A$2:$A$50))*10+MAX(0,(MIN(NOW(),INT(NOW())+18/24)-(INT(NOW())+8/24)))*24*NETWORKDAYS.INTL(NOW(),NOW(),1,FERIADOS!$A$2:$A$50)))</f>
        <v/>
      </c>
      <c r="P568" s="1" t="str">
        <f t="shared" si="58"/>
        <v/>
      </c>
      <c r="Q568" s="1" t="str">
        <f t="shared" si="59"/>
        <v/>
      </c>
      <c r="R568" s="1" t="str">
        <f t="shared" si="60"/>
        <v/>
      </c>
      <c r="S568" s="1" t="str">
        <f>IF($A568="","",COUNTIF($N$2:N568,$N568))</f>
        <v/>
      </c>
      <c r="T568" s="1" t="str">
        <f t="shared" si="61"/>
        <v/>
      </c>
      <c r="U568" s="1" t="str">
        <f t="shared" si="62"/>
        <v/>
      </c>
      <c r="V568"/>
    </row>
    <row r="569" spans="13:22" x14ac:dyDescent="0.3">
      <c r="M569" s="1" t="str">
        <f t="shared" si="56"/>
        <v/>
      </c>
      <c r="N569" s="1" t="str">
        <f t="shared" si="57"/>
        <v/>
      </c>
      <c r="O569" s="1" t="str">
        <f ca="1">IF(F569="","",IF(INT(F569)=INT(NOW()),IF(NETWORKDAYS.INTL(F569,F569,1,FERIADOS!$A$2:$A$50)=0,0,MAX(0,(MIN(NOW(),INT(NOW())+18/24)-MAX(F569,INT(F569)+8/24)))*24),MAX(0,(INT(F569)+18/24-MAX(F569,INT(F569)+8/24)))*24*NETWORKDAYS.INTL(F569,F569,1,FERIADOS!$A$2:$A$50)+MAX(0,NETWORKDAYS.INTL(F569+1,NOW()-1,1,FERIADOS!$A$2:$A$50))*10+MAX(0,(MIN(NOW(),INT(NOW())+18/24)-(INT(NOW())+8/24)))*24*NETWORKDAYS.INTL(NOW(),NOW(),1,FERIADOS!$A$2:$A$50)))</f>
        <v/>
      </c>
      <c r="P569" s="1" t="str">
        <f t="shared" si="58"/>
        <v/>
      </c>
      <c r="Q569" s="1" t="str">
        <f t="shared" si="59"/>
        <v/>
      </c>
      <c r="R569" s="1" t="str">
        <f t="shared" si="60"/>
        <v/>
      </c>
      <c r="S569" s="1" t="str">
        <f>IF($A569="","",COUNTIF($N$2:N569,$N569))</f>
        <v/>
      </c>
      <c r="T569" s="1" t="str">
        <f t="shared" si="61"/>
        <v/>
      </c>
      <c r="U569" s="1" t="str">
        <f t="shared" si="62"/>
        <v/>
      </c>
      <c r="V569"/>
    </row>
    <row r="570" spans="13:22" x14ac:dyDescent="0.3">
      <c r="M570" s="1" t="str">
        <f t="shared" si="56"/>
        <v/>
      </c>
      <c r="N570" s="1" t="str">
        <f t="shared" si="57"/>
        <v/>
      </c>
      <c r="O570" s="1" t="str">
        <f ca="1">IF(F570="","",IF(INT(F570)=INT(NOW()),IF(NETWORKDAYS.INTL(F570,F570,1,FERIADOS!$A$2:$A$50)=0,0,MAX(0,(MIN(NOW(),INT(NOW())+18/24)-MAX(F570,INT(F570)+8/24)))*24),MAX(0,(INT(F570)+18/24-MAX(F570,INT(F570)+8/24)))*24*NETWORKDAYS.INTL(F570,F570,1,FERIADOS!$A$2:$A$50)+MAX(0,NETWORKDAYS.INTL(F570+1,NOW()-1,1,FERIADOS!$A$2:$A$50))*10+MAX(0,(MIN(NOW(),INT(NOW())+18/24)-(INT(NOW())+8/24)))*24*NETWORKDAYS.INTL(NOW(),NOW(),1,FERIADOS!$A$2:$A$50)))</f>
        <v/>
      </c>
      <c r="P570" s="1" t="str">
        <f t="shared" si="58"/>
        <v/>
      </c>
      <c r="Q570" s="1" t="str">
        <f t="shared" si="59"/>
        <v/>
      </c>
      <c r="R570" s="1" t="str">
        <f t="shared" si="60"/>
        <v/>
      </c>
      <c r="S570" s="1" t="str">
        <f>IF($A570="","",COUNTIF($N$2:N570,$N570))</f>
        <v/>
      </c>
      <c r="T570" s="1" t="str">
        <f t="shared" si="61"/>
        <v/>
      </c>
      <c r="U570" s="1" t="str">
        <f t="shared" si="62"/>
        <v/>
      </c>
      <c r="V570"/>
    </row>
    <row r="571" spans="13:22" x14ac:dyDescent="0.3">
      <c r="M571" s="1" t="str">
        <f t="shared" si="56"/>
        <v/>
      </c>
      <c r="N571" s="1" t="str">
        <f t="shared" si="57"/>
        <v/>
      </c>
      <c r="O571" s="1" t="str">
        <f ca="1">IF(F571="","",IF(INT(F571)=INT(NOW()),IF(NETWORKDAYS.INTL(F571,F571,1,FERIADOS!$A$2:$A$50)=0,0,MAX(0,(MIN(NOW(),INT(NOW())+18/24)-MAX(F571,INT(F571)+8/24)))*24),MAX(0,(INT(F571)+18/24-MAX(F571,INT(F571)+8/24)))*24*NETWORKDAYS.INTL(F571,F571,1,FERIADOS!$A$2:$A$50)+MAX(0,NETWORKDAYS.INTL(F571+1,NOW()-1,1,FERIADOS!$A$2:$A$50))*10+MAX(0,(MIN(NOW(),INT(NOW())+18/24)-(INT(NOW())+8/24)))*24*NETWORKDAYS.INTL(NOW(),NOW(),1,FERIADOS!$A$2:$A$50)))</f>
        <v/>
      </c>
      <c r="P571" s="1" t="str">
        <f t="shared" si="58"/>
        <v/>
      </c>
      <c r="Q571" s="1" t="str">
        <f t="shared" si="59"/>
        <v/>
      </c>
      <c r="R571" s="1" t="str">
        <f t="shared" si="60"/>
        <v/>
      </c>
      <c r="S571" s="1" t="str">
        <f>IF($A571="","",COUNTIF($N$2:N571,$N571))</f>
        <v/>
      </c>
      <c r="T571" s="1" t="str">
        <f t="shared" si="61"/>
        <v/>
      </c>
      <c r="U571" s="1" t="str">
        <f t="shared" si="62"/>
        <v/>
      </c>
      <c r="V571"/>
    </row>
    <row r="572" spans="13:22" x14ac:dyDescent="0.3">
      <c r="M572" s="1" t="str">
        <f t="shared" si="56"/>
        <v/>
      </c>
      <c r="N572" s="1" t="str">
        <f t="shared" si="57"/>
        <v/>
      </c>
      <c r="O572" s="1" t="str">
        <f ca="1">IF(F572="","",IF(INT(F572)=INT(NOW()),IF(NETWORKDAYS.INTL(F572,F572,1,FERIADOS!$A$2:$A$50)=0,0,MAX(0,(MIN(NOW(),INT(NOW())+18/24)-MAX(F572,INT(F572)+8/24)))*24),MAX(0,(INT(F572)+18/24-MAX(F572,INT(F572)+8/24)))*24*NETWORKDAYS.INTL(F572,F572,1,FERIADOS!$A$2:$A$50)+MAX(0,NETWORKDAYS.INTL(F572+1,NOW()-1,1,FERIADOS!$A$2:$A$50))*10+MAX(0,(MIN(NOW(),INT(NOW())+18/24)-(INT(NOW())+8/24)))*24*NETWORKDAYS.INTL(NOW(),NOW(),1,FERIADOS!$A$2:$A$50)))</f>
        <v/>
      </c>
      <c r="P572" s="1" t="str">
        <f t="shared" si="58"/>
        <v/>
      </c>
      <c r="Q572" s="1" t="str">
        <f t="shared" si="59"/>
        <v/>
      </c>
      <c r="R572" s="1" t="str">
        <f t="shared" si="60"/>
        <v/>
      </c>
      <c r="S572" s="1" t="str">
        <f>IF($A572="","",COUNTIF($N$2:N572,$N572))</f>
        <v/>
      </c>
      <c r="T572" s="1" t="str">
        <f t="shared" si="61"/>
        <v/>
      </c>
      <c r="U572" s="1" t="str">
        <f t="shared" si="62"/>
        <v/>
      </c>
      <c r="V572"/>
    </row>
    <row r="573" spans="13:22" x14ac:dyDescent="0.3">
      <c r="M573" s="1" t="str">
        <f t="shared" si="56"/>
        <v/>
      </c>
      <c r="N573" s="1" t="str">
        <f t="shared" si="57"/>
        <v/>
      </c>
      <c r="O573" s="1" t="str">
        <f ca="1">IF(F573="","",IF(INT(F573)=INT(NOW()),IF(NETWORKDAYS.INTL(F573,F573,1,FERIADOS!$A$2:$A$50)=0,0,MAX(0,(MIN(NOW(),INT(NOW())+18/24)-MAX(F573,INT(F573)+8/24)))*24),MAX(0,(INT(F573)+18/24-MAX(F573,INT(F573)+8/24)))*24*NETWORKDAYS.INTL(F573,F573,1,FERIADOS!$A$2:$A$50)+MAX(0,NETWORKDAYS.INTL(F573+1,NOW()-1,1,FERIADOS!$A$2:$A$50))*10+MAX(0,(MIN(NOW(),INT(NOW())+18/24)-(INT(NOW())+8/24)))*24*NETWORKDAYS.INTL(NOW(),NOW(),1,FERIADOS!$A$2:$A$50)))</f>
        <v/>
      </c>
      <c r="P573" s="1" t="str">
        <f t="shared" si="58"/>
        <v/>
      </c>
      <c r="Q573" s="1" t="str">
        <f t="shared" si="59"/>
        <v/>
      </c>
      <c r="R573" s="1" t="str">
        <f t="shared" si="60"/>
        <v/>
      </c>
      <c r="S573" s="1" t="str">
        <f>IF($A573="","",COUNTIF($N$2:N573,$N573))</f>
        <v/>
      </c>
      <c r="T573" s="1" t="str">
        <f t="shared" si="61"/>
        <v/>
      </c>
      <c r="U573" s="1" t="str">
        <f t="shared" si="62"/>
        <v/>
      </c>
      <c r="V573"/>
    </row>
    <row r="574" spans="13:22" x14ac:dyDescent="0.3">
      <c r="M574" s="1" t="str">
        <f t="shared" si="56"/>
        <v/>
      </c>
      <c r="N574" s="1" t="str">
        <f t="shared" si="57"/>
        <v/>
      </c>
      <c r="O574" s="1" t="str">
        <f ca="1">IF(F574="","",IF(INT(F574)=INT(NOW()),IF(NETWORKDAYS.INTL(F574,F574,1,FERIADOS!$A$2:$A$50)=0,0,MAX(0,(MIN(NOW(),INT(NOW())+18/24)-MAX(F574,INT(F574)+8/24)))*24),MAX(0,(INT(F574)+18/24-MAX(F574,INT(F574)+8/24)))*24*NETWORKDAYS.INTL(F574,F574,1,FERIADOS!$A$2:$A$50)+MAX(0,NETWORKDAYS.INTL(F574+1,NOW()-1,1,FERIADOS!$A$2:$A$50))*10+MAX(0,(MIN(NOW(),INT(NOW())+18/24)-(INT(NOW())+8/24)))*24*NETWORKDAYS.INTL(NOW(),NOW(),1,FERIADOS!$A$2:$A$50)))</f>
        <v/>
      </c>
      <c r="P574" s="1" t="str">
        <f t="shared" si="58"/>
        <v/>
      </c>
      <c r="Q574" s="1" t="str">
        <f t="shared" si="59"/>
        <v/>
      </c>
      <c r="R574" s="1" t="str">
        <f t="shared" si="60"/>
        <v/>
      </c>
      <c r="S574" s="1" t="str">
        <f>IF($A574="","",COUNTIF($N$2:N574,$N574))</f>
        <v/>
      </c>
      <c r="T574" s="1" t="str">
        <f t="shared" si="61"/>
        <v/>
      </c>
      <c r="U574" s="1" t="str">
        <f t="shared" si="62"/>
        <v/>
      </c>
      <c r="V574"/>
    </row>
    <row r="575" spans="13:22" x14ac:dyDescent="0.3">
      <c r="M575" s="1" t="str">
        <f t="shared" si="56"/>
        <v/>
      </c>
      <c r="N575" s="1" t="str">
        <f t="shared" si="57"/>
        <v/>
      </c>
      <c r="O575" s="1" t="str">
        <f ca="1">IF(F575="","",IF(INT(F575)=INT(NOW()),IF(NETWORKDAYS.INTL(F575,F575,1,FERIADOS!$A$2:$A$50)=0,0,MAX(0,(MIN(NOW(),INT(NOW())+18/24)-MAX(F575,INT(F575)+8/24)))*24),MAX(0,(INT(F575)+18/24-MAX(F575,INT(F575)+8/24)))*24*NETWORKDAYS.INTL(F575,F575,1,FERIADOS!$A$2:$A$50)+MAX(0,NETWORKDAYS.INTL(F575+1,NOW()-1,1,FERIADOS!$A$2:$A$50))*10+MAX(0,(MIN(NOW(),INT(NOW())+18/24)-(INT(NOW())+8/24)))*24*NETWORKDAYS.INTL(NOW(),NOW(),1,FERIADOS!$A$2:$A$50)))</f>
        <v/>
      </c>
      <c r="P575" s="1" t="str">
        <f t="shared" si="58"/>
        <v/>
      </c>
      <c r="Q575" s="1" t="str">
        <f t="shared" si="59"/>
        <v/>
      </c>
      <c r="R575" s="1" t="str">
        <f t="shared" si="60"/>
        <v/>
      </c>
      <c r="S575" s="1" t="str">
        <f>IF($A575="","",COUNTIF($N$2:N575,$N575))</f>
        <v/>
      </c>
      <c r="T575" s="1" t="str">
        <f t="shared" si="61"/>
        <v/>
      </c>
      <c r="U575" s="1" t="str">
        <f t="shared" si="62"/>
        <v/>
      </c>
      <c r="V575"/>
    </row>
    <row r="576" spans="13:22" x14ac:dyDescent="0.3">
      <c r="M576" s="1" t="str">
        <f t="shared" si="56"/>
        <v/>
      </c>
      <c r="N576" s="1" t="str">
        <f t="shared" si="57"/>
        <v/>
      </c>
      <c r="O576" s="1" t="str">
        <f ca="1">IF(F576="","",IF(INT(F576)=INT(NOW()),IF(NETWORKDAYS.INTL(F576,F576,1,FERIADOS!$A$2:$A$50)=0,0,MAX(0,(MIN(NOW(),INT(NOW())+18/24)-MAX(F576,INT(F576)+8/24)))*24),MAX(0,(INT(F576)+18/24-MAX(F576,INT(F576)+8/24)))*24*NETWORKDAYS.INTL(F576,F576,1,FERIADOS!$A$2:$A$50)+MAX(0,NETWORKDAYS.INTL(F576+1,NOW()-1,1,FERIADOS!$A$2:$A$50))*10+MAX(0,(MIN(NOW(),INT(NOW())+18/24)-(INT(NOW())+8/24)))*24*NETWORKDAYS.INTL(NOW(),NOW(),1,FERIADOS!$A$2:$A$50)))</f>
        <v/>
      </c>
      <c r="P576" s="1" t="str">
        <f t="shared" si="58"/>
        <v/>
      </c>
      <c r="Q576" s="1" t="str">
        <f t="shared" si="59"/>
        <v/>
      </c>
      <c r="R576" s="1" t="str">
        <f t="shared" si="60"/>
        <v/>
      </c>
      <c r="S576" s="1" t="str">
        <f>IF($A576="","",COUNTIF($N$2:N576,$N576))</f>
        <v/>
      </c>
      <c r="T576" s="1" t="str">
        <f t="shared" si="61"/>
        <v/>
      </c>
      <c r="U576" s="1" t="str">
        <f t="shared" si="62"/>
        <v/>
      </c>
      <c r="V576"/>
    </row>
    <row r="577" spans="13:22" x14ac:dyDescent="0.3">
      <c r="M577" s="1" t="str">
        <f t="shared" si="56"/>
        <v/>
      </c>
      <c r="N577" s="1" t="str">
        <f t="shared" si="57"/>
        <v/>
      </c>
      <c r="O577" s="1" t="str">
        <f ca="1">IF(F577="","",IF(INT(F577)=INT(NOW()),IF(NETWORKDAYS.INTL(F577,F577,1,FERIADOS!$A$2:$A$50)=0,0,MAX(0,(MIN(NOW(),INT(NOW())+18/24)-MAX(F577,INT(F577)+8/24)))*24),MAX(0,(INT(F577)+18/24-MAX(F577,INT(F577)+8/24)))*24*NETWORKDAYS.INTL(F577,F577,1,FERIADOS!$A$2:$A$50)+MAX(0,NETWORKDAYS.INTL(F577+1,NOW()-1,1,FERIADOS!$A$2:$A$50))*10+MAX(0,(MIN(NOW(),INT(NOW())+18/24)-(INT(NOW())+8/24)))*24*NETWORKDAYS.INTL(NOW(),NOW(),1,FERIADOS!$A$2:$A$50)))</f>
        <v/>
      </c>
      <c r="P577" s="1" t="str">
        <f t="shared" si="58"/>
        <v/>
      </c>
      <c r="Q577" s="1" t="str">
        <f t="shared" si="59"/>
        <v/>
      </c>
      <c r="R577" s="1" t="str">
        <f t="shared" si="60"/>
        <v/>
      </c>
      <c r="S577" s="1" t="str">
        <f>IF($A577="","",COUNTIF($N$2:N577,$N577))</f>
        <v/>
      </c>
      <c r="T577" s="1" t="str">
        <f t="shared" si="61"/>
        <v/>
      </c>
      <c r="U577" s="1" t="str">
        <f t="shared" si="62"/>
        <v/>
      </c>
      <c r="V577"/>
    </row>
    <row r="578" spans="13:22" x14ac:dyDescent="0.3">
      <c r="M578" s="1" t="str">
        <f t="shared" ref="M578:M641" si="63">IF($A578="","",IF($L578="MA",IF(OR(UPPER($K578)="SAO LUIS",UPPER($K578)="SÃO LUIS",UPPER($K578)="PACO DO LUMIAR",UPPER($K578)="PAÇO DO LUMIAR",UPPER($K578)="SAO JOSE DE RIBAMAR",UPPER($K578)="SÃO JOSÉ DE RIBAMAR"),"MA CAP","MA INT"),IF($L578="PA",IF(OR(UPPER($K578)="BELEM",UPPER($K578)="BELÉM",UPPER($K578)="ANANINDEUA"),"PA CAP","PA INT"),IF($L578="PI",IF(UPPER($K578)="TERESINA","PI CAP","PI INT"),IF($L578="AM","AM INT",IF($L578="AP","AP","OUTROS"))))))</f>
        <v/>
      </c>
      <c r="N578" s="1" t="str">
        <f t="shared" ref="N578:N641" si="64">IF($A578="","",IF($M578="PI CAP","GIGA+ PI",IF($M578="PI INT","GIGA+ PI",IF($M578="MA CAP","SLN MA",IF($M578="MA INT","GIGA+ MA",IF($M578="PA CAP","SLN PA",IF($M578="PA INT","SLN PA",IF($M578="AM INT","ADX",IF($M578="AP","ADX","OUTROS")))))))))</f>
        <v/>
      </c>
      <c r="O578" s="1" t="str">
        <f ca="1">IF(F578="","",IF(INT(F578)=INT(NOW()),IF(NETWORKDAYS.INTL(F578,F578,1,FERIADOS!$A$2:$A$50)=0,0,MAX(0,(MIN(NOW(),INT(NOW())+18/24)-MAX(F578,INT(F578)+8/24)))*24),MAX(0,(INT(F578)+18/24-MAX(F578,INT(F578)+8/24)))*24*NETWORKDAYS.INTL(F578,F578,1,FERIADOS!$A$2:$A$50)+MAX(0,NETWORKDAYS.INTL(F578+1,NOW()-1,1,FERIADOS!$A$2:$A$50))*10+MAX(0,(MIN(NOW(),INT(NOW())+18/24)-(INT(NOW())+8/24)))*24*NETWORKDAYS.INTL(NOW(),NOW(),1,FERIADOS!$A$2:$A$50)))</f>
        <v/>
      </c>
      <c r="P578" s="1" t="str">
        <f t="shared" ref="P578:P641" si="65">IF($A578="","",IF(OR(O578="",O578=0),"00h 00m",TEXT(INT(O578),"00") &amp; "h " &amp; TEXT(INT((O578-INT(O578))*60),"00") &amp; "m"))</f>
        <v/>
      </c>
      <c r="Q578" s="1" t="str">
        <f t="shared" ref="Q578:Q641" si="66">IF($A578="","",IF(OR(O578="",O578&lt;=4),"🔵 Até 4h",IF(O578&lt;=8,"🟢 Entre 4h e 8h",IF(O578&lt;=12,"🟡 Entre 8h e 12h",IF(O578&lt;=24,"🟠 Entre 12h e 24h","🔴 Maior que 24h")))))</f>
        <v/>
      </c>
      <c r="R578" s="1" t="str">
        <f t="shared" ref="R578:R641" si="67">IF($A578="","",IF(OR(O578="",O578&lt;=8),"NO PRAZO","FORA DO PRAZO"))</f>
        <v/>
      </c>
      <c r="S578" s="1" t="str">
        <f>IF($A578="","",COUNTIF($N$2:N578,$N578))</f>
        <v/>
      </c>
      <c r="T578" s="1" t="str">
        <f t="shared" ref="T578:T641" si="68">IF($A578="","",IF($N578="SLN MA",1,IF($N578="GIGA+ MA",2,IF($N578="GIGA+ PI",3,IF($N578="SLN PA",4,IF($N578="ADX",5,6))))))</f>
        <v/>
      </c>
      <c r="U578" s="1" t="str">
        <f t="shared" ref="U578:U641" si="69">IF($A578="","",$T578*10000+$S578)</f>
        <v/>
      </c>
      <c r="V578"/>
    </row>
    <row r="579" spans="13:22" x14ac:dyDescent="0.3">
      <c r="M579" s="1" t="str">
        <f t="shared" si="63"/>
        <v/>
      </c>
      <c r="N579" s="1" t="str">
        <f t="shared" si="64"/>
        <v/>
      </c>
      <c r="O579" s="1" t="str">
        <f ca="1">IF(F579="","",IF(INT(F579)=INT(NOW()),IF(NETWORKDAYS.INTL(F579,F579,1,FERIADOS!$A$2:$A$50)=0,0,MAX(0,(MIN(NOW(),INT(NOW())+18/24)-MAX(F579,INT(F579)+8/24)))*24),MAX(0,(INT(F579)+18/24-MAX(F579,INT(F579)+8/24)))*24*NETWORKDAYS.INTL(F579,F579,1,FERIADOS!$A$2:$A$50)+MAX(0,NETWORKDAYS.INTL(F579+1,NOW()-1,1,FERIADOS!$A$2:$A$50))*10+MAX(0,(MIN(NOW(),INT(NOW())+18/24)-(INT(NOW())+8/24)))*24*NETWORKDAYS.INTL(NOW(),NOW(),1,FERIADOS!$A$2:$A$50)))</f>
        <v/>
      </c>
      <c r="P579" s="1" t="str">
        <f t="shared" si="65"/>
        <v/>
      </c>
      <c r="Q579" s="1" t="str">
        <f t="shared" si="66"/>
        <v/>
      </c>
      <c r="R579" s="1" t="str">
        <f t="shared" si="67"/>
        <v/>
      </c>
      <c r="S579" s="1" t="str">
        <f>IF($A579="","",COUNTIF($N$2:N579,$N579))</f>
        <v/>
      </c>
      <c r="T579" s="1" t="str">
        <f t="shared" si="68"/>
        <v/>
      </c>
      <c r="U579" s="1" t="str">
        <f t="shared" si="69"/>
        <v/>
      </c>
      <c r="V579"/>
    </row>
    <row r="580" spans="13:22" x14ac:dyDescent="0.3">
      <c r="M580" s="1" t="str">
        <f t="shared" si="63"/>
        <v/>
      </c>
      <c r="N580" s="1" t="str">
        <f t="shared" si="64"/>
        <v/>
      </c>
      <c r="O580" s="1" t="str">
        <f ca="1">IF(F580="","",IF(INT(F580)=INT(NOW()),IF(NETWORKDAYS.INTL(F580,F580,1,FERIADOS!$A$2:$A$50)=0,0,MAX(0,(MIN(NOW(),INT(NOW())+18/24)-MAX(F580,INT(F580)+8/24)))*24),MAX(0,(INT(F580)+18/24-MAX(F580,INT(F580)+8/24)))*24*NETWORKDAYS.INTL(F580,F580,1,FERIADOS!$A$2:$A$50)+MAX(0,NETWORKDAYS.INTL(F580+1,NOW()-1,1,FERIADOS!$A$2:$A$50))*10+MAX(0,(MIN(NOW(),INT(NOW())+18/24)-(INT(NOW())+8/24)))*24*NETWORKDAYS.INTL(NOW(),NOW(),1,FERIADOS!$A$2:$A$50)))</f>
        <v/>
      </c>
      <c r="P580" s="1" t="str">
        <f t="shared" si="65"/>
        <v/>
      </c>
      <c r="Q580" s="1" t="str">
        <f t="shared" si="66"/>
        <v/>
      </c>
      <c r="R580" s="1" t="str">
        <f t="shared" si="67"/>
        <v/>
      </c>
      <c r="S580" s="1" t="str">
        <f>IF($A580="","",COUNTIF($N$2:N580,$N580))</f>
        <v/>
      </c>
      <c r="T580" s="1" t="str">
        <f t="shared" si="68"/>
        <v/>
      </c>
      <c r="U580" s="1" t="str">
        <f t="shared" si="69"/>
        <v/>
      </c>
      <c r="V580"/>
    </row>
    <row r="581" spans="13:22" x14ac:dyDescent="0.3">
      <c r="M581" s="1" t="str">
        <f t="shared" si="63"/>
        <v/>
      </c>
      <c r="N581" s="1" t="str">
        <f t="shared" si="64"/>
        <v/>
      </c>
      <c r="O581" s="1" t="str">
        <f ca="1">IF(F581="","",IF(INT(F581)=INT(NOW()),IF(NETWORKDAYS.INTL(F581,F581,1,FERIADOS!$A$2:$A$50)=0,0,MAX(0,(MIN(NOW(),INT(NOW())+18/24)-MAX(F581,INT(F581)+8/24)))*24),MAX(0,(INT(F581)+18/24-MAX(F581,INT(F581)+8/24)))*24*NETWORKDAYS.INTL(F581,F581,1,FERIADOS!$A$2:$A$50)+MAX(0,NETWORKDAYS.INTL(F581+1,NOW()-1,1,FERIADOS!$A$2:$A$50))*10+MAX(0,(MIN(NOW(),INT(NOW())+18/24)-(INT(NOW())+8/24)))*24*NETWORKDAYS.INTL(NOW(),NOW(),1,FERIADOS!$A$2:$A$50)))</f>
        <v/>
      </c>
      <c r="P581" s="1" t="str">
        <f t="shared" si="65"/>
        <v/>
      </c>
      <c r="Q581" s="1" t="str">
        <f t="shared" si="66"/>
        <v/>
      </c>
      <c r="R581" s="1" t="str">
        <f t="shared" si="67"/>
        <v/>
      </c>
      <c r="S581" s="1" t="str">
        <f>IF($A581="","",COUNTIF($N$2:N581,$N581))</f>
        <v/>
      </c>
      <c r="T581" s="1" t="str">
        <f t="shared" si="68"/>
        <v/>
      </c>
      <c r="U581" s="1" t="str">
        <f t="shared" si="69"/>
        <v/>
      </c>
      <c r="V581"/>
    </row>
    <row r="582" spans="13:22" x14ac:dyDescent="0.3">
      <c r="M582" s="1" t="str">
        <f t="shared" si="63"/>
        <v/>
      </c>
      <c r="N582" s="1" t="str">
        <f t="shared" si="64"/>
        <v/>
      </c>
      <c r="O582" s="1" t="str">
        <f ca="1">IF(F582="","",IF(INT(F582)=INT(NOW()),IF(NETWORKDAYS.INTL(F582,F582,1,FERIADOS!$A$2:$A$50)=0,0,MAX(0,(MIN(NOW(),INT(NOW())+18/24)-MAX(F582,INT(F582)+8/24)))*24),MAX(0,(INT(F582)+18/24-MAX(F582,INT(F582)+8/24)))*24*NETWORKDAYS.INTL(F582,F582,1,FERIADOS!$A$2:$A$50)+MAX(0,NETWORKDAYS.INTL(F582+1,NOW()-1,1,FERIADOS!$A$2:$A$50))*10+MAX(0,(MIN(NOW(),INT(NOW())+18/24)-(INT(NOW())+8/24)))*24*NETWORKDAYS.INTL(NOW(),NOW(),1,FERIADOS!$A$2:$A$50)))</f>
        <v/>
      </c>
      <c r="P582" s="1" t="str">
        <f t="shared" si="65"/>
        <v/>
      </c>
      <c r="Q582" s="1" t="str">
        <f t="shared" si="66"/>
        <v/>
      </c>
      <c r="R582" s="1" t="str">
        <f t="shared" si="67"/>
        <v/>
      </c>
      <c r="S582" s="1" t="str">
        <f>IF($A582="","",COUNTIF($N$2:N582,$N582))</f>
        <v/>
      </c>
      <c r="T582" s="1" t="str">
        <f t="shared" si="68"/>
        <v/>
      </c>
      <c r="U582" s="1" t="str">
        <f t="shared" si="69"/>
        <v/>
      </c>
      <c r="V582"/>
    </row>
    <row r="583" spans="13:22" x14ac:dyDescent="0.3">
      <c r="M583" s="1" t="str">
        <f t="shared" si="63"/>
        <v/>
      </c>
      <c r="N583" s="1" t="str">
        <f t="shared" si="64"/>
        <v/>
      </c>
      <c r="O583" s="1" t="str">
        <f ca="1">IF(F583="","",IF(INT(F583)=INT(NOW()),IF(NETWORKDAYS.INTL(F583,F583,1,FERIADOS!$A$2:$A$50)=0,0,MAX(0,(MIN(NOW(),INT(NOW())+18/24)-MAX(F583,INT(F583)+8/24)))*24),MAX(0,(INT(F583)+18/24-MAX(F583,INT(F583)+8/24)))*24*NETWORKDAYS.INTL(F583,F583,1,FERIADOS!$A$2:$A$50)+MAX(0,NETWORKDAYS.INTL(F583+1,NOW()-1,1,FERIADOS!$A$2:$A$50))*10+MAX(0,(MIN(NOW(),INT(NOW())+18/24)-(INT(NOW())+8/24)))*24*NETWORKDAYS.INTL(NOW(),NOW(),1,FERIADOS!$A$2:$A$50)))</f>
        <v/>
      </c>
      <c r="P583" s="1" t="str">
        <f t="shared" si="65"/>
        <v/>
      </c>
      <c r="Q583" s="1" t="str">
        <f t="shared" si="66"/>
        <v/>
      </c>
      <c r="R583" s="1" t="str">
        <f t="shared" si="67"/>
        <v/>
      </c>
      <c r="S583" s="1" t="str">
        <f>IF($A583="","",COUNTIF($N$2:N583,$N583))</f>
        <v/>
      </c>
      <c r="T583" s="1" t="str">
        <f t="shared" si="68"/>
        <v/>
      </c>
      <c r="U583" s="1" t="str">
        <f t="shared" si="69"/>
        <v/>
      </c>
      <c r="V583"/>
    </row>
    <row r="584" spans="13:22" x14ac:dyDescent="0.3">
      <c r="M584" s="1" t="str">
        <f t="shared" si="63"/>
        <v/>
      </c>
      <c r="N584" s="1" t="str">
        <f t="shared" si="64"/>
        <v/>
      </c>
      <c r="O584" s="1" t="str">
        <f ca="1">IF(F584="","",IF(INT(F584)=INT(NOW()),IF(NETWORKDAYS.INTL(F584,F584,1,FERIADOS!$A$2:$A$50)=0,0,MAX(0,(MIN(NOW(),INT(NOW())+18/24)-MAX(F584,INT(F584)+8/24)))*24),MAX(0,(INT(F584)+18/24-MAX(F584,INT(F584)+8/24)))*24*NETWORKDAYS.INTL(F584,F584,1,FERIADOS!$A$2:$A$50)+MAX(0,NETWORKDAYS.INTL(F584+1,NOW()-1,1,FERIADOS!$A$2:$A$50))*10+MAX(0,(MIN(NOW(),INT(NOW())+18/24)-(INT(NOW())+8/24)))*24*NETWORKDAYS.INTL(NOW(),NOW(),1,FERIADOS!$A$2:$A$50)))</f>
        <v/>
      </c>
      <c r="P584" s="1" t="str">
        <f t="shared" si="65"/>
        <v/>
      </c>
      <c r="Q584" s="1" t="str">
        <f t="shared" si="66"/>
        <v/>
      </c>
      <c r="R584" s="1" t="str">
        <f t="shared" si="67"/>
        <v/>
      </c>
      <c r="S584" s="1" t="str">
        <f>IF($A584="","",COUNTIF($N$2:N584,$N584))</f>
        <v/>
      </c>
      <c r="T584" s="1" t="str">
        <f t="shared" si="68"/>
        <v/>
      </c>
      <c r="U584" s="1" t="str">
        <f t="shared" si="69"/>
        <v/>
      </c>
      <c r="V584"/>
    </row>
    <row r="585" spans="13:22" x14ac:dyDescent="0.3">
      <c r="M585" s="1" t="str">
        <f t="shared" si="63"/>
        <v/>
      </c>
      <c r="N585" s="1" t="str">
        <f t="shared" si="64"/>
        <v/>
      </c>
      <c r="O585" s="1" t="str">
        <f ca="1">IF(F585="","",IF(INT(F585)=INT(NOW()),IF(NETWORKDAYS.INTL(F585,F585,1,FERIADOS!$A$2:$A$50)=0,0,MAX(0,(MIN(NOW(),INT(NOW())+18/24)-MAX(F585,INT(F585)+8/24)))*24),MAX(0,(INT(F585)+18/24-MAX(F585,INT(F585)+8/24)))*24*NETWORKDAYS.INTL(F585,F585,1,FERIADOS!$A$2:$A$50)+MAX(0,NETWORKDAYS.INTL(F585+1,NOW()-1,1,FERIADOS!$A$2:$A$50))*10+MAX(0,(MIN(NOW(),INT(NOW())+18/24)-(INT(NOW())+8/24)))*24*NETWORKDAYS.INTL(NOW(),NOW(),1,FERIADOS!$A$2:$A$50)))</f>
        <v/>
      </c>
      <c r="P585" s="1" t="str">
        <f t="shared" si="65"/>
        <v/>
      </c>
      <c r="Q585" s="1" t="str">
        <f t="shared" si="66"/>
        <v/>
      </c>
      <c r="R585" s="1" t="str">
        <f t="shared" si="67"/>
        <v/>
      </c>
      <c r="S585" s="1" t="str">
        <f>IF($A585="","",COUNTIF($N$2:N585,$N585))</f>
        <v/>
      </c>
      <c r="T585" s="1" t="str">
        <f t="shared" si="68"/>
        <v/>
      </c>
      <c r="U585" s="1" t="str">
        <f t="shared" si="69"/>
        <v/>
      </c>
      <c r="V585"/>
    </row>
    <row r="586" spans="13:22" x14ac:dyDescent="0.3">
      <c r="M586" s="1" t="str">
        <f t="shared" si="63"/>
        <v/>
      </c>
      <c r="N586" s="1" t="str">
        <f t="shared" si="64"/>
        <v/>
      </c>
      <c r="O586" s="1" t="str">
        <f ca="1">IF(F586="","",IF(INT(F586)=INT(NOW()),IF(NETWORKDAYS.INTL(F586,F586,1,FERIADOS!$A$2:$A$50)=0,0,MAX(0,(MIN(NOW(),INT(NOW())+18/24)-MAX(F586,INT(F586)+8/24)))*24),MAX(0,(INT(F586)+18/24-MAX(F586,INT(F586)+8/24)))*24*NETWORKDAYS.INTL(F586,F586,1,FERIADOS!$A$2:$A$50)+MAX(0,NETWORKDAYS.INTL(F586+1,NOW()-1,1,FERIADOS!$A$2:$A$50))*10+MAX(0,(MIN(NOW(),INT(NOW())+18/24)-(INT(NOW())+8/24)))*24*NETWORKDAYS.INTL(NOW(),NOW(),1,FERIADOS!$A$2:$A$50)))</f>
        <v/>
      </c>
      <c r="P586" s="1" t="str">
        <f t="shared" si="65"/>
        <v/>
      </c>
      <c r="Q586" s="1" t="str">
        <f t="shared" si="66"/>
        <v/>
      </c>
      <c r="R586" s="1" t="str">
        <f t="shared" si="67"/>
        <v/>
      </c>
      <c r="S586" s="1" t="str">
        <f>IF($A586="","",COUNTIF($N$2:N586,$N586))</f>
        <v/>
      </c>
      <c r="T586" s="1" t="str">
        <f t="shared" si="68"/>
        <v/>
      </c>
      <c r="U586" s="1" t="str">
        <f t="shared" si="69"/>
        <v/>
      </c>
      <c r="V586"/>
    </row>
    <row r="587" spans="13:22" x14ac:dyDescent="0.3">
      <c r="M587" s="1" t="str">
        <f t="shared" si="63"/>
        <v/>
      </c>
      <c r="N587" s="1" t="str">
        <f t="shared" si="64"/>
        <v/>
      </c>
      <c r="O587" s="1" t="str">
        <f ca="1">IF(F587="","",IF(INT(F587)=INT(NOW()),IF(NETWORKDAYS.INTL(F587,F587,1,FERIADOS!$A$2:$A$50)=0,0,MAX(0,(MIN(NOW(),INT(NOW())+18/24)-MAX(F587,INT(F587)+8/24)))*24),MAX(0,(INT(F587)+18/24-MAX(F587,INT(F587)+8/24)))*24*NETWORKDAYS.INTL(F587,F587,1,FERIADOS!$A$2:$A$50)+MAX(0,NETWORKDAYS.INTL(F587+1,NOW()-1,1,FERIADOS!$A$2:$A$50))*10+MAX(0,(MIN(NOW(),INT(NOW())+18/24)-(INT(NOW())+8/24)))*24*NETWORKDAYS.INTL(NOW(),NOW(),1,FERIADOS!$A$2:$A$50)))</f>
        <v/>
      </c>
      <c r="P587" s="1" t="str">
        <f t="shared" si="65"/>
        <v/>
      </c>
      <c r="Q587" s="1" t="str">
        <f t="shared" si="66"/>
        <v/>
      </c>
      <c r="R587" s="1" t="str">
        <f t="shared" si="67"/>
        <v/>
      </c>
      <c r="S587" s="1" t="str">
        <f>IF($A587="","",COUNTIF($N$2:N587,$N587))</f>
        <v/>
      </c>
      <c r="T587" s="1" t="str">
        <f t="shared" si="68"/>
        <v/>
      </c>
      <c r="U587" s="1" t="str">
        <f t="shared" si="69"/>
        <v/>
      </c>
      <c r="V587"/>
    </row>
    <row r="588" spans="13:22" x14ac:dyDescent="0.3">
      <c r="M588" s="1" t="str">
        <f t="shared" si="63"/>
        <v/>
      </c>
      <c r="N588" s="1" t="str">
        <f t="shared" si="64"/>
        <v/>
      </c>
      <c r="O588" s="1" t="str">
        <f ca="1">IF(F588="","",IF(INT(F588)=INT(NOW()),IF(NETWORKDAYS.INTL(F588,F588,1,FERIADOS!$A$2:$A$50)=0,0,MAX(0,(MIN(NOW(),INT(NOW())+18/24)-MAX(F588,INT(F588)+8/24)))*24),MAX(0,(INT(F588)+18/24-MAX(F588,INT(F588)+8/24)))*24*NETWORKDAYS.INTL(F588,F588,1,FERIADOS!$A$2:$A$50)+MAX(0,NETWORKDAYS.INTL(F588+1,NOW()-1,1,FERIADOS!$A$2:$A$50))*10+MAX(0,(MIN(NOW(),INT(NOW())+18/24)-(INT(NOW())+8/24)))*24*NETWORKDAYS.INTL(NOW(),NOW(),1,FERIADOS!$A$2:$A$50)))</f>
        <v/>
      </c>
      <c r="P588" s="1" t="str">
        <f t="shared" si="65"/>
        <v/>
      </c>
      <c r="Q588" s="1" t="str">
        <f t="shared" si="66"/>
        <v/>
      </c>
      <c r="R588" s="1" t="str">
        <f t="shared" si="67"/>
        <v/>
      </c>
      <c r="S588" s="1" t="str">
        <f>IF($A588="","",COUNTIF($N$2:N588,$N588))</f>
        <v/>
      </c>
      <c r="T588" s="1" t="str">
        <f t="shared" si="68"/>
        <v/>
      </c>
      <c r="U588" s="1" t="str">
        <f t="shared" si="69"/>
        <v/>
      </c>
      <c r="V588"/>
    </row>
    <row r="589" spans="13:22" x14ac:dyDescent="0.3">
      <c r="M589" s="1" t="str">
        <f t="shared" si="63"/>
        <v/>
      </c>
      <c r="N589" s="1" t="str">
        <f t="shared" si="64"/>
        <v/>
      </c>
      <c r="O589" s="1" t="str">
        <f ca="1">IF(F589="","",IF(INT(F589)=INT(NOW()),IF(NETWORKDAYS.INTL(F589,F589,1,FERIADOS!$A$2:$A$50)=0,0,MAX(0,(MIN(NOW(),INT(NOW())+18/24)-MAX(F589,INT(F589)+8/24)))*24),MAX(0,(INT(F589)+18/24-MAX(F589,INT(F589)+8/24)))*24*NETWORKDAYS.INTL(F589,F589,1,FERIADOS!$A$2:$A$50)+MAX(0,NETWORKDAYS.INTL(F589+1,NOW()-1,1,FERIADOS!$A$2:$A$50))*10+MAX(0,(MIN(NOW(),INT(NOW())+18/24)-(INT(NOW())+8/24)))*24*NETWORKDAYS.INTL(NOW(),NOW(),1,FERIADOS!$A$2:$A$50)))</f>
        <v/>
      </c>
      <c r="P589" s="1" t="str">
        <f t="shared" si="65"/>
        <v/>
      </c>
      <c r="Q589" s="1" t="str">
        <f t="shared" si="66"/>
        <v/>
      </c>
      <c r="R589" s="1" t="str">
        <f t="shared" si="67"/>
        <v/>
      </c>
      <c r="S589" s="1" t="str">
        <f>IF($A589="","",COUNTIF($N$2:N589,$N589))</f>
        <v/>
      </c>
      <c r="T589" s="1" t="str">
        <f t="shared" si="68"/>
        <v/>
      </c>
      <c r="U589" s="1" t="str">
        <f t="shared" si="69"/>
        <v/>
      </c>
      <c r="V589"/>
    </row>
    <row r="590" spans="13:22" x14ac:dyDescent="0.3">
      <c r="M590" s="1" t="str">
        <f t="shared" si="63"/>
        <v/>
      </c>
      <c r="N590" s="1" t="str">
        <f t="shared" si="64"/>
        <v/>
      </c>
      <c r="O590" s="1" t="str">
        <f ca="1">IF(F590="","",IF(INT(F590)=INT(NOW()),IF(NETWORKDAYS.INTL(F590,F590,1,FERIADOS!$A$2:$A$50)=0,0,MAX(0,(MIN(NOW(),INT(NOW())+18/24)-MAX(F590,INT(F590)+8/24)))*24),MAX(0,(INT(F590)+18/24-MAX(F590,INT(F590)+8/24)))*24*NETWORKDAYS.INTL(F590,F590,1,FERIADOS!$A$2:$A$50)+MAX(0,NETWORKDAYS.INTL(F590+1,NOW()-1,1,FERIADOS!$A$2:$A$50))*10+MAX(0,(MIN(NOW(),INT(NOW())+18/24)-(INT(NOW())+8/24)))*24*NETWORKDAYS.INTL(NOW(),NOW(),1,FERIADOS!$A$2:$A$50)))</f>
        <v/>
      </c>
      <c r="P590" s="1" t="str">
        <f t="shared" si="65"/>
        <v/>
      </c>
      <c r="Q590" s="1" t="str">
        <f t="shared" si="66"/>
        <v/>
      </c>
      <c r="R590" s="1" t="str">
        <f t="shared" si="67"/>
        <v/>
      </c>
      <c r="S590" s="1" t="str">
        <f>IF($A590="","",COUNTIF($N$2:N590,$N590))</f>
        <v/>
      </c>
      <c r="T590" s="1" t="str">
        <f t="shared" si="68"/>
        <v/>
      </c>
      <c r="U590" s="1" t="str">
        <f t="shared" si="69"/>
        <v/>
      </c>
      <c r="V590"/>
    </row>
    <row r="591" spans="13:22" x14ac:dyDescent="0.3">
      <c r="M591" s="1" t="str">
        <f t="shared" si="63"/>
        <v/>
      </c>
      <c r="N591" s="1" t="str">
        <f t="shared" si="64"/>
        <v/>
      </c>
      <c r="O591" s="1" t="str">
        <f ca="1">IF(F591="","",IF(INT(F591)=INT(NOW()),IF(NETWORKDAYS.INTL(F591,F591,1,FERIADOS!$A$2:$A$50)=0,0,MAX(0,(MIN(NOW(),INT(NOW())+18/24)-MAX(F591,INT(F591)+8/24)))*24),MAX(0,(INT(F591)+18/24-MAX(F591,INT(F591)+8/24)))*24*NETWORKDAYS.INTL(F591,F591,1,FERIADOS!$A$2:$A$50)+MAX(0,NETWORKDAYS.INTL(F591+1,NOW()-1,1,FERIADOS!$A$2:$A$50))*10+MAX(0,(MIN(NOW(),INT(NOW())+18/24)-(INT(NOW())+8/24)))*24*NETWORKDAYS.INTL(NOW(),NOW(),1,FERIADOS!$A$2:$A$50)))</f>
        <v/>
      </c>
      <c r="P591" s="1" t="str">
        <f t="shared" si="65"/>
        <v/>
      </c>
      <c r="Q591" s="1" t="str">
        <f t="shared" si="66"/>
        <v/>
      </c>
      <c r="R591" s="1" t="str">
        <f t="shared" si="67"/>
        <v/>
      </c>
      <c r="S591" s="1" t="str">
        <f>IF($A591="","",COUNTIF($N$2:N591,$N591))</f>
        <v/>
      </c>
      <c r="T591" s="1" t="str">
        <f t="shared" si="68"/>
        <v/>
      </c>
      <c r="U591" s="1" t="str">
        <f t="shared" si="69"/>
        <v/>
      </c>
      <c r="V591"/>
    </row>
    <row r="592" spans="13:22" x14ac:dyDescent="0.3">
      <c r="M592" s="1" t="str">
        <f t="shared" si="63"/>
        <v/>
      </c>
      <c r="N592" s="1" t="str">
        <f t="shared" si="64"/>
        <v/>
      </c>
      <c r="O592" s="1" t="str">
        <f ca="1">IF(F592="","",IF(INT(F592)=INT(NOW()),IF(NETWORKDAYS.INTL(F592,F592,1,FERIADOS!$A$2:$A$50)=0,0,MAX(0,(MIN(NOW(),INT(NOW())+18/24)-MAX(F592,INT(F592)+8/24)))*24),MAX(0,(INT(F592)+18/24-MAX(F592,INT(F592)+8/24)))*24*NETWORKDAYS.INTL(F592,F592,1,FERIADOS!$A$2:$A$50)+MAX(0,NETWORKDAYS.INTL(F592+1,NOW()-1,1,FERIADOS!$A$2:$A$50))*10+MAX(0,(MIN(NOW(),INT(NOW())+18/24)-(INT(NOW())+8/24)))*24*NETWORKDAYS.INTL(NOW(),NOW(),1,FERIADOS!$A$2:$A$50)))</f>
        <v/>
      </c>
      <c r="P592" s="1" t="str">
        <f t="shared" si="65"/>
        <v/>
      </c>
      <c r="Q592" s="1" t="str">
        <f t="shared" si="66"/>
        <v/>
      </c>
      <c r="R592" s="1" t="str">
        <f t="shared" si="67"/>
        <v/>
      </c>
      <c r="S592" s="1" t="str">
        <f>IF($A592="","",COUNTIF($N$2:N592,$N592))</f>
        <v/>
      </c>
      <c r="T592" s="1" t="str">
        <f t="shared" si="68"/>
        <v/>
      </c>
      <c r="U592" s="1" t="str">
        <f t="shared" si="69"/>
        <v/>
      </c>
      <c r="V592"/>
    </row>
    <row r="593" spans="13:22" x14ac:dyDescent="0.3">
      <c r="M593" s="1" t="str">
        <f t="shared" si="63"/>
        <v/>
      </c>
      <c r="N593" s="1" t="str">
        <f t="shared" si="64"/>
        <v/>
      </c>
      <c r="O593" s="1" t="str">
        <f ca="1">IF(F593="","",IF(INT(F593)=INT(NOW()),IF(NETWORKDAYS.INTL(F593,F593,1,FERIADOS!$A$2:$A$50)=0,0,MAX(0,(MIN(NOW(),INT(NOW())+18/24)-MAX(F593,INT(F593)+8/24)))*24),MAX(0,(INT(F593)+18/24-MAX(F593,INT(F593)+8/24)))*24*NETWORKDAYS.INTL(F593,F593,1,FERIADOS!$A$2:$A$50)+MAX(0,NETWORKDAYS.INTL(F593+1,NOW()-1,1,FERIADOS!$A$2:$A$50))*10+MAX(0,(MIN(NOW(),INT(NOW())+18/24)-(INT(NOW())+8/24)))*24*NETWORKDAYS.INTL(NOW(),NOW(),1,FERIADOS!$A$2:$A$50)))</f>
        <v/>
      </c>
      <c r="P593" s="1" t="str">
        <f t="shared" si="65"/>
        <v/>
      </c>
      <c r="Q593" s="1" t="str">
        <f t="shared" si="66"/>
        <v/>
      </c>
      <c r="R593" s="1" t="str">
        <f t="shared" si="67"/>
        <v/>
      </c>
      <c r="S593" s="1" t="str">
        <f>IF($A593="","",COUNTIF($N$2:N593,$N593))</f>
        <v/>
      </c>
      <c r="T593" s="1" t="str">
        <f t="shared" si="68"/>
        <v/>
      </c>
      <c r="U593" s="1" t="str">
        <f t="shared" si="69"/>
        <v/>
      </c>
      <c r="V593"/>
    </row>
    <row r="594" spans="13:22" x14ac:dyDescent="0.3">
      <c r="M594" s="1" t="str">
        <f t="shared" si="63"/>
        <v/>
      </c>
      <c r="N594" s="1" t="str">
        <f t="shared" si="64"/>
        <v/>
      </c>
      <c r="O594" s="1" t="str">
        <f ca="1">IF(F594="","",IF(INT(F594)=INT(NOW()),IF(NETWORKDAYS.INTL(F594,F594,1,FERIADOS!$A$2:$A$50)=0,0,MAX(0,(MIN(NOW(),INT(NOW())+18/24)-MAX(F594,INT(F594)+8/24)))*24),MAX(0,(INT(F594)+18/24-MAX(F594,INT(F594)+8/24)))*24*NETWORKDAYS.INTL(F594,F594,1,FERIADOS!$A$2:$A$50)+MAX(0,NETWORKDAYS.INTL(F594+1,NOW()-1,1,FERIADOS!$A$2:$A$50))*10+MAX(0,(MIN(NOW(),INT(NOW())+18/24)-(INT(NOW())+8/24)))*24*NETWORKDAYS.INTL(NOW(),NOW(),1,FERIADOS!$A$2:$A$50)))</f>
        <v/>
      </c>
      <c r="P594" s="1" t="str">
        <f t="shared" si="65"/>
        <v/>
      </c>
      <c r="Q594" s="1" t="str">
        <f t="shared" si="66"/>
        <v/>
      </c>
      <c r="R594" s="1" t="str">
        <f t="shared" si="67"/>
        <v/>
      </c>
      <c r="S594" s="1" t="str">
        <f>IF($A594="","",COUNTIF($N$2:N594,$N594))</f>
        <v/>
      </c>
      <c r="T594" s="1" t="str">
        <f t="shared" si="68"/>
        <v/>
      </c>
      <c r="U594" s="1" t="str">
        <f t="shared" si="69"/>
        <v/>
      </c>
      <c r="V594"/>
    </row>
    <row r="595" spans="13:22" x14ac:dyDescent="0.3">
      <c r="M595" s="1" t="str">
        <f t="shared" si="63"/>
        <v/>
      </c>
      <c r="N595" s="1" t="str">
        <f t="shared" si="64"/>
        <v/>
      </c>
      <c r="O595" s="1" t="str">
        <f ca="1">IF(F595="","",IF(INT(F595)=INT(NOW()),IF(NETWORKDAYS.INTL(F595,F595,1,FERIADOS!$A$2:$A$50)=0,0,MAX(0,(MIN(NOW(),INT(NOW())+18/24)-MAX(F595,INT(F595)+8/24)))*24),MAX(0,(INT(F595)+18/24-MAX(F595,INT(F595)+8/24)))*24*NETWORKDAYS.INTL(F595,F595,1,FERIADOS!$A$2:$A$50)+MAX(0,NETWORKDAYS.INTL(F595+1,NOW()-1,1,FERIADOS!$A$2:$A$50))*10+MAX(0,(MIN(NOW(),INT(NOW())+18/24)-(INT(NOW())+8/24)))*24*NETWORKDAYS.INTL(NOW(),NOW(),1,FERIADOS!$A$2:$A$50)))</f>
        <v/>
      </c>
      <c r="P595" s="1" t="str">
        <f t="shared" si="65"/>
        <v/>
      </c>
      <c r="Q595" s="1" t="str">
        <f t="shared" si="66"/>
        <v/>
      </c>
      <c r="R595" s="1" t="str">
        <f t="shared" si="67"/>
        <v/>
      </c>
      <c r="S595" s="1" t="str">
        <f>IF($A595="","",COUNTIF($N$2:N595,$N595))</f>
        <v/>
      </c>
      <c r="T595" s="1" t="str">
        <f t="shared" si="68"/>
        <v/>
      </c>
      <c r="U595" s="1" t="str">
        <f t="shared" si="69"/>
        <v/>
      </c>
      <c r="V595"/>
    </row>
    <row r="596" spans="13:22" x14ac:dyDescent="0.3">
      <c r="M596" s="1" t="str">
        <f t="shared" si="63"/>
        <v/>
      </c>
      <c r="N596" s="1" t="str">
        <f t="shared" si="64"/>
        <v/>
      </c>
      <c r="O596" s="1" t="str">
        <f ca="1">IF(F596="","",IF(INT(F596)=INT(NOW()),IF(NETWORKDAYS.INTL(F596,F596,1,FERIADOS!$A$2:$A$50)=0,0,MAX(0,(MIN(NOW(),INT(NOW())+18/24)-MAX(F596,INT(F596)+8/24)))*24),MAX(0,(INT(F596)+18/24-MAX(F596,INT(F596)+8/24)))*24*NETWORKDAYS.INTL(F596,F596,1,FERIADOS!$A$2:$A$50)+MAX(0,NETWORKDAYS.INTL(F596+1,NOW()-1,1,FERIADOS!$A$2:$A$50))*10+MAX(0,(MIN(NOW(),INT(NOW())+18/24)-(INT(NOW())+8/24)))*24*NETWORKDAYS.INTL(NOW(),NOW(),1,FERIADOS!$A$2:$A$50)))</f>
        <v/>
      </c>
      <c r="P596" s="1" t="str">
        <f t="shared" si="65"/>
        <v/>
      </c>
      <c r="Q596" s="1" t="str">
        <f t="shared" si="66"/>
        <v/>
      </c>
      <c r="R596" s="1" t="str">
        <f t="shared" si="67"/>
        <v/>
      </c>
      <c r="S596" s="1" t="str">
        <f>IF($A596="","",COUNTIF($N$2:N596,$N596))</f>
        <v/>
      </c>
      <c r="T596" s="1" t="str">
        <f t="shared" si="68"/>
        <v/>
      </c>
      <c r="U596" s="1" t="str">
        <f t="shared" si="69"/>
        <v/>
      </c>
      <c r="V596"/>
    </row>
    <row r="597" spans="13:22" x14ac:dyDescent="0.3">
      <c r="M597" s="1" t="str">
        <f t="shared" si="63"/>
        <v/>
      </c>
      <c r="N597" s="1" t="str">
        <f t="shared" si="64"/>
        <v/>
      </c>
      <c r="O597" s="1" t="str">
        <f ca="1">IF(F597="","",IF(INT(F597)=INT(NOW()),IF(NETWORKDAYS.INTL(F597,F597,1,FERIADOS!$A$2:$A$50)=0,0,MAX(0,(MIN(NOW(),INT(NOW())+18/24)-MAX(F597,INT(F597)+8/24)))*24),MAX(0,(INT(F597)+18/24-MAX(F597,INT(F597)+8/24)))*24*NETWORKDAYS.INTL(F597,F597,1,FERIADOS!$A$2:$A$50)+MAX(0,NETWORKDAYS.INTL(F597+1,NOW()-1,1,FERIADOS!$A$2:$A$50))*10+MAX(0,(MIN(NOW(),INT(NOW())+18/24)-(INT(NOW())+8/24)))*24*NETWORKDAYS.INTL(NOW(),NOW(),1,FERIADOS!$A$2:$A$50)))</f>
        <v/>
      </c>
      <c r="P597" s="1" t="str">
        <f t="shared" si="65"/>
        <v/>
      </c>
      <c r="Q597" s="1" t="str">
        <f t="shared" si="66"/>
        <v/>
      </c>
      <c r="R597" s="1" t="str">
        <f t="shared" si="67"/>
        <v/>
      </c>
      <c r="S597" s="1" t="str">
        <f>IF($A597="","",COUNTIF($N$2:N597,$N597))</f>
        <v/>
      </c>
      <c r="T597" s="1" t="str">
        <f t="shared" si="68"/>
        <v/>
      </c>
      <c r="U597" s="1" t="str">
        <f t="shared" si="69"/>
        <v/>
      </c>
      <c r="V597"/>
    </row>
    <row r="598" spans="13:22" x14ac:dyDescent="0.3">
      <c r="M598" s="1" t="str">
        <f t="shared" si="63"/>
        <v/>
      </c>
      <c r="N598" s="1" t="str">
        <f t="shared" si="64"/>
        <v/>
      </c>
      <c r="O598" s="1" t="str">
        <f ca="1">IF(F598="","",IF(INT(F598)=INT(NOW()),IF(NETWORKDAYS.INTL(F598,F598,1,FERIADOS!$A$2:$A$50)=0,0,MAX(0,(MIN(NOW(),INT(NOW())+18/24)-MAX(F598,INT(F598)+8/24)))*24),MAX(0,(INT(F598)+18/24-MAX(F598,INT(F598)+8/24)))*24*NETWORKDAYS.INTL(F598,F598,1,FERIADOS!$A$2:$A$50)+MAX(0,NETWORKDAYS.INTL(F598+1,NOW()-1,1,FERIADOS!$A$2:$A$50))*10+MAX(0,(MIN(NOW(),INT(NOW())+18/24)-(INT(NOW())+8/24)))*24*NETWORKDAYS.INTL(NOW(),NOW(),1,FERIADOS!$A$2:$A$50)))</f>
        <v/>
      </c>
      <c r="P598" s="1" t="str">
        <f t="shared" si="65"/>
        <v/>
      </c>
      <c r="Q598" s="1" t="str">
        <f t="shared" si="66"/>
        <v/>
      </c>
      <c r="R598" s="1" t="str">
        <f t="shared" si="67"/>
        <v/>
      </c>
      <c r="S598" s="1" t="str">
        <f>IF($A598="","",COUNTIF($N$2:N598,$N598))</f>
        <v/>
      </c>
      <c r="T598" s="1" t="str">
        <f t="shared" si="68"/>
        <v/>
      </c>
      <c r="U598" s="1" t="str">
        <f t="shared" si="69"/>
        <v/>
      </c>
      <c r="V598"/>
    </row>
    <row r="599" spans="13:22" x14ac:dyDescent="0.3">
      <c r="M599" s="1" t="str">
        <f t="shared" si="63"/>
        <v/>
      </c>
      <c r="N599" s="1" t="str">
        <f t="shared" si="64"/>
        <v/>
      </c>
      <c r="O599" s="1" t="str">
        <f ca="1">IF(F599="","",IF(INT(F599)=INT(NOW()),IF(NETWORKDAYS.INTL(F599,F599,1,FERIADOS!$A$2:$A$50)=0,0,MAX(0,(MIN(NOW(),INT(NOW())+18/24)-MAX(F599,INT(F599)+8/24)))*24),MAX(0,(INT(F599)+18/24-MAX(F599,INT(F599)+8/24)))*24*NETWORKDAYS.INTL(F599,F599,1,FERIADOS!$A$2:$A$50)+MAX(0,NETWORKDAYS.INTL(F599+1,NOW()-1,1,FERIADOS!$A$2:$A$50))*10+MAX(0,(MIN(NOW(),INT(NOW())+18/24)-(INT(NOW())+8/24)))*24*NETWORKDAYS.INTL(NOW(),NOW(),1,FERIADOS!$A$2:$A$50)))</f>
        <v/>
      </c>
      <c r="P599" s="1" t="str">
        <f t="shared" si="65"/>
        <v/>
      </c>
      <c r="Q599" s="1" t="str">
        <f t="shared" si="66"/>
        <v/>
      </c>
      <c r="R599" s="1" t="str">
        <f t="shared" si="67"/>
        <v/>
      </c>
      <c r="S599" s="1" t="str">
        <f>IF($A599="","",COUNTIF($N$2:N599,$N599))</f>
        <v/>
      </c>
      <c r="T599" s="1" t="str">
        <f t="shared" si="68"/>
        <v/>
      </c>
      <c r="U599" s="1" t="str">
        <f t="shared" si="69"/>
        <v/>
      </c>
      <c r="V599"/>
    </row>
    <row r="600" spans="13:22" x14ac:dyDescent="0.3">
      <c r="M600" s="1" t="str">
        <f t="shared" si="63"/>
        <v/>
      </c>
      <c r="N600" s="1" t="str">
        <f t="shared" si="64"/>
        <v/>
      </c>
      <c r="O600" s="1" t="str">
        <f ca="1">IF(F600="","",IF(INT(F600)=INT(NOW()),IF(NETWORKDAYS.INTL(F600,F600,1,FERIADOS!$A$2:$A$50)=0,0,MAX(0,(MIN(NOW(),INT(NOW())+18/24)-MAX(F600,INT(F600)+8/24)))*24),MAX(0,(INT(F600)+18/24-MAX(F600,INT(F600)+8/24)))*24*NETWORKDAYS.INTL(F600,F600,1,FERIADOS!$A$2:$A$50)+MAX(0,NETWORKDAYS.INTL(F600+1,NOW()-1,1,FERIADOS!$A$2:$A$50))*10+MAX(0,(MIN(NOW(),INT(NOW())+18/24)-(INT(NOW())+8/24)))*24*NETWORKDAYS.INTL(NOW(),NOW(),1,FERIADOS!$A$2:$A$50)))</f>
        <v/>
      </c>
      <c r="P600" s="1" t="str">
        <f t="shared" si="65"/>
        <v/>
      </c>
      <c r="Q600" s="1" t="str">
        <f t="shared" si="66"/>
        <v/>
      </c>
      <c r="R600" s="1" t="str">
        <f t="shared" si="67"/>
        <v/>
      </c>
      <c r="S600" s="1" t="str">
        <f>IF($A600="","",COUNTIF($N$2:N600,$N600))</f>
        <v/>
      </c>
      <c r="T600" s="1" t="str">
        <f t="shared" si="68"/>
        <v/>
      </c>
      <c r="U600" s="1" t="str">
        <f t="shared" si="69"/>
        <v/>
      </c>
      <c r="V600"/>
    </row>
    <row r="601" spans="13:22" x14ac:dyDescent="0.3">
      <c r="M601" s="1" t="str">
        <f t="shared" si="63"/>
        <v/>
      </c>
      <c r="N601" s="1" t="str">
        <f t="shared" si="64"/>
        <v/>
      </c>
      <c r="O601" s="1" t="str">
        <f ca="1">IF(F601="","",IF(INT(F601)=INT(NOW()),IF(NETWORKDAYS.INTL(F601,F601,1,FERIADOS!$A$2:$A$50)=0,0,MAX(0,(MIN(NOW(),INT(NOW())+18/24)-MAX(F601,INT(F601)+8/24)))*24),MAX(0,(INT(F601)+18/24-MAX(F601,INT(F601)+8/24)))*24*NETWORKDAYS.INTL(F601,F601,1,FERIADOS!$A$2:$A$50)+MAX(0,NETWORKDAYS.INTL(F601+1,NOW()-1,1,FERIADOS!$A$2:$A$50))*10+MAX(0,(MIN(NOW(),INT(NOW())+18/24)-(INT(NOW())+8/24)))*24*NETWORKDAYS.INTL(NOW(),NOW(),1,FERIADOS!$A$2:$A$50)))</f>
        <v/>
      </c>
      <c r="P601" s="1" t="str">
        <f t="shared" si="65"/>
        <v/>
      </c>
      <c r="Q601" s="1" t="str">
        <f t="shared" si="66"/>
        <v/>
      </c>
      <c r="R601" s="1" t="str">
        <f t="shared" si="67"/>
        <v/>
      </c>
      <c r="S601" s="1" t="str">
        <f>IF($A601="","",COUNTIF($N$2:N601,$N601))</f>
        <v/>
      </c>
      <c r="T601" s="1" t="str">
        <f t="shared" si="68"/>
        <v/>
      </c>
      <c r="U601" s="1" t="str">
        <f t="shared" si="69"/>
        <v/>
      </c>
      <c r="V601"/>
    </row>
    <row r="602" spans="13:22" x14ac:dyDescent="0.3">
      <c r="M602" s="1" t="str">
        <f t="shared" si="63"/>
        <v/>
      </c>
      <c r="N602" s="1" t="str">
        <f t="shared" si="64"/>
        <v/>
      </c>
      <c r="O602" s="1" t="str">
        <f ca="1">IF(F602="","",IF(INT(F602)=INT(NOW()),IF(NETWORKDAYS.INTL(F602,F602,1,FERIADOS!$A$2:$A$50)=0,0,MAX(0,(MIN(NOW(),INT(NOW())+18/24)-MAX(F602,INT(F602)+8/24)))*24),MAX(0,(INT(F602)+18/24-MAX(F602,INT(F602)+8/24)))*24*NETWORKDAYS.INTL(F602,F602,1,FERIADOS!$A$2:$A$50)+MAX(0,NETWORKDAYS.INTL(F602+1,NOW()-1,1,FERIADOS!$A$2:$A$50))*10+MAX(0,(MIN(NOW(),INT(NOW())+18/24)-(INT(NOW())+8/24)))*24*NETWORKDAYS.INTL(NOW(),NOW(),1,FERIADOS!$A$2:$A$50)))</f>
        <v/>
      </c>
      <c r="P602" s="1" t="str">
        <f t="shared" si="65"/>
        <v/>
      </c>
      <c r="Q602" s="1" t="str">
        <f t="shared" si="66"/>
        <v/>
      </c>
      <c r="R602" s="1" t="str">
        <f t="shared" si="67"/>
        <v/>
      </c>
      <c r="S602" s="1" t="str">
        <f>IF($A602="","",COUNTIF($N$2:N602,$N602))</f>
        <v/>
      </c>
      <c r="T602" s="1" t="str">
        <f t="shared" si="68"/>
        <v/>
      </c>
      <c r="U602" s="1" t="str">
        <f t="shared" si="69"/>
        <v/>
      </c>
      <c r="V602"/>
    </row>
    <row r="603" spans="13:22" x14ac:dyDescent="0.3">
      <c r="M603" s="1" t="str">
        <f t="shared" si="63"/>
        <v/>
      </c>
      <c r="N603" s="1" t="str">
        <f t="shared" si="64"/>
        <v/>
      </c>
      <c r="O603" s="1" t="str">
        <f ca="1">IF(F603="","",IF(INT(F603)=INT(NOW()),IF(NETWORKDAYS.INTL(F603,F603,1,FERIADOS!$A$2:$A$50)=0,0,MAX(0,(MIN(NOW(),INT(NOW())+18/24)-MAX(F603,INT(F603)+8/24)))*24),MAX(0,(INT(F603)+18/24-MAX(F603,INT(F603)+8/24)))*24*NETWORKDAYS.INTL(F603,F603,1,FERIADOS!$A$2:$A$50)+MAX(0,NETWORKDAYS.INTL(F603+1,NOW()-1,1,FERIADOS!$A$2:$A$50))*10+MAX(0,(MIN(NOW(),INT(NOW())+18/24)-(INT(NOW())+8/24)))*24*NETWORKDAYS.INTL(NOW(),NOW(),1,FERIADOS!$A$2:$A$50)))</f>
        <v/>
      </c>
      <c r="P603" s="1" t="str">
        <f t="shared" si="65"/>
        <v/>
      </c>
      <c r="Q603" s="1" t="str">
        <f t="shared" si="66"/>
        <v/>
      </c>
      <c r="R603" s="1" t="str">
        <f t="shared" si="67"/>
        <v/>
      </c>
      <c r="S603" s="1" t="str">
        <f>IF($A603="","",COUNTIF($N$2:N603,$N603))</f>
        <v/>
      </c>
      <c r="T603" s="1" t="str">
        <f t="shared" si="68"/>
        <v/>
      </c>
      <c r="U603" s="1" t="str">
        <f t="shared" si="69"/>
        <v/>
      </c>
      <c r="V603"/>
    </row>
    <row r="604" spans="13:22" x14ac:dyDescent="0.3">
      <c r="M604" s="1" t="str">
        <f t="shared" si="63"/>
        <v/>
      </c>
      <c r="N604" s="1" t="str">
        <f t="shared" si="64"/>
        <v/>
      </c>
      <c r="O604" s="1" t="str">
        <f ca="1">IF(F604="","",IF(INT(F604)=INT(NOW()),IF(NETWORKDAYS.INTL(F604,F604,1,FERIADOS!$A$2:$A$50)=0,0,MAX(0,(MIN(NOW(),INT(NOW())+18/24)-MAX(F604,INT(F604)+8/24)))*24),MAX(0,(INT(F604)+18/24-MAX(F604,INT(F604)+8/24)))*24*NETWORKDAYS.INTL(F604,F604,1,FERIADOS!$A$2:$A$50)+MAX(0,NETWORKDAYS.INTL(F604+1,NOW()-1,1,FERIADOS!$A$2:$A$50))*10+MAX(0,(MIN(NOW(),INT(NOW())+18/24)-(INT(NOW())+8/24)))*24*NETWORKDAYS.INTL(NOW(),NOW(),1,FERIADOS!$A$2:$A$50)))</f>
        <v/>
      </c>
      <c r="P604" s="1" t="str">
        <f t="shared" si="65"/>
        <v/>
      </c>
      <c r="Q604" s="1" t="str">
        <f t="shared" si="66"/>
        <v/>
      </c>
      <c r="R604" s="1" t="str">
        <f t="shared" si="67"/>
        <v/>
      </c>
      <c r="S604" s="1" t="str">
        <f>IF($A604="","",COUNTIF($N$2:N604,$N604))</f>
        <v/>
      </c>
      <c r="T604" s="1" t="str">
        <f t="shared" si="68"/>
        <v/>
      </c>
      <c r="U604" s="1" t="str">
        <f t="shared" si="69"/>
        <v/>
      </c>
      <c r="V604"/>
    </row>
    <row r="605" spans="13:22" x14ac:dyDescent="0.3">
      <c r="M605" s="1" t="str">
        <f t="shared" si="63"/>
        <v/>
      </c>
      <c r="N605" s="1" t="str">
        <f t="shared" si="64"/>
        <v/>
      </c>
      <c r="O605" s="1" t="str">
        <f ca="1">IF(F605="","",IF(INT(F605)=INT(NOW()),IF(NETWORKDAYS.INTL(F605,F605,1,FERIADOS!$A$2:$A$50)=0,0,MAX(0,(MIN(NOW(),INT(NOW())+18/24)-MAX(F605,INT(F605)+8/24)))*24),MAX(0,(INT(F605)+18/24-MAX(F605,INT(F605)+8/24)))*24*NETWORKDAYS.INTL(F605,F605,1,FERIADOS!$A$2:$A$50)+MAX(0,NETWORKDAYS.INTL(F605+1,NOW()-1,1,FERIADOS!$A$2:$A$50))*10+MAX(0,(MIN(NOW(),INT(NOW())+18/24)-(INT(NOW())+8/24)))*24*NETWORKDAYS.INTL(NOW(),NOW(),1,FERIADOS!$A$2:$A$50)))</f>
        <v/>
      </c>
      <c r="P605" s="1" t="str">
        <f t="shared" si="65"/>
        <v/>
      </c>
      <c r="Q605" s="1" t="str">
        <f t="shared" si="66"/>
        <v/>
      </c>
      <c r="R605" s="1" t="str">
        <f t="shared" si="67"/>
        <v/>
      </c>
      <c r="S605" s="1" t="str">
        <f>IF($A605="","",COUNTIF($N$2:N605,$N605))</f>
        <v/>
      </c>
      <c r="T605" s="1" t="str">
        <f t="shared" si="68"/>
        <v/>
      </c>
      <c r="U605" s="1" t="str">
        <f t="shared" si="69"/>
        <v/>
      </c>
      <c r="V605"/>
    </row>
    <row r="606" spans="13:22" x14ac:dyDescent="0.3">
      <c r="M606" s="1" t="str">
        <f t="shared" si="63"/>
        <v/>
      </c>
      <c r="N606" s="1" t="str">
        <f t="shared" si="64"/>
        <v/>
      </c>
      <c r="O606" s="1" t="str">
        <f ca="1">IF(F606="","",IF(INT(F606)=INT(NOW()),IF(NETWORKDAYS.INTL(F606,F606,1,FERIADOS!$A$2:$A$50)=0,0,MAX(0,(MIN(NOW(),INT(NOW())+18/24)-MAX(F606,INT(F606)+8/24)))*24),MAX(0,(INT(F606)+18/24-MAX(F606,INT(F606)+8/24)))*24*NETWORKDAYS.INTL(F606,F606,1,FERIADOS!$A$2:$A$50)+MAX(0,NETWORKDAYS.INTL(F606+1,NOW()-1,1,FERIADOS!$A$2:$A$50))*10+MAX(0,(MIN(NOW(),INT(NOW())+18/24)-(INT(NOW())+8/24)))*24*NETWORKDAYS.INTL(NOW(),NOW(),1,FERIADOS!$A$2:$A$50)))</f>
        <v/>
      </c>
      <c r="P606" s="1" t="str">
        <f t="shared" si="65"/>
        <v/>
      </c>
      <c r="Q606" s="1" t="str">
        <f t="shared" si="66"/>
        <v/>
      </c>
      <c r="R606" s="1" t="str">
        <f t="shared" si="67"/>
        <v/>
      </c>
      <c r="S606" s="1" t="str">
        <f>IF($A606="","",COUNTIF($N$2:N606,$N606))</f>
        <v/>
      </c>
      <c r="T606" s="1" t="str">
        <f t="shared" si="68"/>
        <v/>
      </c>
      <c r="U606" s="1" t="str">
        <f t="shared" si="69"/>
        <v/>
      </c>
      <c r="V606"/>
    </row>
    <row r="607" spans="13:22" x14ac:dyDescent="0.3">
      <c r="M607" s="1" t="str">
        <f t="shared" si="63"/>
        <v/>
      </c>
      <c r="N607" s="1" t="str">
        <f t="shared" si="64"/>
        <v/>
      </c>
      <c r="O607" s="1" t="str">
        <f ca="1">IF(F607="","",IF(INT(F607)=INT(NOW()),IF(NETWORKDAYS.INTL(F607,F607,1,FERIADOS!$A$2:$A$50)=0,0,MAX(0,(MIN(NOW(),INT(NOW())+18/24)-MAX(F607,INT(F607)+8/24)))*24),MAX(0,(INT(F607)+18/24-MAX(F607,INT(F607)+8/24)))*24*NETWORKDAYS.INTL(F607,F607,1,FERIADOS!$A$2:$A$50)+MAX(0,NETWORKDAYS.INTL(F607+1,NOW()-1,1,FERIADOS!$A$2:$A$50))*10+MAX(0,(MIN(NOW(),INT(NOW())+18/24)-(INT(NOW())+8/24)))*24*NETWORKDAYS.INTL(NOW(),NOW(),1,FERIADOS!$A$2:$A$50)))</f>
        <v/>
      </c>
      <c r="P607" s="1" t="str">
        <f t="shared" si="65"/>
        <v/>
      </c>
      <c r="Q607" s="1" t="str">
        <f t="shared" si="66"/>
        <v/>
      </c>
      <c r="R607" s="1" t="str">
        <f t="shared" si="67"/>
        <v/>
      </c>
      <c r="S607" s="1" t="str">
        <f>IF($A607="","",COUNTIF($N$2:N607,$N607))</f>
        <v/>
      </c>
      <c r="T607" s="1" t="str">
        <f t="shared" si="68"/>
        <v/>
      </c>
      <c r="U607" s="1" t="str">
        <f t="shared" si="69"/>
        <v/>
      </c>
      <c r="V607"/>
    </row>
    <row r="608" spans="13:22" x14ac:dyDescent="0.3">
      <c r="M608" s="1" t="str">
        <f t="shared" si="63"/>
        <v/>
      </c>
      <c r="N608" s="1" t="str">
        <f t="shared" si="64"/>
        <v/>
      </c>
      <c r="O608" s="1" t="str">
        <f ca="1">IF(F608="","",IF(INT(F608)=INT(NOW()),IF(NETWORKDAYS.INTL(F608,F608,1,FERIADOS!$A$2:$A$50)=0,0,MAX(0,(MIN(NOW(),INT(NOW())+18/24)-MAX(F608,INT(F608)+8/24)))*24),MAX(0,(INT(F608)+18/24-MAX(F608,INT(F608)+8/24)))*24*NETWORKDAYS.INTL(F608,F608,1,FERIADOS!$A$2:$A$50)+MAX(0,NETWORKDAYS.INTL(F608+1,NOW()-1,1,FERIADOS!$A$2:$A$50))*10+MAX(0,(MIN(NOW(),INT(NOW())+18/24)-(INT(NOW())+8/24)))*24*NETWORKDAYS.INTL(NOW(),NOW(),1,FERIADOS!$A$2:$A$50)))</f>
        <v/>
      </c>
      <c r="P608" s="1" t="str">
        <f t="shared" si="65"/>
        <v/>
      </c>
      <c r="Q608" s="1" t="str">
        <f t="shared" si="66"/>
        <v/>
      </c>
      <c r="R608" s="1" t="str">
        <f t="shared" si="67"/>
        <v/>
      </c>
      <c r="S608" s="1" t="str">
        <f>IF($A608="","",COUNTIF($N$2:N608,$N608))</f>
        <v/>
      </c>
      <c r="T608" s="1" t="str">
        <f t="shared" si="68"/>
        <v/>
      </c>
      <c r="U608" s="1" t="str">
        <f t="shared" si="69"/>
        <v/>
      </c>
      <c r="V608"/>
    </row>
    <row r="609" spans="13:22" x14ac:dyDescent="0.3">
      <c r="M609" s="1" t="str">
        <f t="shared" si="63"/>
        <v/>
      </c>
      <c r="N609" s="1" t="str">
        <f t="shared" si="64"/>
        <v/>
      </c>
      <c r="O609" s="1" t="str">
        <f ca="1">IF(F609="","",IF(INT(F609)=INT(NOW()),IF(NETWORKDAYS.INTL(F609,F609,1,FERIADOS!$A$2:$A$50)=0,0,MAX(0,(MIN(NOW(),INT(NOW())+18/24)-MAX(F609,INT(F609)+8/24)))*24),MAX(0,(INT(F609)+18/24-MAX(F609,INT(F609)+8/24)))*24*NETWORKDAYS.INTL(F609,F609,1,FERIADOS!$A$2:$A$50)+MAX(0,NETWORKDAYS.INTL(F609+1,NOW()-1,1,FERIADOS!$A$2:$A$50))*10+MAX(0,(MIN(NOW(),INT(NOW())+18/24)-(INT(NOW())+8/24)))*24*NETWORKDAYS.INTL(NOW(),NOW(),1,FERIADOS!$A$2:$A$50)))</f>
        <v/>
      </c>
      <c r="P609" s="1" t="str">
        <f t="shared" si="65"/>
        <v/>
      </c>
      <c r="Q609" s="1" t="str">
        <f t="shared" si="66"/>
        <v/>
      </c>
      <c r="R609" s="1" t="str">
        <f t="shared" si="67"/>
        <v/>
      </c>
      <c r="S609" s="1" t="str">
        <f>IF($A609="","",COUNTIF($N$2:N609,$N609))</f>
        <v/>
      </c>
      <c r="T609" s="1" t="str">
        <f t="shared" si="68"/>
        <v/>
      </c>
      <c r="U609" s="1" t="str">
        <f t="shared" si="69"/>
        <v/>
      </c>
      <c r="V609"/>
    </row>
    <row r="610" spans="13:22" x14ac:dyDescent="0.3">
      <c r="M610" s="1" t="str">
        <f t="shared" si="63"/>
        <v/>
      </c>
      <c r="N610" s="1" t="str">
        <f t="shared" si="64"/>
        <v/>
      </c>
      <c r="O610" s="1" t="str">
        <f ca="1">IF(F610="","",IF(INT(F610)=INT(NOW()),IF(NETWORKDAYS.INTL(F610,F610,1,FERIADOS!$A$2:$A$50)=0,0,MAX(0,(MIN(NOW(),INT(NOW())+18/24)-MAX(F610,INT(F610)+8/24)))*24),MAX(0,(INT(F610)+18/24-MAX(F610,INT(F610)+8/24)))*24*NETWORKDAYS.INTL(F610,F610,1,FERIADOS!$A$2:$A$50)+MAX(0,NETWORKDAYS.INTL(F610+1,NOW()-1,1,FERIADOS!$A$2:$A$50))*10+MAX(0,(MIN(NOW(),INT(NOW())+18/24)-(INT(NOW())+8/24)))*24*NETWORKDAYS.INTL(NOW(),NOW(),1,FERIADOS!$A$2:$A$50)))</f>
        <v/>
      </c>
      <c r="P610" s="1" t="str">
        <f t="shared" si="65"/>
        <v/>
      </c>
      <c r="Q610" s="1" t="str">
        <f t="shared" si="66"/>
        <v/>
      </c>
      <c r="R610" s="1" t="str">
        <f t="shared" si="67"/>
        <v/>
      </c>
      <c r="S610" s="1" t="str">
        <f>IF($A610="","",COUNTIF($N$2:N610,$N610))</f>
        <v/>
      </c>
      <c r="T610" s="1" t="str">
        <f t="shared" si="68"/>
        <v/>
      </c>
      <c r="U610" s="1" t="str">
        <f t="shared" si="69"/>
        <v/>
      </c>
      <c r="V610"/>
    </row>
    <row r="611" spans="13:22" x14ac:dyDescent="0.3">
      <c r="M611" s="1" t="str">
        <f t="shared" si="63"/>
        <v/>
      </c>
      <c r="N611" s="1" t="str">
        <f t="shared" si="64"/>
        <v/>
      </c>
      <c r="O611" s="1" t="str">
        <f ca="1">IF(F611="","",IF(INT(F611)=INT(NOW()),IF(NETWORKDAYS.INTL(F611,F611,1,FERIADOS!$A$2:$A$50)=0,0,MAX(0,(MIN(NOW(),INT(NOW())+18/24)-MAX(F611,INT(F611)+8/24)))*24),MAX(0,(INT(F611)+18/24-MAX(F611,INT(F611)+8/24)))*24*NETWORKDAYS.INTL(F611,F611,1,FERIADOS!$A$2:$A$50)+MAX(0,NETWORKDAYS.INTL(F611+1,NOW()-1,1,FERIADOS!$A$2:$A$50))*10+MAX(0,(MIN(NOW(),INT(NOW())+18/24)-(INT(NOW())+8/24)))*24*NETWORKDAYS.INTL(NOW(),NOW(),1,FERIADOS!$A$2:$A$50)))</f>
        <v/>
      </c>
      <c r="P611" s="1" t="str">
        <f t="shared" si="65"/>
        <v/>
      </c>
      <c r="Q611" s="1" t="str">
        <f t="shared" si="66"/>
        <v/>
      </c>
      <c r="R611" s="1" t="str">
        <f t="shared" si="67"/>
        <v/>
      </c>
      <c r="S611" s="1" t="str">
        <f>IF($A611="","",COUNTIF($N$2:N611,$N611))</f>
        <v/>
      </c>
      <c r="T611" s="1" t="str">
        <f t="shared" si="68"/>
        <v/>
      </c>
      <c r="U611" s="1" t="str">
        <f t="shared" si="69"/>
        <v/>
      </c>
      <c r="V611"/>
    </row>
    <row r="612" spans="13:22" x14ac:dyDescent="0.3">
      <c r="M612" s="1" t="str">
        <f t="shared" si="63"/>
        <v/>
      </c>
      <c r="N612" s="1" t="str">
        <f t="shared" si="64"/>
        <v/>
      </c>
      <c r="O612" s="1" t="str">
        <f ca="1">IF(F612="","",IF(INT(F612)=INT(NOW()),IF(NETWORKDAYS.INTL(F612,F612,1,FERIADOS!$A$2:$A$50)=0,0,MAX(0,(MIN(NOW(),INT(NOW())+18/24)-MAX(F612,INT(F612)+8/24)))*24),MAX(0,(INT(F612)+18/24-MAX(F612,INT(F612)+8/24)))*24*NETWORKDAYS.INTL(F612,F612,1,FERIADOS!$A$2:$A$50)+MAX(0,NETWORKDAYS.INTL(F612+1,NOW()-1,1,FERIADOS!$A$2:$A$50))*10+MAX(0,(MIN(NOW(),INT(NOW())+18/24)-(INT(NOW())+8/24)))*24*NETWORKDAYS.INTL(NOW(),NOW(),1,FERIADOS!$A$2:$A$50)))</f>
        <v/>
      </c>
      <c r="P612" s="1" t="str">
        <f t="shared" si="65"/>
        <v/>
      </c>
      <c r="Q612" s="1" t="str">
        <f t="shared" si="66"/>
        <v/>
      </c>
      <c r="R612" s="1" t="str">
        <f t="shared" si="67"/>
        <v/>
      </c>
      <c r="S612" s="1" t="str">
        <f>IF($A612="","",COUNTIF($N$2:N612,$N612))</f>
        <v/>
      </c>
      <c r="T612" s="1" t="str">
        <f t="shared" si="68"/>
        <v/>
      </c>
      <c r="U612" s="1" t="str">
        <f t="shared" si="69"/>
        <v/>
      </c>
      <c r="V612"/>
    </row>
    <row r="613" spans="13:22" x14ac:dyDescent="0.3">
      <c r="M613" s="1" t="str">
        <f t="shared" si="63"/>
        <v/>
      </c>
      <c r="N613" s="1" t="str">
        <f t="shared" si="64"/>
        <v/>
      </c>
      <c r="O613" s="1" t="str">
        <f ca="1">IF(F613="","",IF(INT(F613)=INT(NOW()),IF(NETWORKDAYS.INTL(F613,F613,1,FERIADOS!$A$2:$A$50)=0,0,MAX(0,(MIN(NOW(),INT(NOW())+18/24)-MAX(F613,INT(F613)+8/24)))*24),MAX(0,(INT(F613)+18/24-MAX(F613,INT(F613)+8/24)))*24*NETWORKDAYS.INTL(F613,F613,1,FERIADOS!$A$2:$A$50)+MAX(0,NETWORKDAYS.INTL(F613+1,NOW()-1,1,FERIADOS!$A$2:$A$50))*10+MAX(0,(MIN(NOW(),INT(NOW())+18/24)-(INT(NOW())+8/24)))*24*NETWORKDAYS.INTL(NOW(),NOW(),1,FERIADOS!$A$2:$A$50)))</f>
        <v/>
      </c>
      <c r="P613" s="1" t="str">
        <f t="shared" si="65"/>
        <v/>
      </c>
      <c r="Q613" s="1" t="str">
        <f t="shared" si="66"/>
        <v/>
      </c>
      <c r="R613" s="1" t="str">
        <f t="shared" si="67"/>
        <v/>
      </c>
      <c r="S613" s="1" t="str">
        <f>IF($A613="","",COUNTIF($N$2:N613,$N613))</f>
        <v/>
      </c>
      <c r="T613" s="1" t="str">
        <f t="shared" si="68"/>
        <v/>
      </c>
      <c r="U613" s="1" t="str">
        <f t="shared" si="69"/>
        <v/>
      </c>
      <c r="V613"/>
    </row>
    <row r="614" spans="13:22" x14ac:dyDescent="0.3">
      <c r="M614" s="1" t="str">
        <f t="shared" si="63"/>
        <v/>
      </c>
      <c r="N614" s="1" t="str">
        <f t="shared" si="64"/>
        <v/>
      </c>
      <c r="O614" s="1" t="str">
        <f ca="1">IF(F614="","",IF(INT(F614)=INT(NOW()),IF(NETWORKDAYS.INTL(F614,F614,1,FERIADOS!$A$2:$A$50)=0,0,MAX(0,(MIN(NOW(),INT(NOW())+18/24)-MAX(F614,INT(F614)+8/24)))*24),MAX(0,(INT(F614)+18/24-MAX(F614,INT(F614)+8/24)))*24*NETWORKDAYS.INTL(F614,F614,1,FERIADOS!$A$2:$A$50)+MAX(0,NETWORKDAYS.INTL(F614+1,NOW()-1,1,FERIADOS!$A$2:$A$50))*10+MAX(0,(MIN(NOW(),INT(NOW())+18/24)-(INT(NOW())+8/24)))*24*NETWORKDAYS.INTL(NOW(),NOW(),1,FERIADOS!$A$2:$A$50)))</f>
        <v/>
      </c>
      <c r="P614" s="1" t="str">
        <f t="shared" si="65"/>
        <v/>
      </c>
      <c r="Q614" s="1" t="str">
        <f t="shared" si="66"/>
        <v/>
      </c>
      <c r="R614" s="1" t="str">
        <f t="shared" si="67"/>
        <v/>
      </c>
      <c r="S614" s="1" t="str">
        <f>IF($A614="","",COUNTIF($N$2:N614,$N614))</f>
        <v/>
      </c>
      <c r="T614" s="1" t="str">
        <f t="shared" si="68"/>
        <v/>
      </c>
      <c r="U614" s="1" t="str">
        <f t="shared" si="69"/>
        <v/>
      </c>
      <c r="V614"/>
    </row>
    <row r="615" spans="13:22" x14ac:dyDescent="0.3">
      <c r="M615" s="1" t="str">
        <f t="shared" si="63"/>
        <v/>
      </c>
      <c r="N615" s="1" t="str">
        <f t="shared" si="64"/>
        <v/>
      </c>
      <c r="O615" s="1" t="str">
        <f ca="1">IF(F615="","",IF(INT(F615)=INT(NOW()),IF(NETWORKDAYS.INTL(F615,F615,1,FERIADOS!$A$2:$A$50)=0,0,MAX(0,(MIN(NOW(),INT(NOW())+18/24)-MAX(F615,INT(F615)+8/24)))*24),MAX(0,(INT(F615)+18/24-MAX(F615,INT(F615)+8/24)))*24*NETWORKDAYS.INTL(F615,F615,1,FERIADOS!$A$2:$A$50)+MAX(0,NETWORKDAYS.INTL(F615+1,NOW()-1,1,FERIADOS!$A$2:$A$50))*10+MAX(0,(MIN(NOW(),INT(NOW())+18/24)-(INT(NOW())+8/24)))*24*NETWORKDAYS.INTL(NOW(),NOW(),1,FERIADOS!$A$2:$A$50)))</f>
        <v/>
      </c>
      <c r="P615" s="1" t="str">
        <f t="shared" si="65"/>
        <v/>
      </c>
      <c r="Q615" s="1" t="str">
        <f t="shared" si="66"/>
        <v/>
      </c>
      <c r="R615" s="1" t="str">
        <f t="shared" si="67"/>
        <v/>
      </c>
      <c r="S615" s="1" t="str">
        <f>IF($A615="","",COUNTIF($N$2:N615,$N615))</f>
        <v/>
      </c>
      <c r="T615" s="1" t="str">
        <f t="shared" si="68"/>
        <v/>
      </c>
      <c r="U615" s="1" t="str">
        <f t="shared" si="69"/>
        <v/>
      </c>
      <c r="V615"/>
    </row>
    <row r="616" spans="13:22" x14ac:dyDescent="0.3">
      <c r="M616" s="1" t="str">
        <f t="shared" si="63"/>
        <v/>
      </c>
      <c r="N616" s="1" t="str">
        <f t="shared" si="64"/>
        <v/>
      </c>
      <c r="O616" s="1" t="str">
        <f ca="1">IF(F616="","",IF(INT(F616)=INT(NOW()),IF(NETWORKDAYS.INTL(F616,F616,1,FERIADOS!$A$2:$A$50)=0,0,MAX(0,(MIN(NOW(),INT(NOW())+18/24)-MAX(F616,INT(F616)+8/24)))*24),MAX(0,(INT(F616)+18/24-MAX(F616,INT(F616)+8/24)))*24*NETWORKDAYS.INTL(F616,F616,1,FERIADOS!$A$2:$A$50)+MAX(0,NETWORKDAYS.INTL(F616+1,NOW()-1,1,FERIADOS!$A$2:$A$50))*10+MAX(0,(MIN(NOW(),INT(NOW())+18/24)-(INT(NOW())+8/24)))*24*NETWORKDAYS.INTL(NOW(),NOW(),1,FERIADOS!$A$2:$A$50)))</f>
        <v/>
      </c>
      <c r="P616" s="1" t="str">
        <f t="shared" si="65"/>
        <v/>
      </c>
      <c r="Q616" s="1" t="str">
        <f t="shared" si="66"/>
        <v/>
      </c>
      <c r="R616" s="1" t="str">
        <f t="shared" si="67"/>
        <v/>
      </c>
      <c r="S616" s="1" t="str">
        <f>IF($A616="","",COUNTIF($N$2:N616,$N616))</f>
        <v/>
      </c>
      <c r="T616" s="1" t="str">
        <f t="shared" si="68"/>
        <v/>
      </c>
      <c r="U616" s="1" t="str">
        <f t="shared" si="69"/>
        <v/>
      </c>
      <c r="V616"/>
    </row>
    <row r="617" spans="13:22" x14ac:dyDescent="0.3">
      <c r="M617" s="1" t="str">
        <f t="shared" si="63"/>
        <v/>
      </c>
      <c r="N617" s="1" t="str">
        <f t="shared" si="64"/>
        <v/>
      </c>
      <c r="O617" s="1" t="str">
        <f ca="1">IF(F617="","",IF(INT(F617)=INT(NOW()),IF(NETWORKDAYS.INTL(F617,F617,1,FERIADOS!$A$2:$A$50)=0,0,MAX(0,(MIN(NOW(),INT(NOW())+18/24)-MAX(F617,INT(F617)+8/24)))*24),MAX(0,(INT(F617)+18/24-MAX(F617,INT(F617)+8/24)))*24*NETWORKDAYS.INTL(F617,F617,1,FERIADOS!$A$2:$A$50)+MAX(0,NETWORKDAYS.INTL(F617+1,NOW()-1,1,FERIADOS!$A$2:$A$50))*10+MAX(0,(MIN(NOW(),INT(NOW())+18/24)-(INT(NOW())+8/24)))*24*NETWORKDAYS.INTL(NOW(),NOW(),1,FERIADOS!$A$2:$A$50)))</f>
        <v/>
      </c>
      <c r="P617" s="1" t="str">
        <f t="shared" si="65"/>
        <v/>
      </c>
      <c r="Q617" s="1" t="str">
        <f t="shared" si="66"/>
        <v/>
      </c>
      <c r="R617" s="1" t="str">
        <f t="shared" si="67"/>
        <v/>
      </c>
      <c r="S617" s="1" t="str">
        <f>IF($A617="","",COUNTIF($N$2:N617,$N617))</f>
        <v/>
      </c>
      <c r="T617" s="1" t="str">
        <f t="shared" si="68"/>
        <v/>
      </c>
      <c r="U617" s="1" t="str">
        <f t="shared" si="69"/>
        <v/>
      </c>
      <c r="V617"/>
    </row>
    <row r="618" spans="13:22" x14ac:dyDescent="0.3">
      <c r="M618" s="1" t="str">
        <f t="shared" si="63"/>
        <v/>
      </c>
      <c r="N618" s="1" t="str">
        <f t="shared" si="64"/>
        <v/>
      </c>
      <c r="O618" s="1" t="str">
        <f ca="1">IF(F618="","",IF(INT(F618)=INT(NOW()),IF(NETWORKDAYS.INTL(F618,F618,1,FERIADOS!$A$2:$A$50)=0,0,MAX(0,(MIN(NOW(),INT(NOW())+18/24)-MAX(F618,INT(F618)+8/24)))*24),MAX(0,(INT(F618)+18/24-MAX(F618,INT(F618)+8/24)))*24*NETWORKDAYS.INTL(F618,F618,1,FERIADOS!$A$2:$A$50)+MAX(0,NETWORKDAYS.INTL(F618+1,NOW()-1,1,FERIADOS!$A$2:$A$50))*10+MAX(0,(MIN(NOW(),INT(NOW())+18/24)-(INT(NOW())+8/24)))*24*NETWORKDAYS.INTL(NOW(),NOW(),1,FERIADOS!$A$2:$A$50)))</f>
        <v/>
      </c>
      <c r="P618" s="1" t="str">
        <f t="shared" si="65"/>
        <v/>
      </c>
      <c r="Q618" s="1" t="str">
        <f t="shared" si="66"/>
        <v/>
      </c>
      <c r="R618" s="1" t="str">
        <f t="shared" si="67"/>
        <v/>
      </c>
      <c r="S618" s="1" t="str">
        <f>IF($A618="","",COUNTIF($N$2:N618,$N618))</f>
        <v/>
      </c>
      <c r="T618" s="1" t="str">
        <f t="shared" si="68"/>
        <v/>
      </c>
      <c r="U618" s="1" t="str">
        <f t="shared" si="69"/>
        <v/>
      </c>
      <c r="V618"/>
    </row>
    <row r="619" spans="13:22" x14ac:dyDescent="0.3">
      <c r="M619" s="1" t="str">
        <f t="shared" si="63"/>
        <v/>
      </c>
      <c r="N619" s="1" t="str">
        <f t="shared" si="64"/>
        <v/>
      </c>
      <c r="O619" s="1" t="str">
        <f ca="1">IF(F619="","",IF(INT(F619)=INT(NOW()),IF(NETWORKDAYS.INTL(F619,F619,1,FERIADOS!$A$2:$A$50)=0,0,MAX(0,(MIN(NOW(),INT(NOW())+18/24)-MAX(F619,INT(F619)+8/24)))*24),MAX(0,(INT(F619)+18/24-MAX(F619,INT(F619)+8/24)))*24*NETWORKDAYS.INTL(F619,F619,1,FERIADOS!$A$2:$A$50)+MAX(0,NETWORKDAYS.INTL(F619+1,NOW()-1,1,FERIADOS!$A$2:$A$50))*10+MAX(0,(MIN(NOW(),INT(NOW())+18/24)-(INT(NOW())+8/24)))*24*NETWORKDAYS.INTL(NOW(),NOW(),1,FERIADOS!$A$2:$A$50)))</f>
        <v/>
      </c>
      <c r="P619" s="1" t="str">
        <f t="shared" si="65"/>
        <v/>
      </c>
      <c r="Q619" s="1" t="str">
        <f t="shared" si="66"/>
        <v/>
      </c>
      <c r="R619" s="1" t="str">
        <f t="shared" si="67"/>
        <v/>
      </c>
      <c r="S619" s="1" t="str">
        <f>IF($A619="","",COUNTIF($N$2:N619,$N619))</f>
        <v/>
      </c>
      <c r="T619" s="1" t="str">
        <f t="shared" si="68"/>
        <v/>
      </c>
      <c r="U619" s="1" t="str">
        <f t="shared" si="69"/>
        <v/>
      </c>
      <c r="V619"/>
    </row>
    <row r="620" spans="13:22" x14ac:dyDescent="0.3">
      <c r="M620" s="1" t="str">
        <f t="shared" si="63"/>
        <v/>
      </c>
      <c r="N620" s="1" t="str">
        <f t="shared" si="64"/>
        <v/>
      </c>
      <c r="O620" s="1" t="str">
        <f ca="1">IF(F620="","",IF(INT(F620)=INT(NOW()),IF(NETWORKDAYS.INTL(F620,F620,1,FERIADOS!$A$2:$A$50)=0,0,MAX(0,(MIN(NOW(),INT(NOW())+18/24)-MAX(F620,INT(F620)+8/24)))*24),MAX(0,(INT(F620)+18/24-MAX(F620,INT(F620)+8/24)))*24*NETWORKDAYS.INTL(F620,F620,1,FERIADOS!$A$2:$A$50)+MAX(0,NETWORKDAYS.INTL(F620+1,NOW()-1,1,FERIADOS!$A$2:$A$50))*10+MAX(0,(MIN(NOW(),INT(NOW())+18/24)-(INT(NOW())+8/24)))*24*NETWORKDAYS.INTL(NOW(),NOW(),1,FERIADOS!$A$2:$A$50)))</f>
        <v/>
      </c>
      <c r="P620" s="1" t="str">
        <f t="shared" si="65"/>
        <v/>
      </c>
      <c r="Q620" s="1" t="str">
        <f t="shared" si="66"/>
        <v/>
      </c>
      <c r="R620" s="1" t="str">
        <f t="shared" si="67"/>
        <v/>
      </c>
      <c r="S620" s="1" t="str">
        <f>IF($A620="","",COUNTIF($N$2:N620,$N620))</f>
        <v/>
      </c>
      <c r="T620" s="1" t="str">
        <f t="shared" si="68"/>
        <v/>
      </c>
      <c r="U620" s="1" t="str">
        <f t="shared" si="69"/>
        <v/>
      </c>
      <c r="V620"/>
    </row>
    <row r="621" spans="13:22" x14ac:dyDescent="0.3">
      <c r="M621" s="1" t="str">
        <f t="shared" si="63"/>
        <v/>
      </c>
      <c r="N621" s="1" t="str">
        <f t="shared" si="64"/>
        <v/>
      </c>
      <c r="O621" s="1" t="str">
        <f ca="1">IF(F621="","",IF(INT(F621)=INT(NOW()),IF(NETWORKDAYS.INTL(F621,F621,1,FERIADOS!$A$2:$A$50)=0,0,MAX(0,(MIN(NOW(),INT(NOW())+18/24)-MAX(F621,INT(F621)+8/24)))*24),MAX(0,(INT(F621)+18/24-MAX(F621,INT(F621)+8/24)))*24*NETWORKDAYS.INTL(F621,F621,1,FERIADOS!$A$2:$A$50)+MAX(0,NETWORKDAYS.INTL(F621+1,NOW()-1,1,FERIADOS!$A$2:$A$50))*10+MAX(0,(MIN(NOW(),INT(NOW())+18/24)-(INT(NOW())+8/24)))*24*NETWORKDAYS.INTL(NOW(),NOW(),1,FERIADOS!$A$2:$A$50)))</f>
        <v/>
      </c>
      <c r="P621" s="1" t="str">
        <f t="shared" si="65"/>
        <v/>
      </c>
      <c r="Q621" s="1" t="str">
        <f t="shared" si="66"/>
        <v/>
      </c>
      <c r="R621" s="1" t="str">
        <f t="shared" si="67"/>
        <v/>
      </c>
      <c r="S621" s="1" t="str">
        <f>IF($A621="","",COUNTIF($N$2:N621,$N621))</f>
        <v/>
      </c>
      <c r="T621" s="1" t="str">
        <f t="shared" si="68"/>
        <v/>
      </c>
      <c r="U621" s="1" t="str">
        <f t="shared" si="69"/>
        <v/>
      </c>
      <c r="V621"/>
    </row>
    <row r="622" spans="13:22" x14ac:dyDescent="0.3">
      <c r="M622" s="1" t="str">
        <f t="shared" si="63"/>
        <v/>
      </c>
      <c r="N622" s="1" t="str">
        <f t="shared" si="64"/>
        <v/>
      </c>
      <c r="O622" s="1" t="str">
        <f ca="1">IF(F622="","",IF(INT(F622)=INT(NOW()),IF(NETWORKDAYS.INTL(F622,F622,1,FERIADOS!$A$2:$A$50)=0,0,MAX(0,(MIN(NOW(),INT(NOW())+18/24)-MAX(F622,INT(F622)+8/24)))*24),MAX(0,(INT(F622)+18/24-MAX(F622,INT(F622)+8/24)))*24*NETWORKDAYS.INTL(F622,F622,1,FERIADOS!$A$2:$A$50)+MAX(0,NETWORKDAYS.INTL(F622+1,NOW()-1,1,FERIADOS!$A$2:$A$50))*10+MAX(0,(MIN(NOW(),INT(NOW())+18/24)-(INT(NOW())+8/24)))*24*NETWORKDAYS.INTL(NOW(),NOW(),1,FERIADOS!$A$2:$A$50)))</f>
        <v/>
      </c>
      <c r="P622" s="1" t="str">
        <f t="shared" si="65"/>
        <v/>
      </c>
      <c r="Q622" s="1" t="str">
        <f t="shared" si="66"/>
        <v/>
      </c>
      <c r="R622" s="1" t="str">
        <f t="shared" si="67"/>
        <v/>
      </c>
      <c r="S622" s="1" t="str">
        <f>IF($A622="","",COUNTIF($N$2:N622,$N622))</f>
        <v/>
      </c>
      <c r="T622" s="1" t="str">
        <f t="shared" si="68"/>
        <v/>
      </c>
      <c r="U622" s="1" t="str">
        <f t="shared" si="69"/>
        <v/>
      </c>
      <c r="V622"/>
    </row>
    <row r="623" spans="13:22" x14ac:dyDescent="0.3">
      <c r="M623" s="1" t="str">
        <f t="shared" si="63"/>
        <v/>
      </c>
      <c r="N623" s="1" t="str">
        <f t="shared" si="64"/>
        <v/>
      </c>
      <c r="O623" s="1" t="str">
        <f ca="1">IF(F623="","",IF(INT(F623)=INT(NOW()),IF(NETWORKDAYS.INTL(F623,F623,1,FERIADOS!$A$2:$A$50)=0,0,MAX(0,(MIN(NOW(),INT(NOW())+18/24)-MAX(F623,INT(F623)+8/24)))*24),MAX(0,(INT(F623)+18/24-MAX(F623,INT(F623)+8/24)))*24*NETWORKDAYS.INTL(F623,F623,1,FERIADOS!$A$2:$A$50)+MAX(0,NETWORKDAYS.INTL(F623+1,NOW()-1,1,FERIADOS!$A$2:$A$50))*10+MAX(0,(MIN(NOW(),INT(NOW())+18/24)-(INT(NOW())+8/24)))*24*NETWORKDAYS.INTL(NOW(),NOW(),1,FERIADOS!$A$2:$A$50)))</f>
        <v/>
      </c>
      <c r="P623" s="1" t="str">
        <f t="shared" si="65"/>
        <v/>
      </c>
      <c r="Q623" s="1" t="str">
        <f t="shared" si="66"/>
        <v/>
      </c>
      <c r="R623" s="1" t="str">
        <f t="shared" si="67"/>
        <v/>
      </c>
      <c r="S623" s="1" t="str">
        <f>IF($A623="","",COUNTIF($N$2:N623,$N623))</f>
        <v/>
      </c>
      <c r="T623" s="1" t="str">
        <f t="shared" si="68"/>
        <v/>
      </c>
      <c r="U623" s="1" t="str">
        <f t="shared" si="69"/>
        <v/>
      </c>
      <c r="V623"/>
    </row>
    <row r="624" spans="13:22" x14ac:dyDescent="0.3">
      <c r="M624" s="1" t="str">
        <f t="shared" si="63"/>
        <v/>
      </c>
      <c r="N624" s="1" t="str">
        <f t="shared" si="64"/>
        <v/>
      </c>
      <c r="O624" s="1" t="str">
        <f ca="1">IF(F624="","",IF(INT(F624)=INT(NOW()),IF(NETWORKDAYS.INTL(F624,F624,1,FERIADOS!$A$2:$A$50)=0,0,MAX(0,(MIN(NOW(),INT(NOW())+18/24)-MAX(F624,INT(F624)+8/24)))*24),MAX(0,(INT(F624)+18/24-MAX(F624,INT(F624)+8/24)))*24*NETWORKDAYS.INTL(F624,F624,1,FERIADOS!$A$2:$A$50)+MAX(0,NETWORKDAYS.INTL(F624+1,NOW()-1,1,FERIADOS!$A$2:$A$50))*10+MAX(0,(MIN(NOW(),INT(NOW())+18/24)-(INT(NOW())+8/24)))*24*NETWORKDAYS.INTL(NOW(),NOW(),1,FERIADOS!$A$2:$A$50)))</f>
        <v/>
      </c>
      <c r="P624" s="1" t="str">
        <f t="shared" si="65"/>
        <v/>
      </c>
      <c r="Q624" s="1" t="str">
        <f t="shared" si="66"/>
        <v/>
      </c>
      <c r="R624" s="1" t="str">
        <f t="shared" si="67"/>
        <v/>
      </c>
      <c r="S624" s="1" t="str">
        <f>IF($A624="","",COUNTIF($N$2:N624,$N624))</f>
        <v/>
      </c>
      <c r="T624" s="1" t="str">
        <f t="shared" si="68"/>
        <v/>
      </c>
      <c r="U624" s="1" t="str">
        <f t="shared" si="69"/>
        <v/>
      </c>
      <c r="V624"/>
    </row>
    <row r="625" spans="13:22" x14ac:dyDescent="0.3">
      <c r="M625" s="1" t="str">
        <f t="shared" si="63"/>
        <v/>
      </c>
      <c r="N625" s="1" t="str">
        <f t="shared" si="64"/>
        <v/>
      </c>
      <c r="O625" s="1" t="str">
        <f ca="1">IF(F625="","",IF(INT(F625)=INT(NOW()),IF(NETWORKDAYS.INTL(F625,F625,1,FERIADOS!$A$2:$A$50)=0,0,MAX(0,(MIN(NOW(),INT(NOW())+18/24)-MAX(F625,INT(F625)+8/24)))*24),MAX(0,(INT(F625)+18/24-MAX(F625,INT(F625)+8/24)))*24*NETWORKDAYS.INTL(F625,F625,1,FERIADOS!$A$2:$A$50)+MAX(0,NETWORKDAYS.INTL(F625+1,NOW()-1,1,FERIADOS!$A$2:$A$50))*10+MAX(0,(MIN(NOW(),INT(NOW())+18/24)-(INT(NOW())+8/24)))*24*NETWORKDAYS.INTL(NOW(),NOW(),1,FERIADOS!$A$2:$A$50)))</f>
        <v/>
      </c>
      <c r="P625" s="1" t="str">
        <f t="shared" si="65"/>
        <v/>
      </c>
      <c r="Q625" s="1" t="str">
        <f t="shared" si="66"/>
        <v/>
      </c>
      <c r="R625" s="1" t="str">
        <f t="shared" si="67"/>
        <v/>
      </c>
      <c r="S625" s="1" t="str">
        <f>IF($A625="","",COUNTIF($N$2:N625,$N625))</f>
        <v/>
      </c>
      <c r="T625" s="1" t="str">
        <f t="shared" si="68"/>
        <v/>
      </c>
      <c r="U625" s="1" t="str">
        <f t="shared" si="69"/>
        <v/>
      </c>
      <c r="V625"/>
    </row>
    <row r="626" spans="13:22" x14ac:dyDescent="0.3">
      <c r="M626" s="1" t="str">
        <f t="shared" si="63"/>
        <v/>
      </c>
      <c r="N626" s="1" t="str">
        <f t="shared" si="64"/>
        <v/>
      </c>
      <c r="O626" s="1" t="str">
        <f ca="1">IF(F626="","",IF(INT(F626)=INT(NOW()),IF(NETWORKDAYS.INTL(F626,F626,1,FERIADOS!$A$2:$A$50)=0,0,MAX(0,(MIN(NOW(),INT(NOW())+18/24)-MAX(F626,INT(F626)+8/24)))*24),MAX(0,(INT(F626)+18/24-MAX(F626,INT(F626)+8/24)))*24*NETWORKDAYS.INTL(F626,F626,1,FERIADOS!$A$2:$A$50)+MAX(0,NETWORKDAYS.INTL(F626+1,NOW()-1,1,FERIADOS!$A$2:$A$50))*10+MAX(0,(MIN(NOW(),INT(NOW())+18/24)-(INT(NOW())+8/24)))*24*NETWORKDAYS.INTL(NOW(),NOW(),1,FERIADOS!$A$2:$A$50)))</f>
        <v/>
      </c>
      <c r="P626" s="1" t="str">
        <f t="shared" si="65"/>
        <v/>
      </c>
      <c r="Q626" s="1" t="str">
        <f t="shared" si="66"/>
        <v/>
      </c>
      <c r="R626" s="1" t="str">
        <f t="shared" si="67"/>
        <v/>
      </c>
      <c r="S626" s="1" t="str">
        <f>IF($A626="","",COUNTIF($N$2:N626,$N626))</f>
        <v/>
      </c>
      <c r="T626" s="1" t="str">
        <f t="shared" si="68"/>
        <v/>
      </c>
      <c r="U626" s="1" t="str">
        <f t="shared" si="69"/>
        <v/>
      </c>
      <c r="V626"/>
    </row>
    <row r="627" spans="13:22" x14ac:dyDescent="0.3">
      <c r="M627" s="1" t="str">
        <f t="shared" si="63"/>
        <v/>
      </c>
      <c r="N627" s="1" t="str">
        <f t="shared" si="64"/>
        <v/>
      </c>
      <c r="O627" s="1" t="str">
        <f ca="1">IF(F627="","",IF(INT(F627)=INT(NOW()),IF(NETWORKDAYS.INTL(F627,F627,1,FERIADOS!$A$2:$A$50)=0,0,MAX(0,(MIN(NOW(),INT(NOW())+18/24)-MAX(F627,INT(F627)+8/24)))*24),MAX(0,(INT(F627)+18/24-MAX(F627,INT(F627)+8/24)))*24*NETWORKDAYS.INTL(F627,F627,1,FERIADOS!$A$2:$A$50)+MAX(0,NETWORKDAYS.INTL(F627+1,NOW()-1,1,FERIADOS!$A$2:$A$50))*10+MAX(0,(MIN(NOW(),INT(NOW())+18/24)-(INT(NOW())+8/24)))*24*NETWORKDAYS.INTL(NOW(),NOW(),1,FERIADOS!$A$2:$A$50)))</f>
        <v/>
      </c>
      <c r="P627" s="1" t="str">
        <f t="shared" si="65"/>
        <v/>
      </c>
      <c r="Q627" s="1" t="str">
        <f t="shared" si="66"/>
        <v/>
      </c>
      <c r="R627" s="1" t="str">
        <f t="shared" si="67"/>
        <v/>
      </c>
      <c r="S627" s="1" t="str">
        <f>IF($A627="","",COUNTIF($N$2:N627,$N627))</f>
        <v/>
      </c>
      <c r="T627" s="1" t="str">
        <f t="shared" si="68"/>
        <v/>
      </c>
      <c r="U627" s="1" t="str">
        <f t="shared" si="69"/>
        <v/>
      </c>
      <c r="V627"/>
    </row>
    <row r="628" spans="13:22" x14ac:dyDescent="0.3">
      <c r="M628" s="1" t="str">
        <f t="shared" si="63"/>
        <v/>
      </c>
      <c r="N628" s="1" t="str">
        <f t="shared" si="64"/>
        <v/>
      </c>
      <c r="O628" s="1" t="str">
        <f ca="1">IF(F628="","",IF(INT(F628)=INT(NOW()),IF(NETWORKDAYS.INTL(F628,F628,1,FERIADOS!$A$2:$A$50)=0,0,MAX(0,(MIN(NOW(),INT(NOW())+18/24)-MAX(F628,INT(F628)+8/24)))*24),MAX(0,(INT(F628)+18/24-MAX(F628,INT(F628)+8/24)))*24*NETWORKDAYS.INTL(F628,F628,1,FERIADOS!$A$2:$A$50)+MAX(0,NETWORKDAYS.INTL(F628+1,NOW()-1,1,FERIADOS!$A$2:$A$50))*10+MAX(0,(MIN(NOW(),INT(NOW())+18/24)-(INT(NOW())+8/24)))*24*NETWORKDAYS.INTL(NOW(),NOW(),1,FERIADOS!$A$2:$A$50)))</f>
        <v/>
      </c>
      <c r="P628" s="1" t="str">
        <f t="shared" si="65"/>
        <v/>
      </c>
      <c r="Q628" s="1" t="str">
        <f t="shared" si="66"/>
        <v/>
      </c>
      <c r="R628" s="1" t="str">
        <f t="shared" si="67"/>
        <v/>
      </c>
      <c r="S628" s="1" t="str">
        <f>IF($A628="","",COUNTIF($N$2:N628,$N628))</f>
        <v/>
      </c>
      <c r="T628" s="1" t="str">
        <f t="shared" si="68"/>
        <v/>
      </c>
      <c r="U628" s="1" t="str">
        <f t="shared" si="69"/>
        <v/>
      </c>
      <c r="V628"/>
    </row>
    <row r="629" spans="13:22" x14ac:dyDescent="0.3">
      <c r="M629" s="1" t="str">
        <f t="shared" si="63"/>
        <v/>
      </c>
      <c r="N629" s="1" t="str">
        <f t="shared" si="64"/>
        <v/>
      </c>
      <c r="O629" s="1" t="str">
        <f ca="1">IF(F629="","",IF(INT(F629)=INT(NOW()),IF(NETWORKDAYS.INTL(F629,F629,1,FERIADOS!$A$2:$A$50)=0,0,MAX(0,(MIN(NOW(),INT(NOW())+18/24)-MAX(F629,INT(F629)+8/24)))*24),MAX(0,(INT(F629)+18/24-MAX(F629,INT(F629)+8/24)))*24*NETWORKDAYS.INTL(F629,F629,1,FERIADOS!$A$2:$A$50)+MAX(0,NETWORKDAYS.INTL(F629+1,NOW()-1,1,FERIADOS!$A$2:$A$50))*10+MAX(0,(MIN(NOW(),INT(NOW())+18/24)-(INT(NOW())+8/24)))*24*NETWORKDAYS.INTL(NOW(),NOW(),1,FERIADOS!$A$2:$A$50)))</f>
        <v/>
      </c>
      <c r="P629" s="1" t="str">
        <f t="shared" si="65"/>
        <v/>
      </c>
      <c r="Q629" s="1" t="str">
        <f t="shared" si="66"/>
        <v/>
      </c>
      <c r="R629" s="1" t="str">
        <f t="shared" si="67"/>
        <v/>
      </c>
      <c r="S629" s="1" t="str">
        <f>IF($A629="","",COUNTIF($N$2:N629,$N629))</f>
        <v/>
      </c>
      <c r="T629" s="1" t="str">
        <f t="shared" si="68"/>
        <v/>
      </c>
      <c r="U629" s="1" t="str">
        <f t="shared" si="69"/>
        <v/>
      </c>
      <c r="V629"/>
    </row>
    <row r="630" spans="13:22" x14ac:dyDescent="0.3">
      <c r="M630" s="1" t="str">
        <f t="shared" si="63"/>
        <v/>
      </c>
      <c r="N630" s="1" t="str">
        <f t="shared" si="64"/>
        <v/>
      </c>
      <c r="O630" s="1" t="str">
        <f ca="1">IF(F630="","",IF(INT(F630)=INT(NOW()),IF(NETWORKDAYS.INTL(F630,F630,1,FERIADOS!$A$2:$A$50)=0,0,MAX(0,(MIN(NOW(),INT(NOW())+18/24)-MAX(F630,INT(F630)+8/24)))*24),MAX(0,(INT(F630)+18/24-MAX(F630,INT(F630)+8/24)))*24*NETWORKDAYS.INTL(F630,F630,1,FERIADOS!$A$2:$A$50)+MAX(0,NETWORKDAYS.INTL(F630+1,NOW()-1,1,FERIADOS!$A$2:$A$50))*10+MAX(0,(MIN(NOW(),INT(NOW())+18/24)-(INT(NOW())+8/24)))*24*NETWORKDAYS.INTL(NOW(),NOW(),1,FERIADOS!$A$2:$A$50)))</f>
        <v/>
      </c>
      <c r="P630" s="1" t="str">
        <f t="shared" si="65"/>
        <v/>
      </c>
      <c r="Q630" s="1" t="str">
        <f t="shared" si="66"/>
        <v/>
      </c>
      <c r="R630" s="1" t="str">
        <f t="shared" si="67"/>
        <v/>
      </c>
      <c r="S630" s="1" t="str">
        <f>IF($A630="","",COUNTIF($N$2:N630,$N630))</f>
        <v/>
      </c>
      <c r="T630" s="1" t="str">
        <f t="shared" si="68"/>
        <v/>
      </c>
      <c r="U630" s="1" t="str">
        <f t="shared" si="69"/>
        <v/>
      </c>
      <c r="V630"/>
    </row>
    <row r="631" spans="13:22" x14ac:dyDescent="0.3">
      <c r="M631" s="1" t="str">
        <f t="shared" si="63"/>
        <v/>
      </c>
      <c r="N631" s="1" t="str">
        <f t="shared" si="64"/>
        <v/>
      </c>
      <c r="O631" s="1" t="str">
        <f ca="1">IF(F631="","",IF(INT(F631)=INT(NOW()),IF(NETWORKDAYS.INTL(F631,F631,1,FERIADOS!$A$2:$A$50)=0,0,MAX(0,(MIN(NOW(),INT(NOW())+18/24)-MAX(F631,INT(F631)+8/24)))*24),MAX(0,(INT(F631)+18/24-MAX(F631,INT(F631)+8/24)))*24*NETWORKDAYS.INTL(F631,F631,1,FERIADOS!$A$2:$A$50)+MAX(0,NETWORKDAYS.INTL(F631+1,NOW()-1,1,FERIADOS!$A$2:$A$50))*10+MAX(0,(MIN(NOW(),INT(NOW())+18/24)-(INT(NOW())+8/24)))*24*NETWORKDAYS.INTL(NOW(),NOW(),1,FERIADOS!$A$2:$A$50)))</f>
        <v/>
      </c>
      <c r="P631" s="1" t="str">
        <f t="shared" si="65"/>
        <v/>
      </c>
      <c r="Q631" s="1" t="str">
        <f t="shared" si="66"/>
        <v/>
      </c>
      <c r="R631" s="1" t="str">
        <f t="shared" si="67"/>
        <v/>
      </c>
      <c r="S631" s="1" t="str">
        <f>IF($A631="","",COUNTIF($N$2:N631,$N631))</f>
        <v/>
      </c>
      <c r="T631" s="1" t="str">
        <f t="shared" si="68"/>
        <v/>
      </c>
      <c r="U631" s="1" t="str">
        <f t="shared" si="69"/>
        <v/>
      </c>
      <c r="V631"/>
    </row>
    <row r="632" spans="13:22" x14ac:dyDescent="0.3">
      <c r="M632" s="1" t="str">
        <f t="shared" si="63"/>
        <v/>
      </c>
      <c r="N632" s="1" t="str">
        <f t="shared" si="64"/>
        <v/>
      </c>
      <c r="O632" s="1" t="str">
        <f ca="1">IF(F632="","",IF(INT(F632)=INT(NOW()),IF(NETWORKDAYS.INTL(F632,F632,1,FERIADOS!$A$2:$A$50)=0,0,MAX(0,(MIN(NOW(),INT(NOW())+18/24)-MAX(F632,INT(F632)+8/24)))*24),MAX(0,(INT(F632)+18/24-MAX(F632,INT(F632)+8/24)))*24*NETWORKDAYS.INTL(F632,F632,1,FERIADOS!$A$2:$A$50)+MAX(0,NETWORKDAYS.INTL(F632+1,NOW()-1,1,FERIADOS!$A$2:$A$50))*10+MAX(0,(MIN(NOW(),INT(NOW())+18/24)-(INT(NOW())+8/24)))*24*NETWORKDAYS.INTL(NOW(),NOW(),1,FERIADOS!$A$2:$A$50)))</f>
        <v/>
      </c>
      <c r="P632" s="1" t="str">
        <f t="shared" si="65"/>
        <v/>
      </c>
      <c r="Q632" s="1" t="str">
        <f t="shared" si="66"/>
        <v/>
      </c>
      <c r="R632" s="1" t="str">
        <f t="shared" si="67"/>
        <v/>
      </c>
      <c r="S632" s="1" t="str">
        <f>IF($A632="","",COUNTIF($N$2:N632,$N632))</f>
        <v/>
      </c>
      <c r="T632" s="1" t="str">
        <f t="shared" si="68"/>
        <v/>
      </c>
      <c r="U632" s="1" t="str">
        <f t="shared" si="69"/>
        <v/>
      </c>
      <c r="V632"/>
    </row>
    <row r="633" spans="13:22" x14ac:dyDescent="0.3">
      <c r="M633" s="1" t="str">
        <f t="shared" si="63"/>
        <v/>
      </c>
      <c r="N633" s="1" t="str">
        <f t="shared" si="64"/>
        <v/>
      </c>
      <c r="O633" s="1" t="str">
        <f ca="1">IF(F633="","",IF(INT(F633)=INT(NOW()),IF(NETWORKDAYS.INTL(F633,F633,1,FERIADOS!$A$2:$A$50)=0,0,MAX(0,(MIN(NOW(),INT(NOW())+18/24)-MAX(F633,INT(F633)+8/24)))*24),MAX(0,(INT(F633)+18/24-MAX(F633,INT(F633)+8/24)))*24*NETWORKDAYS.INTL(F633,F633,1,FERIADOS!$A$2:$A$50)+MAX(0,NETWORKDAYS.INTL(F633+1,NOW()-1,1,FERIADOS!$A$2:$A$50))*10+MAX(0,(MIN(NOW(),INT(NOW())+18/24)-(INT(NOW())+8/24)))*24*NETWORKDAYS.INTL(NOW(),NOW(),1,FERIADOS!$A$2:$A$50)))</f>
        <v/>
      </c>
      <c r="P633" s="1" t="str">
        <f t="shared" si="65"/>
        <v/>
      </c>
      <c r="Q633" s="1" t="str">
        <f t="shared" si="66"/>
        <v/>
      </c>
      <c r="R633" s="1" t="str">
        <f t="shared" si="67"/>
        <v/>
      </c>
      <c r="S633" s="1" t="str">
        <f>IF($A633="","",COUNTIF($N$2:N633,$N633))</f>
        <v/>
      </c>
      <c r="T633" s="1" t="str">
        <f t="shared" si="68"/>
        <v/>
      </c>
      <c r="U633" s="1" t="str">
        <f t="shared" si="69"/>
        <v/>
      </c>
      <c r="V633"/>
    </row>
    <row r="634" spans="13:22" x14ac:dyDescent="0.3">
      <c r="M634" s="1" t="str">
        <f t="shared" si="63"/>
        <v/>
      </c>
      <c r="N634" s="1" t="str">
        <f t="shared" si="64"/>
        <v/>
      </c>
      <c r="O634" s="1" t="str">
        <f ca="1">IF(F634="","",IF(INT(F634)=INT(NOW()),IF(NETWORKDAYS.INTL(F634,F634,1,FERIADOS!$A$2:$A$50)=0,0,MAX(0,(MIN(NOW(),INT(NOW())+18/24)-MAX(F634,INT(F634)+8/24)))*24),MAX(0,(INT(F634)+18/24-MAX(F634,INT(F634)+8/24)))*24*NETWORKDAYS.INTL(F634,F634,1,FERIADOS!$A$2:$A$50)+MAX(0,NETWORKDAYS.INTL(F634+1,NOW()-1,1,FERIADOS!$A$2:$A$50))*10+MAX(0,(MIN(NOW(),INT(NOW())+18/24)-(INT(NOW())+8/24)))*24*NETWORKDAYS.INTL(NOW(),NOW(),1,FERIADOS!$A$2:$A$50)))</f>
        <v/>
      </c>
      <c r="P634" s="1" t="str">
        <f t="shared" si="65"/>
        <v/>
      </c>
      <c r="Q634" s="1" t="str">
        <f t="shared" si="66"/>
        <v/>
      </c>
      <c r="R634" s="1" t="str">
        <f t="shared" si="67"/>
        <v/>
      </c>
      <c r="S634" s="1" t="str">
        <f>IF($A634="","",COUNTIF($N$2:N634,$N634))</f>
        <v/>
      </c>
      <c r="T634" s="1" t="str">
        <f t="shared" si="68"/>
        <v/>
      </c>
      <c r="U634" s="1" t="str">
        <f t="shared" si="69"/>
        <v/>
      </c>
      <c r="V634"/>
    </row>
    <row r="635" spans="13:22" x14ac:dyDescent="0.3">
      <c r="M635" s="1" t="str">
        <f t="shared" si="63"/>
        <v/>
      </c>
      <c r="N635" s="1" t="str">
        <f t="shared" si="64"/>
        <v/>
      </c>
      <c r="O635" s="1" t="str">
        <f ca="1">IF(F635="","",IF(INT(F635)=INT(NOW()),IF(NETWORKDAYS.INTL(F635,F635,1,FERIADOS!$A$2:$A$50)=0,0,MAX(0,(MIN(NOW(),INT(NOW())+18/24)-MAX(F635,INT(F635)+8/24)))*24),MAX(0,(INT(F635)+18/24-MAX(F635,INT(F635)+8/24)))*24*NETWORKDAYS.INTL(F635,F635,1,FERIADOS!$A$2:$A$50)+MAX(0,NETWORKDAYS.INTL(F635+1,NOW()-1,1,FERIADOS!$A$2:$A$50))*10+MAX(0,(MIN(NOW(),INT(NOW())+18/24)-(INT(NOW())+8/24)))*24*NETWORKDAYS.INTL(NOW(),NOW(),1,FERIADOS!$A$2:$A$50)))</f>
        <v/>
      </c>
      <c r="P635" s="1" t="str">
        <f t="shared" si="65"/>
        <v/>
      </c>
      <c r="Q635" s="1" t="str">
        <f t="shared" si="66"/>
        <v/>
      </c>
      <c r="R635" s="1" t="str">
        <f t="shared" si="67"/>
        <v/>
      </c>
      <c r="S635" s="1" t="str">
        <f>IF($A635="","",COUNTIF($N$2:N635,$N635))</f>
        <v/>
      </c>
      <c r="T635" s="1" t="str">
        <f t="shared" si="68"/>
        <v/>
      </c>
      <c r="U635" s="1" t="str">
        <f t="shared" si="69"/>
        <v/>
      </c>
      <c r="V635"/>
    </row>
    <row r="636" spans="13:22" x14ac:dyDescent="0.3">
      <c r="M636" s="1" t="str">
        <f t="shared" si="63"/>
        <v/>
      </c>
      <c r="N636" s="1" t="str">
        <f t="shared" si="64"/>
        <v/>
      </c>
      <c r="O636" s="1" t="str">
        <f ca="1">IF(F636="","",IF(INT(F636)=INT(NOW()),IF(NETWORKDAYS.INTL(F636,F636,1,FERIADOS!$A$2:$A$50)=0,0,MAX(0,(MIN(NOW(),INT(NOW())+18/24)-MAX(F636,INT(F636)+8/24)))*24),MAX(0,(INT(F636)+18/24-MAX(F636,INT(F636)+8/24)))*24*NETWORKDAYS.INTL(F636,F636,1,FERIADOS!$A$2:$A$50)+MAX(0,NETWORKDAYS.INTL(F636+1,NOW()-1,1,FERIADOS!$A$2:$A$50))*10+MAX(0,(MIN(NOW(),INT(NOW())+18/24)-(INT(NOW())+8/24)))*24*NETWORKDAYS.INTL(NOW(),NOW(),1,FERIADOS!$A$2:$A$50)))</f>
        <v/>
      </c>
      <c r="P636" s="1" t="str">
        <f t="shared" si="65"/>
        <v/>
      </c>
      <c r="Q636" s="1" t="str">
        <f t="shared" si="66"/>
        <v/>
      </c>
      <c r="R636" s="1" t="str">
        <f t="shared" si="67"/>
        <v/>
      </c>
      <c r="S636" s="1" t="str">
        <f>IF($A636="","",COUNTIF($N$2:N636,$N636))</f>
        <v/>
      </c>
      <c r="T636" s="1" t="str">
        <f t="shared" si="68"/>
        <v/>
      </c>
      <c r="U636" s="1" t="str">
        <f t="shared" si="69"/>
        <v/>
      </c>
      <c r="V636"/>
    </row>
    <row r="637" spans="13:22" x14ac:dyDescent="0.3">
      <c r="M637" s="1" t="str">
        <f t="shared" si="63"/>
        <v/>
      </c>
      <c r="N637" s="1" t="str">
        <f t="shared" si="64"/>
        <v/>
      </c>
      <c r="O637" s="1" t="str">
        <f ca="1">IF(F637="","",IF(INT(F637)=INT(NOW()),IF(NETWORKDAYS.INTL(F637,F637,1,FERIADOS!$A$2:$A$50)=0,0,MAX(0,(MIN(NOW(),INT(NOW())+18/24)-MAX(F637,INT(F637)+8/24)))*24),MAX(0,(INT(F637)+18/24-MAX(F637,INT(F637)+8/24)))*24*NETWORKDAYS.INTL(F637,F637,1,FERIADOS!$A$2:$A$50)+MAX(0,NETWORKDAYS.INTL(F637+1,NOW()-1,1,FERIADOS!$A$2:$A$50))*10+MAX(0,(MIN(NOW(),INT(NOW())+18/24)-(INT(NOW())+8/24)))*24*NETWORKDAYS.INTL(NOW(),NOW(),1,FERIADOS!$A$2:$A$50)))</f>
        <v/>
      </c>
      <c r="P637" s="1" t="str">
        <f t="shared" si="65"/>
        <v/>
      </c>
      <c r="Q637" s="1" t="str">
        <f t="shared" si="66"/>
        <v/>
      </c>
      <c r="R637" s="1" t="str">
        <f t="shared" si="67"/>
        <v/>
      </c>
      <c r="S637" s="1" t="str">
        <f>IF($A637="","",COUNTIF($N$2:N637,$N637))</f>
        <v/>
      </c>
      <c r="T637" s="1" t="str">
        <f t="shared" si="68"/>
        <v/>
      </c>
      <c r="U637" s="1" t="str">
        <f t="shared" si="69"/>
        <v/>
      </c>
      <c r="V637"/>
    </row>
    <row r="638" spans="13:22" x14ac:dyDescent="0.3">
      <c r="M638" s="1" t="str">
        <f t="shared" si="63"/>
        <v/>
      </c>
      <c r="N638" s="1" t="str">
        <f t="shared" si="64"/>
        <v/>
      </c>
      <c r="O638" s="1" t="str">
        <f ca="1">IF(F638="","",IF(INT(F638)=INT(NOW()),IF(NETWORKDAYS.INTL(F638,F638,1,FERIADOS!$A$2:$A$50)=0,0,MAX(0,(MIN(NOW(),INT(NOW())+18/24)-MAX(F638,INT(F638)+8/24)))*24),MAX(0,(INT(F638)+18/24-MAX(F638,INT(F638)+8/24)))*24*NETWORKDAYS.INTL(F638,F638,1,FERIADOS!$A$2:$A$50)+MAX(0,NETWORKDAYS.INTL(F638+1,NOW()-1,1,FERIADOS!$A$2:$A$50))*10+MAX(0,(MIN(NOW(),INT(NOW())+18/24)-(INT(NOW())+8/24)))*24*NETWORKDAYS.INTL(NOW(),NOW(),1,FERIADOS!$A$2:$A$50)))</f>
        <v/>
      </c>
      <c r="P638" s="1" t="str">
        <f t="shared" si="65"/>
        <v/>
      </c>
      <c r="Q638" s="1" t="str">
        <f t="shared" si="66"/>
        <v/>
      </c>
      <c r="R638" s="1" t="str">
        <f t="shared" si="67"/>
        <v/>
      </c>
      <c r="S638" s="1" t="str">
        <f>IF($A638="","",COUNTIF($N$2:N638,$N638))</f>
        <v/>
      </c>
      <c r="T638" s="1" t="str">
        <f t="shared" si="68"/>
        <v/>
      </c>
      <c r="U638" s="1" t="str">
        <f t="shared" si="69"/>
        <v/>
      </c>
      <c r="V638"/>
    </row>
    <row r="639" spans="13:22" x14ac:dyDescent="0.3">
      <c r="M639" s="1" t="str">
        <f t="shared" si="63"/>
        <v/>
      </c>
      <c r="N639" s="1" t="str">
        <f t="shared" si="64"/>
        <v/>
      </c>
      <c r="O639" s="1" t="str">
        <f ca="1">IF(F639="","",IF(INT(F639)=INT(NOW()),IF(NETWORKDAYS.INTL(F639,F639,1,FERIADOS!$A$2:$A$50)=0,0,MAX(0,(MIN(NOW(),INT(NOW())+18/24)-MAX(F639,INT(F639)+8/24)))*24),MAX(0,(INT(F639)+18/24-MAX(F639,INT(F639)+8/24)))*24*NETWORKDAYS.INTL(F639,F639,1,FERIADOS!$A$2:$A$50)+MAX(0,NETWORKDAYS.INTL(F639+1,NOW()-1,1,FERIADOS!$A$2:$A$50))*10+MAX(0,(MIN(NOW(),INT(NOW())+18/24)-(INT(NOW())+8/24)))*24*NETWORKDAYS.INTL(NOW(),NOW(),1,FERIADOS!$A$2:$A$50)))</f>
        <v/>
      </c>
      <c r="P639" s="1" t="str">
        <f t="shared" si="65"/>
        <v/>
      </c>
      <c r="Q639" s="1" t="str">
        <f t="shared" si="66"/>
        <v/>
      </c>
      <c r="R639" s="1" t="str">
        <f t="shared" si="67"/>
        <v/>
      </c>
      <c r="S639" s="1" t="str">
        <f>IF($A639="","",COUNTIF($N$2:N639,$N639))</f>
        <v/>
      </c>
      <c r="T639" s="1" t="str">
        <f t="shared" si="68"/>
        <v/>
      </c>
      <c r="U639" s="1" t="str">
        <f t="shared" si="69"/>
        <v/>
      </c>
      <c r="V639"/>
    </row>
    <row r="640" spans="13:22" x14ac:dyDescent="0.3">
      <c r="M640" s="1" t="str">
        <f t="shared" si="63"/>
        <v/>
      </c>
      <c r="N640" s="1" t="str">
        <f t="shared" si="64"/>
        <v/>
      </c>
      <c r="O640" s="1" t="str">
        <f ca="1">IF(F640="","",IF(INT(F640)=INT(NOW()),IF(NETWORKDAYS.INTL(F640,F640,1,FERIADOS!$A$2:$A$50)=0,0,MAX(0,(MIN(NOW(),INT(NOW())+18/24)-MAX(F640,INT(F640)+8/24)))*24),MAX(0,(INT(F640)+18/24-MAX(F640,INT(F640)+8/24)))*24*NETWORKDAYS.INTL(F640,F640,1,FERIADOS!$A$2:$A$50)+MAX(0,NETWORKDAYS.INTL(F640+1,NOW()-1,1,FERIADOS!$A$2:$A$50))*10+MAX(0,(MIN(NOW(),INT(NOW())+18/24)-(INT(NOW())+8/24)))*24*NETWORKDAYS.INTL(NOW(),NOW(),1,FERIADOS!$A$2:$A$50)))</f>
        <v/>
      </c>
      <c r="P640" s="1" t="str">
        <f t="shared" si="65"/>
        <v/>
      </c>
      <c r="Q640" s="1" t="str">
        <f t="shared" si="66"/>
        <v/>
      </c>
      <c r="R640" s="1" t="str">
        <f t="shared" si="67"/>
        <v/>
      </c>
      <c r="S640" s="1" t="str">
        <f>IF($A640="","",COUNTIF($N$2:N640,$N640))</f>
        <v/>
      </c>
      <c r="T640" s="1" t="str">
        <f t="shared" si="68"/>
        <v/>
      </c>
      <c r="U640" s="1" t="str">
        <f t="shared" si="69"/>
        <v/>
      </c>
      <c r="V640"/>
    </row>
    <row r="641" spans="13:22" x14ac:dyDescent="0.3">
      <c r="M641" s="1" t="str">
        <f t="shared" si="63"/>
        <v/>
      </c>
      <c r="N641" s="1" t="str">
        <f t="shared" si="64"/>
        <v/>
      </c>
      <c r="O641" s="1" t="str">
        <f ca="1">IF(F641="","",IF(INT(F641)=INT(NOW()),IF(NETWORKDAYS.INTL(F641,F641,1,FERIADOS!$A$2:$A$50)=0,0,MAX(0,(MIN(NOW(),INT(NOW())+18/24)-MAX(F641,INT(F641)+8/24)))*24),MAX(0,(INT(F641)+18/24-MAX(F641,INT(F641)+8/24)))*24*NETWORKDAYS.INTL(F641,F641,1,FERIADOS!$A$2:$A$50)+MAX(0,NETWORKDAYS.INTL(F641+1,NOW()-1,1,FERIADOS!$A$2:$A$50))*10+MAX(0,(MIN(NOW(),INT(NOW())+18/24)-(INT(NOW())+8/24)))*24*NETWORKDAYS.INTL(NOW(),NOW(),1,FERIADOS!$A$2:$A$50)))</f>
        <v/>
      </c>
      <c r="P641" s="1" t="str">
        <f t="shared" si="65"/>
        <v/>
      </c>
      <c r="Q641" s="1" t="str">
        <f t="shared" si="66"/>
        <v/>
      </c>
      <c r="R641" s="1" t="str">
        <f t="shared" si="67"/>
        <v/>
      </c>
      <c r="S641" s="1" t="str">
        <f>IF($A641="","",COUNTIF($N$2:N641,$N641))</f>
        <v/>
      </c>
      <c r="T641" s="1" t="str">
        <f t="shared" si="68"/>
        <v/>
      </c>
      <c r="U641" s="1" t="str">
        <f t="shared" si="69"/>
        <v/>
      </c>
      <c r="V641"/>
    </row>
    <row r="642" spans="13:22" x14ac:dyDescent="0.3">
      <c r="M642" s="1" t="str">
        <f t="shared" ref="M642:M705" si="70">IF($A642="","",IF($L642="MA",IF(OR(UPPER($K642)="SAO LUIS",UPPER($K642)="SÃO LUIS",UPPER($K642)="PACO DO LUMIAR",UPPER($K642)="PAÇO DO LUMIAR",UPPER($K642)="SAO JOSE DE RIBAMAR",UPPER($K642)="SÃO JOSÉ DE RIBAMAR"),"MA CAP","MA INT"),IF($L642="PA",IF(OR(UPPER($K642)="BELEM",UPPER($K642)="BELÉM",UPPER($K642)="ANANINDEUA"),"PA CAP","PA INT"),IF($L642="PI",IF(UPPER($K642)="TERESINA","PI CAP","PI INT"),IF($L642="AM","AM INT",IF($L642="AP","AP","OUTROS"))))))</f>
        <v/>
      </c>
      <c r="N642" s="1" t="str">
        <f t="shared" ref="N642:N705" si="71">IF($A642="","",IF($M642="PI CAP","GIGA+ PI",IF($M642="PI INT","GIGA+ PI",IF($M642="MA CAP","SLN MA",IF($M642="MA INT","GIGA+ MA",IF($M642="PA CAP","SLN PA",IF($M642="PA INT","SLN PA",IF($M642="AM INT","ADX",IF($M642="AP","ADX","OUTROS")))))))))</f>
        <v/>
      </c>
      <c r="O642" s="1" t="str">
        <f ca="1">IF(F642="","",IF(INT(F642)=INT(NOW()),IF(NETWORKDAYS.INTL(F642,F642,1,FERIADOS!$A$2:$A$50)=0,0,MAX(0,(MIN(NOW(),INT(NOW())+18/24)-MAX(F642,INT(F642)+8/24)))*24),MAX(0,(INT(F642)+18/24-MAX(F642,INT(F642)+8/24)))*24*NETWORKDAYS.INTL(F642,F642,1,FERIADOS!$A$2:$A$50)+MAX(0,NETWORKDAYS.INTL(F642+1,NOW()-1,1,FERIADOS!$A$2:$A$50))*10+MAX(0,(MIN(NOW(),INT(NOW())+18/24)-(INT(NOW())+8/24)))*24*NETWORKDAYS.INTL(NOW(),NOW(),1,FERIADOS!$A$2:$A$50)))</f>
        <v/>
      </c>
      <c r="P642" s="1" t="str">
        <f t="shared" ref="P642:P705" si="72">IF($A642="","",IF(OR(O642="",O642=0),"00h 00m",TEXT(INT(O642),"00") &amp; "h " &amp; TEXT(INT((O642-INT(O642))*60),"00") &amp; "m"))</f>
        <v/>
      </c>
      <c r="Q642" s="1" t="str">
        <f t="shared" ref="Q642:Q705" si="73">IF($A642="","",IF(OR(O642="",O642&lt;=4),"🔵 Até 4h",IF(O642&lt;=8,"🟢 Entre 4h e 8h",IF(O642&lt;=12,"🟡 Entre 8h e 12h",IF(O642&lt;=24,"🟠 Entre 12h e 24h","🔴 Maior que 24h")))))</f>
        <v/>
      </c>
      <c r="R642" s="1" t="str">
        <f t="shared" ref="R642:R705" si="74">IF($A642="","",IF(OR(O642="",O642&lt;=8),"NO PRAZO","FORA DO PRAZO"))</f>
        <v/>
      </c>
      <c r="S642" s="1" t="str">
        <f>IF($A642="","",COUNTIF($N$2:N642,$N642))</f>
        <v/>
      </c>
      <c r="T642" s="1" t="str">
        <f t="shared" ref="T642:T705" si="75">IF($A642="","",IF($N642="SLN MA",1,IF($N642="GIGA+ MA",2,IF($N642="GIGA+ PI",3,IF($N642="SLN PA",4,IF($N642="ADX",5,6))))))</f>
        <v/>
      </c>
      <c r="U642" s="1" t="str">
        <f t="shared" ref="U642:U705" si="76">IF($A642="","",$T642*10000+$S642)</f>
        <v/>
      </c>
      <c r="V642"/>
    </row>
    <row r="643" spans="13:22" x14ac:dyDescent="0.3">
      <c r="M643" s="1" t="str">
        <f t="shared" si="70"/>
        <v/>
      </c>
      <c r="N643" s="1" t="str">
        <f t="shared" si="71"/>
        <v/>
      </c>
      <c r="O643" s="1" t="str">
        <f ca="1">IF(F643="","",IF(INT(F643)=INT(NOW()),IF(NETWORKDAYS.INTL(F643,F643,1,FERIADOS!$A$2:$A$50)=0,0,MAX(0,(MIN(NOW(),INT(NOW())+18/24)-MAX(F643,INT(F643)+8/24)))*24),MAX(0,(INT(F643)+18/24-MAX(F643,INT(F643)+8/24)))*24*NETWORKDAYS.INTL(F643,F643,1,FERIADOS!$A$2:$A$50)+MAX(0,NETWORKDAYS.INTL(F643+1,NOW()-1,1,FERIADOS!$A$2:$A$50))*10+MAX(0,(MIN(NOW(),INT(NOW())+18/24)-(INT(NOW())+8/24)))*24*NETWORKDAYS.INTL(NOW(),NOW(),1,FERIADOS!$A$2:$A$50)))</f>
        <v/>
      </c>
      <c r="P643" s="1" t="str">
        <f t="shared" si="72"/>
        <v/>
      </c>
      <c r="Q643" s="1" t="str">
        <f t="shared" si="73"/>
        <v/>
      </c>
      <c r="R643" s="1" t="str">
        <f t="shared" si="74"/>
        <v/>
      </c>
      <c r="S643" s="1" t="str">
        <f>IF($A643="","",COUNTIF($N$2:N643,$N643))</f>
        <v/>
      </c>
      <c r="T643" s="1" t="str">
        <f t="shared" si="75"/>
        <v/>
      </c>
      <c r="U643" s="1" t="str">
        <f t="shared" si="76"/>
        <v/>
      </c>
      <c r="V643"/>
    </row>
    <row r="644" spans="13:22" x14ac:dyDescent="0.3">
      <c r="M644" s="1" t="str">
        <f t="shared" si="70"/>
        <v/>
      </c>
      <c r="N644" s="1" t="str">
        <f t="shared" si="71"/>
        <v/>
      </c>
      <c r="O644" s="1" t="str">
        <f ca="1">IF(F644="","",IF(INT(F644)=INT(NOW()),IF(NETWORKDAYS.INTL(F644,F644,1,FERIADOS!$A$2:$A$50)=0,0,MAX(0,(MIN(NOW(),INT(NOW())+18/24)-MAX(F644,INT(F644)+8/24)))*24),MAX(0,(INT(F644)+18/24-MAX(F644,INT(F644)+8/24)))*24*NETWORKDAYS.INTL(F644,F644,1,FERIADOS!$A$2:$A$50)+MAX(0,NETWORKDAYS.INTL(F644+1,NOW()-1,1,FERIADOS!$A$2:$A$50))*10+MAX(0,(MIN(NOW(),INT(NOW())+18/24)-(INT(NOW())+8/24)))*24*NETWORKDAYS.INTL(NOW(),NOW(),1,FERIADOS!$A$2:$A$50)))</f>
        <v/>
      </c>
      <c r="P644" s="1" t="str">
        <f t="shared" si="72"/>
        <v/>
      </c>
      <c r="Q644" s="1" t="str">
        <f t="shared" si="73"/>
        <v/>
      </c>
      <c r="R644" s="1" t="str">
        <f t="shared" si="74"/>
        <v/>
      </c>
      <c r="S644" s="1" t="str">
        <f>IF($A644="","",COUNTIF($N$2:N644,$N644))</f>
        <v/>
      </c>
      <c r="T644" s="1" t="str">
        <f t="shared" si="75"/>
        <v/>
      </c>
      <c r="U644" s="1" t="str">
        <f t="shared" si="76"/>
        <v/>
      </c>
      <c r="V644"/>
    </row>
    <row r="645" spans="13:22" x14ac:dyDescent="0.3">
      <c r="M645" s="1" t="str">
        <f t="shared" si="70"/>
        <v/>
      </c>
      <c r="N645" s="1" t="str">
        <f t="shared" si="71"/>
        <v/>
      </c>
      <c r="O645" s="1" t="str">
        <f ca="1">IF(F645="","",IF(INT(F645)=INT(NOW()),IF(NETWORKDAYS.INTL(F645,F645,1,FERIADOS!$A$2:$A$50)=0,0,MAX(0,(MIN(NOW(),INT(NOW())+18/24)-MAX(F645,INT(F645)+8/24)))*24),MAX(0,(INT(F645)+18/24-MAX(F645,INT(F645)+8/24)))*24*NETWORKDAYS.INTL(F645,F645,1,FERIADOS!$A$2:$A$50)+MAX(0,NETWORKDAYS.INTL(F645+1,NOW()-1,1,FERIADOS!$A$2:$A$50))*10+MAX(0,(MIN(NOW(),INT(NOW())+18/24)-(INT(NOW())+8/24)))*24*NETWORKDAYS.INTL(NOW(),NOW(),1,FERIADOS!$A$2:$A$50)))</f>
        <v/>
      </c>
      <c r="P645" s="1" t="str">
        <f t="shared" si="72"/>
        <v/>
      </c>
      <c r="Q645" s="1" t="str">
        <f t="shared" si="73"/>
        <v/>
      </c>
      <c r="R645" s="1" t="str">
        <f t="shared" si="74"/>
        <v/>
      </c>
      <c r="S645" s="1" t="str">
        <f>IF($A645="","",COUNTIF($N$2:N645,$N645))</f>
        <v/>
      </c>
      <c r="T645" s="1" t="str">
        <f t="shared" si="75"/>
        <v/>
      </c>
      <c r="U645" s="1" t="str">
        <f t="shared" si="76"/>
        <v/>
      </c>
      <c r="V645"/>
    </row>
    <row r="646" spans="13:22" x14ac:dyDescent="0.3">
      <c r="M646" s="1" t="str">
        <f t="shared" si="70"/>
        <v/>
      </c>
      <c r="N646" s="1" t="str">
        <f t="shared" si="71"/>
        <v/>
      </c>
      <c r="O646" s="1" t="str">
        <f ca="1">IF(F646="","",IF(INT(F646)=INT(NOW()),IF(NETWORKDAYS.INTL(F646,F646,1,FERIADOS!$A$2:$A$50)=0,0,MAX(0,(MIN(NOW(),INT(NOW())+18/24)-MAX(F646,INT(F646)+8/24)))*24),MAX(0,(INT(F646)+18/24-MAX(F646,INT(F646)+8/24)))*24*NETWORKDAYS.INTL(F646,F646,1,FERIADOS!$A$2:$A$50)+MAX(0,NETWORKDAYS.INTL(F646+1,NOW()-1,1,FERIADOS!$A$2:$A$50))*10+MAX(0,(MIN(NOW(),INT(NOW())+18/24)-(INT(NOW())+8/24)))*24*NETWORKDAYS.INTL(NOW(),NOW(),1,FERIADOS!$A$2:$A$50)))</f>
        <v/>
      </c>
      <c r="P646" s="1" t="str">
        <f t="shared" si="72"/>
        <v/>
      </c>
      <c r="Q646" s="1" t="str">
        <f t="shared" si="73"/>
        <v/>
      </c>
      <c r="R646" s="1" t="str">
        <f t="shared" si="74"/>
        <v/>
      </c>
      <c r="S646" s="1" t="str">
        <f>IF($A646="","",COUNTIF($N$2:N646,$N646))</f>
        <v/>
      </c>
      <c r="T646" s="1" t="str">
        <f t="shared" si="75"/>
        <v/>
      </c>
      <c r="U646" s="1" t="str">
        <f t="shared" si="76"/>
        <v/>
      </c>
      <c r="V646"/>
    </row>
    <row r="647" spans="13:22" x14ac:dyDescent="0.3">
      <c r="M647" s="1" t="str">
        <f t="shared" si="70"/>
        <v/>
      </c>
      <c r="N647" s="1" t="str">
        <f t="shared" si="71"/>
        <v/>
      </c>
      <c r="O647" s="1" t="str">
        <f ca="1">IF(F647="","",IF(INT(F647)=INT(NOW()),IF(NETWORKDAYS.INTL(F647,F647,1,FERIADOS!$A$2:$A$50)=0,0,MAX(0,(MIN(NOW(),INT(NOW())+18/24)-MAX(F647,INT(F647)+8/24)))*24),MAX(0,(INT(F647)+18/24-MAX(F647,INT(F647)+8/24)))*24*NETWORKDAYS.INTL(F647,F647,1,FERIADOS!$A$2:$A$50)+MAX(0,NETWORKDAYS.INTL(F647+1,NOW()-1,1,FERIADOS!$A$2:$A$50))*10+MAX(0,(MIN(NOW(),INT(NOW())+18/24)-(INT(NOW())+8/24)))*24*NETWORKDAYS.INTL(NOW(),NOW(),1,FERIADOS!$A$2:$A$50)))</f>
        <v/>
      </c>
      <c r="P647" s="1" t="str">
        <f t="shared" si="72"/>
        <v/>
      </c>
      <c r="Q647" s="1" t="str">
        <f t="shared" si="73"/>
        <v/>
      </c>
      <c r="R647" s="1" t="str">
        <f t="shared" si="74"/>
        <v/>
      </c>
      <c r="S647" s="1" t="str">
        <f>IF($A647="","",COUNTIF($N$2:N647,$N647))</f>
        <v/>
      </c>
      <c r="T647" s="1" t="str">
        <f t="shared" si="75"/>
        <v/>
      </c>
      <c r="U647" s="1" t="str">
        <f t="shared" si="76"/>
        <v/>
      </c>
      <c r="V647"/>
    </row>
    <row r="648" spans="13:22" x14ac:dyDescent="0.3">
      <c r="M648" s="1" t="str">
        <f t="shared" si="70"/>
        <v/>
      </c>
      <c r="N648" s="1" t="str">
        <f t="shared" si="71"/>
        <v/>
      </c>
      <c r="O648" s="1" t="str">
        <f ca="1">IF(F648="","",IF(INT(F648)=INT(NOW()),IF(NETWORKDAYS.INTL(F648,F648,1,FERIADOS!$A$2:$A$50)=0,0,MAX(0,(MIN(NOW(),INT(NOW())+18/24)-MAX(F648,INT(F648)+8/24)))*24),MAX(0,(INT(F648)+18/24-MAX(F648,INT(F648)+8/24)))*24*NETWORKDAYS.INTL(F648,F648,1,FERIADOS!$A$2:$A$50)+MAX(0,NETWORKDAYS.INTL(F648+1,NOW()-1,1,FERIADOS!$A$2:$A$50))*10+MAX(0,(MIN(NOW(),INT(NOW())+18/24)-(INT(NOW())+8/24)))*24*NETWORKDAYS.INTL(NOW(),NOW(),1,FERIADOS!$A$2:$A$50)))</f>
        <v/>
      </c>
      <c r="P648" s="1" t="str">
        <f t="shared" si="72"/>
        <v/>
      </c>
      <c r="Q648" s="1" t="str">
        <f t="shared" si="73"/>
        <v/>
      </c>
      <c r="R648" s="1" t="str">
        <f t="shared" si="74"/>
        <v/>
      </c>
      <c r="S648" s="1" t="str">
        <f>IF($A648="","",COUNTIF($N$2:N648,$N648))</f>
        <v/>
      </c>
      <c r="T648" s="1" t="str">
        <f t="shared" si="75"/>
        <v/>
      </c>
      <c r="U648" s="1" t="str">
        <f t="shared" si="76"/>
        <v/>
      </c>
      <c r="V648"/>
    </row>
    <row r="649" spans="13:22" x14ac:dyDescent="0.3">
      <c r="M649" s="1" t="str">
        <f t="shared" si="70"/>
        <v/>
      </c>
      <c r="N649" s="1" t="str">
        <f t="shared" si="71"/>
        <v/>
      </c>
      <c r="O649" s="1" t="str">
        <f ca="1">IF(F649="","",IF(INT(F649)=INT(NOW()),IF(NETWORKDAYS.INTL(F649,F649,1,FERIADOS!$A$2:$A$50)=0,0,MAX(0,(MIN(NOW(),INT(NOW())+18/24)-MAX(F649,INT(F649)+8/24)))*24),MAX(0,(INT(F649)+18/24-MAX(F649,INT(F649)+8/24)))*24*NETWORKDAYS.INTL(F649,F649,1,FERIADOS!$A$2:$A$50)+MAX(0,NETWORKDAYS.INTL(F649+1,NOW()-1,1,FERIADOS!$A$2:$A$50))*10+MAX(0,(MIN(NOW(),INT(NOW())+18/24)-(INT(NOW())+8/24)))*24*NETWORKDAYS.INTL(NOW(),NOW(),1,FERIADOS!$A$2:$A$50)))</f>
        <v/>
      </c>
      <c r="P649" s="1" t="str">
        <f t="shared" si="72"/>
        <v/>
      </c>
      <c r="Q649" s="1" t="str">
        <f t="shared" si="73"/>
        <v/>
      </c>
      <c r="R649" s="1" t="str">
        <f t="shared" si="74"/>
        <v/>
      </c>
      <c r="S649" s="1" t="str">
        <f>IF($A649="","",COUNTIF($N$2:N649,$N649))</f>
        <v/>
      </c>
      <c r="T649" s="1" t="str">
        <f t="shared" si="75"/>
        <v/>
      </c>
      <c r="U649" s="1" t="str">
        <f t="shared" si="76"/>
        <v/>
      </c>
      <c r="V649"/>
    </row>
    <row r="650" spans="13:22" x14ac:dyDescent="0.3">
      <c r="M650" s="1" t="str">
        <f t="shared" si="70"/>
        <v/>
      </c>
      <c r="N650" s="1" t="str">
        <f t="shared" si="71"/>
        <v/>
      </c>
      <c r="O650" s="1" t="str">
        <f ca="1">IF(F650="","",IF(INT(F650)=INT(NOW()),IF(NETWORKDAYS.INTL(F650,F650,1,FERIADOS!$A$2:$A$50)=0,0,MAX(0,(MIN(NOW(),INT(NOW())+18/24)-MAX(F650,INT(F650)+8/24)))*24),MAX(0,(INT(F650)+18/24-MAX(F650,INT(F650)+8/24)))*24*NETWORKDAYS.INTL(F650,F650,1,FERIADOS!$A$2:$A$50)+MAX(0,NETWORKDAYS.INTL(F650+1,NOW()-1,1,FERIADOS!$A$2:$A$50))*10+MAX(0,(MIN(NOW(),INT(NOW())+18/24)-(INT(NOW())+8/24)))*24*NETWORKDAYS.INTL(NOW(),NOW(),1,FERIADOS!$A$2:$A$50)))</f>
        <v/>
      </c>
      <c r="P650" s="1" t="str">
        <f t="shared" si="72"/>
        <v/>
      </c>
      <c r="Q650" s="1" t="str">
        <f t="shared" si="73"/>
        <v/>
      </c>
      <c r="R650" s="1" t="str">
        <f t="shared" si="74"/>
        <v/>
      </c>
      <c r="S650" s="1" t="str">
        <f>IF($A650="","",COUNTIF($N$2:N650,$N650))</f>
        <v/>
      </c>
      <c r="T650" s="1" t="str">
        <f t="shared" si="75"/>
        <v/>
      </c>
      <c r="U650" s="1" t="str">
        <f t="shared" si="76"/>
        <v/>
      </c>
      <c r="V650"/>
    </row>
    <row r="651" spans="13:22" x14ac:dyDescent="0.3">
      <c r="M651" s="1" t="str">
        <f t="shared" si="70"/>
        <v/>
      </c>
      <c r="N651" s="1" t="str">
        <f t="shared" si="71"/>
        <v/>
      </c>
      <c r="O651" s="1" t="str">
        <f ca="1">IF(F651="","",IF(INT(F651)=INT(NOW()),IF(NETWORKDAYS.INTL(F651,F651,1,FERIADOS!$A$2:$A$50)=0,0,MAX(0,(MIN(NOW(),INT(NOW())+18/24)-MAX(F651,INT(F651)+8/24)))*24),MAX(0,(INT(F651)+18/24-MAX(F651,INT(F651)+8/24)))*24*NETWORKDAYS.INTL(F651,F651,1,FERIADOS!$A$2:$A$50)+MAX(0,NETWORKDAYS.INTL(F651+1,NOW()-1,1,FERIADOS!$A$2:$A$50))*10+MAX(0,(MIN(NOW(),INT(NOW())+18/24)-(INT(NOW())+8/24)))*24*NETWORKDAYS.INTL(NOW(),NOW(),1,FERIADOS!$A$2:$A$50)))</f>
        <v/>
      </c>
      <c r="P651" s="1" t="str">
        <f t="shared" si="72"/>
        <v/>
      </c>
      <c r="Q651" s="1" t="str">
        <f t="shared" si="73"/>
        <v/>
      </c>
      <c r="R651" s="1" t="str">
        <f t="shared" si="74"/>
        <v/>
      </c>
      <c r="S651" s="1" t="str">
        <f>IF($A651="","",COUNTIF($N$2:N651,$N651))</f>
        <v/>
      </c>
      <c r="T651" s="1" t="str">
        <f t="shared" si="75"/>
        <v/>
      </c>
      <c r="U651" s="1" t="str">
        <f t="shared" si="76"/>
        <v/>
      </c>
      <c r="V651"/>
    </row>
    <row r="652" spans="13:22" x14ac:dyDescent="0.3">
      <c r="M652" s="1" t="str">
        <f t="shared" si="70"/>
        <v/>
      </c>
      <c r="N652" s="1" t="str">
        <f t="shared" si="71"/>
        <v/>
      </c>
      <c r="O652" s="1" t="str">
        <f ca="1">IF(F652="","",IF(INT(F652)=INT(NOW()),IF(NETWORKDAYS.INTL(F652,F652,1,FERIADOS!$A$2:$A$50)=0,0,MAX(0,(MIN(NOW(),INT(NOW())+18/24)-MAX(F652,INT(F652)+8/24)))*24),MAX(0,(INT(F652)+18/24-MAX(F652,INT(F652)+8/24)))*24*NETWORKDAYS.INTL(F652,F652,1,FERIADOS!$A$2:$A$50)+MAX(0,NETWORKDAYS.INTL(F652+1,NOW()-1,1,FERIADOS!$A$2:$A$50))*10+MAX(0,(MIN(NOW(),INT(NOW())+18/24)-(INT(NOW())+8/24)))*24*NETWORKDAYS.INTL(NOW(),NOW(),1,FERIADOS!$A$2:$A$50)))</f>
        <v/>
      </c>
      <c r="P652" s="1" t="str">
        <f t="shared" si="72"/>
        <v/>
      </c>
      <c r="Q652" s="1" t="str">
        <f t="shared" si="73"/>
        <v/>
      </c>
      <c r="R652" s="1" t="str">
        <f t="shared" si="74"/>
        <v/>
      </c>
      <c r="S652" s="1" t="str">
        <f>IF($A652="","",COUNTIF($N$2:N652,$N652))</f>
        <v/>
      </c>
      <c r="T652" s="1" t="str">
        <f t="shared" si="75"/>
        <v/>
      </c>
      <c r="U652" s="1" t="str">
        <f t="shared" si="76"/>
        <v/>
      </c>
      <c r="V652"/>
    </row>
    <row r="653" spans="13:22" x14ac:dyDescent="0.3">
      <c r="M653" s="1" t="str">
        <f t="shared" si="70"/>
        <v/>
      </c>
      <c r="N653" s="1" t="str">
        <f t="shared" si="71"/>
        <v/>
      </c>
      <c r="O653" s="1" t="str">
        <f ca="1">IF(F653="","",IF(INT(F653)=INT(NOW()),IF(NETWORKDAYS.INTL(F653,F653,1,FERIADOS!$A$2:$A$50)=0,0,MAX(0,(MIN(NOW(),INT(NOW())+18/24)-MAX(F653,INT(F653)+8/24)))*24),MAX(0,(INT(F653)+18/24-MAX(F653,INT(F653)+8/24)))*24*NETWORKDAYS.INTL(F653,F653,1,FERIADOS!$A$2:$A$50)+MAX(0,NETWORKDAYS.INTL(F653+1,NOW()-1,1,FERIADOS!$A$2:$A$50))*10+MAX(0,(MIN(NOW(),INT(NOW())+18/24)-(INT(NOW())+8/24)))*24*NETWORKDAYS.INTL(NOW(),NOW(),1,FERIADOS!$A$2:$A$50)))</f>
        <v/>
      </c>
      <c r="P653" s="1" t="str">
        <f t="shared" si="72"/>
        <v/>
      </c>
      <c r="Q653" s="1" t="str">
        <f t="shared" si="73"/>
        <v/>
      </c>
      <c r="R653" s="1" t="str">
        <f t="shared" si="74"/>
        <v/>
      </c>
      <c r="S653" s="1" t="str">
        <f>IF($A653="","",COUNTIF($N$2:N653,$N653))</f>
        <v/>
      </c>
      <c r="T653" s="1" t="str">
        <f t="shared" si="75"/>
        <v/>
      </c>
      <c r="U653" s="1" t="str">
        <f t="shared" si="76"/>
        <v/>
      </c>
      <c r="V653"/>
    </row>
    <row r="654" spans="13:22" x14ac:dyDescent="0.3">
      <c r="M654" s="1" t="str">
        <f t="shared" si="70"/>
        <v/>
      </c>
      <c r="N654" s="1" t="str">
        <f t="shared" si="71"/>
        <v/>
      </c>
      <c r="O654" s="1" t="str">
        <f ca="1">IF(F654="","",IF(INT(F654)=INT(NOW()),IF(NETWORKDAYS.INTL(F654,F654,1,FERIADOS!$A$2:$A$50)=0,0,MAX(0,(MIN(NOW(),INT(NOW())+18/24)-MAX(F654,INT(F654)+8/24)))*24),MAX(0,(INT(F654)+18/24-MAX(F654,INT(F654)+8/24)))*24*NETWORKDAYS.INTL(F654,F654,1,FERIADOS!$A$2:$A$50)+MAX(0,NETWORKDAYS.INTL(F654+1,NOW()-1,1,FERIADOS!$A$2:$A$50))*10+MAX(0,(MIN(NOW(),INT(NOW())+18/24)-(INT(NOW())+8/24)))*24*NETWORKDAYS.INTL(NOW(),NOW(),1,FERIADOS!$A$2:$A$50)))</f>
        <v/>
      </c>
      <c r="P654" s="1" t="str">
        <f t="shared" si="72"/>
        <v/>
      </c>
      <c r="Q654" s="1" t="str">
        <f t="shared" si="73"/>
        <v/>
      </c>
      <c r="R654" s="1" t="str">
        <f t="shared" si="74"/>
        <v/>
      </c>
      <c r="S654" s="1" t="str">
        <f>IF($A654="","",COUNTIF($N$2:N654,$N654))</f>
        <v/>
      </c>
      <c r="T654" s="1" t="str">
        <f t="shared" si="75"/>
        <v/>
      </c>
      <c r="U654" s="1" t="str">
        <f t="shared" si="76"/>
        <v/>
      </c>
      <c r="V654"/>
    </row>
    <row r="655" spans="13:22" x14ac:dyDescent="0.3">
      <c r="M655" s="1" t="str">
        <f t="shared" si="70"/>
        <v/>
      </c>
      <c r="N655" s="1" t="str">
        <f t="shared" si="71"/>
        <v/>
      </c>
      <c r="O655" s="1" t="str">
        <f ca="1">IF(F655="","",IF(INT(F655)=INT(NOW()),IF(NETWORKDAYS.INTL(F655,F655,1,FERIADOS!$A$2:$A$50)=0,0,MAX(0,(MIN(NOW(),INT(NOW())+18/24)-MAX(F655,INT(F655)+8/24)))*24),MAX(0,(INT(F655)+18/24-MAX(F655,INT(F655)+8/24)))*24*NETWORKDAYS.INTL(F655,F655,1,FERIADOS!$A$2:$A$50)+MAX(0,NETWORKDAYS.INTL(F655+1,NOW()-1,1,FERIADOS!$A$2:$A$50))*10+MAX(0,(MIN(NOW(),INT(NOW())+18/24)-(INT(NOW())+8/24)))*24*NETWORKDAYS.INTL(NOW(),NOW(),1,FERIADOS!$A$2:$A$50)))</f>
        <v/>
      </c>
      <c r="P655" s="1" t="str">
        <f t="shared" si="72"/>
        <v/>
      </c>
      <c r="Q655" s="1" t="str">
        <f t="shared" si="73"/>
        <v/>
      </c>
      <c r="R655" s="1" t="str">
        <f t="shared" si="74"/>
        <v/>
      </c>
      <c r="S655" s="1" t="str">
        <f>IF($A655="","",COUNTIF($N$2:N655,$N655))</f>
        <v/>
      </c>
      <c r="T655" s="1" t="str">
        <f t="shared" si="75"/>
        <v/>
      </c>
      <c r="U655" s="1" t="str">
        <f t="shared" si="76"/>
        <v/>
      </c>
      <c r="V655"/>
    </row>
    <row r="656" spans="13:22" x14ac:dyDescent="0.3">
      <c r="M656" s="1" t="str">
        <f t="shared" si="70"/>
        <v/>
      </c>
      <c r="N656" s="1" t="str">
        <f t="shared" si="71"/>
        <v/>
      </c>
      <c r="O656" s="1" t="str">
        <f ca="1">IF(F656="","",IF(INT(F656)=INT(NOW()),IF(NETWORKDAYS.INTL(F656,F656,1,FERIADOS!$A$2:$A$50)=0,0,MAX(0,(MIN(NOW(),INT(NOW())+18/24)-MAX(F656,INT(F656)+8/24)))*24),MAX(0,(INT(F656)+18/24-MAX(F656,INT(F656)+8/24)))*24*NETWORKDAYS.INTL(F656,F656,1,FERIADOS!$A$2:$A$50)+MAX(0,NETWORKDAYS.INTL(F656+1,NOW()-1,1,FERIADOS!$A$2:$A$50))*10+MAX(0,(MIN(NOW(),INT(NOW())+18/24)-(INT(NOW())+8/24)))*24*NETWORKDAYS.INTL(NOW(),NOW(),1,FERIADOS!$A$2:$A$50)))</f>
        <v/>
      </c>
      <c r="P656" s="1" t="str">
        <f t="shared" si="72"/>
        <v/>
      </c>
      <c r="Q656" s="1" t="str">
        <f t="shared" si="73"/>
        <v/>
      </c>
      <c r="R656" s="1" t="str">
        <f t="shared" si="74"/>
        <v/>
      </c>
      <c r="S656" s="1" t="str">
        <f>IF($A656="","",COUNTIF($N$2:N656,$N656))</f>
        <v/>
      </c>
      <c r="T656" s="1" t="str">
        <f t="shared" si="75"/>
        <v/>
      </c>
      <c r="U656" s="1" t="str">
        <f t="shared" si="76"/>
        <v/>
      </c>
      <c r="V656"/>
    </row>
    <row r="657" spans="13:22" x14ac:dyDescent="0.3">
      <c r="M657" s="1" t="str">
        <f t="shared" si="70"/>
        <v/>
      </c>
      <c r="N657" s="1" t="str">
        <f t="shared" si="71"/>
        <v/>
      </c>
      <c r="O657" s="1" t="str">
        <f ca="1">IF(F657="","",IF(INT(F657)=INT(NOW()),IF(NETWORKDAYS.INTL(F657,F657,1,FERIADOS!$A$2:$A$50)=0,0,MAX(0,(MIN(NOW(),INT(NOW())+18/24)-MAX(F657,INT(F657)+8/24)))*24),MAX(0,(INT(F657)+18/24-MAX(F657,INT(F657)+8/24)))*24*NETWORKDAYS.INTL(F657,F657,1,FERIADOS!$A$2:$A$50)+MAX(0,NETWORKDAYS.INTL(F657+1,NOW()-1,1,FERIADOS!$A$2:$A$50))*10+MAX(0,(MIN(NOW(),INT(NOW())+18/24)-(INT(NOW())+8/24)))*24*NETWORKDAYS.INTL(NOW(),NOW(),1,FERIADOS!$A$2:$A$50)))</f>
        <v/>
      </c>
      <c r="P657" s="1" t="str">
        <f t="shared" si="72"/>
        <v/>
      </c>
      <c r="Q657" s="1" t="str">
        <f t="shared" si="73"/>
        <v/>
      </c>
      <c r="R657" s="1" t="str">
        <f t="shared" si="74"/>
        <v/>
      </c>
      <c r="S657" s="1" t="str">
        <f>IF($A657="","",COUNTIF($N$2:N657,$N657))</f>
        <v/>
      </c>
      <c r="T657" s="1" t="str">
        <f t="shared" si="75"/>
        <v/>
      </c>
      <c r="U657" s="1" t="str">
        <f t="shared" si="76"/>
        <v/>
      </c>
      <c r="V657"/>
    </row>
    <row r="658" spans="13:22" x14ac:dyDescent="0.3">
      <c r="M658" s="1" t="str">
        <f t="shared" si="70"/>
        <v/>
      </c>
      <c r="N658" s="1" t="str">
        <f t="shared" si="71"/>
        <v/>
      </c>
      <c r="O658" s="1" t="str">
        <f ca="1">IF(F658="","",IF(INT(F658)=INT(NOW()),IF(NETWORKDAYS.INTL(F658,F658,1,FERIADOS!$A$2:$A$50)=0,0,MAX(0,(MIN(NOW(),INT(NOW())+18/24)-MAX(F658,INT(F658)+8/24)))*24),MAX(0,(INT(F658)+18/24-MAX(F658,INT(F658)+8/24)))*24*NETWORKDAYS.INTL(F658,F658,1,FERIADOS!$A$2:$A$50)+MAX(0,NETWORKDAYS.INTL(F658+1,NOW()-1,1,FERIADOS!$A$2:$A$50))*10+MAX(0,(MIN(NOW(),INT(NOW())+18/24)-(INT(NOW())+8/24)))*24*NETWORKDAYS.INTL(NOW(),NOW(),1,FERIADOS!$A$2:$A$50)))</f>
        <v/>
      </c>
      <c r="P658" s="1" t="str">
        <f t="shared" si="72"/>
        <v/>
      </c>
      <c r="Q658" s="1" t="str">
        <f t="shared" si="73"/>
        <v/>
      </c>
      <c r="R658" s="1" t="str">
        <f t="shared" si="74"/>
        <v/>
      </c>
      <c r="S658" s="1" t="str">
        <f>IF($A658="","",COUNTIF($N$2:N658,$N658))</f>
        <v/>
      </c>
      <c r="T658" s="1" t="str">
        <f t="shared" si="75"/>
        <v/>
      </c>
      <c r="U658" s="1" t="str">
        <f t="shared" si="76"/>
        <v/>
      </c>
      <c r="V658"/>
    </row>
    <row r="659" spans="13:22" x14ac:dyDescent="0.3">
      <c r="M659" s="1" t="str">
        <f t="shared" si="70"/>
        <v/>
      </c>
      <c r="N659" s="1" t="str">
        <f t="shared" si="71"/>
        <v/>
      </c>
      <c r="O659" s="1" t="str">
        <f ca="1">IF(F659="","",IF(INT(F659)=INT(NOW()),IF(NETWORKDAYS.INTL(F659,F659,1,FERIADOS!$A$2:$A$50)=0,0,MAX(0,(MIN(NOW(),INT(NOW())+18/24)-MAX(F659,INT(F659)+8/24)))*24),MAX(0,(INT(F659)+18/24-MAX(F659,INT(F659)+8/24)))*24*NETWORKDAYS.INTL(F659,F659,1,FERIADOS!$A$2:$A$50)+MAX(0,NETWORKDAYS.INTL(F659+1,NOW()-1,1,FERIADOS!$A$2:$A$50))*10+MAX(0,(MIN(NOW(),INT(NOW())+18/24)-(INT(NOW())+8/24)))*24*NETWORKDAYS.INTL(NOW(),NOW(),1,FERIADOS!$A$2:$A$50)))</f>
        <v/>
      </c>
      <c r="P659" s="1" t="str">
        <f t="shared" si="72"/>
        <v/>
      </c>
      <c r="Q659" s="1" t="str">
        <f t="shared" si="73"/>
        <v/>
      </c>
      <c r="R659" s="1" t="str">
        <f t="shared" si="74"/>
        <v/>
      </c>
      <c r="S659" s="1" t="str">
        <f>IF($A659="","",COUNTIF($N$2:N659,$N659))</f>
        <v/>
      </c>
      <c r="T659" s="1" t="str">
        <f t="shared" si="75"/>
        <v/>
      </c>
      <c r="U659" s="1" t="str">
        <f t="shared" si="76"/>
        <v/>
      </c>
      <c r="V659"/>
    </row>
    <row r="660" spans="13:22" x14ac:dyDescent="0.3">
      <c r="M660" s="1" t="str">
        <f t="shared" si="70"/>
        <v/>
      </c>
      <c r="N660" s="1" t="str">
        <f t="shared" si="71"/>
        <v/>
      </c>
      <c r="O660" s="1" t="str">
        <f ca="1">IF(F660="","",IF(INT(F660)=INT(NOW()),IF(NETWORKDAYS.INTL(F660,F660,1,FERIADOS!$A$2:$A$50)=0,0,MAX(0,(MIN(NOW(),INT(NOW())+18/24)-MAX(F660,INT(F660)+8/24)))*24),MAX(0,(INT(F660)+18/24-MAX(F660,INT(F660)+8/24)))*24*NETWORKDAYS.INTL(F660,F660,1,FERIADOS!$A$2:$A$50)+MAX(0,NETWORKDAYS.INTL(F660+1,NOW()-1,1,FERIADOS!$A$2:$A$50))*10+MAX(0,(MIN(NOW(),INT(NOW())+18/24)-(INT(NOW())+8/24)))*24*NETWORKDAYS.INTL(NOW(),NOW(),1,FERIADOS!$A$2:$A$50)))</f>
        <v/>
      </c>
      <c r="P660" s="1" t="str">
        <f t="shared" si="72"/>
        <v/>
      </c>
      <c r="Q660" s="1" t="str">
        <f t="shared" si="73"/>
        <v/>
      </c>
      <c r="R660" s="1" t="str">
        <f t="shared" si="74"/>
        <v/>
      </c>
      <c r="S660" s="1" t="str">
        <f>IF($A660="","",COUNTIF($N$2:N660,$N660))</f>
        <v/>
      </c>
      <c r="T660" s="1" t="str">
        <f t="shared" si="75"/>
        <v/>
      </c>
      <c r="U660" s="1" t="str">
        <f t="shared" si="76"/>
        <v/>
      </c>
      <c r="V660"/>
    </row>
    <row r="661" spans="13:22" x14ac:dyDescent="0.3">
      <c r="M661" s="1" t="str">
        <f t="shared" si="70"/>
        <v/>
      </c>
      <c r="N661" s="1" t="str">
        <f t="shared" si="71"/>
        <v/>
      </c>
      <c r="O661" s="1" t="str">
        <f ca="1">IF(F661="","",IF(INT(F661)=INT(NOW()),IF(NETWORKDAYS.INTL(F661,F661,1,FERIADOS!$A$2:$A$50)=0,0,MAX(0,(MIN(NOW(),INT(NOW())+18/24)-MAX(F661,INT(F661)+8/24)))*24),MAX(0,(INT(F661)+18/24-MAX(F661,INT(F661)+8/24)))*24*NETWORKDAYS.INTL(F661,F661,1,FERIADOS!$A$2:$A$50)+MAX(0,NETWORKDAYS.INTL(F661+1,NOW()-1,1,FERIADOS!$A$2:$A$50))*10+MAX(0,(MIN(NOW(),INT(NOW())+18/24)-(INT(NOW())+8/24)))*24*NETWORKDAYS.INTL(NOW(),NOW(),1,FERIADOS!$A$2:$A$50)))</f>
        <v/>
      </c>
      <c r="P661" s="1" t="str">
        <f t="shared" si="72"/>
        <v/>
      </c>
      <c r="Q661" s="1" t="str">
        <f t="shared" si="73"/>
        <v/>
      </c>
      <c r="R661" s="1" t="str">
        <f t="shared" si="74"/>
        <v/>
      </c>
      <c r="S661" s="1" t="str">
        <f>IF($A661="","",COUNTIF($N$2:N661,$N661))</f>
        <v/>
      </c>
      <c r="T661" s="1" t="str">
        <f t="shared" si="75"/>
        <v/>
      </c>
      <c r="U661" s="1" t="str">
        <f t="shared" si="76"/>
        <v/>
      </c>
      <c r="V661"/>
    </row>
    <row r="662" spans="13:22" x14ac:dyDescent="0.3">
      <c r="M662" s="1" t="str">
        <f t="shared" si="70"/>
        <v/>
      </c>
      <c r="N662" s="1" t="str">
        <f t="shared" si="71"/>
        <v/>
      </c>
      <c r="O662" s="1" t="str">
        <f ca="1">IF(F662="","",IF(INT(F662)=INT(NOW()),IF(NETWORKDAYS.INTL(F662,F662,1,FERIADOS!$A$2:$A$50)=0,0,MAX(0,(MIN(NOW(),INT(NOW())+18/24)-MAX(F662,INT(F662)+8/24)))*24),MAX(0,(INT(F662)+18/24-MAX(F662,INT(F662)+8/24)))*24*NETWORKDAYS.INTL(F662,F662,1,FERIADOS!$A$2:$A$50)+MAX(0,NETWORKDAYS.INTL(F662+1,NOW()-1,1,FERIADOS!$A$2:$A$50))*10+MAX(0,(MIN(NOW(),INT(NOW())+18/24)-(INT(NOW())+8/24)))*24*NETWORKDAYS.INTL(NOW(),NOW(),1,FERIADOS!$A$2:$A$50)))</f>
        <v/>
      </c>
      <c r="P662" s="1" t="str">
        <f t="shared" si="72"/>
        <v/>
      </c>
      <c r="Q662" s="1" t="str">
        <f t="shared" si="73"/>
        <v/>
      </c>
      <c r="R662" s="1" t="str">
        <f t="shared" si="74"/>
        <v/>
      </c>
      <c r="S662" s="1" t="str">
        <f>IF($A662="","",COUNTIF($N$2:N662,$N662))</f>
        <v/>
      </c>
      <c r="T662" s="1" t="str">
        <f t="shared" si="75"/>
        <v/>
      </c>
      <c r="U662" s="1" t="str">
        <f t="shared" si="76"/>
        <v/>
      </c>
      <c r="V662"/>
    </row>
    <row r="663" spans="13:22" x14ac:dyDescent="0.3">
      <c r="M663" s="1" t="str">
        <f t="shared" si="70"/>
        <v/>
      </c>
      <c r="N663" s="1" t="str">
        <f t="shared" si="71"/>
        <v/>
      </c>
      <c r="O663" s="1" t="str">
        <f ca="1">IF(F663="","",IF(INT(F663)=INT(NOW()),IF(NETWORKDAYS.INTL(F663,F663,1,FERIADOS!$A$2:$A$50)=0,0,MAX(0,(MIN(NOW(),INT(NOW())+18/24)-MAX(F663,INT(F663)+8/24)))*24),MAX(0,(INT(F663)+18/24-MAX(F663,INT(F663)+8/24)))*24*NETWORKDAYS.INTL(F663,F663,1,FERIADOS!$A$2:$A$50)+MAX(0,NETWORKDAYS.INTL(F663+1,NOW()-1,1,FERIADOS!$A$2:$A$50))*10+MAX(0,(MIN(NOW(),INT(NOW())+18/24)-(INT(NOW())+8/24)))*24*NETWORKDAYS.INTL(NOW(),NOW(),1,FERIADOS!$A$2:$A$50)))</f>
        <v/>
      </c>
      <c r="P663" s="1" t="str">
        <f t="shared" si="72"/>
        <v/>
      </c>
      <c r="Q663" s="1" t="str">
        <f t="shared" si="73"/>
        <v/>
      </c>
      <c r="R663" s="1" t="str">
        <f t="shared" si="74"/>
        <v/>
      </c>
      <c r="S663" s="1" t="str">
        <f>IF($A663="","",COUNTIF($N$2:N663,$N663))</f>
        <v/>
      </c>
      <c r="T663" s="1" t="str">
        <f t="shared" si="75"/>
        <v/>
      </c>
      <c r="U663" s="1" t="str">
        <f t="shared" si="76"/>
        <v/>
      </c>
      <c r="V663"/>
    </row>
    <row r="664" spans="13:22" x14ac:dyDescent="0.3">
      <c r="M664" s="1" t="str">
        <f t="shared" si="70"/>
        <v/>
      </c>
      <c r="N664" s="1" t="str">
        <f t="shared" si="71"/>
        <v/>
      </c>
      <c r="O664" s="1" t="str">
        <f ca="1">IF(F664="","",IF(INT(F664)=INT(NOW()),IF(NETWORKDAYS.INTL(F664,F664,1,FERIADOS!$A$2:$A$50)=0,0,MAX(0,(MIN(NOW(),INT(NOW())+18/24)-MAX(F664,INT(F664)+8/24)))*24),MAX(0,(INT(F664)+18/24-MAX(F664,INT(F664)+8/24)))*24*NETWORKDAYS.INTL(F664,F664,1,FERIADOS!$A$2:$A$50)+MAX(0,NETWORKDAYS.INTL(F664+1,NOW()-1,1,FERIADOS!$A$2:$A$50))*10+MAX(0,(MIN(NOW(),INT(NOW())+18/24)-(INT(NOW())+8/24)))*24*NETWORKDAYS.INTL(NOW(),NOW(),1,FERIADOS!$A$2:$A$50)))</f>
        <v/>
      </c>
      <c r="P664" s="1" t="str">
        <f t="shared" si="72"/>
        <v/>
      </c>
      <c r="Q664" s="1" t="str">
        <f t="shared" si="73"/>
        <v/>
      </c>
      <c r="R664" s="1" t="str">
        <f t="shared" si="74"/>
        <v/>
      </c>
      <c r="S664" s="1" t="str">
        <f>IF($A664="","",COUNTIF($N$2:N664,$N664))</f>
        <v/>
      </c>
      <c r="T664" s="1" t="str">
        <f t="shared" si="75"/>
        <v/>
      </c>
      <c r="U664" s="1" t="str">
        <f t="shared" si="76"/>
        <v/>
      </c>
      <c r="V664"/>
    </row>
    <row r="665" spans="13:22" x14ac:dyDescent="0.3">
      <c r="M665" s="1" t="str">
        <f t="shared" si="70"/>
        <v/>
      </c>
      <c r="N665" s="1" t="str">
        <f t="shared" si="71"/>
        <v/>
      </c>
      <c r="O665" s="1" t="str">
        <f ca="1">IF(F665="","",IF(INT(F665)=INT(NOW()),IF(NETWORKDAYS.INTL(F665,F665,1,FERIADOS!$A$2:$A$50)=0,0,MAX(0,(MIN(NOW(),INT(NOW())+18/24)-MAX(F665,INT(F665)+8/24)))*24),MAX(0,(INT(F665)+18/24-MAX(F665,INT(F665)+8/24)))*24*NETWORKDAYS.INTL(F665,F665,1,FERIADOS!$A$2:$A$50)+MAX(0,NETWORKDAYS.INTL(F665+1,NOW()-1,1,FERIADOS!$A$2:$A$50))*10+MAX(0,(MIN(NOW(),INT(NOW())+18/24)-(INT(NOW())+8/24)))*24*NETWORKDAYS.INTL(NOW(),NOW(),1,FERIADOS!$A$2:$A$50)))</f>
        <v/>
      </c>
      <c r="P665" s="1" t="str">
        <f t="shared" si="72"/>
        <v/>
      </c>
      <c r="Q665" s="1" t="str">
        <f t="shared" si="73"/>
        <v/>
      </c>
      <c r="R665" s="1" t="str">
        <f t="shared" si="74"/>
        <v/>
      </c>
      <c r="S665" s="1" t="str">
        <f>IF($A665="","",COUNTIF($N$2:N665,$N665))</f>
        <v/>
      </c>
      <c r="T665" s="1" t="str">
        <f t="shared" si="75"/>
        <v/>
      </c>
      <c r="U665" s="1" t="str">
        <f t="shared" si="76"/>
        <v/>
      </c>
      <c r="V665"/>
    </row>
    <row r="666" spans="13:22" x14ac:dyDescent="0.3">
      <c r="M666" s="1" t="str">
        <f t="shared" si="70"/>
        <v/>
      </c>
      <c r="N666" s="1" t="str">
        <f t="shared" si="71"/>
        <v/>
      </c>
      <c r="O666" s="1" t="str">
        <f ca="1">IF(F666="","",IF(INT(F666)=INT(NOW()),IF(NETWORKDAYS.INTL(F666,F666,1,FERIADOS!$A$2:$A$50)=0,0,MAX(0,(MIN(NOW(),INT(NOW())+18/24)-MAX(F666,INT(F666)+8/24)))*24),MAX(0,(INT(F666)+18/24-MAX(F666,INT(F666)+8/24)))*24*NETWORKDAYS.INTL(F666,F666,1,FERIADOS!$A$2:$A$50)+MAX(0,NETWORKDAYS.INTL(F666+1,NOW()-1,1,FERIADOS!$A$2:$A$50))*10+MAX(0,(MIN(NOW(),INT(NOW())+18/24)-(INT(NOW())+8/24)))*24*NETWORKDAYS.INTL(NOW(),NOW(),1,FERIADOS!$A$2:$A$50)))</f>
        <v/>
      </c>
      <c r="P666" s="1" t="str">
        <f t="shared" si="72"/>
        <v/>
      </c>
      <c r="Q666" s="1" t="str">
        <f t="shared" si="73"/>
        <v/>
      </c>
      <c r="R666" s="1" t="str">
        <f t="shared" si="74"/>
        <v/>
      </c>
      <c r="S666" s="1" t="str">
        <f>IF($A666="","",COUNTIF($N$2:N666,$N666))</f>
        <v/>
      </c>
      <c r="T666" s="1" t="str">
        <f t="shared" si="75"/>
        <v/>
      </c>
      <c r="U666" s="1" t="str">
        <f t="shared" si="76"/>
        <v/>
      </c>
      <c r="V666"/>
    </row>
    <row r="667" spans="13:22" x14ac:dyDescent="0.3">
      <c r="M667" s="1" t="str">
        <f t="shared" si="70"/>
        <v/>
      </c>
      <c r="N667" s="1" t="str">
        <f t="shared" si="71"/>
        <v/>
      </c>
      <c r="O667" s="1" t="str">
        <f ca="1">IF(F667="","",IF(INT(F667)=INT(NOW()),IF(NETWORKDAYS.INTL(F667,F667,1,FERIADOS!$A$2:$A$50)=0,0,MAX(0,(MIN(NOW(),INT(NOW())+18/24)-MAX(F667,INT(F667)+8/24)))*24),MAX(0,(INT(F667)+18/24-MAX(F667,INT(F667)+8/24)))*24*NETWORKDAYS.INTL(F667,F667,1,FERIADOS!$A$2:$A$50)+MAX(0,NETWORKDAYS.INTL(F667+1,NOW()-1,1,FERIADOS!$A$2:$A$50))*10+MAX(0,(MIN(NOW(),INT(NOW())+18/24)-(INT(NOW())+8/24)))*24*NETWORKDAYS.INTL(NOW(),NOW(),1,FERIADOS!$A$2:$A$50)))</f>
        <v/>
      </c>
      <c r="P667" s="1" t="str">
        <f t="shared" si="72"/>
        <v/>
      </c>
      <c r="Q667" s="1" t="str">
        <f t="shared" si="73"/>
        <v/>
      </c>
      <c r="R667" s="1" t="str">
        <f t="shared" si="74"/>
        <v/>
      </c>
      <c r="S667" s="1" t="str">
        <f>IF($A667="","",COUNTIF($N$2:N667,$N667))</f>
        <v/>
      </c>
      <c r="T667" s="1" t="str">
        <f t="shared" si="75"/>
        <v/>
      </c>
      <c r="U667" s="1" t="str">
        <f t="shared" si="76"/>
        <v/>
      </c>
      <c r="V667"/>
    </row>
    <row r="668" spans="13:22" x14ac:dyDescent="0.3">
      <c r="M668" s="1" t="str">
        <f t="shared" si="70"/>
        <v/>
      </c>
      <c r="N668" s="1" t="str">
        <f t="shared" si="71"/>
        <v/>
      </c>
      <c r="O668" s="1" t="str">
        <f ca="1">IF(F668="","",IF(INT(F668)=INT(NOW()),IF(NETWORKDAYS.INTL(F668,F668,1,FERIADOS!$A$2:$A$50)=0,0,MAX(0,(MIN(NOW(),INT(NOW())+18/24)-MAX(F668,INT(F668)+8/24)))*24),MAX(0,(INT(F668)+18/24-MAX(F668,INT(F668)+8/24)))*24*NETWORKDAYS.INTL(F668,F668,1,FERIADOS!$A$2:$A$50)+MAX(0,NETWORKDAYS.INTL(F668+1,NOW()-1,1,FERIADOS!$A$2:$A$50))*10+MAX(0,(MIN(NOW(),INT(NOW())+18/24)-(INT(NOW())+8/24)))*24*NETWORKDAYS.INTL(NOW(),NOW(),1,FERIADOS!$A$2:$A$50)))</f>
        <v/>
      </c>
      <c r="P668" s="1" t="str">
        <f t="shared" si="72"/>
        <v/>
      </c>
      <c r="Q668" s="1" t="str">
        <f t="shared" si="73"/>
        <v/>
      </c>
      <c r="R668" s="1" t="str">
        <f t="shared" si="74"/>
        <v/>
      </c>
      <c r="S668" s="1" t="str">
        <f>IF($A668="","",COUNTIF($N$2:N668,$N668))</f>
        <v/>
      </c>
      <c r="T668" s="1" t="str">
        <f t="shared" si="75"/>
        <v/>
      </c>
      <c r="U668" s="1" t="str">
        <f t="shared" si="76"/>
        <v/>
      </c>
      <c r="V668"/>
    </row>
    <row r="669" spans="13:22" x14ac:dyDescent="0.3">
      <c r="M669" s="1" t="str">
        <f t="shared" si="70"/>
        <v/>
      </c>
      <c r="N669" s="1" t="str">
        <f t="shared" si="71"/>
        <v/>
      </c>
      <c r="O669" s="1" t="str">
        <f ca="1">IF(F669="","",IF(INT(F669)=INT(NOW()),IF(NETWORKDAYS.INTL(F669,F669,1,FERIADOS!$A$2:$A$50)=0,0,MAX(0,(MIN(NOW(),INT(NOW())+18/24)-MAX(F669,INT(F669)+8/24)))*24),MAX(0,(INT(F669)+18/24-MAX(F669,INT(F669)+8/24)))*24*NETWORKDAYS.INTL(F669,F669,1,FERIADOS!$A$2:$A$50)+MAX(0,NETWORKDAYS.INTL(F669+1,NOW()-1,1,FERIADOS!$A$2:$A$50))*10+MAX(0,(MIN(NOW(),INT(NOW())+18/24)-(INT(NOW())+8/24)))*24*NETWORKDAYS.INTL(NOW(),NOW(),1,FERIADOS!$A$2:$A$50)))</f>
        <v/>
      </c>
      <c r="P669" s="1" t="str">
        <f t="shared" si="72"/>
        <v/>
      </c>
      <c r="Q669" s="1" t="str">
        <f t="shared" si="73"/>
        <v/>
      </c>
      <c r="R669" s="1" t="str">
        <f t="shared" si="74"/>
        <v/>
      </c>
      <c r="S669" s="1" t="str">
        <f>IF($A669="","",COUNTIF($N$2:N669,$N669))</f>
        <v/>
      </c>
      <c r="T669" s="1" t="str">
        <f t="shared" si="75"/>
        <v/>
      </c>
      <c r="U669" s="1" t="str">
        <f t="shared" si="76"/>
        <v/>
      </c>
      <c r="V669"/>
    </row>
    <row r="670" spans="13:22" x14ac:dyDescent="0.3">
      <c r="M670" s="1" t="str">
        <f t="shared" si="70"/>
        <v/>
      </c>
      <c r="N670" s="1" t="str">
        <f t="shared" si="71"/>
        <v/>
      </c>
      <c r="O670" s="1" t="str">
        <f ca="1">IF(F670="","",IF(INT(F670)=INT(NOW()),IF(NETWORKDAYS.INTL(F670,F670,1,FERIADOS!$A$2:$A$50)=0,0,MAX(0,(MIN(NOW(),INT(NOW())+18/24)-MAX(F670,INT(F670)+8/24)))*24),MAX(0,(INT(F670)+18/24-MAX(F670,INT(F670)+8/24)))*24*NETWORKDAYS.INTL(F670,F670,1,FERIADOS!$A$2:$A$50)+MAX(0,NETWORKDAYS.INTL(F670+1,NOW()-1,1,FERIADOS!$A$2:$A$50))*10+MAX(0,(MIN(NOW(),INT(NOW())+18/24)-(INT(NOW())+8/24)))*24*NETWORKDAYS.INTL(NOW(),NOW(),1,FERIADOS!$A$2:$A$50)))</f>
        <v/>
      </c>
      <c r="P670" s="1" t="str">
        <f t="shared" si="72"/>
        <v/>
      </c>
      <c r="Q670" s="1" t="str">
        <f t="shared" si="73"/>
        <v/>
      </c>
      <c r="R670" s="1" t="str">
        <f t="shared" si="74"/>
        <v/>
      </c>
      <c r="S670" s="1" t="str">
        <f>IF($A670="","",COUNTIF($N$2:N670,$N670))</f>
        <v/>
      </c>
      <c r="T670" s="1" t="str">
        <f t="shared" si="75"/>
        <v/>
      </c>
      <c r="U670" s="1" t="str">
        <f t="shared" si="76"/>
        <v/>
      </c>
      <c r="V670"/>
    </row>
    <row r="671" spans="13:22" x14ac:dyDescent="0.3">
      <c r="M671" s="1" t="str">
        <f t="shared" si="70"/>
        <v/>
      </c>
      <c r="N671" s="1" t="str">
        <f t="shared" si="71"/>
        <v/>
      </c>
      <c r="O671" s="1" t="str">
        <f ca="1">IF(F671="","",IF(INT(F671)=INT(NOW()),IF(NETWORKDAYS.INTL(F671,F671,1,FERIADOS!$A$2:$A$50)=0,0,MAX(0,(MIN(NOW(),INT(NOW())+18/24)-MAX(F671,INT(F671)+8/24)))*24),MAX(0,(INT(F671)+18/24-MAX(F671,INT(F671)+8/24)))*24*NETWORKDAYS.INTL(F671,F671,1,FERIADOS!$A$2:$A$50)+MAX(0,NETWORKDAYS.INTL(F671+1,NOW()-1,1,FERIADOS!$A$2:$A$50))*10+MAX(0,(MIN(NOW(),INT(NOW())+18/24)-(INT(NOW())+8/24)))*24*NETWORKDAYS.INTL(NOW(),NOW(),1,FERIADOS!$A$2:$A$50)))</f>
        <v/>
      </c>
      <c r="P671" s="1" t="str">
        <f t="shared" si="72"/>
        <v/>
      </c>
      <c r="Q671" s="1" t="str">
        <f t="shared" si="73"/>
        <v/>
      </c>
      <c r="R671" s="1" t="str">
        <f t="shared" si="74"/>
        <v/>
      </c>
      <c r="S671" s="1" t="str">
        <f>IF($A671="","",COUNTIF($N$2:N671,$N671))</f>
        <v/>
      </c>
      <c r="T671" s="1" t="str">
        <f t="shared" si="75"/>
        <v/>
      </c>
      <c r="U671" s="1" t="str">
        <f t="shared" si="76"/>
        <v/>
      </c>
      <c r="V671"/>
    </row>
    <row r="672" spans="13:22" x14ac:dyDescent="0.3">
      <c r="M672" s="1" t="str">
        <f t="shared" si="70"/>
        <v/>
      </c>
      <c r="N672" s="1" t="str">
        <f t="shared" si="71"/>
        <v/>
      </c>
      <c r="O672" s="1" t="str">
        <f ca="1">IF(F672="","",IF(INT(F672)=INT(NOW()),IF(NETWORKDAYS.INTL(F672,F672,1,FERIADOS!$A$2:$A$50)=0,0,MAX(0,(MIN(NOW(),INT(NOW())+18/24)-MAX(F672,INT(F672)+8/24)))*24),MAX(0,(INT(F672)+18/24-MAX(F672,INT(F672)+8/24)))*24*NETWORKDAYS.INTL(F672,F672,1,FERIADOS!$A$2:$A$50)+MAX(0,NETWORKDAYS.INTL(F672+1,NOW()-1,1,FERIADOS!$A$2:$A$50))*10+MAX(0,(MIN(NOW(),INT(NOW())+18/24)-(INT(NOW())+8/24)))*24*NETWORKDAYS.INTL(NOW(),NOW(),1,FERIADOS!$A$2:$A$50)))</f>
        <v/>
      </c>
      <c r="P672" s="1" t="str">
        <f t="shared" si="72"/>
        <v/>
      </c>
      <c r="Q672" s="1" t="str">
        <f t="shared" si="73"/>
        <v/>
      </c>
      <c r="R672" s="1" t="str">
        <f t="shared" si="74"/>
        <v/>
      </c>
      <c r="S672" s="1" t="str">
        <f>IF($A672="","",COUNTIF($N$2:N672,$N672))</f>
        <v/>
      </c>
      <c r="T672" s="1" t="str">
        <f t="shared" si="75"/>
        <v/>
      </c>
      <c r="U672" s="1" t="str">
        <f t="shared" si="76"/>
        <v/>
      </c>
      <c r="V672"/>
    </row>
    <row r="673" spans="13:22" x14ac:dyDescent="0.3">
      <c r="M673" s="1" t="str">
        <f t="shared" si="70"/>
        <v/>
      </c>
      <c r="N673" s="1" t="str">
        <f t="shared" si="71"/>
        <v/>
      </c>
      <c r="O673" s="1" t="str">
        <f ca="1">IF(F673="","",IF(INT(F673)=INT(NOW()),IF(NETWORKDAYS.INTL(F673,F673,1,FERIADOS!$A$2:$A$50)=0,0,MAX(0,(MIN(NOW(),INT(NOW())+18/24)-MAX(F673,INT(F673)+8/24)))*24),MAX(0,(INT(F673)+18/24-MAX(F673,INT(F673)+8/24)))*24*NETWORKDAYS.INTL(F673,F673,1,FERIADOS!$A$2:$A$50)+MAX(0,NETWORKDAYS.INTL(F673+1,NOW()-1,1,FERIADOS!$A$2:$A$50))*10+MAX(0,(MIN(NOW(),INT(NOW())+18/24)-(INT(NOW())+8/24)))*24*NETWORKDAYS.INTL(NOW(),NOW(),1,FERIADOS!$A$2:$A$50)))</f>
        <v/>
      </c>
      <c r="P673" s="1" t="str">
        <f t="shared" si="72"/>
        <v/>
      </c>
      <c r="Q673" s="1" t="str">
        <f t="shared" si="73"/>
        <v/>
      </c>
      <c r="R673" s="1" t="str">
        <f t="shared" si="74"/>
        <v/>
      </c>
      <c r="S673" s="1" t="str">
        <f>IF($A673="","",COUNTIF($N$2:N673,$N673))</f>
        <v/>
      </c>
      <c r="T673" s="1" t="str">
        <f t="shared" si="75"/>
        <v/>
      </c>
      <c r="U673" s="1" t="str">
        <f t="shared" si="76"/>
        <v/>
      </c>
      <c r="V673"/>
    </row>
    <row r="674" spans="13:22" x14ac:dyDescent="0.3">
      <c r="M674" s="1" t="str">
        <f t="shared" si="70"/>
        <v/>
      </c>
      <c r="N674" s="1" t="str">
        <f t="shared" si="71"/>
        <v/>
      </c>
      <c r="O674" s="1" t="str">
        <f ca="1">IF(F674="","",IF(INT(F674)=INT(NOW()),IF(NETWORKDAYS.INTL(F674,F674,1,FERIADOS!$A$2:$A$50)=0,0,MAX(0,(MIN(NOW(),INT(NOW())+18/24)-MAX(F674,INT(F674)+8/24)))*24),MAX(0,(INT(F674)+18/24-MAX(F674,INT(F674)+8/24)))*24*NETWORKDAYS.INTL(F674,F674,1,FERIADOS!$A$2:$A$50)+MAX(0,NETWORKDAYS.INTL(F674+1,NOW()-1,1,FERIADOS!$A$2:$A$50))*10+MAX(0,(MIN(NOW(),INT(NOW())+18/24)-(INT(NOW())+8/24)))*24*NETWORKDAYS.INTL(NOW(),NOW(),1,FERIADOS!$A$2:$A$50)))</f>
        <v/>
      </c>
      <c r="P674" s="1" t="str">
        <f t="shared" si="72"/>
        <v/>
      </c>
      <c r="Q674" s="1" t="str">
        <f t="shared" si="73"/>
        <v/>
      </c>
      <c r="R674" s="1" t="str">
        <f t="shared" si="74"/>
        <v/>
      </c>
      <c r="S674" s="1" t="str">
        <f>IF($A674="","",COUNTIF($N$2:N674,$N674))</f>
        <v/>
      </c>
      <c r="T674" s="1" t="str">
        <f t="shared" si="75"/>
        <v/>
      </c>
      <c r="U674" s="1" t="str">
        <f t="shared" si="76"/>
        <v/>
      </c>
      <c r="V674"/>
    </row>
    <row r="675" spans="13:22" x14ac:dyDescent="0.3">
      <c r="M675" s="1" t="str">
        <f t="shared" si="70"/>
        <v/>
      </c>
      <c r="N675" s="1" t="str">
        <f t="shared" si="71"/>
        <v/>
      </c>
      <c r="O675" s="1" t="str">
        <f ca="1">IF(F675="","",IF(INT(F675)=INT(NOW()),IF(NETWORKDAYS.INTL(F675,F675,1,FERIADOS!$A$2:$A$50)=0,0,MAX(0,(MIN(NOW(),INT(NOW())+18/24)-MAX(F675,INT(F675)+8/24)))*24),MAX(0,(INT(F675)+18/24-MAX(F675,INT(F675)+8/24)))*24*NETWORKDAYS.INTL(F675,F675,1,FERIADOS!$A$2:$A$50)+MAX(0,NETWORKDAYS.INTL(F675+1,NOW()-1,1,FERIADOS!$A$2:$A$50))*10+MAX(0,(MIN(NOW(),INT(NOW())+18/24)-(INT(NOW())+8/24)))*24*NETWORKDAYS.INTL(NOW(),NOW(),1,FERIADOS!$A$2:$A$50)))</f>
        <v/>
      </c>
      <c r="P675" s="1" t="str">
        <f t="shared" si="72"/>
        <v/>
      </c>
      <c r="Q675" s="1" t="str">
        <f t="shared" si="73"/>
        <v/>
      </c>
      <c r="R675" s="1" t="str">
        <f t="shared" si="74"/>
        <v/>
      </c>
      <c r="S675" s="1" t="str">
        <f>IF($A675="","",COUNTIF($N$2:N675,$N675))</f>
        <v/>
      </c>
      <c r="T675" s="1" t="str">
        <f t="shared" si="75"/>
        <v/>
      </c>
      <c r="U675" s="1" t="str">
        <f t="shared" si="76"/>
        <v/>
      </c>
      <c r="V675"/>
    </row>
    <row r="676" spans="13:22" x14ac:dyDescent="0.3">
      <c r="M676" s="1" t="str">
        <f t="shared" si="70"/>
        <v/>
      </c>
      <c r="N676" s="1" t="str">
        <f t="shared" si="71"/>
        <v/>
      </c>
      <c r="O676" s="1" t="str">
        <f ca="1">IF(F676="","",IF(INT(F676)=INT(NOW()),IF(NETWORKDAYS.INTL(F676,F676,1,FERIADOS!$A$2:$A$50)=0,0,MAX(0,(MIN(NOW(),INT(NOW())+18/24)-MAX(F676,INT(F676)+8/24)))*24),MAX(0,(INT(F676)+18/24-MAX(F676,INT(F676)+8/24)))*24*NETWORKDAYS.INTL(F676,F676,1,FERIADOS!$A$2:$A$50)+MAX(0,NETWORKDAYS.INTL(F676+1,NOW()-1,1,FERIADOS!$A$2:$A$50))*10+MAX(0,(MIN(NOW(),INT(NOW())+18/24)-(INT(NOW())+8/24)))*24*NETWORKDAYS.INTL(NOW(),NOW(),1,FERIADOS!$A$2:$A$50)))</f>
        <v/>
      </c>
      <c r="P676" s="1" t="str">
        <f t="shared" si="72"/>
        <v/>
      </c>
      <c r="Q676" s="1" t="str">
        <f t="shared" si="73"/>
        <v/>
      </c>
      <c r="R676" s="1" t="str">
        <f t="shared" si="74"/>
        <v/>
      </c>
      <c r="S676" s="1" t="str">
        <f>IF($A676="","",COUNTIF($N$2:N676,$N676))</f>
        <v/>
      </c>
      <c r="T676" s="1" t="str">
        <f t="shared" si="75"/>
        <v/>
      </c>
      <c r="U676" s="1" t="str">
        <f t="shared" si="76"/>
        <v/>
      </c>
      <c r="V676"/>
    </row>
    <row r="677" spans="13:22" x14ac:dyDescent="0.3">
      <c r="M677" s="1" t="str">
        <f t="shared" si="70"/>
        <v/>
      </c>
      <c r="N677" s="1" t="str">
        <f t="shared" si="71"/>
        <v/>
      </c>
      <c r="O677" s="1" t="str">
        <f ca="1">IF(F677="","",IF(INT(F677)=INT(NOW()),IF(NETWORKDAYS.INTL(F677,F677,1,FERIADOS!$A$2:$A$50)=0,0,MAX(0,(MIN(NOW(),INT(NOW())+18/24)-MAX(F677,INT(F677)+8/24)))*24),MAX(0,(INT(F677)+18/24-MAX(F677,INT(F677)+8/24)))*24*NETWORKDAYS.INTL(F677,F677,1,FERIADOS!$A$2:$A$50)+MAX(0,NETWORKDAYS.INTL(F677+1,NOW()-1,1,FERIADOS!$A$2:$A$50))*10+MAX(0,(MIN(NOW(),INT(NOW())+18/24)-(INT(NOW())+8/24)))*24*NETWORKDAYS.INTL(NOW(),NOW(),1,FERIADOS!$A$2:$A$50)))</f>
        <v/>
      </c>
      <c r="P677" s="1" t="str">
        <f t="shared" si="72"/>
        <v/>
      </c>
      <c r="Q677" s="1" t="str">
        <f t="shared" si="73"/>
        <v/>
      </c>
      <c r="R677" s="1" t="str">
        <f t="shared" si="74"/>
        <v/>
      </c>
      <c r="S677" s="1" t="str">
        <f>IF($A677="","",COUNTIF($N$2:N677,$N677))</f>
        <v/>
      </c>
      <c r="T677" s="1" t="str">
        <f t="shared" si="75"/>
        <v/>
      </c>
      <c r="U677" s="1" t="str">
        <f t="shared" si="76"/>
        <v/>
      </c>
      <c r="V677"/>
    </row>
    <row r="678" spans="13:22" x14ac:dyDescent="0.3">
      <c r="M678" s="1" t="str">
        <f t="shared" si="70"/>
        <v/>
      </c>
      <c r="N678" s="1" t="str">
        <f t="shared" si="71"/>
        <v/>
      </c>
      <c r="O678" s="1" t="str">
        <f ca="1">IF(F678="","",IF(INT(F678)=INT(NOW()),IF(NETWORKDAYS.INTL(F678,F678,1,FERIADOS!$A$2:$A$50)=0,0,MAX(0,(MIN(NOW(),INT(NOW())+18/24)-MAX(F678,INT(F678)+8/24)))*24),MAX(0,(INT(F678)+18/24-MAX(F678,INT(F678)+8/24)))*24*NETWORKDAYS.INTL(F678,F678,1,FERIADOS!$A$2:$A$50)+MAX(0,NETWORKDAYS.INTL(F678+1,NOW()-1,1,FERIADOS!$A$2:$A$50))*10+MAX(0,(MIN(NOW(),INT(NOW())+18/24)-(INT(NOW())+8/24)))*24*NETWORKDAYS.INTL(NOW(),NOW(),1,FERIADOS!$A$2:$A$50)))</f>
        <v/>
      </c>
      <c r="P678" s="1" t="str">
        <f t="shared" si="72"/>
        <v/>
      </c>
      <c r="Q678" s="1" t="str">
        <f t="shared" si="73"/>
        <v/>
      </c>
      <c r="R678" s="1" t="str">
        <f t="shared" si="74"/>
        <v/>
      </c>
      <c r="S678" s="1" t="str">
        <f>IF($A678="","",COUNTIF($N$2:N678,$N678))</f>
        <v/>
      </c>
      <c r="T678" s="1" t="str">
        <f t="shared" si="75"/>
        <v/>
      </c>
      <c r="U678" s="1" t="str">
        <f t="shared" si="76"/>
        <v/>
      </c>
      <c r="V678"/>
    </row>
    <row r="679" spans="13:22" x14ac:dyDescent="0.3">
      <c r="M679" s="1" t="str">
        <f t="shared" si="70"/>
        <v/>
      </c>
      <c r="N679" s="1" t="str">
        <f t="shared" si="71"/>
        <v/>
      </c>
      <c r="O679" s="1" t="str">
        <f ca="1">IF(F679="","",IF(INT(F679)=INT(NOW()),IF(NETWORKDAYS.INTL(F679,F679,1,FERIADOS!$A$2:$A$50)=0,0,MAX(0,(MIN(NOW(),INT(NOW())+18/24)-MAX(F679,INT(F679)+8/24)))*24),MAX(0,(INT(F679)+18/24-MAX(F679,INT(F679)+8/24)))*24*NETWORKDAYS.INTL(F679,F679,1,FERIADOS!$A$2:$A$50)+MAX(0,NETWORKDAYS.INTL(F679+1,NOW()-1,1,FERIADOS!$A$2:$A$50))*10+MAX(0,(MIN(NOW(),INT(NOW())+18/24)-(INT(NOW())+8/24)))*24*NETWORKDAYS.INTL(NOW(),NOW(),1,FERIADOS!$A$2:$A$50)))</f>
        <v/>
      </c>
      <c r="P679" s="1" t="str">
        <f t="shared" si="72"/>
        <v/>
      </c>
      <c r="Q679" s="1" t="str">
        <f t="shared" si="73"/>
        <v/>
      </c>
      <c r="R679" s="1" t="str">
        <f t="shared" si="74"/>
        <v/>
      </c>
      <c r="S679" s="1" t="str">
        <f>IF($A679="","",COUNTIF($N$2:N679,$N679))</f>
        <v/>
      </c>
      <c r="T679" s="1" t="str">
        <f t="shared" si="75"/>
        <v/>
      </c>
      <c r="U679" s="1" t="str">
        <f t="shared" si="76"/>
        <v/>
      </c>
      <c r="V679"/>
    </row>
    <row r="680" spans="13:22" x14ac:dyDescent="0.3">
      <c r="M680" s="1" t="str">
        <f t="shared" si="70"/>
        <v/>
      </c>
      <c r="N680" s="1" t="str">
        <f t="shared" si="71"/>
        <v/>
      </c>
      <c r="O680" s="1" t="str">
        <f ca="1">IF(F680="","",IF(INT(F680)=INT(NOW()),IF(NETWORKDAYS.INTL(F680,F680,1,FERIADOS!$A$2:$A$50)=0,0,MAX(0,(MIN(NOW(),INT(NOW())+18/24)-MAX(F680,INT(F680)+8/24)))*24),MAX(0,(INT(F680)+18/24-MAX(F680,INT(F680)+8/24)))*24*NETWORKDAYS.INTL(F680,F680,1,FERIADOS!$A$2:$A$50)+MAX(0,NETWORKDAYS.INTL(F680+1,NOW()-1,1,FERIADOS!$A$2:$A$50))*10+MAX(0,(MIN(NOW(),INT(NOW())+18/24)-(INT(NOW())+8/24)))*24*NETWORKDAYS.INTL(NOW(),NOW(),1,FERIADOS!$A$2:$A$50)))</f>
        <v/>
      </c>
      <c r="P680" s="1" t="str">
        <f t="shared" si="72"/>
        <v/>
      </c>
      <c r="Q680" s="1" t="str">
        <f t="shared" si="73"/>
        <v/>
      </c>
      <c r="R680" s="1" t="str">
        <f t="shared" si="74"/>
        <v/>
      </c>
      <c r="S680" s="1" t="str">
        <f>IF($A680="","",COUNTIF($N$2:N680,$N680))</f>
        <v/>
      </c>
      <c r="T680" s="1" t="str">
        <f t="shared" si="75"/>
        <v/>
      </c>
      <c r="U680" s="1" t="str">
        <f t="shared" si="76"/>
        <v/>
      </c>
      <c r="V680"/>
    </row>
    <row r="681" spans="13:22" x14ac:dyDescent="0.3">
      <c r="M681" s="1" t="str">
        <f t="shared" si="70"/>
        <v/>
      </c>
      <c r="N681" s="1" t="str">
        <f t="shared" si="71"/>
        <v/>
      </c>
      <c r="O681" s="1" t="str">
        <f ca="1">IF(F681="","",IF(INT(F681)=INT(NOW()),IF(NETWORKDAYS.INTL(F681,F681,1,FERIADOS!$A$2:$A$50)=0,0,MAX(0,(MIN(NOW(),INT(NOW())+18/24)-MAX(F681,INT(F681)+8/24)))*24),MAX(0,(INT(F681)+18/24-MAX(F681,INT(F681)+8/24)))*24*NETWORKDAYS.INTL(F681,F681,1,FERIADOS!$A$2:$A$50)+MAX(0,NETWORKDAYS.INTL(F681+1,NOW()-1,1,FERIADOS!$A$2:$A$50))*10+MAX(0,(MIN(NOW(),INT(NOW())+18/24)-(INT(NOW())+8/24)))*24*NETWORKDAYS.INTL(NOW(),NOW(),1,FERIADOS!$A$2:$A$50)))</f>
        <v/>
      </c>
      <c r="P681" s="1" t="str">
        <f t="shared" si="72"/>
        <v/>
      </c>
      <c r="Q681" s="1" t="str">
        <f t="shared" si="73"/>
        <v/>
      </c>
      <c r="R681" s="1" t="str">
        <f t="shared" si="74"/>
        <v/>
      </c>
      <c r="S681" s="1" t="str">
        <f>IF($A681="","",COUNTIF($N$2:N681,$N681))</f>
        <v/>
      </c>
      <c r="T681" s="1" t="str">
        <f t="shared" si="75"/>
        <v/>
      </c>
      <c r="U681" s="1" t="str">
        <f t="shared" si="76"/>
        <v/>
      </c>
      <c r="V681"/>
    </row>
    <row r="682" spans="13:22" x14ac:dyDescent="0.3">
      <c r="M682" s="1" t="str">
        <f t="shared" si="70"/>
        <v/>
      </c>
      <c r="N682" s="1" t="str">
        <f t="shared" si="71"/>
        <v/>
      </c>
      <c r="O682" s="1" t="str">
        <f ca="1">IF(F682="","",IF(INT(F682)=INT(NOW()),IF(NETWORKDAYS.INTL(F682,F682,1,FERIADOS!$A$2:$A$50)=0,0,MAX(0,(MIN(NOW(),INT(NOW())+18/24)-MAX(F682,INT(F682)+8/24)))*24),MAX(0,(INT(F682)+18/24-MAX(F682,INT(F682)+8/24)))*24*NETWORKDAYS.INTL(F682,F682,1,FERIADOS!$A$2:$A$50)+MAX(0,NETWORKDAYS.INTL(F682+1,NOW()-1,1,FERIADOS!$A$2:$A$50))*10+MAX(0,(MIN(NOW(),INT(NOW())+18/24)-(INT(NOW())+8/24)))*24*NETWORKDAYS.INTL(NOW(),NOW(),1,FERIADOS!$A$2:$A$50)))</f>
        <v/>
      </c>
      <c r="P682" s="1" t="str">
        <f t="shared" si="72"/>
        <v/>
      </c>
      <c r="Q682" s="1" t="str">
        <f t="shared" si="73"/>
        <v/>
      </c>
      <c r="R682" s="1" t="str">
        <f t="shared" si="74"/>
        <v/>
      </c>
      <c r="S682" s="1" t="str">
        <f>IF($A682="","",COUNTIF($N$2:N682,$N682))</f>
        <v/>
      </c>
      <c r="T682" s="1" t="str">
        <f t="shared" si="75"/>
        <v/>
      </c>
      <c r="U682" s="1" t="str">
        <f t="shared" si="76"/>
        <v/>
      </c>
      <c r="V682"/>
    </row>
    <row r="683" spans="13:22" x14ac:dyDescent="0.3">
      <c r="M683" s="1" t="str">
        <f t="shared" si="70"/>
        <v/>
      </c>
      <c r="N683" s="1" t="str">
        <f t="shared" si="71"/>
        <v/>
      </c>
      <c r="O683" s="1" t="str">
        <f ca="1">IF(F683="","",IF(INT(F683)=INT(NOW()),IF(NETWORKDAYS.INTL(F683,F683,1,FERIADOS!$A$2:$A$50)=0,0,MAX(0,(MIN(NOW(),INT(NOW())+18/24)-MAX(F683,INT(F683)+8/24)))*24),MAX(0,(INT(F683)+18/24-MAX(F683,INT(F683)+8/24)))*24*NETWORKDAYS.INTL(F683,F683,1,FERIADOS!$A$2:$A$50)+MAX(0,NETWORKDAYS.INTL(F683+1,NOW()-1,1,FERIADOS!$A$2:$A$50))*10+MAX(0,(MIN(NOW(),INT(NOW())+18/24)-(INT(NOW())+8/24)))*24*NETWORKDAYS.INTL(NOW(),NOW(),1,FERIADOS!$A$2:$A$50)))</f>
        <v/>
      </c>
      <c r="P683" s="1" t="str">
        <f t="shared" si="72"/>
        <v/>
      </c>
      <c r="Q683" s="1" t="str">
        <f t="shared" si="73"/>
        <v/>
      </c>
      <c r="R683" s="1" t="str">
        <f t="shared" si="74"/>
        <v/>
      </c>
      <c r="S683" s="1" t="str">
        <f>IF($A683="","",COUNTIF($N$2:N683,$N683))</f>
        <v/>
      </c>
      <c r="T683" s="1" t="str">
        <f t="shared" si="75"/>
        <v/>
      </c>
      <c r="U683" s="1" t="str">
        <f t="shared" si="76"/>
        <v/>
      </c>
      <c r="V683"/>
    </row>
    <row r="684" spans="13:22" x14ac:dyDescent="0.3">
      <c r="M684" s="1" t="str">
        <f t="shared" si="70"/>
        <v/>
      </c>
      <c r="N684" s="1" t="str">
        <f t="shared" si="71"/>
        <v/>
      </c>
      <c r="O684" s="1" t="str">
        <f ca="1">IF(F684="","",IF(INT(F684)=INT(NOW()),IF(NETWORKDAYS.INTL(F684,F684,1,FERIADOS!$A$2:$A$50)=0,0,MAX(0,(MIN(NOW(),INT(NOW())+18/24)-MAX(F684,INT(F684)+8/24)))*24),MAX(0,(INT(F684)+18/24-MAX(F684,INT(F684)+8/24)))*24*NETWORKDAYS.INTL(F684,F684,1,FERIADOS!$A$2:$A$50)+MAX(0,NETWORKDAYS.INTL(F684+1,NOW()-1,1,FERIADOS!$A$2:$A$50))*10+MAX(0,(MIN(NOW(),INT(NOW())+18/24)-(INT(NOW())+8/24)))*24*NETWORKDAYS.INTL(NOW(),NOW(),1,FERIADOS!$A$2:$A$50)))</f>
        <v/>
      </c>
      <c r="P684" s="1" t="str">
        <f t="shared" si="72"/>
        <v/>
      </c>
      <c r="Q684" s="1" t="str">
        <f t="shared" si="73"/>
        <v/>
      </c>
      <c r="R684" s="1" t="str">
        <f t="shared" si="74"/>
        <v/>
      </c>
      <c r="S684" s="1" t="str">
        <f>IF($A684="","",COUNTIF($N$2:N684,$N684))</f>
        <v/>
      </c>
      <c r="T684" s="1" t="str">
        <f t="shared" si="75"/>
        <v/>
      </c>
      <c r="U684" s="1" t="str">
        <f t="shared" si="76"/>
        <v/>
      </c>
      <c r="V684"/>
    </row>
    <row r="685" spans="13:22" x14ac:dyDescent="0.3">
      <c r="M685" s="1" t="str">
        <f t="shared" si="70"/>
        <v/>
      </c>
      <c r="N685" s="1" t="str">
        <f t="shared" si="71"/>
        <v/>
      </c>
      <c r="O685" s="1" t="str">
        <f ca="1">IF(F685="","",IF(INT(F685)=INT(NOW()),IF(NETWORKDAYS.INTL(F685,F685,1,FERIADOS!$A$2:$A$50)=0,0,MAX(0,(MIN(NOW(),INT(NOW())+18/24)-MAX(F685,INT(F685)+8/24)))*24),MAX(0,(INT(F685)+18/24-MAX(F685,INT(F685)+8/24)))*24*NETWORKDAYS.INTL(F685,F685,1,FERIADOS!$A$2:$A$50)+MAX(0,NETWORKDAYS.INTL(F685+1,NOW()-1,1,FERIADOS!$A$2:$A$50))*10+MAX(0,(MIN(NOW(),INT(NOW())+18/24)-(INT(NOW())+8/24)))*24*NETWORKDAYS.INTL(NOW(),NOW(),1,FERIADOS!$A$2:$A$50)))</f>
        <v/>
      </c>
      <c r="P685" s="1" t="str">
        <f t="shared" si="72"/>
        <v/>
      </c>
      <c r="Q685" s="1" t="str">
        <f t="shared" si="73"/>
        <v/>
      </c>
      <c r="R685" s="1" t="str">
        <f t="shared" si="74"/>
        <v/>
      </c>
      <c r="S685" s="1" t="str">
        <f>IF($A685="","",COUNTIF($N$2:N685,$N685))</f>
        <v/>
      </c>
      <c r="T685" s="1" t="str">
        <f t="shared" si="75"/>
        <v/>
      </c>
      <c r="U685" s="1" t="str">
        <f t="shared" si="76"/>
        <v/>
      </c>
      <c r="V685"/>
    </row>
    <row r="686" spans="13:22" x14ac:dyDescent="0.3">
      <c r="M686" s="1" t="str">
        <f t="shared" si="70"/>
        <v/>
      </c>
      <c r="N686" s="1" t="str">
        <f t="shared" si="71"/>
        <v/>
      </c>
      <c r="O686" s="1" t="str">
        <f ca="1">IF(F686="","",IF(INT(F686)=INT(NOW()),IF(NETWORKDAYS.INTL(F686,F686,1,FERIADOS!$A$2:$A$50)=0,0,MAX(0,(MIN(NOW(),INT(NOW())+18/24)-MAX(F686,INT(F686)+8/24)))*24),MAX(0,(INT(F686)+18/24-MAX(F686,INT(F686)+8/24)))*24*NETWORKDAYS.INTL(F686,F686,1,FERIADOS!$A$2:$A$50)+MAX(0,NETWORKDAYS.INTL(F686+1,NOW()-1,1,FERIADOS!$A$2:$A$50))*10+MAX(0,(MIN(NOW(),INT(NOW())+18/24)-(INT(NOW())+8/24)))*24*NETWORKDAYS.INTL(NOW(),NOW(),1,FERIADOS!$A$2:$A$50)))</f>
        <v/>
      </c>
      <c r="P686" s="1" t="str">
        <f t="shared" si="72"/>
        <v/>
      </c>
      <c r="Q686" s="1" t="str">
        <f t="shared" si="73"/>
        <v/>
      </c>
      <c r="R686" s="1" t="str">
        <f t="shared" si="74"/>
        <v/>
      </c>
      <c r="S686" s="1" t="str">
        <f>IF($A686="","",COUNTIF($N$2:N686,$N686))</f>
        <v/>
      </c>
      <c r="T686" s="1" t="str">
        <f t="shared" si="75"/>
        <v/>
      </c>
      <c r="U686" s="1" t="str">
        <f t="shared" si="76"/>
        <v/>
      </c>
      <c r="V686"/>
    </row>
    <row r="687" spans="13:22" x14ac:dyDescent="0.3">
      <c r="M687" s="1" t="str">
        <f t="shared" si="70"/>
        <v/>
      </c>
      <c r="N687" s="1" t="str">
        <f t="shared" si="71"/>
        <v/>
      </c>
      <c r="O687" s="1" t="str">
        <f ca="1">IF(F687="","",IF(INT(F687)=INT(NOW()),IF(NETWORKDAYS.INTL(F687,F687,1,FERIADOS!$A$2:$A$50)=0,0,MAX(0,(MIN(NOW(),INT(NOW())+18/24)-MAX(F687,INT(F687)+8/24)))*24),MAX(0,(INT(F687)+18/24-MAX(F687,INT(F687)+8/24)))*24*NETWORKDAYS.INTL(F687,F687,1,FERIADOS!$A$2:$A$50)+MAX(0,NETWORKDAYS.INTL(F687+1,NOW()-1,1,FERIADOS!$A$2:$A$50))*10+MAX(0,(MIN(NOW(),INT(NOW())+18/24)-(INT(NOW())+8/24)))*24*NETWORKDAYS.INTL(NOW(),NOW(),1,FERIADOS!$A$2:$A$50)))</f>
        <v/>
      </c>
      <c r="P687" s="1" t="str">
        <f t="shared" si="72"/>
        <v/>
      </c>
      <c r="Q687" s="1" t="str">
        <f t="shared" si="73"/>
        <v/>
      </c>
      <c r="R687" s="1" t="str">
        <f t="shared" si="74"/>
        <v/>
      </c>
      <c r="S687" s="1" t="str">
        <f>IF($A687="","",COUNTIF($N$2:N687,$N687))</f>
        <v/>
      </c>
      <c r="T687" s="1" t="str">
        <f t="shared" si="75"/>
        <v/>
      </c>
      <c r="U687" s="1" t="str">
        <f t="shared" si="76"/>
        <v/>
      </c>
      <c r="V687"/>
    </row>
    <row r="688" spans="13:22" x14ac:dyDescent="0.3">
      <c r="M688" s="1" t="str">
        <f t="shared" si="70"/>
        <v/>
      </c>
      <c r="N688" s="1" t="str">
        <f t="shared" si="71"/>
        <v/>
      </c>
      <c r="O688" s="1" t="str">
        <f ca="1">IF(F688="","",IF(INT(F688)=INT(NOW()),IF(NETWORKDAYS.INTL(F688,F688,1,FERIADOS!$A$2:$A$50)=0,0,MAX(0,(MIN(NOW(),INT(NOW())+18/24)-MAX(F688,INT(F688)+8/24)))*24),MAX(0,(INT(F688)+18/24-MAX(F688,INT(F688)+8/24)))*24*NETWORKDAYS.INTL(F688,F688,1,FERIADOS!$A$2:$A$50)+MAX(0,NETWORKDAYS.INTL(F688+1,NOW()-1,1,FERIADOS!$A$2:$A$50))*10+MAX(0,(MIN(NOW(),INT(NOW())+18/24)-(INT(NOW())+8/24)))*24*NETWORKDAYS.INTL(NOW(),NOW(),1,FERIADOS!$A$2:$A$50)))</f>
        <v/>
      </c>
      <c r="P688" s="1" t="str">
        <f t="shared" si="72"/>
        <v/>
      </c>
      <c r="Q688" s="1" t="str">
        <f t="shared" si="73"/>
        <v/>
      </c>
      <c r="R688" s="1" t="str">
        <f t="shared" si="74"/>
        <v/>
      </c>
      <c r="S688" s="1" t="str">
        <f>IF($A688="","",COUNTIF($N$2:N688,$N688))</f>
        <v/>
      </c>
      <c r="T688" s="1" t="str">
        <f t="shared" si="75"/>
        <v/>
      </c>
      <c r="U688" s="1" t="str">
        <f t="shared" si="76"/>
        <v/>
      </c>
      <c r="V688"/>
    </row>
    <row r="689" spans="13:22" x14ac:dyDescent="0.3">
      <c r="M689" s="1" t="str">
        <f t="shared" si="70"/>
        <v/>
      </c>
      <c r="N689" s="1" t="str">
        <f t="shared" si="71"/>
        <v/>
      </c>
      <c r="O689" s="1" t="str">
        <f ca="1">IF(F689="","",IF(INT(F689)=INT(NOW()),IF(NETWORKDAYS.INTL(F689,F689,1,FERIADOS!$A$2:$A$50)=0,0,MAX(0,(MIN(NOW(),INT(NOW())+18/24)-MAX(F689,INT(F689)+8/24)))*24),MAX(0,(INT(F689)+18/24-MAX(F689,INT(F689)+8/24)))*24*NETWORKDAYS.INTL(F689,F689,1,FERIADOS!$A$2:$A$50)+MAX(0,NETWORKDAYS.INTL(F689+1,NOW()-1,1,FERIADOS!$A$2:$A$50))*10+MAX(0,(MIN(NOW(),INT(NOW())+18/24)-(INT(NOW())+8/24)))*24*NETWORKDAYS.INTL(NOW(),NOW(),1,FERIADOS!$A$2:$A$50)))</f>
        <v/>
      </c>
      <c r="P689" s="1" t="str">
        <f t="shared" si="72"/>
        <v/>
      </c>
      <c r="Q689" s="1" t="str">
        <f t="shared" si="73"/>
        <v/>
      </c>
      <c r="R689" s="1" t="str">
        <f t="shared" si="74"/>
        <v/>
      </c>
      <c r="S689" s="1" t="str">
        <f>IF($A689="","",COUNTIF($N$2:N689,$N689))</f>
        <v/>
      </c>
      <c r="T689" s="1" t="str">
        <f t="shared" si="75"/>
        <v/>
      </c>
      <c r="U689" s="1" t="str">
        <f t="shared" si="76"/>
        <v/>
      </c>
      <c r="V689"/>
    </row>
    <row r="690" spans="13:22" x14ac:dyDescent="0.3">
      <c r="M690" s="1" t="str">
        <f t="shared" si="70"/>
        <v/>
      </c>
      <c r="N690" s="1" t="str">
        <f t="shared" si="71"/>
        <v/>
      </c>
      <c r="O690" s="1" t="str">
        <f ca="1">IF(F690="","",IF(INT(F690)=INT(NOW()),IF(NETWORKDAYS.INTL(F690,F690,1,FERIADOS!$A$2:$A$50)=0,0,MAX(0,(MIN(NOW(),INT(NOW())+18/24)-MAX(F690,INT(F690)+8/24)))*24),MAX(0,(INT(F690)+18/24-MAX(F690,INT(F690)+8/24)))*24*NETWORKDAYS.INTL(F690,F690,1,FERIADOS!$A$2:$A$50)+MAX(0,NETWORKDAYS.INTL(F690+1,NOW()-1,1,FERIADOS!$A$2:$A$50))*10+MAX(0,(MIN(NOW(),INT(NOW())+18/24)-(INT(NOW())+8/24)))*24*NETWORKDAYS.INTL(NOW(),NOW(),1,FERIADOS!$A$2:$A$50)))</f>
        <v/>
      </c>
      <c r="P690" s="1" t="str">
        <f t="shared" si="72"/>
        <v/>
      </c>
      <c r="Q690" s="1" t="str">
        <f t="shared" si="73"/>
        <v/>
      </c>
      <c r="R690" s="1" t="str">
        <f t="shared" si="74"/>
        <v/>
      </c>
      <c r="S690" s="1" t="str">
        <f>IF($A690="","",COUNTIF($N$2:N690,$N690))</f>
        <v/>
      </c>
      <c r="T690" s="1" t="str">
        <f t="shared" si="75"/>
        <v/>
      </c>
      <c r="U690" s="1" t="str">
        <f t="shared" si="76"/>
        <v/>
      </c>
      <c r="V690"/>
    </row>
    <row r="691" spans="13:22" x14ac:dyDescent="0.3">
      <c r="M691" s="1" t="str">
        <f t="shared" si="70"/>
        <v/>
      </c>
      <c r="N691" s="1" t="str">
        <f t="shared" si="71"/>
        <v/>
      </c>
      <c r="O691" s="1" t="str">
        <f ca="1">IF(F691="","",IF(INT(F691)=INT(NOW()),IF(NETWORKDAYS.INTL(F691,F691,1,FERIADOS!$A$2:$A$50)=0,0,MAX(0,(MIN(NOW(),INT(NOW())+18/24)-MAX(F691,INT(F691)+8/24)))*24),MAX(0,(INT(F691)+18/24-MAX(F691,INT(F691)+8/24)))*24*NETWORKDAYS.INTL(F691,F691,1,FERIADOS!$A$2:$A$50)+MAX(0,NETWORKDAYS.INTL(F691+1,NOW()-1,1,FERIADOS!$A$2:$A$50))*10+MAX(0,(MIN(NOW(),INT(NOW())+18/24)-(INT(NOW())+8/24)))*24*NETWORKDAYS.INTL(NOW(),NOW(),1,FERIADOS!$A$2:$A$50)))</f>
        <v/>
      </c>
      <c r="P691" s="1" t="str">
        <f t="shared" si="72"/>
        <v/>
      </c>
      <c r="Q691" s="1" t="str">
        <f t="shared" si="73"/>
        <v/>
      </c>
      <c r="R691" s="1" t="str">
        <f t="shared" si="74"/>
        <v/>
      </c>
      <c r="S691" s="1" t="str">
        <f>IF($A691="","",COUNTIF($N$2:N691,$N691))</f>
        <v/>
      </c>
      <c r="T691" s="1" t="str">
        <f t="shared" si="75"/>
        <v/>
      </c>
      <c r="U691" s="1" t="str">
        <f t="shared" si="76"/>
        <v/>
      </c>
      <c r="V691"/>
    </row>
    <row r="692" spans="13:22" x14ac:dyDescent="0.3">
      <c r="M692" s="1" t="str">
        <f t="shared" si="70"/>
        <v/>
      </c>
      <c r="N692" s="1" t="str">
        <f t="shared" si="71"/>
        <v/>
      </c>
      <c r="O692" s="1" t="str">
        <f ca="1">IF(F692="","",IF(INT(F692)=INT(NOW()),IF(NETWORKDAYS.INTL(F692,F692,1,FERIADOS!$A$2:$A$50)=0,0,MAX(0,(MIN(NOW(),INT(NOW())+18/24)-MAX(F692,INT(F692)+8/24)))*24),MAX(0,(INT(F692)+18/24-MAX(F692,INT(F692)+8/24)))*24*NETWORKDAYS.INTL(F692,F692,1,FERIADOS!$A$2:$A$50)+MAX(0,NETWORKDAYS.INTL(F692+1,NOW()-1,1,FERIADOS!$A$2:$A$50))*10+MAX(0,(MIN(NOW(),INT(NOW())+18/24)-(INT(NOW())+8/24)))*24*NETWORKDAYS.INTL(NOW(),NOW(),1,FERIADOS!$A$2:$A$50)))</f>
        <v/>
      </c>
      <c r="P692" s="1" t="str">
        <f t="shared" si="72"/>
        <v/>
      </c>
      <c r="Q692" s="1" t="str">
        <f t="shared" si="73"/>
        <v/>
      </c>
      <c r="R692" s="1" t="str">
        <f t="shared" si="74"/>
        <v/>
      </c>
      <c r="S692" s="1" t="str">
        <f>IF($A692="","",COUNTIF($N$2:N692,$N692))</f>
        <v/>
      </c>
      <c r="T692" s="1" t="str">
        <f t="shared" si="75"/>
        <v/>
      </c>
      <c r="U692" s="1" t="str">
        <f t="shared" si="76"/>
        <v/>
      </c>
      <c r="V692"/>
    </row>
    <row r="693" spans="13:22" x14ac:dyDescent="0.3">
      <c r="M693" s="1" t="str">
        <f t="shared" si="70"/>
        <v/>
      </c>
      <c r="N693" s="1" t="str">
        <f t="shared" si="71"/>
        <v/>
      </c>
      <c r="O693" s="1" t="str">
        <f ca="1">IF(F693="","",IF(INT(F693)=INT(NOW()),IF(NETWORKDAYS.INTL(F693,F693,1,FERIADOS!$A$2:$A$50)=0,0,MAX(0,(MIN(NOW(),INT(NOW())+18/24)-MAX(F693,INT(F693)+8/24)))*24),MAX(0,(INT(F693)+18/24-MAX(F693,INT(F693)+8/24)))*24*NETWORKDAYS.INTL(F693,F693,1,FERIADOS!$A$2:$A$50)+MAX(0,NETWORKDAYS.INTL(F693+1,NOW()-1,1,FERIADOS!$A$2:$A$50))*10+MAX(0,(MIN(NOW(),INT(NOW())+18/24)-(INT(NOW())+8/24)))*24*NETWORKDAYS.INTL(NOW(),NOW(),1,FERIADOS!$A$2:$A$50)))</f>
        <v/>
      </c>
      <c r="P693" s="1" t="str">
        <f t="shared" si="72"/>
        <v/>
      </c>
      <c r="Q693" s="1" t="str">
        <f t="shared" si="73"/>
        <v/>
      </c>
      <c r="R693" s="1" t="str">
        <f t="shared" si="74"/>
        <v/>
      </c>
      <c r="S693" s="1" t="str">
        <f>IF($A693="","",COUNTIF($N$2:N693,$N693))</f>
        <v/>
      </c>
      <c r="T693" s="1" t="str">
        <f t="shared" si="75"/>
        <v/>
      </c>
      <c r="U693" s="1" t="str">
        <f t="shared" si="76"/>
        <v/>
      </c>
      <c r="V693"/>
    </row>
    <row r="694" spans="13:22" x14ac:dyDescent="0.3">
      <c r="M694" s="1" t="str">
        <f t="shared" si="70"/>
        <v/>
      </c>
      <c r="N694" s="1" t="str">
        <f t="shared" si="71"/>
        <v/>
      </c>
      <c r="O694" s="1" t="str">
        <f ca="1">IF(F694="","",IF(INT(F694)=INT(NOW()),IF(NETWORKDAYS.INTL(F694,F694,1,FERIADOS!$A$2:$A$50)=0,0,MAX(0,(MIN(NOW(),INT(NOW())+18/24)-MAX(F694,INT(F694)+8/24)))*24),MAX(0,(INT(F694)+18/24-MAX(F694,INT(F694)+8/24)))*24*NETWORKDAYS.INTL(F694,F694,1,FERIADOS!$A$2:$A$50)+MAX(0,NETWORKDAYS.INTL(F694+1,NOW()-1,1,FERIADOS!$A$2:$A$50))*10+MAX(0,(MIN(NOW(),INT(NOW())+18/24)-(INT(NOW())+8/24)))*24*NETWORKDAYS.INTL(NOW(),NOW(),1,FERIADOS!$A$2:$A$50)))</f>
        <v/>
      </c>
      <c r="P694" s="1" t="str">
        <f t="shared" si="72"/>
        <v/>
      </c>
      <c r="Q694" s="1" t="str">
        <f t="shared" si="73"/>
        <v/>
      </c>
      <c r="R694" s="1" t="str">
        <f t="shared" si="74"/>
        <v/>
      </c>
      <c r="S694" s="1" t="str">
        <f>IF($A694="","",COUNTIF($N$2:N694,$N694))</f>
        <v/>
      </c>
      <c r="T694" s="1" t="str">
        <f t="shared" si="75"/>
        <v/>
      </c>
      <c r="U694" s="1" t="str">
        <f t="shared" si="76"/>
        <v/>
      </c>
      <c r="V694"/>
    </row>
    <row r="695" spans="13:22" x14ac:dyDescent="0.3">
      <c r="M695" s="1" t="str">
        <f t="shared" si="70"/>
        <v/>
      </c>
      <c r="N695" s="1" t="str">
        <f t="shared" si="71"/>
        <v/>
      </c>
      <c r="O695" s="1" t="str">
        <f ca="1">IF(F695="","",IF(INT(F695)=INT(NOW()),IF(NETWORKDAYS.INTL(F695,F695,1,FERIADOS!$A$2:$A$50)=0,0,MAX(0,(MIN(NOW(),INT(NOW())+18/24)-MAX(F695,INT(F695)+8/24)))*24),MAX(0,(INT(F695)+18/24-MAX(F695,INT(F695)+8/24)))*24*NETWORKDAYS.INTL(F695,F695,1,FERIADOS!$A$2:$A$50)+MAX(0,NETWORKDAYS.INTL(F695+1,NOW()-1,1,FERIADOS!$A$2:$A$50))*10+MAX(0,(MIN(NOW(),INT(NOW())+18/24)-(INT(NOW())+8/24)))*24*NETWORKDAYS.INTL(NOW(),NOW(),1,FERIADOS!$A$2:$A$50)))</f>
        <v/>
      </c>
      <c r="P695" s="1" t="str">
        <f t="shared" si="72"/>
        <v/>
      </c>
      <c r="Q695" s="1" t="str">
        <f t="shared" si="73"/>
        <v/>
      </c>
      <c r="R695" s="1" t="str">
        <f t="shared" si="74"/>
        <v/>
      </c>
      <c r="S695" s="1" t="str">
        <f>IF($A695="","",COUNTIF($N$2:N695,$N695))</f>
        <v/>
      </c>
      <c r="T695" s="1" t="str">
        <f t="shared" si="75"/>
        <v/>
      </c>
      <c r="U695" s="1" t="str">
        <f t="shared" si="76"/>
        <v/>
      </c>
      <c r="V695"/>
    </row>
    <row r="696" spans="13:22" x14ac:dyDescent="0.3">
      <c r="M696" s="1" t="str">
        <f t="shared" si="70"/>
        <v/>
      </c>
      <c r="N696" s="1" t="str">
        <f t="shared" si="71"/>
        <v/>
      </c>
      <c r="O696" s="1" t="str">
        <f ca="1">IF(F696="","",IF(INT(F696)=INT(NOW()),IF(NETWORKDAYS.INTL(F696,F696,1,FERIADOS!$A$2:$A$50)=0,0,MAX(0,(MIN(NOW(),INT(NOW())+18/24)-MAX(F696,INT(F696)+8/24)))*24),MAX(0,(INT(F696)+18/24-MAX(F696,INT(F696)+8/24)))*24*NETWORKDAYS.INTL(F696,F696,1,FERIADOS!$A$2:$A$50)+MAX(0,NETWORKDAYS.INTL(F696+1,NOW()-1,1,FERIADOS!$A$2:$A$50))*10+MAX(0,(MIN(NOW(),INT(NOW())+18/24)-(INT(NOW())+8/24)))*24*NETWORKDAYS.INTL(NOW(),NOW(),1,FERIADOS!$A$2:$A$50)))</f>
        <v/>
      </c>
      <c r="P696" s="1" t="str">
        <f t="shared" si="72"/>
        <v/>
      </c>
      <c r="Q696" s="1" t="str">
        <f t="shared" si="73"/>
        <v/>
      </c>
      <c r="R696" s="1" t="str">
        <f t="shared" si="74"/>
        <v/>
      </c>
      <c r="S696" s="1" t="str">
        <f>IF($A696="","",COUNTIF($N$2:N696,$N696))</f>
        <v/>
      </c>
      <c r="T696" s="1" t="str">
        <f t="shared" si="75"/>
        <v/>
      </c>
      <c r="U696" s="1" t="str">
        <f t="shared" si="76"/>
        <v/>
      </c>
      <c r="V696"/>
    </row>
    <row r="697" spans="13:22" x14ac:dyDescent="0.3">
      <c r="M697" s="1" t="str">
        <f t="shared" si="70"/>
        <v/>
      </c>
      <c r="N697" s="1" t="str">
        <f t="shared" si="71"/>
        <v/>
      </c>
      <c r="O697" s="1" t="str">
        <f ca="1">IF(F697="","",IF(INT(F697)=INT(NOW()),IF(NETWORKDAYS.INTL(F697,F697,1,FERIADOS!$A$2:$A$50)=0,0,MAX(0,(MIN(NOW(),INT(NOW())+18/24)-MAX(F697,INT(F697)+8/24)))*24),MAX(0,(INT(F697)+18/24-MAX(F697,INT(F697)+8/24)))*24*NETWORKDAYS.INTL(F697,F697,1,FERIADOS!$A$2:$A$50)+MAX(0,NETWORKDAYS.INTL(F697+1,NOW()-1,1,FERIADOS!$A$2:$A$50))*10+MAX(0,(MIN(NOW(),INT(NOW())+18/24)-(INT(NOW())+8/24)))*24*NETWORKDAYS.INTL(NOW(),NOW(),1,FERIADOS!$A$2:$A$50)))</f>
        <v/>
      </c>
      <c r="P697" s="1" t="str">
        <f t="shared" si="72"/>
        <v/>
      </c>
      <c r="Q697" s="1" t="str">
        <f t="shared" si="73"/>
        <v/>
      </c>
      <c r="R697" s="1" t="str">
        <f t="shared" si="74"/>
        <v/>
      </c>
      <c r="S697" s="1" t="str">
        <f>IF($A697="","",COUNTIF($N$2:N697,$N697))</f>
        <v/>
      </c>
      <c r="T697" s="1" t="str">
        <f t="shared" si="75"/>
        <v/>
      </c>
      <c r="U697" s="1" t="str">
        <f t="shared" si="76"/>
        <v/>
      </c>
      <c r="V697"/>
    </row>
    <row r="698" spans="13:22" x14ac:dyDescent="0.3">
      <c r="M698" s="1" t="str">
        <f t="shared" si="70"/>
        <v/>
      </c>
      <c r="N698" s="1" t="str">
        <f t="shared" si="71"/>
        <v/>
      </c>
      <c r="O698" s="1" t="str">
        <f ca="1">IF(F698="","",IF(INT(F698)=INT(NOW()),IF(NETWORKDAYS.INTL(F698,F698,1,FERIADOS!$A$2:$A$50)=0,0,MAX(0,(MIN(NOW(),INT(NOW())+18/24)-MAX(F698,INT(F698)+8/24)))*24),MAX(0,(INT(F698)+18/24-MAX(F698,INT(F698)+8/24)))*24*NETWORKDAYS.INTL(F698,F698,1,FERIADOS!$A$2:$A$50)+MAX(0,NETWORKDAYS.INTL(F698+1,NOW()-1,1,FERIADOS!$A$2:$A$50))*10+MAX(0,(MIN(NOW(),INT(NOW())+18/24)-(INT(NOW())+8/24)))*24*NETWORKDAYS.INTL(NOW(),NOW(),1,FERIADOS!$A$2:$A$50)))</f>
        <v/>
      </c>
      <c r="P698" s="1" t="str">
        <f t="shared" si="72"/>
        <v/>
      </c>
      <c r="Q698" s="1" t="str">
        <f t="shared" si="73"/>
        <v/>
      </c>
      <c r="R698" s="1" t="str">
        <f t="shared" si="74"/>
        <v/>
      </c>
      <c r="S698" s="1" t="str">
        <f>IF($A698="","",COUNTIF($N$2:N698,$N698))</f>
        <v/>
      </c>
      <c r="T698" s="1" t="str">
        <f t="shared" si="75"/>
        <v/>
      </c>
      <c r="U698" s="1" t="str">
        <f t="shared" si="76"/>
        <v/>
      </c>
      <c r="V698"/>
    </row>
    <row r="699" spans="13:22" x14ac:dyDescent="0.3">
      <c r="M699" s="1" t="str">
        <f t="shared" si="70"/>
        <v/>
      </c>
      <c r="N699" s="1" t="str">
        <f t="shared" si="71"/>
        <v/>
      </c>
      <c r="O699" s="1" t="str">
        <f ca="1">IF(F699="","",IF(INT(F699)=INT(NOW()),IF(NETWORKDAYS.INTL(F699,F699,1,FERIADOS!$A$2:$A$50)=0,0,MAX(0,(MIN(NOW(),INT(NOW())+18/24)-MAX(F699,INT(F699)+8/24)))*24),MAX(0,(INT(F699)+18/24-MAX(F699,INT(F699)+8/24)))*24*NETWORKDAYS.INTL(F699,F699,1,FERIADOS!$A$2:$A$50)+MAX(0,NETWORKDAYS.INTL(F699+1,NOW()-1,1,FERIADOS!$A$2:$A$50))*10+MAX(0,(MIN(NOW(),INT(NOW())+18/24)-(INT(NOW())+8/24)))*24*NETWORKDAYS.INTL(NOW(),NOW(),1,FERIADOS!$A$2:$A$50)))</f>
        <v/>
      </c>
      <c r="P699" s="1" t="str">
        <f t="shared" si="72"/>
        <v/>
      </c>
      <c r="Q699" s="1" t="str">
        <f t="shared" si="73"/>
        <v/>
      </c>
      <c r="R699" s="1" t="str">
        <f t="shared" si="74"/>
        <v/>
      </c>
      <c r="S699" s="1" t="str">
        <f>IF($A699="","",COUNTIF($N$2:N699,$N699))</f>
        <v/>
      </c>
      <c r="T699" s="1" t="str">
        <f t="shared" si="75"/>
        <v/>
      </c>
      <c r="U699" s="1" t="str">
        <f t="shared" si="76"/>
        <v/>
      </c>
      <c r="V699"/>
    </row>
    <row r="700" spans="13:22" x14ac:dyDescent="0.3">
      <c r="M700" s="1" t="str">
        <f t="shared" si="70"/>
        <v/>
      </c>
      <c r="N700" s="1" t="str">
        <f t="shared" si="71"/>
        <v/>
      </c>
      <c r="O700" s="1" t="str">
        <f ca="1">IF(F700="","",IF(INT(F700)=INT(NOW()),IF(NETWORKDAYS.INTL(F700,F700,1,FERIADOS!$A$2:$A$50)=0,0,MAX(0,(MIN(NOW(),INT(NOW())+18/24)-MAX(F700,INT(F700)+8/24)))*24),MAX(0,(INT(F700)+18/24-MAX(F700,INT(F700)+8/24)))*24*NETWORKDAYS.INTL(F700,F700,1,FERIADOS!$A$2:$A$50)+MAX(0,NETWORKDAYS.INTL(F700+1,NOW()-1,1,FERIADOS!$A$2:$A$50))*10+MAX(0,(MIN(NOW(),INT(NOW())+18/24)-(INT(NOW())+8/24)))*24*NETWORKDAYS.INTL(NOW(),NOW(),1,FERIADOS!$A$2:$A$50)))</f>
        <v/>
      </c>
      <c r="P700" s="1" t="str">
        <f t="shared" si="72"/>
        <v/>
      </c>
      <c r="Q700" s="1" t="str">
        <f t="shared" si="73"/>
        <v/>
      </c>
      <c r="R700" s="1" t="str">
        <f t="shared" si="74"/>
        <v/>
      </c>
      <c r="S700" s="1" t="str">
        <f>IF($A700="","",COUNTIF($N$2:N700,$N700))</f>
        <v/>
      </c>
      <c r="T700" s="1" t="str">
        <f t="shared" si="75"/>
        <v/>
      </c>
      <c r="U700" s="1" t="str">
        <f t="shared" si="76"/>
        <v/>
      </c>
      <c r="V700"/>
    </row>
    <row r="701" spans="13:22" x14ac:dyDescent="0.3">
      <c r="M701" s="1" t="str">
        <f t="shared" si="70"/>
        <v/>
      </c>
      <c r="N701" s="1" t="str">
        <f t="shared" si="71"/>
        <v/>
      </c>
      <c r="O701" s="1" t="str">
        <f ca="1">IF(F701="","",IF(INT(F701)=INT(NOW()),IF(NETWORKDAYS.INTL(F701,F701,1,FERIADOS!$A$2:$A$50)=0,0,MAX(0,(MIN(NOW(),INT(NOW())+18/24)-MAX(F701,INT(F701)+8/24)))*24),MAX(0,(INT(F701)+18/24-MAX(F701,INT(F701)+8/24)))*24*NETWORKDAYS.INTL(F701,F701,1,FERIADOS!$A$2:$A$50)+MAX(0,NETWORKDAYS.INTL(F701+1,NOW()-1,1,FERIADOS!$A$2:$A$50))*10+MAX(0,(MIN(NOW(),INT(NOW())+18/24)-(INT(NOW())+8/24)))*24*NETWORKDAYS.INTL(NOW(),NOW(),1,FERIADOS!$A$2:$A$50)))</f>
        <v/>
      </c>
      <c r="P701" s="1" t="str">
        <f t="shared" si="72"/>
        <v/>
      </c>
      <c r="Q701" s="1" t="str">
        <f t="shared" si="73"/>
        <v/>
      </c>
      <c r="R701" s="1" t="str">
        <f t="shared" si="74"/>
        <v/>
      </c>
      <c r="S701" s="1" t="str">
        <f>IF($A701="","",COUNTIF($N$2:N701,$N701))</f>
        <v/>
      </c>
      <c r="T701" s="1" t="str">
        <f t="shared" si="75"/>
        <v/>
      </c>
      <c r="U701" s="1" t="str">
        <f t="shared" si="76"/>
        <v/>
      </c>
      <c r="V701"/>
    </row>
    <row r="702" spans="13:22" x14ac:dyDescent="0.3">
      <c r="M702" s="1" t="str">
        <f t="shared" si="70"/>
        <v/>
      </c>
      <c r="N702" s="1" t="str">
        <f t="shared" si="71"/>
        <v/>
      </c>
      <c r="O702" s="1" t="str">
        <f ca="1">IF(F702="","",IF(INT(F702)=INT(NOW()),IF(NETWORKDAYS.INTL(F702,F702,1,FERIADOS!$A$2:$A$50)=0,0,MAX(0,(MIN(NOW(),INT(NOW())+18/24)-MAX(F702,INT(F702)+8/24)))*24),MAX(0,(INT(F702)+18/24-MAX(F702,INT(F702)+8/24)))*24*NETWORKDAYS.INTL(F702,F702,1,FERIADOS!$A$2:$A$50)+MAX(0,NETWORKDAYS.INTL(F702+1,NOW()-1,1,FERIADOS!$A$2:$A$50))*10+MAX(0,(MIN(NOW(),INT(NOW())+18/24)-(INT(NOW())+8/24)))*24*NETWORKDAYS.INTL(NOW(),NOW(),1,FERIADOS!$A$2:$A$50)))</f>
        <v/>
      </c>
      <c r="P702" s="1" t="str">
        <f t="shared" si="72"/>
        <v/>
      </c>
      <c r="Q702" s="1" t="str">
        <f t="shared" si="73"/>
        <v/>
      </c>
      <c r="R702" s="1" t="str">
        <f t="shared" si="74"/>
        <v/>
      </c>
      <c r="S702" s="1" t="str">
        <f>IF($A702="","",COUNTIF($N$2:N702,$N702))</f>
        <v/>
      </c>
      <c r="T702" s="1" t="str">
        <f t="shared" si="75"/>
        <v/>
      </c>
      <c r="U702" s="1" t="str">
        <f t="shared" si="76"/>
        <v/>
      </c>
      <c r="V702"/>
    </row>
    <row r="703" spans="13:22" x14ac:dyDescent="0.3">
      <c r="M703" s="1" t="str">
        <f t="shared" si="70"/>
        <v/>
      </c>
      <c r="N703" s="1" t="str">
        <f t="shared" si="71"/>
        <v/>
      </c>
      <c r="O703" s="1" t="str">
        <f ca="1">IF(F703="","",IF(INT(F703)=INT(NOW()),IF(NETWORKDAYS.INTL(F703,F703,1,FERIADOS!$A$2:$A$50)=0,0,MAX(0,(MIN(NOW(),INT(NOW())+18/24)-MAX(F703,INT(F703)+8/24)))*24),MAX(0,(INT(F703)+18/24-MAX(F703,INT(F703)+8/24)))*24*NETWORKDAYS.INTL(F703,F703,1,FERIADOS!$A$2:$A$50)+MAX(0,NETWORKDAYS.INTL(F703+1,NOW()-1,1,FERIADOS!$A$2:$A$50))*10+MAX(0,(MIN(NOW(),INT(NOW())+18/24)-(INT(NOW())+8/24)))*24*NETWORKDAYS.INTL(NOW(),NOW(),1,FERIADOS!$A$2:$A$50)))</f>
        <v/>
      </c>
      <c r="P703" s="1" t="str">
        <f t="shared" si="72"/>
        <v/>
      </c>
      <c r="Q703" s="1" t="str">
        <f t="shared" si="73"/>
        <v/>
      </c>
      <c r="R703" s="1" t="str">
        <f t="shared" si="74"/>
        <v/>
      </c>
      <c r="S703" s="1" t="str">
        <f>IF($A703="","",COUNTIF($N$2:N703,$N703))</f>
        <v/>
      </c>
      <c r="T703" s="1" t="str">
        <f t="shared" si="75"/>
        <v/>
      </c>
      <c r="U703" s="1" t="str">
        <f t="shared" si="76"/>
        <v/>
      </c>
      <c r="V703"/>
    </row>
    <row r="704" spans="13:22" x14ac:dyDescent="0.3">
      <c r="M704" s="1" t="str">
        <f t="shared" si="70"/>
        <v/>
      </c>
      <c r="N704" s="1" t="str">
        <f t="shared" si="71"/>
        <v/>
      </c>
      <c r="O704" s="1" t="str">
        <f ca="1">IF(F704="","",IF(INT(F704)=INT(NOW()),IF(NETWORKDAYS.INTL(F704,F704,1,FERIADOS!$A$2:$A$50)=0,0,MAX(0,(MIN(NOW(),INT(NOW())+18/24)-MAX(F704,INT(F704)+8/24)))*24),MAX(0,(INT(F704)+18/24-MAX(F704,INT(F704)+8/24)))*24*NETWORKDAYS.INTL(F704,F704,1,FERIADOS!$A$2:$A$50)+MAX(0,NETWORKDAYS.INTL(F704+1,NOW()-1,1,FERIADOS!$A$2:$A$50))*10+MAX(0,(MIN(NOW(),INT(NOW())+18/24)-(INT(NOW())+8/24)))*24*NETWORKDAYS.INTL(NOW(),NOW(),1,FERIADOS!$A$2:$A$50)))</f>
        <v/>
      </c>
      <c r="P704" s="1" t="str">
        <f t="shared" si="72"/>
        <v/>
      </c>
      <c r="Q704" s="1" t="str">
        <f t="shared" si="73"/>
        <v/>
      </c>
      <c r="R704" s="1" t="str">
        <f t="shared" si="74"/>
        <v/>
      </c>
      <c r="S704" s="1" t="str">
        <f>IF($A704="","",COUNTIF($N$2:N704,$N704))</f>
        <v/>
      </c>
      <c r="T704" s="1" t="str">
        <f t="shared" si="75"/>
        <v/>
      </c>
      <c r="U704" s="1" t="str">
        <f t="shared" si="76"/>
        <v/>
      </c>
      <c r="V704"/>
    </row>
    <row r="705" spans="13:22" x14ac:dyDescent="0.3">
      <c r="M705" s="1" t="str">
        <f t="shared" si="70"/>
        <v/>
      </c>
      <c r="N705" s="1" t="str">
        <f t="shared" si="71"/>
        <v/>
      </c>
      <c r="O705" s="1" t="str">
        <f ca="1">IF(F705="","",IF(INT(F705)=INT(NOW()),IF(NETWORKDAYS.INTL(F705,F705,1,FERIADOS!$A$2:$A$50)=0,0,MAX(0,(MIN(NOW(),INT(NOW())+18/24)-MAX(F705,INT(F705)+8/24)))*24),MAX(0,(INT(F705)+18/24-MAX(F705,INT(F705)+8/24)))*24*NETWORKDAYS.INTL(F705,F705,1,FERIADOS!$A$2:$A$50)+MAX(0,NETWORKDAYS.INTL(F705+1,NOW()-1,1,FERIADOS!$A$2:$A$50))*10+MAX(0,(MIN(NOW(),INT(NOW())+18/24)-(INT(NOW())+8/24)))*24*NETWORKDAYS.INTL(NOW(),NOW(),1,FERIADOS!$A$2:$A$50)))</f>
        <v/>
      </c>
      <c r="P705" s="1" t="str">
        <f t="shared" si="72"/>
        <v/>
      </c>
      <c r="Q705" s="1" t="str">
        <f t="shared" si="73"/>
        <v/>
      </c>
      <c r="R705" s="1" t="str">
        <f t="shared" si="74"/>
        <v/>
      </c>
      <c r="S705" s="1" t="str">
        <f>IF($A705="","",COUNTIF($N$2:N705,$N705))</f>
        <v/>
      </c>
      <c r="T705" s="1" t="str">
        <f t="shared" si="75"/>
        <v/>
      </c>
      <c r="U705" s="1" t="str">
        <f t="shared" si="76"/>
        <v/>
      </c>
      <c r="V705"/>
    </row>
    <row r="706" spans="13:22" x14ac:dyDescent="0.3">
      <c r="M706" s="1" t="str">
        <f t="shared" ref="M706:M769" si="77">IF($A706="","",IF($L706="MA",IF(OR(UPPER($K706)="SAO LUIS",UPPER($K706)="SÃO LUIS",UPPER($K706)="PACO DO LUMIAR",UPPER($K706)="PAÇO DO LUMIAR",UPPER($K706)="SAO JOSE DE RIBAMAR",UPPER($K706)="SÃO JOSÉ DE RIBAMAR"),"MA CAP","MA INT"),IF($L706="PA",IF(OR(UPPER($K706)="BELEM",UPPER($K706)="BELÉM",UPPER($K706)="ANANINDEUA"),"PA CAP","PA INT"),IF($L706="PI",IF(UPPER($K706)="TERESINA","PI CAP","PI INT"),IF($L706="AM","AM INT",IF($L706="AP","AP","OUTROS"))))))</f>
        <v/>
      </c>
      <c r="N706" s="1" t="str">
        <f t="shared" ref="N706:N769" si="78">IF($A706="","",IF($M706="PI CAP","GIGA+ PI",IF($M706="PI INT","GIGA+ PI",IF($M706="MA CAP","SLN MA",IF($M706="MA INT","GIGA+ MA",IF($M706="PA CAP","SLN PA",IF($M706="PA INT","SLN PA",IF($M706="AM INT","ADX",IF($M706="AP","ADX","OUTROS")))))))))</f>
        <v/>
      </c>
      <c r="O706" s="1" t="str">
        <f ca="1">IF(F706="","",IF(INT(F706)=INT(NOW()),IF(NETWORKDAYS.INTL(F706,F706,1,FERIADOS!$A$2:$A$50)=0,0,MAX(0,(MIN(NOW(),INT(NOW())+18/24)-MAX(F706,INT(F706)+8/24)))*24),MAX(0,(INT(F706)+18/24-MAX(F706,INT(F706)+8/24)))*24*NETWORKDAYS.INTL(F706,F706,1,FERIADOS!$A$2:$A$50)+MAX(0,NETWORKDAYS.INTL(F706+1,NOW()-1,1,FERIADOS!$A$2:$A$50))*10+MAX(0,(MIN(NOW(),INT(NOW())+18/24)-(INT(NOW())+8/24)))*24*NETWORKDAYS.INTL(NOW(),NOW(),1,FERIADOS!$A$2:$A$50)))</f>
        <v/>
      </c>
      <c r="P706" s="1" t="str">
        <f t="shared" ref="P706:P769" si="79">IF($A706="","",IF(OR(O706="",O706=0),"00h 00m",TEXT(INT(O706),"00") &amp; "h " &amp; TEXT(INT((O706-INT(O706))*60),"00") &amp; "m"))</f>
        <v/>
      </c>
      <c r="Q706" s="1" t="str">
        <f t="shared" ref="Q706:Q769" si="80">IF($A706="","",IF(OR(O706="",O706&lt;=4),"🔵 Até 4h",IF(O706&lt;=8,"🟢 Entre 4h e 8h",IF(O706&lt;=12,"🟡 Entre 8h e 12h",IF(O706&lt;=24,"🟠 Entre 12h e 24h","🔴 Maior que 24h")))))</f>
        <v/>
      </c>
      <c r="R706" s="1" t="str">
        <f t="shared" ref="R706:R769" si="81">IF($A706="","",IF(OR(O706="",O706&lt;=8),"NO PRAZO","FORA DO PRAZO"))</f>
        <v/>
      </c>
      <c r="S706" s="1" t="str">
        <f>IF($A706="","",COUNTIF($N$2:N706,$N706))</f>
        <v/>
      </c>
      <c r="T706" s="1" t="str">
        <f t="shared" ref="T706:T769" si="82">IF($A706="","",IF($N706="SLN MA",1,IF($N706="GIGA+ MA",2,IF($N706="GIGA+ PI",3,IF($N706="SLN PA",4,IF($N706="ADX",5,6))))))</f>
        <v/>
      </c>
      <c r="U706" s="1" t="str">
        <f t="shared" ref="U706:U769" si="83">IF($A706="","",$T706*10000+$S706)</f>
        <v/>
      </c>
      <c r="V706"/>
    </row>
    <row r="707" spans="13:22" x14ac:dyDescent="0.3">
      <c r="M707" s="1" t="str">
        <f t="shared" si="77"/>
        <v/>
      </c>
      <c r="N707" s="1" t="str">
        <f t="shared" si="78"/>
        <v/>
      </c>
      <c r="O707" s="1" t="str">
        <f ca="1">IF(F707="","",IF(INT(F707)=INT(NOW()),IF(NETWORKDAYS.INTL(F707,F707,1,FERIADOS!$A$2:$A$50)=0,0,MAX(0,(MIN(NOW(),INT(NOW())+18/24)-MAX(F707,INT(F707)+8/24)))*24),MAX(0,(INT(F707)+18/24-MAX(F707,INT(F707)+8/24)))*24*NETWORKDAYS.INTL(F707,F707,1,FERIADOS!$A$2:$A$50)+MAX(0,NETWORKDAYS.INTL(F707+1,NOW()-1,1,FERIADOS!$A$2:$A$50))*10+MAX(0,(MIN(NOW(),INT(NOW())+18/24)-(INT(NOW())+8/24)))*24*NETWORKDAYS.INTL(NOW(),NOW(),1,FERIADOS!$A$2:$A$50)))</f>
        <v/>
      </c>
      <c r="P707" s="1" t="str">
        <f t="shared" si="79"/>
        <v/>
      </c>
      <c r="Q707" s="1" t="str">
        <f t="shared" si="80"/>
        <v/>
      </c>
      <c r="R707" s="1" t="str">
        <f t="shared" si="81"/>
        <v/>
      </c>
      <c r="S707" s="1" t="str">
        <f>IF($A707="","",COUNTIF($N$2:N707,$N707))</f>
        <v/>
      </c>
      <c r="T707" s="1" t="str">
        <f t="shared" si="82"/>
        <v/>
      </c>
      <c r="U707" s="1" t="str">
        <f t="shared" si="83"/>
        <v/>
      </c>
      <c r="V707"/>
    </row>
    <row r="708" spans="13:22" x14ac:dyDescent="0.3">
      <c r="M708" s="1" t="str">
        <f t="shared" si="77"/>
        <v/>
      </c>
      <c r="N708" s="1" t="str">
        <f t="shared" si="78"/>
        <v/>
      </c>
      <c r="O708" s="1" t="str">
        <f ca="1">IF(F708="","",IF(INT(F708)=INT(NOW()),IF(NETWORKDAYS.INTL(F708,F708,1,FERIADOS!$A$2:$A$50)=0,0,MAX(0,(MIN(NOW(),INT(NOW())+18/24)-MAX(F708,INT(F708)+8/24)))*24),MAX(0,(INT(F708)+18/24-MAX(F708,INT(F708)+8/24)))*24*NETWORKDAYS.INTL(F708,F708,1,FERIADOS!$A$2:$A$50)+MAX(0,NETWORKDAYS.INTL(F708+1,NOW()-1,1,FERIADOS!$A$2:$A$50))*10+MAX(0,(MIN(NOW(),INT(NOW())+18/24)-(INT(NOW())+8/24)))*24*NETWORKDAYS.INTL(NOW(),NOW(),1,FERIADOS!$A$2:$A$50)))</f>
        <v/>
      </c>
      <c r="P708" s="1" t="str">
        <f t="shared" si="79"/>
        <v/>
      </c>
      <c r="Q708" s="1" t="str">
        <f t="shared" si="80"/>
        <v/>
      </c>
      <c r="R708" s="1" t="str">
        <f t="shared" si="81"/>
        <v/>
      </c>
      <c r="S708" s="1" t="str">
        <f>IF($A708="","",COUNTIF($N$2:N708,$N708))</f>
        <v/>
      </c>
      <c r="T708" s="1" t="str">
        <f t="shared" si="82"/>
        <v/>
      </c>
      <c r="U708" s="1" t="str">
        <f t="shared" si="83"/>
        <v/>
      </c>
      <c r="V708"/>
    </row>
    <row r="709" spans="13:22" x14ac:dyDescent="0.3">
      <c r="M709" s="1" t="str">
        <f t="shared" si="77"/>
        <v/>
      </c>
      <c r="N709" s="1" t="str">
        <f t="shared" si="78"/>
        <v/>
      </c>
      <c r="O709" s="1" t="str">
        <f ca="1">IF(F709="","",IF(INT(F709)=INT(NOW()),IF(NETWORKDAYS.INTL(F709,F709,1,FERIADOS!$A$2:$A$50)=0,0,MAX(0,(MIN(NOW(),INT(NOW())+18/24)-MAX(F709,INT(F709)+8/24)))*24),MAX(0,(INT(F709)+18/24-MAX(F709,INT(F709)+8/24)))*24*NETWORKDAYS.INTL(F709,F709,1,FERIADOS!$A$2:$A$50)+MAX(0,NETWORKDAYS.INTL(F709+1,NOW()-1,1,FERIADOS!$A$2:$A$50))*10+MAX(0,(MIN(NOW(),INT(NOW())+18/24)-(INT(NOW())+8/24)))*24*NETWORKDAYS.INTL(NOW(),NOW(),1,FERIADOS!$A$2:$A$50)))</f>
        <v/>
      </c>
      <c r="P709" s="1" t="str">
        <f t="shared" si="79"/>
        <v/>
      </c>
      <c r="Q709" s="1" t="str">
        <f t="shared" si="80"/>
        <v/>
      </c>
      <c r="R709" s="1" t="str">
        <f t="shared" si="81"/>
        <v/>
      </c>
      <c r="S709" s="1" t="str">
        <f>IF($A709="","",COUNTIF($N$2:N709,$N709))</f>
        <v/>
      </c>
      <c r="T709" s="1" t="str">
        <f t="shared" si="82"/>
        <v/>
      </c>
      <c r="U709" s="1" t="str">
        <f t="shared" si="83"/>
        <v/>
      </c>
      <c r="V709"/>
    </row>
    <row r="710" spans="13:22" x14ac:dyDescent="0.3">
      <c r="M710" s="1" t="str">
        <f t="shared" si="77"/>
        <v/>
      </c>
      <c r="N710" s="1" t="str">
        <f t="shared" si="78"/>
        <v/>
      </c>
      <c r="O710" s="1" t="str">
        <f ca="1">IF(F710="","",IF(INT(F710)=INT(NOW()),IF(NETWORKDAYS.INTL(F710,F710,1,FERIADOS!$A$2:$A$50)=0,0,MAX(0,(MIN(NOW(),INT(NOW())+18/24)-MAX(F710,INT(F710)+8/24)))*24),MAX(0,(INT(F710)+18/24-MAX(F710,INT(F710)+8/24)))*24*NETWORKDAYS.INTL(F710,F710,1,FERIADOS!$A$2:$A$50)+MAX(0,NETWORKDAYS.INTL(F710+1,NOW()-1,1,FERIADOS!$A$2:$A$50))*10+MAX(0,(MIN(NOW(),INT(NOW())+18/24)-(INT(NOW())+8/24)))*24*NETWORKDAYS.INTL(NOW(),NOW(),1,FERIADOS!$A$2:$A$50)))</f>
        <v/>
      </c>
      <c r="P710" s="1" t="str">
        <f t="shared" si="79"/>
        <v/>
      </c>
      <c r="Q710" s="1" t="str">
        <f t="shared" si="80"/>
        <v/>
      </c>
      <c r="R710" s="1" t="str">
        <f t="shared" si="81"/>
        <v/>
      </c>
      <c r="S710" s="1" t="str">
        <f>IF($A710="","",COUNTIF($N$2:N710,$N710))</f>
        <v/>
      </c>
      <c r="T710" s="1" t="str">
        <f t="shared" si="82"/>
        <v/>
      </c>
      <c r="U710" s="1" t="str">
        <f t="shared" si="83"/>
        <v/>
      </c>
      <c r="V710"/>
    </row>
    <row r="711" spans="13:22" x14ac:dyDescent="0.3">
      <c r="M711" s="1" t="str">
        <f t="shared" si="77"/>
        <v/>
      </c>
      <c r="N711" s="1" t="str">
        <f t="shared" si="78"/>
        <v/>
      </c>
      <c r="O711" s="1" t="str">
        <f ca="1">IF(F711="","",IF(INT(F711)=INT(NOW()),IF(NETWORKDAYS.INTL(F711,F711,1,FERIADOS!$A$2:$A$50)=0,0,MAX(0,(MIN(NOW(),INT(NOW())+18/24)-MAX(F711,INT(F711)+8/24)))*24),MAX(0,(INT(F711)+18/24-MAX(F711,INT(F711)+8/24)))*24*NETWORKDAYS.INTL(F711,F711,1,FERIADOS!$A$2:$A$50)+MAX(0,NETWORKDAYS.INTL(F711+1,NOW()-1,1,FERIADOS!$A$2:$A$50))*10+MAX(0,(MIN(NOW(),INT(NOW())+18/24)-(INT(NOW())+8/24)))*24*NETWORKDAYS.INTL(NOW(),NOW(),1,FERIADOS!$A$2:$A$50)))</f>
        <v/>
      </c>
      <c r="P711" s="1" t="str">
        <f t="shared" si="79"/>
        <v/>
      </c>
      <c r="Q711" s="1" t="str">
        <f t="shared" si="80"/>
        <v/>
      </c>
      <c r="R711" s="1" t="str">
        <f t="shared" si="81"/>
        <v/>
      </c>
      <c r="S711" s="1" t="str">
        <f>IF($A711="","",COUNTIF($N$2:N711,$N711))</f>
        <v/>
      </c>
      <c r="T711" s="1" t="str">
        <f t="shared" si="82"/>
        <v/>
      </c>
      <c r="U711" s="1" t="str">
        <f t="shared" si="83"/>
        <v/>
      </c>
      <c r="V711"/>
    </row>
    <row r="712" spans="13:22" x14ac:dyDescent="0.3">
      <c r="M712" s="1" t="str">
        <f t="shared" si="77"/>
        <v/>
      </c>
      <c r="N712" s="1" t="str">
        <f t="shared" si="78"/>
        <v/>
      </c>
      <c r="O712" s="1" t="str">
        <f ca="1">IF(F712="","",IF(INT(F712)=INT(NOW()),IF(NETWORKDAYS.INTL(F712,F712,1,FERIADOS!$A$2:$A$50)=0,0,MAX(0,(MIN(NOW(),INT(NOW())+18/24)-MAX(F712,INT(F712)+8/24)))*24),MAX(0,(INT(F712)+18/24-MAX(F712,INT(F712)+8/24)))*24*NETWORKDAYS.INTL(F712,F712,1,FERIADOS!$A$2:$A$50)+MAX(0,NETWORKDAYS.INTL(F712+1,NOW()-1,1,FERIADOS!$A$2:$A$50))*10+MAX(0,(MIN(NOW(),INT(NOW())+18/24)-(INT(NOW())+8/24)))*24*NETWORKDAYS.INTL(NOW(),NOW(),1,FERIADOS!$A$2:$A$50)))</f>
        <v/>
      </c>
      <c r="P712" s="1" t="str">
        <f t="shared" si="79"/>
        <v/>
      </c>
      <c r="Q712" s="1" t="str">
        <f t="shared" si="80"/>
        <v/>
      </c>
      <c r="R712" s="1" t="str">
        <f t="shared" si="81"/>
        <v/>
      </c>
      <c r="S712" s="1" t="str">
        <f>IF($A712="","",COUNTIF($N$2:N712,$N712))</f>
        <v/>
      </c>
      <c r="T712" s="1" t="str">
        <f t="shared" si="82"/>
        <v/>
      </c>
      <c r="U712" s="1" t="str">
        <f t="shared" si="83"/>
        <v/>
      </c>
      <c r="V712"/>
    </row>
    <row r="713" spans="13:22" x14ac:dyDescent="0.3">
      <c r="M713" s="1" t="str">
        <f t="shared" si="77"/>
        <v/>
      </c>
      <c r="N713" s="1" t="str">
        <f t="shared" si="78"/>
        <v/>
      </c>
      <c r="O713" s="1" t="str">
        <f ca="1">IF(F713="","",IF(INT(F713)=INT(NOW()),IF(NETWORKDAYS.INTL(F713,F713,1,FERIADOS!$A$2:$A$50)=0,0,MAX(0,(MIN(NOW(),INT(NOW())+18/24)-MAX(F713,INT(F713)+8/24)))*24),MAX(0,(INT(F713)+18/24-MAX(F713,INT(F713)+8/24)))*24*NETWORKDAYS.INTL(F713,F713,1,FERIADOS!$A$2:$A$50)+MAX(0,NETWORKDAYS.INTL(F713+1,NOW()-1,1,FERIADOS!$A$2:$A$50))*10+MAX(0,(MIN(NOW(),INT(NOW())+18/24)-(INT(NOW())+8/24)))*24*NETWORKDAYS.INTL(NOW(),NOW(),1,FERIADOS!$A$2:$A$50)))</f>
        <v/>
      </c>
      <c r="P713" s="1" t="str">
        <f t="shared" si="79"/>
        <v/>
      </c>
      <c r="Q713" s="1" t="str">
        <f t="shared" si="80"/>
        <v/>
      </c>
      <c r="R713" s="1" t="str">
        <f t="shared" si="81"/>
        <v/>
      </c>
      <c r="S713" s="1" t="str">
        <f>IF($A713="","",COUNTIF($N$2:N713,$N713))</f>
        <v/>
      </c>
      <c r="T713" s="1" t="str">
        <f t="shared" si="82"/>
        <v/>
      </c>
      <c r="U713" s="1" t="str">
        <f t="shared" si="83"/>
        <v/>
      </c>
      <c r="V713"/>
    </row>
    <row r="714" spans="13:22" x14ac:dyDescent="0.3">
      <c r="M714" s="1" t="str">
        <f t="shared" si="77"/>
        <v/>
      </c>
      <c r="N714" s="1" t="str">
        <f t="shared" si="78"/>
        <v/>
      </c>
      <c r="O714" s="1" t="str">
        <f ca="1">IF(F714="","",IF(INT(F714)=INT(NOW()),IF(NETWORKDAYS.INTL(F714,F714,1,FERIADOS!$A$2:$A$50)=0,0,MAX(0,(MIN(NOW(),INT(NOW())+18/24)-MAX(F714,INT(F714)+8/24)))*24),MAX(0,(INT(F714)+18/24-MAX(F714,INT(F714)+8/24)))*24*NETWORKDAYS.INTL(F714,F714,1,FERIADOS!$A$2:$A$50)+MAX(0,NETWORKDAYS.INTL(F714+1,NOW()-1,1,FERIADOS!$A$2:$A$50))*10+MAX(0,(MIN(NOW(),INT(NOW())+18/24)-(INT(NOW())+8/24)))*24*NETWORKDAYS.INTL(NOW(),NOW(),1,FERIADOS!$A$2:$A$50)))</f>
        <v/>
      </c>
      <c r="P714" s="1" t="str">
        <f t="shared" si="79"/>
        <v/>
      </c>
      <c r="Q714" s="1" t="str">
        <f t="shared" si="80"/>
        <v/>
      </c>
      <c r="R714" s="1" t="str">
        <f t="shared" si="81"/>
        <v/>
      </c>
      <c r="S714" s="1" t="str">
        <f>IF($A714="","",COUNTIF($N$2:N714,$N714))</f>
        <v/>
      </c>
      <c r="T714" s="1" t="str">
        <f t="shared" si="82"/>
        <v/>
      </c>
      <c r="U714" s="1" t="str">
        <f t="shared" si="83"/>
        <v/>
      </c>
      <c r="V714"/>
    </row>
    <row r="715" spans="13:22" x14ac:dyDescent="0.3">
      <c r="M715" s="1" t="str">
        <f t="shared" si="77"/>
        <v/>
      </c>
      <c r="N715" s="1" t="str">
        <f t="shared" si="78"/>
        <v/>
      </c>
      <c r="O715" s="1" t="str">
        <f ca="1">IF(F715="","",IF(INT(F715)=INT(NOW()),IF(NETWORKDAYS.INTL(F715,F715,1,FERIADOS!$A$2:$A$50)=0,0,MAX(0,(MIN(NOW(),INT(NOW())+18/24)-MAX(F715,INT(F715)+8/24)))*24),MAX(0,(INT(F715)+18/24-MAX(F715,INT(F715)+8/24)))*24*NETWORKDAYS.INTL(F715,F715,1,FERIADOS!$A$2:$A$50)+MAX(0,NETWORKDAYS.INTL(F715+1,NOW()-1,1,FERIADOS!$A$2:$A$50))*10+MAX(0,(MIN(NOW(),INT(NOW())+18/24)-(INT(NOW())+8/24)))*24*NETWORKDAYS.INTL(NOW(),NOW(),1,FERIADOS!$A$2:$A$50)))</f>
        <v/>
      </c>
      <c r="P715" s="1" t="str">
        <f t="shared" si="79"/>
        <v/>
      </c>
      <c r="Q715" s="1" t="str">
        <f t="shared" si="80"/>
        <v/>
      </c>
      <c r="R715" s="1" t="str">
        <f t="shared" si="81"/>
        <v/>
      </c>
      <c r="S715" s="1" t="str">
        <f>IF($A715="","",COUNTIF($N$2:N715,$N715))</f>
        <v/>
      </c>
      <c r="T715" s="1" t="str">
        <f t="shared" si="82"/>
        <v/>
      </c>
      <c r="U715" s="1" t="str">
        <f t="shared" si="83"/>
        <v/>
      </c>
      <c r="V715"/>
    </row>
    <row r="716" spans="13:22" x14ac:dyDescent="0.3">
      <c r="M716" s="1" t="str">
        <f t="shared" si="77"/>
        <v/>
      </c>
      <c r="N716" s="1" t="str">
        <f t="shared" si="78"/>
        <v/>
      </c>
      <c r="O716" s="1" t="str">
        <f ca="1">IF(F716="","",IF(INT(F716)=INT(NOW()),IF(NETWORKDAYS.INTL(F716,F716,1,FERIADOS!$A$2:$A$50)=0,0,MAX(0,(MIN(NOW(),INT(NOW())+18/24)-MAX(F716,INT(F716)+8/24)))*24),MAX(0,(INT(F716)+18/24-MAX(F716,INT(F716)+8/24)))*24*NETWORKDAYS.INTL(F716,F716,1,FERIADOS!$A$2:$A$50)+MAX(0,NETWORKDAYS.INTL(F716+1,NOW()-1,1,FERIADOS!$A$2:$A$50))*10+MAX(0,(MIN(NOW(),INT(NOW())+18/24)-(INT(NOW())+8/24)))*24*NETWORKDAYS.INTL(NOW(),NOW(),1,FERIADOS!$A$2:$A$50)))</f>
        <v/>
      </c>
      <c r="P716" s="1" t="str">
        <f t="shared" si="79"/>
        <v/>
      </c>
      <c r="Q716" s="1" t="str">
        <f t="shared" si="80"/>
        <v/>
      </c>
      <c r="R716" s="1" t="str">
        <f t="shared" si="81"/>
        <v/>
      </c>
      <c r="S716" s="1" t="str">
        <f>IF($A716="","",COUNTIF($N$2:N716,$N716))</f>
        <v/>
      </c>
      <c r="T716" s="1" t="str">
        <f t="shared" si="82"/>
        <v/>
      </c>
      <c r="U716" s="1" t="str">
        <f t="shared" si="83"/>
        <v/>
      </c>
      <c r="V716"/>
    </row>
    <row r="717" spans="13:22" x14ac:dyDescent="0.3">
      <c r="M717" s="1" t="str">
        <f t="shared" si="77"/>
        <v/>
      </c>
      <c r="N717" s="1" t="str">
        <f t="shared" si="78"/>
        <v/>
      </c>
      <c r="O717" s="1" t="str">
        <f ca="1">IF(F717="","",IF(INT(F717)=INT(NOW()),IF(NETWORKDAYS.INTL(F717,F717,1,FERIADOS!$A$2:$A$50)=0,0,MAX(0,(MIN(NOW(),INT(NOW())+18/24)-MAX(F717,INT(F717)+8/24)))*24),MAX(0,(INT(F717)+18/24-MAX(F717,INT(F717)+8/24)))*24*NETWORKDAYS.INTL(F717,F717,1,FERIADOS!$A$2:$A$50)+MAX(0,NETWORKDAYS.INTL(F717+1,NOW()-1,1,FERIADOS!$A$2:$A$50))*10+MAX(0,(MIN(NOW(),INT(NOW())+18/24)-(INT(NOW())+8/24)))*24*NETWORKDAYS.INTL(NOW(),NOW(),1,FERIADOS!$A$2:$A$50)))</f>
        <v/>
      </c>
      <c r="P717" s="1" t="str">
        <f t="shared" si="79"/>
        <v/>
      </c>
      <c r="Q717" s="1" t="str">
        <f t="shared" si="80"/>
        <v/>
      </c>
      <c r="R717" s="1" t="str">
        <f t="shared" si="81"/>
        <v/>
      </c>
      <c r="S717" s="1" t="str">
        <f>IF($A717="","",COUNTIF($N$2:N717,$N717))</f>
        <v/>
      </c>
      <c r="T717" s="1" t="str">
        <f t="shared" si="82"/>
        <v/>
      </c>
      <c r="U717" s="1" t="str">
        <f t="shared" si="83"/>
        <v/>
      </c>
      <c r="V717"/>
    </row>
    <row r="718" spans="13:22" x14ac:dyDescent="0.3">
      <c r="M718" s="1" t="str">
        <f t="shared" si="77"/>
        <v/>
      </c>
      <c r="N718" s="1" t="str">
        <f t="shared" si="78"/>
        <v/>
      </c>
      <c r="O718" s="1" t="str">
        <f ca="1">IF(F718="","",IF(INT(F718)=INT(NOW()),IF(NETWORKDAYS.INTL(F718,F718,1,FERIADOS!$A$2:$A$50)=0,0,MAX(0,(MIN(NOW(),INT(NOW())+18/24)-MAX(F718,INT(F718)+8/24)))*24),MAX(0,(INT(F718)+18/24-MAX(F718,INT(F718)+8/24)))*24*NETWORKDAYS.INTL(F718,F718,1,FERIADOS!$A$2:$A$50)+MAX(0,NETWORKDAYS.INTL(F718+1,NOW()-1,1,FERIADOS!$A$2:$A$50))*10+MAX(0,(MIN(NOW(),INT(NOW())+18/24)-(INT(NOW())+8/24)))*24*NETWORKDAYS.INTL(NOW(),NOW(),1,FERIADOS!$A$2:$A$50)))</f>
        <v/>
      </c>
      <c r="P718" s="1" t="str">
        <f t="shared" si="79"/>
        <v/>
      </c>
      <c r="Q718" s="1" t="str">
        <f t="shared" si="80"/>
        <v/>
      </c>
      <c r="R718" s="1" t="str">
        <f t="shared" si="81"/>
        <v/>
      </c>
      <c r="S718" s="1" t="str">
        <f>IF($A718="","",COUNTIF($N$2:N718,$N718))</f>
        <v/>
      </c>
      <c r="T718" s="1" t="str">
        <f t="shared" si="82"/>
        <v/>
      </c>
      <c r="U718" s="1" t="str">
        <f t="shared" si="83"/>
        <v/>
      </c>
      <c r="V718"/>
    </row>
    <row r="719" spans="13:22" x14ac:dyDescent="0.3">
      <c r="M719" s="1" t="str">
        <f t="shared" si="77"/>
        <v/>
      </c>
      <c r="N719" s="1" t="str">
        <f t="shared" si="78"/>
        <v/>
      </c>
      <c r="O719" s="1" t="str">
        <f ca="1">IF(F719="","",IF(INT(F719)=INT(NOW()),IF(NETWORKDAYS.INTL(F719,F719,1,FERIADOS!$A$2:$A$50)=0,0,MAX(0,(MIN(NOW(),INT(NOW())+18/24)-MAX(F719,INT(F719)+8/24)))*24),MAX(0,(INT(F719)+18/24-MAX(F719,INT(F719)+8/24)))*24*NETWORKDAYS.INTL(F719,F719,1,FERIADOS!$A$2:$A$50)+MAX(0,NETWORKDAYS.INTL(F719+1,NOW()-1,1,FERIADOS!$A$2:$A$50))*10+MAX(0,(MIN(NOW(),INT(NOW())+18/24)-(INT(NOW())+8/24)))*24*NETWORKDAYS.INTL(NOW(),NOW(),1,FERIADOS!$A$2:$A$50)))</f>
        <v/>
      </c>
      <c r="P719" s="1" t="str">
        <f t="shared" si="79"/>
        <v/>
      </c>
      <c r="Q719" s="1" t="str">
        <f t="shared" si="80"/>
        <v/>
      </c>
      <c r="R719" s="1" t="str">
        <f t="shared" si="81"/>
        <v/>
      </c>
      <c r="S719" s="1" t="str">
        <f>IF($A719="","",COUNTIF($N$2:N719,$N719))</f>
        <v/>
      </c>
      <c r="T719" s="1" t="str">
        <f t="shared" si="82"/>
        <v/>
      </c>
      <c r="U719" s="1" t="str">
        <f t="shared" si="83"/>
        <v/>
      </c>
      <c r="V719"/>
    </row>
    <row r="720" spans="13:22" x14ac:dyDescent="0.3">
      <c r="M720" s="1" t="str">
        <f t="shared" si="77"/>
        <v/>
      </c>
      <c r="N720" s="1" t="str">
        <f t="shared" si="78"/>
        <v/>
      </c>
      <c r="O720" s="1" t="str">
        <f ca="1">IF(F720="","",IF(INT(F720)=INT(NOW()),IF(NETWORKDAYS.INTL(F720,F720,1,FERIADOS!$A$2:$A$50)=0,0,MAX(0,(MIN(NOW(),INT(NOW())+18/24)-MAX(F720,INT(F720)+8/24)))*24),MAX(0,(INT(F720)+18/24-MAX(F720,INT(F720)+8/24)))*24*NETWORKDAYS.INTL(F720,F720,1,FERIADOS!$A$2:$A$50)+MAX(0,NETWORKDAYS.INTL(F720+1,NOW()-1,1,FERIADOS!$A$2:$A$50))*10+MAX(0,(MIN(NOW(),INT(NOW())+18/24)-(INT(NOW())+8/24)))*24*NETWORKDAYS.INTL(NOW(),NOW(),1,FERIADOS!$A$2:$A$50)))</f>
        <v/>
      </c>
      <c r="P720" s="1" t="str">
        <f t="shared" si="79"/>
        <v/>
      </c>
      <c r="Q720" s="1" t="str">
        <f t="shared" si="80"/>
        <v/>
      </c>
      <c r="R720" s="1" t="str">
        <f t="shared" si="81"/>
        <v/>
      </c>
      <c r="S720" s="1" t="str">
        <f>IF($A720="","",COUNTIF($N$2:N720,$N720))</f>
        <v/>
      </c>
      <c r="T720" s="1" t="str">
        <f t="shared" si="82"/>
        <v/>
      </c>
      <c r="U720" s="1" t="str">
        <f t="shared" si="83"/>
        <v/>
      </c>
      <c r="V720"/>
    </row>
    <row r="721" spans="13:22" x14ac:dyDescent="0.3">
      <c r="M721" s="1" t="str">
        <f t="shared" si="77"/>
        <v/>
      </c>
      <c r="N721" s="1" t="str">
        <f t="shared" si="78"/>
        <v/>
      </c>
      <c r="O721" s="1" t="str">
        <f ca="1">IF(F721="","",IF(INT(F721)=INT(NOW()),IF(NETWORKDAYS.INTL(F721,F721,1,FERIADOS!$A$2:$A$50)=0,0,MAX(0,(MIN(NOW(),INT(NOW())+18/24)-MAX(F721,INT(F721)+8/24)))*24),MAX(0,(INT(F721)+18/24-MAX(F721,INT(F721)+8/24)))*24*NETWORKDAYS.INTL(F721,F721,1,FERIADOS!$A$2:$A$50)+MAX(0,NETWORKDAYS.INTL(F721+1,NOW()-1,1,FERIADOS!$A$2:$A$50))*10+MAX(0,(MIN(NOW(),INT(NOW())+18/24)-(INT(NOW())+8/24)))*24*NETWORKDAYS.INTL(NOW(),NOW(),1,FERIADOS!$A$2:$A$50)))</f>
        <v/>
      </c>
      <c r="P721" s="1" t="str">
        <f t="shared" si="79"/>
        <v/>
      </c>
      <c r="Q721" s="1" t="str">
        <f t="shared" si="80"/>
        <v/>
      </c>
      <c r="R721" s="1" t="str">
        <f t="shared" si="81"/>
        <v/>
      </c>
      <c r="S721" s="1" t="str">
        <f>IF($A721="","",COUNTIF($N$2:N721,$N721))</f>
        <v/>
      </c>
      <c r="T721" s="1" t="str">
        <f t="shared" si="82"/>
        <v/>
      </c>
      <c r="U721" s="1" t="str">
        <f t="shared" si="83"/>
        <v/>
      </c>
      <c r="V721"/>
    </row>
    <row r="722" spans="13:22" x14ac:dyDescent="0.3">
      <c r="M722" s="1" t="str">
        <f t="shared" si="77"/>
        <v/>
      </c>
      <c r="N722" s="1" t="str">
        <f t="shared" si="78"/>
        <v/>
      </c>
      <c r="O722" s="1" t="str">
        <f ca="1">IF(F722="","",IF(INT(F722)=INT(NOW()),IF(NETWORKDAYS.INTL(F722,F722,1,FERIADOS!$A$2:$A$50)=0,0,MAX(0,(MIN(NOW(),INT(NOW())+18/24)-MAX(F722,INT(F722)+8/24)))*24),MAX(0,(INT(F722)+18/24-MAX(F722,INT(F722)+8/24)))*24*NETWORKDAYS.INTL(F722,F722,1,FERIADOS!$A$2:$A$50)+MAX(0,NETWORKDAYS.INTL(F722+1,NOW()-1,1,FERIADOS!$A$2:$A$50))*10+MAX(0,(MIN(NOW(),INT(NOW())+18/24)-(INT(NOW())+8/24)))*24*NETWORKDAYS.INTL(NOW(),NOW(),1,FERIADOS!$A$2:$A$50)))</f>
        <v/>
      </c>
      <c r="P722" s="1" t="str">
        <f t="shared" si="79"/>
        <v/>
      </c>
      <c r="Q722" s="1" t="str">
        <f t="shared" si="80"/>
        <v/>
      </c>
      <c r="R722" s="1" t="str">
        <f t="shared" si="81"/>
        <v/>
      </c>
      <c r="S722" s="1" t="str">
        <f>IF($A722="","",COUNTIF($N$2:N722,$N722))</f>
        <v/>
      </c>
      <c r="T722" s="1" t="str">
        <f t="shared" si="82"/>
        <v/>
      </c>
      <c r="U722" s="1" t="str">
        <f t="shared" si="83"/>
        <v/>
      </c>
      <c r="V722"/>
    </row>
    <row r="723" spans="13:22" x14ac:dyDescent="0.3">
      <c r="M723" s="1" t="str">
        <f t="shared" si="77"/>
        <v/>
      </c>
      <c r="N723" s="1" t="str">
        <f t="shared" si="78"/>
        <v/>
      </c>
      <c r="O723" s="1" t="str">
        <f ca="1">IF(F723="","",IF(INT(F723)=INT(NOW()),IF(NETWORKDAYS.INTL(F723,F723,1,FERIADOS!$A$2:$A$50)=0,0,MAX(0,(MIN(NOW(),INT(NOW())+18/24)-MAX(F723,INT(F723)+8/24)))*24),MAX(0,(INT(F723)+18/24-MAX(F723,INT(F723)+8/24)))*24*NETWORKDAYS.INTL(F723,F723,1,FERIADOS!$A$2:$A$50)+MAX(0,NETWORKDAYS.INTL(F723+1,NOW()-1,1,FERIADOS!$A$2:$A$50))*10+MAX(0,(MIN(NOW(),INT(NOW())+18/24)-(INT(NOW())+8/24)))*24*NETWORKDAYS.INTL(NOW(),NOW(),1,FERIADOS!$A$2:$A$50)))</f>
        <v/>
      </c>
      <c r="P723" s="1" t="str">
        <f t="shared" si="79"/>
        <v/>
      </c>
      <c r="Q723" s="1" t="str">
        <f t="shared" si="80"/>
        <v/>
      </c>
      <c r="R723" s="1" t="str">
        <f t="shared" si="81"/>
        <v/>
      </c>
      <c r="S723" s="1" t="str">
        <f>IF($A723="","",COUNTIF($N$2:N723,$N723))</f>
        <v/>
      </c>
      <c r="T723" s="1" t="str">
        <f t="shared" si="82"/>
        <v/>
      </c>
      <c r="U723" s="1" t="str">
        <f t="shared" si="83"/>
        <v/>
      </c>
      <c r="V723"/>
    </row>
    <row r="724" spans="13:22" x14ac:dyDescent="0.3">
      <c r="M724" s="1" t="str">
        <f t="shared" si="77"/>
        <v/>
      </c>
      <c r="N724" s="1" t="str">
        <f t="shared" si="78"/>
        <v/>
      </c>
      <c r="O724" s="1" t="str">
        <f ca="1">IF(F724="","",IF(INT(F724)=INT(NOW()),IF(NETWORKDAYS.INTL(F724,F724,1,FERIADOS!$A$2:$A$50)=0,0,MAX(0,(MIN(NOW(),INT(NOW())+18/24)-MAX(F724,INT(F724)+8/24)))*24),MAX(0,(INT(F724)+18/24-MAX(F724,INT(F724)+8/24)))*24*NETWORKDAYS.INTL(F724,F724,1,FERIADOS!$A$2:$A$50)+MAX(0,NETWORKDAYS.INTL(F724+1,NOW()-1,1,FERIADOS!$A$2:$A$50))*10+MAX(0,(MIN(NOW(),INT(NOW())+18/24)-(INT(NOW())+8/24)))*24*NETWORKDAYS.INTL(NOW(),NOW(),1,FERIADOS!$A$2:$A$50)))</f>
        <v/>
      </c>
      <c r="P724" s="1" t="str">
        <f t="shared" si="79"/>
        <v/>
      </c>
      <c r="Q724" s="1" t="str">
        <f t="shared" si="80"/>
        <v/>
      </c>
      <c r="R724" s="1" t="str">
        <f t="shared" si="81"/>
        <v/>
      </c>
      <c r="S724" s="1" t="str">
        <f>IF($A724="","",COUNTIF($N$2:N724,$N724))</f>
        <v/>
      </c>
      <c r="T724" s="1" t="str">
        <f t="shared" si="82"/>
        <v/>
      </c>
      <c r="U724" s="1" t="str">
        <f t="shared" si="83"/>
        <v/>
      </c>
      <c r="V724"/>
    </row>
    <row r="725" spans="13:22" x14ac:dyDescent="0.3">
      <c r="M725" s="1" t="str">
        <f t="shared" si="77"/>
        <v/>
      </c>
      <c r="N725" s="1" t="str">
        <f t="shared" si="78"/>
        <v/>
      </c>
      <c r="O725" s="1" t="str">
        <f ca="1">IF(F725="","",IF(INT(F725)=INT(NOW()),IF(NETWORKDAYS.INTL(F725,F725,1,FERIADOS!$A$2:$A$50)=0,0,MAX(0,(MIN(NOW(),INT(NOW())+18/24)-MAX(F725,INT(F725)+8/24)))*24),MAX(0,(INT(F725)+18/24-MAX(F725,INT(F725)+8/24)))*24*NETWORKDAYS.INTL(F725,F725,1,FERIADOS!$A$2:$A$50)+MAX(0,NETWORKDAYS.INTL(F725+1,NOW()-1,1,FERIADOS!$A$2:$A$50))*10+MAX(0,(MIN(NOW(),INT(NOW())+18/24)-(INT(NOW())+8/24)))*24*NETWORKDAYS.INTL(NOW(),NOW(),1,FERIADOS!$A$2:$A$50)))</f>
        <v/>
      </c>
      <c r="P725" s="1" t="str">
        <f t="shared" si="79"/>
        <v/>
      </c>
      <c r="Q725" s="1" t="str">
        <f t="shared" si="80"/>
        <v/>
      </c>
      <c r="R725" s="1" t="str">
        <f t="shared" si="81"/>
        <v/>
      </c>
      <c r="S725" s="1" t="str">
        <f>IF($A725="","",COUNTIF($N$2:N725,$N725))</f>
        <v/>
      </c>
      <c r="T725" s="1" t="str">
        <f t="shared" si="82"/>
        <v/>
      </c>
      <c r="U725" s="1" t="str">
        <f t="shared" si="83"/>
        <v/>
      </c>
      <c r="V725"/>
    </row>
    <row r="726" spans="13:22" x14ac:dyDescent="0.3">
      <c r="M726" s="1" t="str">
        <f t="shared" si="77"/>
        <v/>
      </c>
      <c r="N726" s="1" t="str">
        <f t="shared" si="78"/>
        <v/>
      </c>
      <c r="O726" s="1" t="str">
        <f ca="1">IF(F726="","",IF(INT(F726)=INT(NOW()),IF(NETWORKDAYS.INTL(F726,F726,1,FERIADOS!$A$2:$A$50)=0,0,MAX(0,(MIN(NOW(),INT(NOW())+18/24)-MAX(F726,INT(F726)+8/24)))*24),MAX(0,(INT(F726)+18/24-MAX(F726,INT(F726)+8/24)))*24*NETWORKDAYS.INTL(F726,F726,1,FERIADOS!$A$2:$A$50)+MAX(0,NETWORKDAYS.INTL(F726+1,NOW()-1,1,FERIADOS!$A$2:$A$50))*10+MAX(0,(MIN(NOW(),INT(NOW())+18/24)-(INT(NOW())+8/24)))*24*NETWORKDAYS.INTL(NOW(),NOW(),1,FERIADOS!$A$2:$A$50)))</f>
        <v/>
      </c>
      <c r="P726" s="1" t="str">
        <f t="shared" si="79"/>
        <v/>
      </c>
      <c r="Q726" s="1" t="str">
        <f t="shared" si="80"/>
        <v/>
      </c>
      <c r="R726" s="1" t="str">
        <f t="shared" si="81"/>
        <v/>
      </c>
      <c r="S726" s="1" t="str">
        <f>IF($A726="","",COUNTIF($N$2:N726,$N726))</f>
        <v/>
      </c>
      <c r="T726" s="1" t="str">
        <f t="shared" si="82"/>
        <v/>
      </c>
      <c r="U726" s="1" t="str">
        <f t="shared" si="83"/>
        <v/>
      </c>
      <c r="V726"/>
    </row>
    <row r="727" spans="13:22" x14ac:dyDescent="0.3">
      <c r="M727" s="1" t="str">
        <f t="shared" si="77"/>
        <v/>
      </c>
      <c r="N727" s="1" t="str">
        <f t="shared" si="78"/>
        <v/>
      </c>
      <c r="O727" s="1" t="str">
        <f ca="1">IF(F727="","",IF(INT(F727)=INT(NOW()),IF(NETWORKDAYS.INTL(F727,F727,1,FERIADOS!$A$2:$A$50)=0,0,MAX(0,(MIN(NOW(),INT(NOW())+18/24)-MAX(F727,INT(F727)+8/24)))*24),MAX(0,(INT(F727)+18/24-MAX(F727,INT(F727)+8/24)))*24*NETWORKDAYS.INTL(F727,F727,1,FERIADOS!$A$2:$A$50)+MAX(0,NETWORKDAYS.INTL(F727+1,NOW()-1,1,FERIADOS!$A$2:$A$50))*10+MAX(0,(MIN(NOW(),INT(NOW())+18/24)-(INT(NOW())+8/24)))*24*NETWORKDAYS.INTL(NOW(),NOW(),1,FERIADOS!$A$2:$A$50)))</f>
        <v/>
      </c>
      <c r="P727" s="1" t="str">
        <f t="shared" si="79"/>
        <v/>
      </c>
      <c r="Q727" s="1" t="str">
        <f t="shared" si="80"/>
        <v/>
      </c>
      <c r="R727" s="1" t="str">
        <f t="shared" si="81"/>
        <v/>
      </c>
      <c r="S727" s="1" t="str">
        <f>IF($A727="","",COUNTIF($N$2:N727,$N727))</f>
        <v/>
      </c>
      <c r="T727" s="1" t="str">
        <f t="shared" si="82"/>
        <v/>
      </c>
      <c r="U727" s="1" t="str">
        <f t="shared" si="83"/>
        <v/>
      </c>
      <c r="V727"/>
    </row>
    <row r="728" spans="13:22" x14ac:dyDescent="0.3">
      <c r="M728" s="1" t="str">
        <f t="shared" si="77"/>
        <v/>
      </c>
      <c r="N728" s="1" t="str">
        <f t="shared" si="78"/>
        <v/>
      </c>
      <c r="O728" s="1" t="str">
        <f ca="1">IF(F728="","",IF(INT(F728)=INT(NOW()),IF(NETWORKDAYS.INTL(F728,F728,1,FERIADOS!$A$2:$A$50)=0,0,MAX(0,(MIN(NOW(),INT(NOW())+18/24)-MAX(F728,INT(F728)+8/24)))*24),MAX(0,(INT(F728)+18/24-MAX(F728,INT(F728)+8/24)))*24*NETWORKDAYS.INTL(F728,F728,1,FERIADOS!$A$2:$A$50)+MAX(0,NETWORKDAYS.INTL(F728+1,NOW()-1,1,FERIADOS!$A$2:$A$50))*10+MAX(0,(MIN(NOW(),INT(NOW())+18/24)-(INT(NOW())+8/24)))*24*NETWORKDAYS.INTL(NOW(),NOW(),1,FERIADOS!$A$2:$A$50)))</f>
        <v/>
      </c>
      <c r="P728" s="1" t="str">
        <f t="shared" si="79"/>
        <v/>
      </c>
      <c r="Q728" s="1" t="str">
        <f t="shared" si="80"/>
        <v/>
      </c>
      <c r="R728" s="1" t="str">
        <f t="shared" si="81"/>
        <v/>
      </c>
      <c r="S728" s="1" t="str">
        <f>IF($A728="","",COUNTIF($N$2:N728,$N728))</f>
        <v/>
      </c>
      <c r="T728" s="1" t="str">
        <f t="shared" si="82"/>
        <v/>
      </c>
      <c r="U728" s="1" t="str">
        <f t="shared" si="83"/>
        <v/>
      </c>
      <c r="V728"/>
    </row>
    <row r="729" spans="13:22" x14ac:dyDescent="0.3">
      <c r="M729" s="1" t="str">
        <f t="shared" si="77"/>
        <v/>
      </c>
      <c r="N729" s="1" t="str">
        <f t="shared" si="78"/>
        <v/>
      </c>
      <c r="O729" s="1" t="str">
        <f ca="1">IF(F729="","",IF(INT(F729)=INT(NOW()),IF(NETWORKDAYS.INTL(F729,F729,1,FERIADOS!$A$2:$A$50)=0,0,MAX(0,(MIN(NOW(),INT(NOW())+18/24)-MAX(F729,INT(F729)+8/24)))*24),MAX(0,(INT(F729)+18/24-MAX(F729,INT(F729)+8/24)))*24*NETWORKDAYS.INTL(F729,F729,1,FERIADOS!$A$2:$A$50)+MAX(0,NETWORKDAYS.INTL(F729+1,NOW()-1,1,FERIADOS!$A$2:$A$50))*10+MAX(0,(MIN(NOW(),INT(NOW())+18/24)-(INT(NOW())+8/24)))*24*NETWORKDAYS.INTL(NOW(),NOW(),1,FERIADOS!$A$2:$A$50)))</f>
        <v/>
      </c>
      <c r="P729" s="1" t="str">
        <f t="shared" si="79"/>
        <v/>
      </c>
      <c r="Q729" s="1" t="str">
        <f t="shared" si="80"/>
        <v/>
      </c>
      <c r="R729" s="1" t="str">
        <f t="shared" si="81"/>
        <v/>
      </c>
      <c r="S729" s="1" t="str">
        <f>IF($A729="","",COUNTIF($N$2:N729,$N729))</f>
        <v/>
      </c>
      <c r="T729" s="1" t="str">
        <f t="shared" si="82"/>
        <v/>
      </c>
      <c r="U729" s="1" t="str">
        <f t="shared" si="83"/>
        <v/>
      </c>
      <c r="V729"/>
    </row>
    <row r="730" spans="13:22" x14ac:dyDescent="0.3">
      <c r="M730" s="1" t="str">
        <f t="shared" si="77"/>
        <v/>
      </c>
      <c r="N730" s="1" t="str">
        <f t="shared" si="78"/>
        <v/>
      </c>
      <c r="O730" s="1" t="str">
        <f ca="1">IF(F730="","",IF(INT(F730)=INT(NOW()),IF(NETWORKDAYS.INTL(F730,F730,1,FERIADOS!$A$2:$A$50)=0,0,MAX(0,(MIN(NOW(),INT(NOW())+18/24)-MAX(F730,INT(F730)+8/24)))*24),MAX(0,(INT(F730)+18/24-MAX(F730,INT(F730)+8/24)))*24*NETWORKDAYS.INTL(F730,F730,1,FERIADOS!$A$2:$A$50)+MAX(0,NETWORKDAYS.INTL(F730+1,NOW()-1,1,FERIADOS!$A$2:$A$50))*10+MAX(0,(MIN(NOW(),INT(NOW())+18/24)-(INT(NOW())+8/24)))*24*NETWORKDAYS.INTL(NOW(),NOW(),1,FERIADOS!$A$2:$A$50)))</f>
        <v/>
      </c>
      <c r="P730" s="1" t="str">
        <f t="shared" si="79"/>
        <v/>
      </c>
      <c r="Q730" s="1" t="str">
        <f t="shared" si="80"/>
        <v/>
      </c>
      <c r="R730" s="1" t="str">
        <f t="shared" si="81"/>
        <v/>
      </c>
      <c r="S730" s="1" t="str">
        <f>IF($A730="","",COUNTIF($N$2:N730,$N730))</f>
        <v/>
      </c>
      <c r="T730" s="1" t="str">
        <f t="shared" si="82"/>
        <v/>
      </c>
      <c r="U730" s="1" t="str">
        <f t="shared" si="83"/>
        <v/>
      </c>
      <c r="V730"/>
    </row>
    <row r="731" spans="13:22" x14ac:dyDescent="0.3">
      <c r="M731" s="1" t="str">
        <f t="shared" si="77"/>
        <v/>
      </c>
      <c r="N731" s="1" t="str">
        <f t="shared" si="78"/>
        <v/>
      </c>
      <c r="O731" s="1" t="str">
        <f ca="1">IF(F731="","",IF(INT(F731)=INT(NOW()),IF(NETWORKDAYS.INTL(F731,F731,1,FERIADOS!$A$2:$A$50)=0,0,MAX(0,(MIN(NOW(),INT(NOW())+18/24)-MAX(F731,INT(F731)+8/24)))*24),MAX(0,(INT(F731)+18/24-MAX(F731,INT(F731)+8/24)))*24*NETWORKDAYS.INTL(F731,F731,1,FERIADOS!$A$2:$A$50)+MAX(0,NETWORKDAYS.INTL(F731+1,NOW()-1,1,FERIADOS!$A$2:$A$50))*10+MAX(0,(MIN(NOW(),INT(NOW())+18/24)-(INT(NOW())+8/24)))*24*NETWORKDAYS.INTL(NOW(),NOW(),1,FERIADOS!$A$2:$A$50)))</f>
        <v/>
      </c>
      <c r="P731" s="1" t="str">
        <f t="shared" si="79"/>
        <v/>
      </c>
      <c r="Q731" s="1" t="str">
        <f t="shared" si="80"/>
        <v/>
      </c>
      <c r="R731" s="1" t="str">
        <f t="shared" si="81"/>
        <v/>
      </c>
      <c r="S731" s="1" t="str">
        <f>IF($A731="","",COUNTIF($N$2:N731,$N731))</f>
        <v/>
      </c>
      <c r="T731" s="1" t="str">
        <f t="shared" si="82"/>
        <v/>
      </c>
      <c r="U731" s="1" t="str">
        <f t="shared" si="83"/>
        <v/>
      </c>
      <c r="V731"/>
    </row>
    <row r="732" spans="13:22" x14ac:dyDescent="0.3">
      <c r="M732" s="1" t="str">
        <f t="shared" si="77"/>
        <v/>
      </c>
      <c r="N732" s="1" t="str">
        <f t="shared" si="78"/>
        <v/>
      </c>
      <c r="O732" s="1" t="str">
        <f ca="1">IF(F732="","",IF(INT(F732)=INT(NOW()),IF(NETWORKDAYS.INTL(F732,F732,1,FERIADOS!$A$2:$A$50)=0,0,MAX(0,(MIN(NOW(),INT(NOW())+18/24)-MAX(F732,INT(F732)+8/24)))*24),MAX(0,(INT(F732)+18/24-MAX(F732,INT(F732)+8/24)))*24*NETWORKDAYS.INTL(F732,F732,1,FERIADOS!$A$2:$A$50)+MAX(0,NETWORKDAYS.INTL(F732+1,NOW()-1,1,FERIADOS!$A$2:$A$50))*10+MAX(0,(MIN(NOW(),INT(NOW())+18/24)-(INT(NOW())+8/24)))*24*NETWORKDAYS.INTL(NOW(),NOW(),1,FERIADOS!$A$2:$A$50)))</f>
        <v/>
      </c>
      <c r="P732" s="1" t="str">
        <f t="shared" si="79"/>
        <v/>
      </c>
      <c r="Q732" s="1" t="str">
        <f t="shared" si="80"/>
        <v/>
      </c>
      <c r="R732" s="1" t="str">
        <f t="shared" si="81"/>
        <v/>
      </c>
      <c r="S732" s="1" t="str">
        <f>IF($A732="","",COUNTIF($N$2:N732,$N732))</f>
        <v/>
      </c>
      <c r="T732" s="1" t="str">
        <f t="shared" si="82"/>
        <v/>
      </c>
      <c r="U732" s="1" t="str">
        <f t="shared" si="83"/>
        <v/>
      </c>
      <c r="V732"/>
    </row>
    <row r="733" spans="13:22" x14ac:dyDescent="0.3">
      <c r="M733" s="1" t="str">
        <f t="shared" si="77"/>
        <v/>
      </c>
      <c r="N733" s="1" t="str">
        <f t="shared" si="78"/>
        <v/>
      </c>
      <c r="O733" s="1" t="str">
        <f ca="1">IF(F733="","",IF(INT(F733)=INT(NOW()),IF(NETWORKDAYS.INTL(F733,F733,1,FERIADOS!$A$2:$A$50)=0,0,MAX(0,(MIN(NOW(),INT(NOW())+18/24)-MAX(F733,INT(F733)+8/24)))*24),MAX(0,(INT(F733)+18/24-MAX(F733,INT(F733)+8/24)))*24*NETWORKDAYS.INTL(F733,F733,1,FERIADOS!$A$2:$A$50)+MAX(0,NETWORKDAYS.INTL(F733+1,NOW()-1,1,FERIADOS!$A$2:$A$50))*10+MAX(0,(MIN(NOW(),INT(NOW())+18/24)-(INT(NOW())+8/24)))*24*NETWORKDAYS.INTL(NOW(),NOW(),1,FERIADOS!$A$2:$A$50)))</f>
        <v/>
      </c>
      <c r="P733" s="1" t="str">
        <f t="shared" si="79"/>
        <v/>
      </c>
      <c r="Q733" s="1" t="str">
        <f t="shared" si="80"/>
        <v/>
      </c>
      <c r="R733" s="1" t="str">
        <f t="shared" si="81"/>
        <v/>
      </c>
      <c r="S733" s="1" t="str">
        <f>IF($A733="","",COUNTIF($N$2:N733,$N733))</f>
        <v/>
      </c>
      <c r="T733" s="1" t="str">
        <f t="shared" si="82"/>
        <v/>
      </c>
      <c r="U733" s="1" t="str">
        <f t="shared" si="83"/>
        <v/>
      </c>
      <c r="V733"/>
    </row>
    <row r="734" spans="13:22" x14ac:dyDescent="0.3">
      <c r="M734" s="1" t="str">
        <f t="shared" si="77"/>
        <v/>
      </c>
      <c r="N734" s="1" t="str">
        <f t="shared" si="78"/>
        <v/>
      </c>
      <c r="O734" s="1" t="str">
        <f ca="1">IF(F734="","",IF(INT(F734)=INT(NOW()),IF(NETWORKDAYS.INTL(F734,F734,1,FERIADOS!$A$2:$A$50)=0,0,MAX(0,(MIN(NOW(),INT(NOW())+18/24)-MAX(F734,INT(F734)+8/24)))*24),MAX(0,(INT(F734)+18/24-MAX(F734,INT(F734)+8/24)))*24*NETWORKDAYS.INTL(F734,F734,1,FERIADOS!$A$2:$A$50)+MAX(0,NETWORKDAYS.INTL(F734+1,NOW()-1,1,FERIADOS!$A$2:$A$50))*10+MAX(0,(MIN(NOW(),INT(NOW())+18/24)-(INT(NOW())+8/24)))*24*NETWORKDAYS.INTL(NOW(),NOW(),1,FERIADOS!$A$2:$A$50)))</f>
        <v/>
      </c>
      <c r="P734" s="1" t="str">
        <f t="shared" si="79"/>
        <v/>
      </c>
      <c r="Q734" s="1" t="str">
        <f t="shared" si="80"/>
        <v/>
      </c>
      <c r="R734" s="1" t="str">
        <f t="shared" si="81"/>
        <v/>
      </c>
      <c r="S734" s="1" t="str">
        <f>IF($A734="","",COUNTIF($N$2:N734,$N734))</f>
        <v/>
      </c>
      <c r="T734" s="1" t="str">
        <f t="shared" si="82"/>
        <v/>
      </c>
      <c r="U734" s="1" t="str">
        <f t="shared" si="83"/>
        <v/>
      </c>
      <c r="V734"/>
    </row>
    <row r="735" spans="13:22" x14ac:dyDescent="0.3">
      <c r="M735" s="1" t="str">
        <f t="shared" si="77"/>
        <v/>
      </c>
      <c r="N735" s="1" t="str">
        <f t="shared" si="78"/>
        <v/>
      </c>
      <c r="O735" s="1" t="str">
        <f ca="1">IF(F735="","",IF(INT(F735)=INT(NOW()),IF(NETWORKDAYS.INTL(F735,F735,1,FERIADOS!$A$2:$A$50)=0,0,MAX(0,(MIN(NOW(),INT(NOW())+18/24)-MAX(F735,INT(F735)+8/24)))*24),MAX(0,(INT(F735)+18/24-MAX(F735,INT(F735)+8/24)))*24*NETWORKDAYS.INTL(F735,F735,1,FERIADOS!$A$2:$A$50)+MAX(0,NETWORKDAYS.INTL(F735+1,NOW()-1,1,FERIADOS!$A$2:$A$50))*10+MAX(0,(MIN(NOW(),INT(NOW())+18/24)-(INT(NOW())+8/24)))*24*NETWORKDAYS.INTL(NOW(),NOW(),1,FERIADOS!$A$2:$A$50)))</f>
        <v/>
      </c>
      <c r="P735" s="1" t="str">
        <f t="shared" si="79"/>
        <v/>
      </c>
      <c r="Q735" s="1" t="str">
        <f t="shared" si="80"/>
        <v/>
      </c>
      <c r="R735" s="1" t="str">
        <f t="shared" si="81"/>
        <v/>
      </c>
      <c r="S735" s="1" t="str">
        <f>IF($A735="","",COUNTIF($N$2:N735,$N735))</f>
        <v/>
      </c>
      <c r="T735" s="1" t="str">
        <f t="shared" si="82"/>
        <v/>
      </c>
      <c r="U735" s="1" t="str">
        <f t="shared" si="83"/>
        <v/>
      </c>
      <c r="V735"/>
    </row>
    <row r="736" spans="13:22" x14ac:dyDescent="0.3">
      <c r="M736" s="1" t="str">
        <f t="shared" si="77"/>
        <v/>
      </c>
      <c r="N736" s="1" t="str">
        <f t="shared" si="78"/>
        <v/>
      </c>
      <c r="O736" s="1" t="str">
        <f ca="1">IF(F736="","",IF(INT(F736)=INT(NOW()),IF(NETWORKDAYS.INTL(F736,F736,1,FERIADOS!$A$2:$A$50)=0,0,MAX(0,(MIN(NOW(),INT(NOW())+18/24)-MAX(F736,INT(F736)+8/24)))*24),MAX(0,(INT(F736)+18/24-MAX(F736,INT(F736)+8/24)))*24*NETWORKDAYS.INTL(F736,F736,1,FERIADOS!$A$2:$A$50)+MAX(0,NETWORKDAYS.INTL(F736+1,NOW()-1,1,FERIADOS!$A$2:$A$50))*10+MAX(0,(MIN(NOW(),INT(NOW())+18/24)-(INT(NOW())+8/24)))*24*NETWORKDAYS.INTL(NOW(),NOW(),1,FERIADOS!$A$2:$A$50)))</f>
        <v/>
      </c>
      <c r="P736" s="1" t="str">
        <f t="shared" si="79"/>
        <v/>
      </c>
      <c r="Q736" s="1" t="str">
        <f t="shared" si="80"/>
        <v/>
      </c>
      <c r="R736" s="1" t="str">
        <f t="shared" si="81"/>
        <v/>
      </c>
      <c r="S736" s="1" t="str">
        <f>IF($A736="","",COUNTIF($N$2:N736,$N736))</f>
        <v/>
      </c>
      <c r="T736" s="1" t="str">
        <f t="shared" si="82"/>
        <v/>
      </c>
      <c r="U736" s="1" t="str">
        <f t="shared" si="83"/>
        <v/>
      </c>
      <c r="V736"/>
    </row>
    <row r="737" spans="13:22" x14ac:dyDescent="0.3">
      <c r="M737" s="1" t="str">
        <f t="shared" si="77"/>
        <v/>
      </c>
      <c r="N737" s="1" t="str">
        <f t="shared" si="78"/>
        <v/>
      </c>
      <c r="O737" s="1" t="str">
        <f ca="1">IF(F737="","",IF(INT(F737)=INT(NOW()),IF(NETWORKDAYS.INTL(F737,F737,1,FERIADOS!$A$2:$A$50)=0,0,MAX(0,(MIN(NOW(),INT(NOW())+18/24)-MAX(F737,INT(F737)+8/24)))*24),MAX(0,(INT(F737)+18/24-MAX(F737,INT(F737)+8/24)))*24*NETWORKDAYS.INTL(F737,F737,1,FERIADOS!$A$2:$A$50)+MAX(0,NETWORKDAYS.INTL(F737+1,NOW()-1,1,FERIADOS!$A$2:$A$50))*10+MAX(0,(MIN(NOW(),INT(NOW())+18/24)-(INT(NOW())+8/24)))*24*NETWORKDAYS.INTL(NOW(),NOW(),1,FERIADOS!$A$2:$A$50)))</f>
        <v/>
      </c>
      <c r="P737" s="1" t="str">
        <f t="shared" si="79"/>
        <v/>
      </c>
      <c r="Q737" s="1" t="str">
        <f t="shared" si="80"/>
        <v/>
      </c>
      <c r="R737" s="1" t="str">
        <f t="shared" si="81"/>
        <v/>
      </c>
      <c r="S737" s="1" t="str">
        <f>IF($A737="","",COUNTIF($N$2:N737,$N737))</f>
        <v/>
      </c>
      <c r="T737" s="1" t="str">
        <f t="shared" si="82"/>
        <v/>
      </c>
      <c r="U737" s="1" t="str">
        <f t="shared" si="83"/>
        <v/>
      </c>
      <c r="V737"/>
    </row>
    <row r="738" spans="13:22" x14ac:dyDescent="0.3">
      <c r="M738" s="1" t="str">
        <f t="shared" si="77"/>
        <v/>
      </c>
      <c r="N738" s="1" t="str">
        <f t="shared" si="78"/>
        <v/>
      </c>
      <c r="O738" s="1" t="str">
        <f ca="1">IF(F738="","",IF(INT(F738)=INT(NOW()),IF(NETWORKDAYS.INTL(F738,F738,1,FERIADOS!$A$2:$A$50)=0,0,MAX(0,(MIN(NOW(),INT(NOW())+18/24)-MAX(F738,INT(F738)+8/24)))*24),MAX(0,(INT(F738)+18/24-MAX(F738,INT(F738)+8/24)))*24*NETWORKDAYS.INTL(F738,F738,1,FERIADOS!$A$2:$A$50)+MAX(0,NETWORKDAYS.INTL(F738+1,NOW()-1,1,FERIADOS!$A$2:$A$50))*10+MAX(0,(MIN(NOW(),INT(NOW())+18/24)-(INT(NOW())+8/24)))*24*NETWORKDAYS.INTL(NOW(),NOW(),1,FERIADOS!$A$2:$A$50)))</f>
        <v/>
      </c>
      <c r="P738" s="1" t="str">
        <f t="shared" si="79"/>
        <v/>
      </c>
      <c r="Q738" s="1" t="str">
        <f t="shared" si="80"/>
        <v/>
      </c>
      <c r="R738" s="1" t="str">
        <f t="shared" si="81"/>
        <v/>
      </c>
      <c r="S738" s="1" t="str">
        <f>IF($A738="","",COUNTIF($N$2:N738,$N738))</f>
        <v/>
      </c>
      <c r="T738" s="1" t="str">
        <f t="shared" si="82"/>
        <v/>
      </c>
      <c r="U738" s="1" t="str">
        <f t="shared" si="83"/>
        <v/>
      </c>
      <c r="V738"/>
    </row>
    <row r="739" spans="13:22" x14ac:dyDescent="0.3">
      <c r="M739" s="1" t="str">
        <f t="shared" si="77"/>
        <v/>
      </c>
      <c r="N739" s="1" t="str">
        <f t="shared" si="78"/>
        <v/>
      </c>
      <c r="O739" s="1" t="str">
        <f ca="1">IF(F739="","",IF(INT(F739)=INT(NOW()),IF(NETWORKDAYS.INTL(F739,F739,1,FERIADOS!$A$2:$A$50)=0,0,MAX(0,(MIN(NOW(),INT(NOW())+18/24)-MAX(F739,INT(F739)+8/24)))*24),MAX(0,(INT(F739)+18/24-MAX(F739,INT(F739)+8/24)))*24*NETWORKDAYS.INTL(F739,F739,1,FERIADOS!$A$2:$A$50)+MAX(0,NETWORKDAYS.INTL(F739+1,NOW()-1,1,FERIADOS!$A$2:$A$50))*10+MAX(0,(MIN(NOW(),INT(NOW())+18/24)-(INT(NOW())+8/24)))*24*NETWORKDAYS.INTL(NOW(),NOW(),1,FERIADOS!$A$2:$A$50)))</f>
        <v/>
      </c>
      <c r="P739" s="1" t="str">
        <f t="shared" si="79"/>
        <v/>
      </c>
      <c r="Q739" s="1" t="str">
        <f t="shared" si="80"/>
        <v/>
      </c>
      <c r="R739" s="1" t="str">
        <f t="shared" si="81"/>
        <v/>
      </c>
      <c r="S739" s="1" t="str">
        <f>IF($A739="","",COUNTIF($N$2:N739,$N739))</f>
        <v/>
      </c>
      <c r="T739" s="1" t="str">
        <f t="shared" si="82"/>
        <v/>
      </c>
      <c r="U739" s="1" t="str">
        <f t="shared" si="83"/>
        <v/>
      </c>
      <c r="V739"/>
    </row>
    <row r="740" spans="13:22" x14ac:dyDescent="0.3">
      <c r="M740" s="1" t="str">
        <f t="shared" si="77"/>
        <v/>
      </c>
      <c r="N740" s="1" t="str">
        <f t="shared" si="78"/>
        <v/>
      </c>
      <c r="O740" s="1" t="str">
        <f ca="1">IF(F740="","",IF(INT(F740)=INT(NOW()),IF(NETWORKDAYS.INTL(F740,F740,1,FERIADOS!$A$2:$A$50)=0,0,MAX(0,(MIN(NOW(),INT(NOW())+18/24)-MAX(F740,INT(F740)+8/24)))*24),MAX(0,(INT(F740)+18/24-MAX(F740,INT(F740)+8/24)))*24*NETWORKDAYS.INTL(F740,F740,1,FERIADOS!$A$2:$A$50)+MAX(0,NETWORKDAYS.INTL(F740+1,NOW()-1,1,FERIADOS!$A$2:$A$50))*10+MAX(0,(MIN(NOW(),INT(NOW())+18/24)-(INT(NOW())+8/24)))*24*NETWORKDAYS.INTL(NOW(),NOW(),1,FERIADOS!$A$2:$A$50)))</f>
        <v/>
      </c>
      <c r="P740" s="1" t="str">
        <f t="shared" si="79"/>
        <v/>
      </c>
      <c r="Q740" s="1" t="str">
        <f t="shared" si="80"/>
        <v/>
      </c>
      <c r="R740" s="1" t="str">
        <f t="shared" si="81"/>
        <v/>
      </c>
      <c r="S740" s="1" t="str">
        <f>IF($A740="","",COUNTIF($N$2:N740,$N740))</f>
        <v/>
      </c>
      <c r="T740" s="1" t="str">
        <f t="shared" si="82"/>
        <v/>
      </c>
      <c r="U740" s="1" t="str">
        <f t="shared" si="83"/>
        <v/>
      </c>
      <c r="V740"/>
    </row>
    <row r="741" spans="13:22" x14ac:dyDescent="0.3">
      <c r="M741" s="1" t="str">
        <f t="shared" si="77"/>
        <v/>
      </c>
      <c r="N741" s="1" t="str">
        <f t="shared" si="78"/>
        <v/>
      </c>
      <c r="O741" s="1" t="str">
        <f ca="1">IF(F741="","",IF(INT(F741)=INT(NOW()),IF(NETWORKDAYS.INTL(F741,F741,1,FERIADOS!$A$2:$A$50)=0,0,MAX(0,(MIN(NOW(),INT(NOW())+18/24)-MAX(F741,INT(F741)+8/24)))*24),MAX(0,(INT(F741)+18/24-MAX(F741,INT(F741)+8/24)))*24*NETWORKDAYS.INTL(F741,F741,1,FERIADOS!$A$2:$A$50)+MAX(0,NETWORKDAYS.INTL(F741+1,NOW()-1,1,FERIADOS!$A$2:$A$50))*10+MAX(0,(MIN(NOW(),INT(NOW())+18/24)-(INT(NOW())+8/24)))*24*NETWORKDAYS.INTL(NOW(),NOW(),1,FERIADOS!$A$2:$A$50)))</f>
        <v/>
      </c>
      <c r="P741" s="1" t="str">
        <f t="shared" si="79"/>
        <v/>
      </c>
      <c r="Q741" s="1" t="str">
        <f t="shared" si="80"/>
        <v/>
      </c>
      <c r="R741" s="1" t="str">
        <f t="shared" si="81"/>
        <v/>
      </c>
      <c r="S741" s="1" t="str">
        <f>IF($A741="","",COUNTIF($N$2:N741,$N741))</f>
        <v/>
      </c>
      <c r="T741" s="1" t="str">
        <f t="shared" si="82"/>
        <v/>
      </c>
      <c r="U741" s="1" t="str">
        <f t="shared" si="83"/>
        <v/>
      </c>
      <c r="V741"/>
    </row>
    <row r="742" spans="13:22" x14ac:dyDescent="0.3">
      <c r="M742" s="1" t="str">
        <f t="shared" si="77"/>
        <v/>
      </c>
      <c r="N742" s="1" t="str">
        <f t="shared" si="78"/>
        <v/>
      </c>
      <c r="O742" s="1" t="str">
        <f ca="1">IF(F742="","",IF(INT(F742)=INT(NOW()),IF(NETWORKDAYS.INTL(F742,F742,1,FERIADOS!$A$2:$A$50)=0,0,MAX(0,(MIN(NOW(),INT(NOW())+18/24)-MAX(F742,INT(F742)+8/24)))*24),MAX(0,(INT(F742)+18/24-MAX(F742,INT(F742)+8/24)))*24*NETWORKDAYS.INTL(F742,F742,1,FERIADOS!$A$2:$A$50)+MAX(0,NETWORKDAYS.INTL(F742+1,NOW()-1,1,FERIADOS!$A$2:$A$50))*10+MAX(0,(MIN(NOW(),INT(NOW())+18/24)-(INT(NOW())+8/24)))*24*NETWORKDAYS.INTL(NOW(),NOW(),1,FERIADOS!$A$2:$A$50)))</f>
        <v/>
      </c>
      <c r="P742" s="1" t="str">
        <f t="shared" si="79"/>
        <v/>
      </c>
      <c r="Q742" s="1" t="str">
        <f t="shared" si="80"/>
        <v/>
      </c>
      <c r="R742" s="1" t="str">
        <f t="shared" si="81"/>
        <v/>
      </c>
      <c r="S742" s="1" t="str">
        <f>IF($A742="","",COUNTIF($N$2:N742,$N742))</f>
        <v/>
      </c>
      <c r="T742" s="1" t="str">
        <f t="shared" si="82"/>
        <v/>
      </c>
      <c r="U742" s="1" t="str">
        <f t="shared" si="83"/>
        <v/>
      </c>
      <c r="V742"/>
    </row>
    <row r="743" spans="13:22" x14ac:dyDescent="0.3">
      <c r="M743" s="1" t="str">
        <f t="shared" si="77"/>
        <v/>
      </c>
      <c r="N743" s="1" t="str">
        <f t="shared" si="78"/>
        <v/>
      </c>
      <c r="O743" s="1" t="str">
        <f ca="1">IF(F743="","",IF(INT(F743)=INT(NOW()),IF(NETWORKDAYS.INTL(F743,F743,1,FERIADOS!$A$2:$A$50)=0,0,MAX(0,(MIN(NOW(),INT(NOW())+18/24)-MAX(F743,INT(F743)+8/24)))*24),MAX(0,(INT(F743)+18/24-MAX(F743,INT(F743)+8/24)))*24*NETWORKDAYS.INTL(F743,F743,1,FERIADOS!$A$2:$A$50)+MAX(0,NETWORKDAYS.INTL(F743+1,NOW()-1,1,FERIADOS!$A$2:$A$50))*10+MAX(0,(MIN(NOW(),INT(NOW())+18/24)-(INT(NOW())+8/24)))*24*NETWORKDAYS.INTL(NOW(),NOW(),1,FERIADOS!$A$2:$A$50)))</f>
        <v/>
      </c>
      <c r="P743" s="1" t="str">
        <f t="shared" si="79"/>
        <v/>
      </c>
      <c r="Q743" s="1" t="str">
        <f t="shared" si="80"/>
        <v/>
      </c>
      <c r="R743" s="1" t="str">
        <f t="shared" si="81"/>
        <v/>
      </c>
      <c r="S743" s="1" t="str">
        <f>IF($A743="","",COUNTIF($N$2:N743,$N743))</f>
        <v/>
      </c>
      <c r="T743" s="1" t="str">
        <f t="shared" si="82"/>
        <v/>
      </c>
      <c r="U743" s="1" t="str">
        <f t="shared" si="83"/>
        <v/>
      </c>
      <c r="V743"/>
    </row>
    <row r="744" spans="13:22" x14ac:dyDescent="0.3">
      <c r="M744" s="1" t="str">
        <f t="shared" si="77"/>
        <v/>
      </c>
      <c r="N744" s="1" t="str">
        <f t="shared" si="78"/>
        <v/>
      </c>
      <c r="O744" s="1" t="str">
        <f ca="1">IF(F744="","",IF(INT(F744)=INT(NOW()),IF(NETWORKDAYS.INTL(F744,F744,1,FERIADOS!$A$2:$A$50)=0,0,MAX(0,(MIN(NOW(),INT(NOW())+18/24)-MAX(F744,INT(F744)+8/24)))*24),MAX(0,(INT(F744)+18/24-MAX(F744,INT(F744)+8/24)))*24*NETWORKDAYS.INTL(F744,F744,1,FERIADOS!$A$2:$A$50)+MAX(0,NETWORKDAYS.INTL(F744+1,NOW()-1,1,FERIADOS!$A$2:$A$50))*10+MAX(0,(MIN(NOW(),INT(NOW())+18/24)-(INT(NOW())+8/24)))*24*NETWORKDAYS.INTL(NOW(),NOW(),1,FERIADOS!$A$2:$A$50)))</f>
        <v/>
      </c>
      <c r="P744" s="1" t="str">
        <f t="shared" si="79"/>
        <v/>
      </c>
      <c r="Q744" s="1" t="str">
        <f t="shared" si="80"/>
        <v/>
      </c>
      <c r="R744" s="1" t="str">
        <f t="shared" si="81"/>
        <v/>
      </c>
      <c r="S744" s="1" t="str">
        <f>IF($A744="","",COUNTIF($N$2:N744,$N744))</f>
        <v/>
      </c>
      <c r="T744" s="1" t="str">
        <f t="shared" si="82"/>
        <v/>
      </c>
      <c r="U744" s="1" t="str">
        <f t="shared" si="83"/>
        <v/>
      </c>
      <c r="V744"/>
    </row>
    <row r="745" spans="13:22" x14ac:dyDescent="0.3">
      <c r="M745" s="1" t="str">
        <f t="shared" si="77"/>
        <v/>
      </c>
      <c r="N745" s="1" t="str">
        <f t="shared" si="78"/>
        <v/>
      </c>
      <c r="O745" s="1" t="str">
        <f ca="1">IF(F745="","",IF(INT(F745)=INT(NOW()),IF(NETWORKDAYS.INTL(F745,F745,1,FERIADOS!$A$2:$A$50)=0,0,MAX(0,(MIN(NOW(),INT(NOW())+18/24)-MAX(F745,INT(F745)+8/24)))*24),MAX(0,(INT(F745)+18/24-MAX(F745,INT(F745)+8/24)))*24*NETWORKDAYS.INTL(F745,F745,1,FERIADOS!$A$2:$A$50)+MAX(0,NETWORKDAYS.INTL(F745+1,NOW()-1,1,FERIADOS!$A$2:$A$50))*10+MAX(0,(MIN(NOW(),INT(NOW())+18/24)-(INT(NOW())+8/24)))*24*NETWORKDAYS.INTL(NOW(),NOW(),1,FERIADOS!$A$2:$A$50)))</f>
        <v/>
      </c>
      <c r="P745" s="1" t="str">
        <f t="shared" si="79"/>
        <v/>
      </c>
      <c r="Q745" s="1" t="str">
        <f t="shared" si="80"/>
        <v/>
      </c>
      <c r="R745" s="1" t="str">
        <f t="shared" si="81"/>
        <v/>
      </c>
      <c r="S745" s="1" t="str">
        <f>IF($A745="","",COUNTIF($N$2:N745,$N745))</f>
        <v/>
      </c>
      <c r="T745" s="1" t="str">
        <f t="shared" si="82"/>
        <v/>
      </c>
      <c r="U745" s="1" t="str">
        <f t="shared" si="83"/>
        <v/>
      </c>
      <c r="V745"/>
    </row>
    <row r="746" spans="13:22" x14ac:dyDescent="0.3">
      <c r="M746" s="1" t="str">
        <f t="shared" si="77"/>
        <v/>
      </c>
      <c r="N746" s="1" t="str">
        <f t="shared" si="78"/>
        <v/>
      </c>
      <c r="O746" s="1" t="str">
        <f ca="1">IF(F746="","",IF(INT(F746)=INT(NOW()),IF(NETWORKDAYS.INTL(F746,F746,1,FERIADOS!$A$2:$A$50)=0,0,MAX(0,(MIN(NOW(),INT(NOW())+18/24)-MAX(F746,INT(F746)+8/24)))*24),MAX(0,(INT(F746)+18/24-MAX(F746,INT(F746)+8/24)))*24*NETWORKDAYS.INTL(F746,F746,1,FERIADOS!$A$2:$A$50)+MAX(0,NETWORKDAYS.INTL(F746+1,NOW()-1,1,FERIADOS!$A$2:$A$50))*10+MAX(0,(MIN(NOW(),INT(NOW())+18/24)-(INT(NOW())+8/24)))*24*NETWORKDAYS.INTL(NOW(),NOW(),1,FERIADOS!$A$2:$A$50)))</f>
        <v/>
      </c>
      <c r="P746" s="1" t="str">
        <f t="shared" si="79"/>
        <v/>
      </c>
      <c r="Q746" s="1" t="str">
        <f t="shared" si="80"/>
        <v/>
      </c>
      <c r="R746" s="1" t="str">
        <f t="shared" si="81"/>
        <v/>
      </c>
      <c r="S746" s="1" t="str">
        <f>IF($A746="","",COUNTIF($N$2:N746,$N746))</f>
        <v/>
      </c>
      <c r="T746" s="1" t="str">
        <f t="shared" si="82"/>
        <v/>
      </c>
      <c r="U746" s="1" t="str">
        <f t="shared" si="83"/>
        <v/>
      </c>
      <c r="V746"/>
    </row>
    <row r="747" spans="13:22" x14ac:dyDescent="0.3">
      <c r="M747" s="1" t="str">
        <f t="shared" si="77"/>
        <v/>
      </c>
      <c r="N747" s="1" t="str">
        <f t="shared" si="78"/>
        <v/>
      </c>
      <c r="O747" s="1" t="str">
        <f ca="1">IF(F747="","",IF(INT(F747)=INT(NOW()),IF(NETWORKDAYS.INTL(F747,F747,1,FERIADOS!$A$2:$A$50)=0,0,MAX(0,(MIN(NOW(),INT(NOW())+18/24)-MAX(F747,INT(F747)+8/24)))*24),MAX(0,(INT(F747)+18/24-MAX(F747,INT(F747)+8/24)))*24*NETWORKDAYS.INTL(F747,F747,1,FERIADOS!$A$2:$A$50)+MAX(0,NETWORKDAYS.INTL(F747+1,NOW()-1,1,FERIADOS!$A$2:$A$50))*10+MAX(0,(MIN(NOW(),INT(NOW())+18/24)-(INT(NOW())+8/24)))*24*NETWORKDAYS.INTL(NOW(),NOW(),1,FERIADOS!$A$2:$A$50)))</f>
        <v/>
      </c>
      <c r="P747" s="1" t="str">
        <f t="shared" si="79"/>
        <v/>
      </c>
      <c r="Q747" s="1" t="str">
        <f t="shared" si="80"/>
        <v/>
      </c>
      <c r="R747" s="1" t="str">
        <f t="shared" si="81"/>
        <v/>
      </c>
      <c r="S747" s="1" t="str">
        <f>IF($A747="","",COUNTIF($N$2:N747,$N747))</f>
        <v/>
      </c>
      <c r="T747" s="1" t="str">
        <f t="shared" si="82"/>
        <v/>
      </c>
      <c r="U747" s="1" t="str">
        <f t="shared" si="83"/>
        <v/>
      </c>
      <c r="V747"/>
    </row>
    <row r="748" spans="13:22" x14ac:dyDescent="0.3">
      <c r="M748" s="1" t="str">
        <f t="shared" si="77"/>
        <v/>
      </c>
      <c r="N748" s="1" t="str">
        <f t="shared" si="78"/>
        <v/>
      </c>
      <c r="O748" s="1" t="str">
        <f ca="1">IF(F748="","",IF(INT(F748)=INT(NOW()),IF(NETWORKDAYS.INTL(F748,F748,1,FERIADOS!$A$2:$A$50)=0,0,MAX(0,(MIN(NOW(),INT(NOW())+18/24)-MAX(F748,INT(F748)+8/24)))*24),MAX(0,(INT(F748)+18/24-MAX(F748,INT(F748)+8/24)))*24*NETWORKDAYS.INTL(F748,F748,1,FERIADOS!$A$2:$A$50)+MAX(0,NETWORKDAYS.INTL(F748+1,NOW()-1,1,FERIADOS!$A$2:$A$50))*10+MAX(0,(MIN(NOW(),INT(NOW())+18/24)-(INT(NOW())+8/24)))*24*NETWORKDAYS.INTL(NOW(),NOW(),1,FERIADOS!$A$2:$A$50)))</f>
        <v/>
      </c>
      <c r="P748" s="1" t="str">
        <f t="shared" si="79"/>
        <v/>
      </c>
      <c r="Q748" s="1" t="str">
        <f t="shared" si="80"/>
        <v/>
      </c>
      <c r="R748" s="1" t="str">
        <f t="shared" si="81"/>
        <v/>
      </c>
      <c r="S748" s="1" t="str">
        <f>IF($A748="","",COUNTIF($N$2:N748,$N748))</f>
        <v/>
      </c>
      <c r="T748" s="1" t="str">
        <f t="shared" si="82"/>
        <v/>
      </c>
      <c r="U748" s="1" t="str">
        <f t="shared" si="83"/>
        <v/>
      </c>
      <c r="V748"/>
    </row>
    <row r="749" spans="13:22" x14ac:dyDescent="0.3">
      <c r="M749" s="1" t="str">
        <f t="shared" si="77"/>
        <v/>
      </c>
      <c r="N749" s="1" t="str">
        <f t="shared" si="78"/>
        <v/>
      </c>
      <c r="O749" s="1" t="str">
        <f ca="1">IF(F749="","",IF(INT(F749)=INT(NOW()),IF(NETWORKDAYS.INTL(F749,F749,1,FERIADOS!$A$2:$A$50)=0,0,MAX(0,(MIN(NOW(),INT(NOW())+18/24)-MAX(F749,INT(F749)+8/24)))*24),MAX(0,(INT(F749)+18/24-MAX(F749,INT(F749)+8/24)))*24*NETWORKDAYS.INTL(F749,F749,1,FERIADOS!$A$2:$A$50)+MAX(0,NETWORKDAYS.INTL(F749+1,NOW()-1,1,FERIADOS!$A$2:$A$50))*10+MAX(0,(MIN(NOW(),INT(NOW())+18/24)-(INT(NOW())+8/24)))*24*NETWORKDAYS.INTL(NOW(),NOW(),1,FERIADOS!$A$2:$A$50)))</f>
        <v/>
      </c>
      <c r="P749" s="1" t="str">
        <f t="shared" si="79"/>
        <v/>
      </c>
      <c r="Q749" s="1" t="str">
        <f t="shared" si="80"/>
        <v/>
      </c>
      <c r="R749" s="1" t="str">
        <f t="shared" si="81"/>
        <v/>
      </c>
      <c r="S749" s="1" t="str">
        <f>IF($A749="","",COUNTIF($N$2:N749,$N749))</f>
        <v/>
      </c>
      <c r="T749" s="1" t="str">
        <f t="shared" si="82"/>
        <v/>
      </c>
      <c r="U749" s="1" t="str">
        <f t="shared" si="83"/>
        <v/>
      </c>
      <c r="V749"/>
    </row>
    <row r="750" spans="13:22" x14ac:dyDescent="0.3">
      <c r="M750" s="1" t="str">
        <f t="shared" si="77"/>
        <v/>
      </c>
      <c r="N750" s="1" t="str">
        <f t="shared" si="78"/>
        <v/>
      </c>
      <c r="O750" s="1" t="str">
        <f ca="1">IF(F750="","",IF(INT(F750)=INT(NOW()),IF(NETWORKDAYS.INTL(F750,F750,1,FERIADOS!$A$2:$A$50)=0,0,MAX(0,(MIN(NOW(),INT(NOW())+18/24)-MAX(F750,INT(F750)+8/24)))*24),MAX(0,(INT(F750)+18/24-MAX(F750,INT(F750)+8/24)))*24*NETWORKDAYS.INTL(F750,F750,1,FERIADOS!$A$2:$A$50)+MAX(0,NETWORKDAYS.INTL(F750+1,NOW()-1,1,FERIADOS!$A$2:$A$50))*10+MAX(0,(MIN(NOW(),INT(NOW())+18/24)-(INT(NOW())+8/24)))*24*NETWORKDAYS.INTL(NOW(),NOW(),1,FERIADOS!$A$2:$A$50)))</f>
        <v/>
      </c>
      <c r="P750" s="1" t="str">
        <f t="shared" si="79"/>
        <v/>
      </c>
      <c r="Q750" s="1" t="str">
        <f t="shared" si="80"/>
        <v/>
      </c>
      <c r="R750" s="1" t="str">
        <f t="shared" si="81"/>
        <v/>
      </c>
      <c r="S750" s="1" t="str">
        <f>IF($A750="","",COUNTIF($N$2:N750,$N750))</f>
        <v/>
      </c>
      <c r="T750" s="1" t="str">
        <f t="shared" si="82"/>
        <v/>
      </c>
      <c r="U750" s="1" t="str">
        <f t="shared" si="83"/>
        <v/>
      </c>
      <c r="V750"/>
    </row>
    <row r="751" spans="13:22" x14ac:dyDescent="0.3">
      <c r="M751" s="1" t="str">
        <f t="shared" si="77"/>
        <v/>
      </c>
      <c r="N751" s="1" t="str">
        <f t="shared" si="78"/>
        <v/>
      </c>
      <c r="O751" s="1" t="str">
        <f ca="1">IF(F751="","",IF(INT(F751)=INT(NOW()),IF(NETWORKDAYS.INTL(F751,F751,1,FERIADOS!$A$2:$A$50)=0,0,MAX(0,(MIN(NOW(),INT(NOW())+18/24)-MAX(F751,INT(F751)+8/24)))*24),MAX(0,(INT(F751)+18/24-MAX(F751,INT(F751)+8/24)))*24*NETWORKDAYS.INTL(F751,F751,1,FERIADOS!$A$2:$A$50)+MAX(0,NETWORKDAYS.INTL(F751+1,NOW()-1,1,FERIADOS!$A$2:$A$50))*10+MAX(0,(MIN(NOW(),INT(NOW())+18/24)-(INT(NOW())+8/24)))*24*NETWORKDAYS.INTL(NOW(),NOW(),1,FERIADOS!$A$2:$A$50)))</f>
        <v/>
      </c>
      <c r="P751" s="1" t="str">
        <f t="shared" si="79"/>
        <v/>
      </c>
      <c r="Q751" s="1" t="str">
        <f t="shared" si="80"/>
        <v/>
      </c>
      <c r="R751" s="1" t="str">
        <f t="shared" si="81"/>
        <v/>
      </c>
      <c r="S751" s="1" t="str">
        <f>IF($A751="","",COUNTIF($N$2:N751,$N751))</f>
        <v/>
      </c>
      <c r="T751" s="1" t="str">
        <f t="shared" si="82"/>
        <v/>
      </c>
      <c r="U751" s="1" t="str">
        <f t="shared" si="83"/>
        <v/>
      </c>
      <c r="V751"/>
    </row>
    <row r="752" spans="13:22" x14ac:dyDescent="0.3">
      <c r="M752" s="1" t="str">
        <f t="shared" si="77"/>
        <v/>
      </c>
      <c r="N752" s="1" t="str">
        <f t="shared" si="78"/>
        <v/>
      </c>
      <c r="O752" s="1" t="str">
        <f ca="1">IF(F752="","",IF(INT(F752)=INT(NOW()),IF(NETWORKDAYS.INTL(F752,F752,1,FERIADOS!$A$2:$A$50)=0,0,MAX(0,(MIN(NOW(),INT(NOW())+18/24)-MAX(F752,INT(F752)+8/24)))*24),MAX(0,(INT(F752)+18/24-MAX(F752,INT(F752)+8/24)))*24*NETWORKDAYS.INTL(F752,F752,1,FERIADOS!$A$2:$A$50)+MAX(0,NETWORKDAYS.INTL(F752+1,NOW()-1,1,FERIADOS!$A$2:$A$50))*10+MAX(0,(MIN(NOW(),INT(NOW())+18/24)-(INT(NOW())+8/24)))*24*NETWORKDAYS.INTL(NOW(),NOW(),1,FERIADOS!$A$2:$A$50)))</f>
        <v/>
      </c>
      <c r="P752" s="1" t="str">
        <f t="shared" si="79"/>
        <v/>
      </c>
      <c r="Q752" s="1" t="str">
        <f t="shared" si="80"/>
        <v/>
      </c>
      <c r="R752" s="1" t="str">
        <f t="shared" si="81"/>
        <v/>
      </c>
      <c r="S752" s="1" t="str">
        <f>IF($A752="","",COUNTIF($N$2:N752,$N752))</f>
        <v/>
      </c>
      <c r="T752" s="1" t="str">
        <f t="shared" si="82"/>
        <v/>
      </c>
      <c r="U752" s="1" t="str">
        <f t="shared" si="83"/>
        <v/>
      </c>
      <c r="V752"/>
    </row>
    <row r="753" spans="13:22" x14ac:dyDescent="0.3">
      <c r="M753" s="1" t="str">
        <f t="shared" si="77"/>
        <v/>
      </c>
      <c r="N753" s="1" t="str">
        <f t="shared" si="78"/>
        <v/>
      </c>
      <c r="O753" s="1" t="str">
        <f ca="1">IF(F753="","",IF(INT(F753)=INT(NOW()),IF(NETWORKDAYS.INTL(F753,F753,1,FERIADOS!$A$2:$A$50)=0,0,MAX(0,(MIN(NOW(),INT(NOW())+18/24)-MAX(F753,INT(F753)+8/24)))*24),MAX(0,(INT(F753)+18/24-MAX(F753,INT(F753)+8/24)))*24*NETWORKDAYS.INTL(F753,F753,1,FERIADOS!$A$2:$A$50)+MAX(0,NETWORKDAYS.INTL(F753+1,NOW()-1,1,FERIADOS!$A$2:$A$50))*10+MAX(0,(MIN(NOW(),INT(NOW())+18/24)-(INT(NOW())+8/24)))*24*NETWORKDAYS.INTL(NOW(),NOW(),1,FERIADOS!$A$2:$A$50)))</f>
        <v/>
      </c>
      <c r="P753" s="1" t="str">
        <f t="shared" si="79"/>
        <v/>
      </c>
      <c r="Q753" s="1" t="str">
        <f t="shared" si="80"/>
        <v/>
      </c>
      <c r="R753" s="1" t="str">
        <f t="shared" si="81"/>
        <v/>
      </c>
      <c r="S753" s="1" t="str">
        <f>IF($A753="","",COUNTIF($N$2:N753,$N753))</f>
        <v/>
      </c>
      <c r="T753" s="1" t="str">
        <f t="shared" si="82"/>
        <v/>
      </c>
      <c r="U753" s="1" t="str">
        <f t="shared" si="83"/>
        <v/>
      </c>
      <c r="V753"/>
    </row>
    <row r="754" spans="13:22" x14ac:dyDescent="0.3">
      <c r="M754" s="1" t="str">
        <f t="shared" si="77"/>
        <v/>
      </c>
      <c r="N754" s="1" t="str">
        <f t="shared" si="78"/>
        <v/>
      </c>
      <c r="O754" s="1" t="str">
        <f ca="1">IF(F754="","",IF(INT(F754)=INT(NOW()),IF(NETWORKDAYS.INTL(F754,F754,1,FERIADOS!$A$2:$A$50)=0,0,MAX(0,(MIN(NOW(),INT(NOW())+18/24)-MAX(F754,INT(F754)+8/24)))*24),MAX(0,(INT(F754)+18/24-MAX(F754,INT(F754)+8/24)))*24*NETWORKDAYS.INTL(F754,F754,1,FERIADOS!$A$2:$A$50)+MAX(0,NETWORKDAYS.INTL(F754+1,NOW()-1,1,FERIADOS!$A$2:$A$50))*10+MAX(0,(MIN(NOW(),INT(NOW())+18/24)-(INT(NOW())+8/24)))*24*NETWORKDAYS.INTL(NOW(),NOW(),1,FERIADOS!$A$2:$A$50)))</f>
        <v/>
      </c>
      <c r="P754" s="1" t="str">
        <f t="shared" si="79"/>
        <v/>
      </c>
      <c r="Q754" s="1" t="str">
        <f t="shared" si="80"/>
        <v/>
      </c>
      <c r="R754" s="1" t="str">
        <f t="shared" si="81"/>
        <v/>
      </c>
      <c r="S754" s="1" t="str">
        <f>IF($A754="","",COUNTIF($N$2:N754,$N754))</f>
        <v/>
      </c>
      <c r="T754" s="1" t="str">
        <f t="shared" si="82"/>
        <v/>
      </c>
      <c r="U754" s="1" t="str">
        <f t="shared" si="83"/>
        <v/>
      </c>
      <c r="V754"/>
    </row>
    <row r="755" spans="13:22" x14ac:dyDescent="0.3">
      <c r="M755" s="1" t="str">
        <f t="shared" si="77"/>
        <v/>
      </c>
      <c r="N755" s="1" t="str">
        <f t="shared" si="78"/>
        <v/>
      </c>
      <c r="O755" s="1" t="str">
        <f ca="1">IF(F755="","",IF(INT(F755)=INT(NOW()),IF(NETWORKDAYS.INTL(F755,F755,1,FERIADOS!$A$2:$A$50)=0,0,MAX(0,(MIN(NOW(),INT(NOW())+18/24)-MAX(F755,INT(F755)+8/24)))*24),MAX(0,(INT(F755)+18/24-MAX(F755,INT(F755)+8/24)))*24*NETWORKDAYS.INTL(F755,F755,1,FERIADOS!$A$2:$A$50)+MAX(0,NETWORKDAYS.INTL(F755+1,NOW()-1,1,FERIADOS!$A$2:$A$50))*10+MAX(0,(MIN(NOW(),INT(NOW())+18/24)-(INT(NOW())+8/24)))*24*NETWORKDAYS.INTL(NOW(),NOW(),1,FERIADOS!$A$2:$A$50)))</f>
        <v/>
      </c>
      <c r="P755" s="1" t="str">
        <f t="shared" si="79"/>
        <v/>
      </c>
      <c r="Q755" s="1" t="str">
        <f t="shared" si="80"/>
        <v/>
      </c>
      <c r="R755" s="1" t="str">
        <f t="shared" si="81"/>
        <v/>
      </c>
      <c r="S755" s="1" t="str">
        <f>IF($A755="","",COUNTIF($N$2:N755,$N755))</f>
        <v/>
      </c>
      <c r="T755" s="1" t="str">
        <f t="shared" si="82"/>
        <v/>
      </c>
      <c r="U755" s="1" t="str">
        <f t="shared" si="83"/>
        <v/>
      </c>
      <c r="V755"/>
    </row>
    <row r="756" spans="13:22" x14ac:dyDescent="0.3">
      <c r="M756" s="1" t="str">
        <f t="shared" si="77"/>
        <v/>
      </c>
      <c r="N756" s="1" t="str">
        <f t="shared" si="78"/>
        <v/>
      </c>
      <c r="O756" s="1" t="str">
        <f ca="1">IF(F756="","",IF(INT(F756)=INT(NOW()),IF(NETWORKDAYS.INTL(F756,F756,1,FERIADOS!$A$2:$A$50)=0,0,MAX(0,(MIN(NOW(),INT(NOW())+18/24)-MAX(F756,INT(F756)+8/24)))*24),MAX(0,(INT(F756)+18/24-MAX(F756,INT(F756)+8/24)))*24*NETWORKDAYS.INTL(F756,F756,1,FERIADOS!$A$2:$A$50)+MAX(0,NETWORKDAYS.INTL(F756+1,NOW()-1,1,FERIADOS!$A$2:$A$50))*10+MAX(0,(MIN(NOW(),INT(NOW())+18/24)-(INT(NOW())+8/24)))*24*NETWORKDAYS.INTL(NOW(),NOW(),1,FERIADOS!$A$2:$A$50)))</f>
        <v/>
      </c>
      <c r="P756" s="1" t="str">
        <f t="shared" si="79"/>
        <v/>
      </c>
      <c r="Q756" s="1" t="str">
        <f t="shared" si="80"/>
        <v/>
      </c>
      <c r="R756" s="1" t="str">
        <f t="shared" si="81"/>
        <v/>
      </c>
      <c r="S756" s="1" t="str">
        <f>IF($A756="","",COUNTIF($N$2:N756,$N756))</f>
        <v/>
      </c>
      <c r="T756" s="1" t="str">
        <f t="shared" si="82"/>
        <v/>
      </c>
      <c r="U756" s="1" t="str">
        <f t="shared" si="83"/>
        <v/>
      </c>
      <c r="V756"/>
    </row>
    <row r="757" spans="13:22" x14ac:dyDescent="0.3">
      <c r="M757" s="1" t="str">
        <f t="shared" si="77"/>
        <v/>
      </c>
      <c r="N757" s="1" t="str">
        <f t="shared" si="78"/>
        <v/>
      </c>
      <c r="O757" s="1" t="str">
        <f ca="1">IF(F757="","",IF(INT(F757)=INT(NOW()),IF(NETWORKDAYS.INTL(F757,F757,1,FERIADOS!$A$2:$A$50)=0,0,MAX(0,(MIN(NOW(),INT(NOW())+18/24)-MAX(F757,INT(F757)+8/24)))*24),MAX(0,(INT(F757)+18/24-MAX(F757,INT(F757)+8/24)))*24*NETWORKDAYS.INTL(F757,F757,1,FERIADOS!$A$2:$A$50)+MAX(0,NETWORKDAYS.INTL(F757+1,NOW()-1,1,FERIADOS!$A$2:$A$50))*10+MAX(0,(MIN(NOW(),INT(NOW())+18/24)-(INT(NOW())+8/24)))*24*NETWORKDAYS.INTL(NOW(),NOW(),1,FERIADOS!$A$2:$A$50)))</f>
        <v/>
      </c>
      <c r="P757" s="1" t="str">
        <f t="shared" si="79"/>
        <v/>
      </c>
      <c r="Q757" s="1" t="str">
        <f t="shared" si="80"/>
        <v/>
      </c>
      <c r="R757" s="1" t="str">
        <f t="shared" si="81"/>
        <v/>
      </c>
      <c r="S757" s="1" t="str">
        <f>IF($A757="","",COUNTIF($N$2:N757,$N757))</f>
        <v/>
      </c>
      <c r="T757" s="1" t="str">
        <f t="shared" si="82"/>
        <v/>
      </c>
      <c r="U757" s="1" t="str">
        <f t="shared" si="83"/>
        <v/>
      </c>
      <c r="V757"/>
    </row>
    <row r="758" spans="13:22" x14ac:dyDescent="0.3">
      <c r="M758" s="1" t="str">
        <f t="shared" si="77"/>
        <v/>
      </c>
      <c r="N758" s="1" t="str">
        <f t="shared" si="78"/>
        <v/>
      </c>
      <c r="O758" s="1" t="str">
        <f ca="1">IF(F758="","",IF(INT(F758)=INT(NOW()),IF(NETWORKDAYS.INTL(F758,F758,1,FERIADOS!$A$2:$A$50)=0,0,MAX(0,(MIN(NOW(),INT(NOW())+18/24)-MAX(F758,INT(F758)+8/24)))*24),MAX(0,(INT(F758)+18/24-MAX(F758,INT(F758)+8/24)))*24*NETWORKDAYS.INTL(F758,F758,1,FERIADOS!$A$2:$A$50)+MAX(0,NETWORKDAYS.INTL(F758+1,NOW()-1,1,FERIADOS!$A$2:$A$50))*10+MAX(0,(MIN(NOW(),INT(NOW())+18/24)-(INT(NOW())+8/24)))*24*NETWORKDAYS.INTL(NOW(),NOW(),1,FERIADOS!$A$2:$A$50)))</f>
        <v/>
      </c>
      <c r="P758" s="1" t="str">
        <f t="shared" si="79"/>
        <v/>
      </c>
      <c r="Q758" s="1" t="str">
        <f t="shared" si="80"/>
        <v/>
      </c>
      <c r="R758" s="1" t="str">
        <f t="shared" si="81"/>
        <v/>
      </c>
      <c r="S758" s="1" t="str">
        <f>IF($A758="","",COUNTIF($N$2:N758,$N758))</f>
        <v/>
      </c>
      <c r="T758" s="1" t="str">
        <f t="shared" si="82"/>
        <v/>
      </c>
      <c r="U758" s="1" t="str">
        <f t="shared" si="83"/>
        <v/>
      </c>
      <c r="V758"/>
    </row>
    <row r="759" spans="13:22" x14ac:dyDescent="0.3">
      <c r="M759" s="1" t="str">
        <f t="shared" si="77"/>
        <v/>
      </c>
      <c r="N759" s="1" t="str">
        <f t="shared" si="78"/>
        <v/>
      </c>
      <c r="O759" s="1" t="str">
        <f ca="1">IF(F759="","",IF(INT(F759)=INT(NOW()),IF(NETWORKDAYS.INTL(F759,F759,1,FERIADOS!$A$2:$A$50)=0,0,MAX(0,(MIN(NOW(),INT(NOW())+18/24)-MAX(F759,INT(F759)+8/24)))*24),MAX(0,(INT(F759)+18/24-MAX(F759,INT(F759)+8/24)))*24*NETWORKDAYS.INTL(F759,F759,1,FERIADOS!$A$2:$A$50)+MAX(0,NETWORKDAYS.INTL(F759+1,NOW()-1,1,FERIADOS!$A$2:$A$50))*10+MAX(0,(MIN(NOW(),INT(NOW())+18/24)-(INT(NOW())+8/24)))*24*NETWORKDAYS.INTL(NOW(),NOW(),1,FERIADOS!$A$2:$A$50)))</f>
        <v/>
      </c>
      <c r="P759" s="1" t="str">
        <f t="shared" si="79"/>
        <v/>
      </c>
      <c r="Q759" s="1" t="str">
        <f t="shared" si="80"/>
        <v/>
      </c>
      <c r="R759" s="1" t="str">
        <f t="shared" si="81"/>
        <v/>
      </c>
      <c r="S759" s="1" t="str">
        <f>IF($A759="","",COUNTIF($N$2:N759,$N759))</f>
        <v/>
      </c>
      <c r="T759" s="1" t="str">
        <f t="shared" si="82"/>
        <v/>
      </c>
      <c r="U759" s="1" t="str">
        <f t="shared" si="83"/>
        <v/>
      </c>
      <c r="V759"/>
    </row>
    <row r="760" spans="13:22" x14ac:dyDescent="0.3">
      <c r="M760" s="1" t="str">
        <f t="shared" si="77"/>
        <v/>
      </c>
      <c r="N760" s="1" t="str">
        <f t="shared" si="78"/>
        <v/>
      </c>
      <c r="O760" s="1" t="str">
        <f ca="1">IF(F760="","",IF(INT(F760)=INT(NOW()),IF(NETWORKDAYS.INTL(F760,F760,1,FERIADOS!$A$2:$A$50)=0,0,MAX(0,(MIN(NOW(),INT(NOW())+18/24)-MAX(F760,INT(F760)+8/24)))*24),MAX(0,(INT(F760)+18/24-MAX(F760,INT(F760)+8/24)))*24*NETWORKDAYS.INTL(F760,F760,1,FERIADOS!$A$2:$A$50)+MAX(0,NETWORKDAYS.INTL(F760+1,NOW()-1,1,FERIADOS!$A$2:$A$50))*10+MAX(0,(MIN(NOW(),INT(NOW())+18/24)-(INT(NOW())+8/24)))*24*NETWORKDAYS.INTL(NOW(),NOW(),1,FERIADOS!$A$2:$A$50)))</f>
        <v/>
      </c>
      <c r="P760" s="1" t="str">
        <f t="shared" si="79"/>
        <v/>
      </c>
      <c r="Q760" s="1" t="str">
        <f t="shared" si="80"/>
        <v/>
      </c>
      <c r="R760" s="1" t="str">
        <f t="shared" si="81"/>
        <v/>
      </c>
      <c r="S760" s="1" t="str">
        <f>IF($A760="","",COUNTIF($N$2:N760,$N760))</f>
        <v/>
      </c>
      <c r="T760" s="1" t="str">
        <f t="shared" si="82"/>
        <v/>
      </c>
      <c r="U760" s="1" t="str">
        <f t="shared" si="83"/>
        <v/>
      </c>
      <c r="V760"/>
    </row>
    <row r="761" spans="13:22" x14ac:dyDescent="0.3">
      <c r="M761" s="1" t="str">
        <f t="shared" si="77"/>
        <v/>
      </c>
      <c r="N761" s="1" t="str">
        <f t="shared" si="78"/>
        <v/>
      </c>
      <c r="O761" s="1" t="str">
        <f ca="1">IF(F761="","",IF(INT(F761)=INT(NOW()),IF(NETWORKDAYS.INTL(F761,F761,1,FERIADOS!$A$2:$A$50)=0,0,MAX(0,(MIN(NOW(),INT(NOW())+18/24)-MAX(F761,INT(F761)+8/24)))*24),MAX(0,(INT(F761)+18/24-MAX(F761,INT(F761)+8/24)))*24*NETWORKDAYS.INTL(F761,F761,1,FERIADOS!$A$2:$A$50)+MAX(0,NETWORKDAYS.INTL(F761+1,NOW()-1,1,FERIADOS!$A$2:$A$50))*10+MAX(0,(MIN(NOW(),INT(NOW())+18/24)-(INT(NOW())+8/24)))*24*NETWORKDAYS.INTL(NOW(),NOW(),1,FERIADOS!$A$2:$A$50)))</f>
        <v/>
      </c>
      <c r="P761" s="1" t="str">
        <f t="shared" si="79"/>
        <v/>
      </c>
      <c r="Q761" s="1" t="str">
        <f t="shared" si="80"/>
        <v/>
      </c>
      <c r="R761" s="1" t="str">
        <f t="shared" si="81"/>
        <v/>
      </c>
      <c r="S761" s="1" t="str">
        <f>IF($A761="","",COUNTIF($N$2:N761,$N761))</f>
        <v/>
      </c>
      <c r="T761" s="1" t="str">
        <f t="shared" si="82"/>
        <v/>
      </c>
      <c r="U761" s="1" t="str">
        <f t="shared" si="83"/>
        <v/>
      </c>
      <c r="V761"/>
    </row>
    <row r="762" spans="13:22" x14ac:dyDescent="0.3">
      <c r="M762" s="1" t="str">
        <f t="shared" si="77"/>
        <v/>
      </c>
      <c r="N762" s="1" t="str">
        <f t="shared" si="78"/>
        <v/>
      </c>
      <c r="O762" s="1" t="str">
        <f ca="1">IF(F762="","",IF(INT(F762)=INT(NOW()),IF(NETWORKDAYS.INTL(F762,F762,1,FERIADOS!$A$2:$A$50)=0,0,MAX(0,(MIN(NOW(),INT(NOW())+18/24)-MAX(F762,INT(F762)+8/24)))*24),MAX(0,(INT(F762)+18/24-MAX(F762,INT(F762)+8/24)))*24*NETWORKDAYS.INTL(F762,F762,1,FERIADOS!$A$2:$A$50)+MAX(0,NETWORKDAYS.INTL(F762+1,NOW()-1,1,FERIADOS!$A$2:$A$50))*10+MAX(0,(MIN(NOW(),INT(NOW())+18/24)-(INT(NOW())+8/24)))*24*NETWORKDAYS.INTL(NOW(),NOW(),1,FERIADOS!$A$2:$A$50)))</f>
        <v/>
      </c>
      <c r="P762" s="1" t="str">
        <f t="shared" si="79"/>
        <v/>
      </c>
      <c r="Q762" s="1" t="str">
        <f t="shared" si="80"/>
        <v/>
      </c>
      <c r="R762" s="1" t="str">
        <f t="shared" si="81"/>
        <v/>
      </c>
      <c r="S762" s="1" t="str">
        <f>IF($A762="","",COUNTIF($N$2:N762,$N762))</f>
        <v/>
      </c>
      <c r="T762" s="1" t="str">
        <f t="shared" si="82"/>
        <v/>
      </c>
      <c r="U762" s="1" t="str">
        <f t="shared" si="83"/>
        <v/>
      </c>
      <c r="V762"/>
    </row>
    <row r="763" spans="13:22" x14ac:dyDescent="0.3">
      <c r="M763" s="1" t="str">
        <f t="shared" si="77"/>
        <v/>
      </c>
      <c r="N763" s="1" t="str">
        <f t="shared" si="78"/>
        <v/>
      </c>
      <c r="O763" s="1" t="str">
        <f ca="1">IF(F763="","",IF(INT(F763)=INT(NOW()),IF(NETWORKDAYS.INTL(F763,F763,1,FERIADOS!$A$2:$A$50)=0,0,MAX(0,(MIN(NOW(),INT(NOW())+18/24)-MAX(F763,INT(F763)+8/24)))*24),MAX(0,(INT(F763)+18/24-MAX(F763,INT(F763)+8/24)))*24*NETWORKDAYS.INTL(F763,F763,1,FERIADOS!$A$2:$A$50)+MAX(0,NETWORKDAYS.INTL(F763+1,NOW()-1,1,FERIADOS!$A$2:$A$50))*10+MAX(0,(MIN(NOW(),INT(NOW())+18/24)-(INT(NOW())+8/24)))*24*NETWORKDAYS.INTL(NOW(),NOW(),1,FERIADOS!$A$2:$A$50)))</f>
        <v/>
      </c>
      <c r="P763" s="1" t="str">
        <f t="shared" si="79"/>
        <v/>
      </c>
      <c r="Q763" s="1" t="str">
        <f t="shared" si="80"/>
        <v/>
      </c>
      <c r="R763" s="1" t="str">
        <f t="shared" si="81"/>
        <v/>
      </c>
      <c r="S763" s="1" t="str">
        <f>IF($A763="","",COUNTIF($N$2:N763,$N763))</f>
        <v/>
      </c>
      <c r="T763" s="1" t="str">
        <f t="shared" si="82"/>
        <v/>
      </c>
      <c r="U763" s="1" t="str">
        <f t="shared" si="83"/>
        <v/>
      </c>
      <c r="V763"/>
    </row>
    <row r="764" spans="13:22" x14ac:dyDescent="0.3">
      <c r="M764" s="1" t="str">
        <f t="shared" si="77"/>
        <v/>
      </c>
      <c r="N764" s="1" t="str">
        <f t="shared" si="78"/>
        <v/>
      </c>
      <c r="O764" s="1" t="str">
        <f ca="1">IF(F764="","",IF(INT(F764)=INT(NOW()),IF(NETWORKDAYS.INTL(F764,F764,1,FERIADOS!$A$2:$A$50)=0,0,MAX(0,(MIN(NOW(),INT(NOW())+18/24)-MAX(F764,INT(F764)+8/24)))*24),MAX(0,(INT(F764)+18/24-MAX(F764,INT(F764)+8/24)))*24*NETWORKDAYS.INTL(F764,F764,1,FERIADOS!$A$2:$A$50)+MAX(0,NETWORKDAYS.INTL(F764+1,NOW()-1,1,FERIADOS!$A$2:$A$50))*10+MAX(0,(MIN(NOW(),INT(NOW())+18/24)-(INT(NOW())+8/24)))*24*NETWORKDAYS.INTL(NOW(),NOW(),1,FERIADOS!$A$2:$A$50)))</f>
        <v/>
      </c>
      <c r="P764" s="1" t="str">
        <f t="shared" si="79"/>
        <v/>
      </c>
      <c r="Q764" s="1" t="str">
        <f t="shared" si="80"/>
        <v/>
      </c>
      <c r="R764" s="1" t="str">
        <f t="shared" si="81"/>
        <v/>
      </c>
      <c r="S764" s="1" t="str">
        <f>IF($A764="","",COUNTIF($N$2:N764,$N764))</f>
        <v/>
      </c>
      <c r="T764" s="1" t="str">
        <f t="shared" si="82"/>
        <v/>
      </c>
      <c r="U764" s="1" t="str">
        <f t="shared" si="83"/>
        <v/>
      </c>
      <c r="V764"/>
    </row>
    <row r="765" spans="13:22" x14ac:dyDescent="0.3">
      <c r="M765" s="1" t="str">
        <f t="shared" si="77"/>
        <v/>
      </c>
      <c r="N765" s="1" t="str">
        <f t="shared" si="78"/>
        <v/>
      </c>
      <c r="O765" s="1" t="str">
        <f ca="1">IF(F765="","",IF(INT(F765)=INT(NOW()),IF(NETWORKDAYS.INTL(F765,F765,1,FERIADOS!$A$2:$A$50)=0,0,MAX(0,(MIN(NOW(),INT(NOW())+18/24)-MAX(F765,INT(F765)+8/24)))*24),MAX(0,(INT(F765)+18/24-MAX(F765,INT(F765)+8/24)))*24*NETWORKDAYS.INTL(F765,F765,1,FERIADOS!$A$2:$A$50)+MAX(0,NETWORKDAYS.INTL(F765+1,NOW()-1,1,FERIADOS!$A$2:$A$50))*10+MAX(0,(MIN(NOW(),INT(NOW())+18/24)-(INT(NOW())+8/24)))*24*NETWORKDAYS.INTL(NOW(),NOW(),1,FERIADOS!$A$2:$A$50)))</f>
        <v/>
      </c>
      <c r="P765" s="1" t="str">
        <f t="shared" si="79"/>
        <v/>
      </c>
      <c r="Q765" s="1" t="str">
        <f t="shared" si="80"/>
        <v/>
      </c>
      <c r="R765" s="1" t="str">
        <f t="shared" si="81"/>
        <v/>
      </c>
      <c r="S765" s="1" t="str">
        <f>IF($A765="","",COUNTIF($N$2:N765,$N765))</f>
        <v/>
      </c>
      <c r="T765" s="1" t="str">
        <f t="shared" si="82"/>
        <v/>
      </c>
      <c r="U765" s="1" t="str">
        <f t="shared" si="83"/>
        <v/>
      </c>
      <c r="V765"/>
    </row>
    <row r="766" spans="13:22" x14ac:dyDescent="0.3">
      <c r="M766" s="1" t="str">
        <f t="shared" si="77"/>
        <v/>
      </c>
      <c r="N766" s="1" t="str">
        <f t="shared" si="78"/>
        <v/>
      </c>
      <c r="O766" s="1" t="str">
        <f ca="1">IF(F766="","",IF(INT(F766)=INT(NOW()),IF(NETWORKDAYS.INTL(F766,F766,1,FERIADOS!$A$2:$A$50)=0,0,MAX(0,(MIN(NOW(),INT(NOW())+18/24)-MAX(F766,INT(F766)+8/24)))*24),MAX(0,(INT(F766)+18/24-MAX(F766,INT(F766)+8/24)))*24*NETWORKDAYS.INTL(F766,F766,1,FERIADOS!$A$2:$A$50)+MAX(0,NETWORKDAYS.INTL(F766+1,NOW()-1,1,FERIADOS!$A$2:$A$50))*10+MAX(0,(MIN(NOW(),INT(NOW())+18/24)-(INT(NOW())+8/24)))*24*NETWORKDAYS.INTL(NOW(),NOW(),1,FERIADOS!$A$2:$A$50)))</f>
        <v/>
      </c>
      <c r="P766" s="1" t="str">
        <f t="shared" si="79"/>
        <v/>
      </c>
      <c r="Q766" s="1" t="str">
        <f t="shared" si="80"/>
        <v/>
      </c>
      <c r="R766" s="1" t="str">
        <f t="shared" si="81"/>
        <v/>
      </c>
      <c r="S766" s="1" t="str">
        <f>IF($A766="","",COUNTIF($N$2:N766,$N766))</f>
        <v/>
      </c>
      <c r="T766" s="1" t="str">
        <f t="shared" si="82"/>
        <v/>
      </c>
      <c r="U766" s="1" t="str">
        <f t="shared" si="83"/>
        <v/>
      </c>
      <c r="V766"/>
    </row>
    <row r="767" spans="13:22" x14ac:dyDescent="0.3">
      <c r="M767" s="1" t="str">
        <f t="shared" si="77"/>
        <v/>
      </c>
      <c r="N767" s="1" t="str">
        <f t="shared" si="78"/>
        <v/>
      </c>
      <c r="O767" s="1" t="str">
        <f ca="1">IF(F767="","",IF(INT(F767)=INT(NOW()),IF(NETWORKDAYS.INTL(F767,F767,1,FERIADOS!$A$2:$A$50)=0,0,MAX(0,(MIN(NOW(),INT(NOW())+18/24)-MAX(F767,INT(F767)+8/24)))*24),MAX(0,(INT(F767)+18/24-MAX(F767,INT(F767)+8/24)))*24*NETWORKDAYS.INTL(F767,F767,1,FERIADOS!$A$2:$A$50)+MAX(0,NETWORKDAYS.INTL(F767+1,NOW()-1,1,FERIADOS!$A$2:$A$50))*10+MAX(0,(MIN(NOW(),INT(NOW())+18/24)-(INT(NOW())+8/24)))*24*NETWORKDAYS.INTL(NOW(),NOW(),1,FERIADOS!$A$2:$A$50)))</f>
        <v/>
      </c>
      <c r="P767" s="1" t="str">
        <f t="shared" si="79"/>
        <v/>
      </c>
      <c r="Q767" s="1" t="str">
        <f t="shared" si="80"/>
        <v/>
      </c>
      <c r="R767" s="1" t="str">
        <f t="shared" si="81"/>
        <v/>
      </c>
      <c r="S767" s="1" t="str">
        <f>IF($A767="","",COUNTIF($N$2:N767,$N767))</f>
        <v/>
      </c>
      <c r="T767" s="1" t="str">
        <f t="shared" si="82"/>
        <v/>
      </c>
      <c r="U767" s="1" t="str">
        <f t="shared" si="83"/>
        <v/>
      </c>
      <c r="V767"/>
    </row>
    <row r="768" spans="13:22" x14ac:dyDescent="0.3">
      <c r="M768" s="1" t="str">
        <f t="shared" si="77"/>
        <v/>
      </c>
      <c r="N768" s="1" t="str">
        <f t="shared" si="78"/>
        <v/>
      </c>
      <c r="O768" s="1" t="str">
        <f ca="1">IF(F768="","",IF(INT(F768)=INT(NOW()),IF(NETWORKDAYS.INTL(F768,F768,1,FERIADOS!$A$2:$A$50)=0,0,MAX(0,(MIN(NOW(),INT(NOW())+18/24)-MAX(F768,INT(F768)+8/24)))*24),MAX(0,(INT(F768)+18/24-MAX(F768,INT(F768)+8/24)))*24*NETWORKDAYS.INTL(F768,F768,1,FERIADOS!$A$2:$A$50)+MAX(0,NETWORKDAYS.INTL(F768+1,NOW()-1,1,FERIADOS!$A$2:$A$50))*10+MAX(0,(MIN(NOW(),INT(NOW())+18/24)-(INT(NOW())+8/24)))*24*NETWORKDAYS.INTL(NOW(),NOW(),1,FERIADOS!$A$2:$A$50)))</f>
        <v/>
      </c>
      <c r="P768" s="1" t="str">
        <f t="shared" si="79"/>
        <v/>
      </c>
      <c r="Q768" s="1" t="str">
        <f t="shared" si="80"/>
        <v/>
      </c>
      <c r="R768" s="1" t="str">
        <f t="shared" si="81"/>
        <v/>
      </c>
      <c r="S768" s="1" t="str">
        <f>IF($A768="","",COUNTIF($N$2:N768,$N768))</f>
        <v/>
      </c>
      <c r="T768" s="1" t="str">
        <f t="shared" si="82"/>
        <v/>
      </c>
      <c r="U768" s="1" t="str">
        <f t="shared" si="83"/>
        <v/>
      </c>
      <c r="V768"/>
    </row>
    <row r="769" spans="13:22" x14ac:dyDescent="0.3">
      <c r="M769" s="1" t="str">
        <f t="shared" si="77"/>
        <v/>
      </c>
      <c r="N769" s="1" t="str">
        <f t="shared" si="78"/>
        <v/>
      </c>
      <c r="O769" s="1" t="str">
        <f ca="1">IF(F769="","",IF(INT(F769)=INT(NOW()),IF(NETWORKDAYS.INTL(F769,F769,1,FERIADOS!$A$2:$A$50)=0,0,MAX(0,(MIN(NOW(),INT(NOW())+18/24)-MAX(F769,INT(F769)+8/24)))*24),MAX(0,(INT(F769)+18/24-MAX(F769,INT(F769)+8/24)))*24*NETWORKDAYS.INTL(F769,F769,1,FERIADOS!$A$2:$A$50)+MAX(0,NETWORKDAYS.INTL(F769+1,NOW()-1,1,FERIADOS!$A$2:$A$50))*10+MAX(0,(MIN(NOW(),INT(NOW())+18/24)-(INT(NOW())+8/24)))*24*NETWORKDAYS.INTL(NOW(),NOW(),1,FERIADOS!$A$2:$A$50)))</f>
        <v/>
      </c>
      <c r="P769" s="1" t="str">
        <f t="shared" si="79"/>
        <v/>
      </c>
      <c r="Q769" s="1" t="str">
        <f t="shared" si="80"/>
        <v/>
      </c>
      <c r="R769" s="1" t="str">
        <f t="shared" si="81"/>
        <v/>
      </c>
      <c r="S769" s="1" t="str">
        <f>IF($A769="","",COUNTIF($N$2:N769,$N769))</f>
        <v/>
      </c>
      <c r="T769" s="1" t="str">
        <f t="shared" si="82"/>
        <v/>
      </c>
      <c r="U769" s="1" t="str">
        <f t="shared" si="83"/>
        <v/>
      </c>
      <c r="V769"/>
    </row>
    <row r="770" spans="13:22" x14ac:dyDescent="0.3">
      <c r="M770" s="1" t="str">
        <f t="shared" ref="M770:M833" si="84">IF($A770="","",IF($L770="MA",IF(OR(UPPER($K770)="SAO LUIS",UPPER($K770)="SÃO LUIS",UPPER($K770)="PACO DO LUMIAR",UPPER($K770)="PAÇO DO LUMIAR",UPPER($K770)="SAO JOSE DE RIBAMAR",UPPER($K770)="SÃO JOSÉ DE RIBAMAR"),"MA CAP","MA INT"),IF($L770="PA",IF(OR(UPPER($K770)="BELEM",UPPER($K770)="BELÉM",UPPER($K770)="ANANINDEUA"),"PA CAP","PA INT"),IF($L770="PI",IF(UPPER($K770)="TERESINA","PI CAP","PI INT"),IF($L770="AM","AM INT",IF($L770="AP","AP","OUTROS"))))))</f>
        <v/>
      </c>
      <c r="N770" s="1" t="str">
        <f t="shared" ref="N770:N833" si="85">IF($A770="","",IF($M770="PI CAP","GIGA+ PI",IF($M770="PI INT","GIGA+ PI",IF($M770="MA CAP","SLN MA",IF($M770="MA INT","GIGA+ MA",IF($M770="PA CAP","SLN PA",IF($M770="PA INT","SLN PA",IF($M770="AM INT","ADX",IF($M770="AP","ADX","OUTROS")))))))))</f>
        <v/>
      </c>
      <c r="O770" s="1" t="str">
        <f ca="1">IF(F770="","",IF(INT(F770)=INT(NOW()),IF(NETWORKDAYS.INTL(F770,F770,1,FERIADOS!$A$2:$A$50)=0,0,MAX(0,(MIN(NOW(),INT(NOW())+18/24)-MAX(F770,INT(F770)+8/24)))*24),MAX(0,(INT(F770)+18/24-MAX(F770,INT(F770)+8/24)))*24*NETWORKDAYS.INTL(F770,F770,1,FERIADOS!$A$2:$A$50)+MAX(0,NETWORKDAYS.INTL(F770+1,NOW()-1,1,FERIADOS!$A$2:$A$50))*10+MAX(0,(MIN(NOW(),INT(NOW())+18/24)-(INT(NOW())+8/24)))*24*NETWORKDAYS.INTL(NOW(),NOW(),1,FERIADOS!$A$2:$A$50)))</f>
        <v/>
      </c>
      <c r="P770" s="1" t="str">
        <f t="shared" ref="P770:P833" si="86">IF($A770="","",IF(OR(O770="",O770=0),"00h 00m",TEXT(INT(O770),"00") &amp; "h " &amp; TEXT(INT((O770-INT(O770))*60),"00") &amp; "m"))</f>
        <v/>
      </c>
      <c r="Q770" s="1" t="str">
        <f t="shared" ref="Q770:Q833" si="87">IF($A770="","",IF(OR(O770="",O770&lt;=4),"🔵 Até 4h",IF(O770&lt;=8,"🟢 Entre 4h e 8h",IF(O770&lt;=12,"🟡 Entre 8h e 12h",IF(O770&lt;=24,"🟠 Entre 12h e 24h","🔴 Maior que 24h")))))</f>
        <v/>
      </c>
      <c r="R770" s="1" t="str">
        <f t="shared" ref="R770:R833" si="88">IF($A770="","",IF(OR(O770="",O770&lt;=8),"NO PRAZO","FORA DO PRAZO"))</f>
        <v/>
      </c>
      <c r="S770" s="1" t="str">
        <f>IF($A770="","",COUNTIF($N$2:N770,$N770))</f>
        <v/>
      </c>
      <c r="T770" s="1" t="str">
        <f t="shared" ref="T770:T833" si="89">IF($A770="","",IF($N770="SLN MA",1,IF($N770="GIGA+ MA",2,IF($N770="GIGA+ PI",3,IF($N770="SLN PA",4,IF($N770="ADX",5,6))))))</f>
        <v/>
      </c>
      <c r="U770" s="1" t="str">
        <f t="shared" ref="U770:U833" si="90">IF($A770="","",$T770*10000+$S770)</f>
        <v/>
      </c>
      <c r="V770"/>
    </row>
    <row r="771" spans="13:22" x14ac:dyDescent="0.3">
      <c r="M771" s="1" t="str">
        <f t="shared" si="84"/>
        <v/>
      </c>
      <c r="N771" s="1" t="str">
        <f t="shared" si="85"/>
        <v/>
      </c>
      <c r="O771" s="1" t="str">
        <f ca="1">IF(F771="","",IF(INT(F771)=INT(NOW()),IF(NETWORKDAYS.INTL(F771,F771,1,FERIADOS!$A$2:$A$50)=0,0,MAX(0,(MIN(NOW(),INT(NOW())+18/24)-MAX(F771,INT(F771)+8/24)))*24),MAX(0,(INT(F771)+18/24-MAX(F771,INT(F771)+8/24)))*24*NETWORKDAYS.INTL(F771,F771,1,FERIADOS!$A$2:$A$50)+MAX(0,NETWORKDAYS.INTL(F771+1,NOW()-1,1,FERIADOS!$A$2:$A$50))*10+MAX(0,(MIN(NOW(),INT(NOW())+18/24)-(INT(NOW())+8/24)))*24*NETWORKDAYS.INTL(NOW(),NOW(),1,FERIADOS!$A$2:$A$50)))</f>
        <v/>
      </c>
      <c r="P771" s="1" t="str">
        <f t="shared" si="86"/>
        <v/>
      </c>
      <c r="Q771" s="1" t="str">
        <f t="shared" si="87"/>
        <v/>
      </c>
      <c r="R771" s="1" t="str">
        <f t="shared" si="88"/>
        <v/>
      </c>
      <c r="S771" s="1" t="str">
        <f>IF($A771="","",COUNTIF($N$2:N771,$N771))</f>
        <v/>
      </c>
      <c r="T771" s="1" t="str">
        <f t="shared" si="89"/>
        <v/>
      </c>
      <c r="U771" s="1" t="str">
        <f t="shared" si="90"/>
        <v/>
      </c>
      <c r="V771"/>
    </row>
    <row r="772" spans="13:22" x14ac:dyDescent="0.3">
      <c r="M772" s="1" t="str">
        <f t="shared" si="84"/>
        <v/>
      </c>
      <c r="N772" s="1" t="str">
        <f t="shared" si="85"/>
        <v/>
      </c>
      <c r="O772" s="1" t="str">
        <f ca="1">IF(F772="","",IF(INT(F772)=INT(NOW()),IF(NETWORKDAYS.INTL(F772,F772,1,FERIADOS!$A$2:$A$50)=0,0,MAX(0,(MIN(NOW(),INT(NOW())+18/24)-MAX(F772,INT(F772)+8/24)))*24),MAX(0,(INT(F772)+18/24-MAX(F772,INT(F772)+8/24)))*24*NETWORKDAYS.INTL(F772,F772,1,FERIADOS!$A$2:$A$50)+MAX(0,NETWORKDAYS.INTL(F772+1,NOW()-1,1,FERIADOS!$A$2:$A$50))*10+MAX(0,(MIN(NOW(),INT(NOW())+18/24)-(INT(NOW())+8/24)))*24*NETWORKDAYS.INTL(NOW(),NOW(),1,FERIADOS!$A$2:$A$50)))</f>
        <v/>
      </c>
      <c r="P772" s="1" t="str">
        <f t="shared" si="86"/>
        <v/>
      </c>
      <c r="Q772" s="1" t="str">
        <f t="shared" si="87"/>
        <v/>
      </c>
      <c r="R772" s="1" t="str">
        <f t="shared" si="88"/>
        <v/>
      </c>
      <c r="S772" s="1" t="str">
        <f>IF($A772="","",COUNTIF($N$2:N772,$N772))</f>
        <v/>
      </c>
      <c r="T772" s="1" t="str">
        <f t="shared" si="89"/>
        <v/>
      </c>
      <c r="U772" s="1" t="str">
        <f t="shared" si="90"/>
        <v/>
      </c>
      <c r="V772"/>
    </row>
    <row r="773" spans="13:22" x14ac:dyDescent="0.3">
      <c r="M773" s="1" t="str">
        <f t="shared" si="84"/>
        <v/>
      </c>
      <c r="N773" s="1" t="str">
        <f t="shared" si="85"/>
        <v/>
      </c>
      <c r="O773" s="1" t="str">
        <f ca="1">IF(F773="","",IF(INT(F773)=INT(NOW()),IF(NETWORKDAYS.INTL(F773,F773,1,FERIADOS!$A$2:$A$50)=0,0,MAX(0,(MIN(NOW(),INT(NOW())+18/24)-MAX(F773,INT(F773)+8/24)))*24),MAX(0,(INT(F773)+18/24-MAX(F773,INT(F773)+8/24)))*24*NETWORKDAYS.INTL(F773,F773,1,FERIADOS!$A$2:$A$50)+MAX(0,NETWORKDAYS.INTL(F773+1,NOW()-1,1,FERIADOS!$A$2:$A$50))*10+MAX(0,(MIN(NOW(),INT(NOW())+18/24)-(INT(NOW())+8/24)))*24*NETWORKDAYS.INTL(NOW(),NOW(),1,FERIADOS!$A$2:$A$50)))</f>
        <v/>
      </c>
      <c r="P773" s="1" t="str">
        <f t="shared" si="86"/>
        <v/>
      </c>
      <c r="Q773" s="1" t="str">
        <f t="shared" si="87"/>
        <v/>
      </c>
      <c r="R773" s="1" t="str">
        <f t="shared" si="88"/>
        <v/>
      </c>
      <c r="S773" s="1" t="str">
        <f>IF($A773="","",COUNTIF($N$2:N773,$N773))</f>
        <v/>
      </c>
      <c r="T773" s="1" t="str">
        <f t="shared" si="89"/>
        <v/>
      </c>
      <c r="U773" s="1" t="str">
        <f t="shared" si="90"/>
        <v/>
      </c>
      <c r="V773"/>
    </row>
    <row r="774" spans="13:22" x14ac:dyDescent="0.3">
      <c r="M774" s="1" t="str">
        <f t="shared" si="84"/>
        <v/>
      </c>
      <c r="N774" s="1" t="str">
        <f t="shared" si="85"/>
        <v/>
      </c>
      <c r="O774" s="1" t="str">
        <f ca="1">IF(F774="","",IF(INT(F774)=INT(NOW()),IF(NETWORKDAYS.INTL(F774,F774,1,FERIADOS!$A$2:$A$50)=0,0,MAX(0,(MIN(NOW(),INT(NOW())+18/24)-MAX(F774,INT(F774)+8/24)))*24),MAX(0,(INT(F774)+18/24-MAX(F774,INT(F774)+8/24)))*24*NETWORKDAYS.INTL(F774,F774,1,FERIADOS!$A$2:$A$50)+MAX(0,NETWORKDAYS.INTL(F774+1,NOW()-1,1,FERIADOS!$A$2:$A$50))*10+MAX(0,(MIN(NOW(),INT(NOW())+18/24)-(INT(NOW())+8/24)))*24*NETWORKDAYS.INTL(NOW(),NOW(),1,FERIADOS!$A$2:$A$50)))</f>
        <v/>
      </c>
      <c r="P774" s="1" t="str">
        <f t="shared" si="86"/>
        <v/>
      </c>
      <c r="Q774" s="1" t="str">
        <f t="shared" si="87"/>
        <v/>
      </c>
      <c r="R774" s="1" t="str">
        <f t="shared" si="88"/>
        <v/>
      </c>
      <c r="S774" s="1" t="str">
        <f>IF($A774="","",COUNTIF($N$2:N774,$N774))</f>
        <v/>
      </c>
      <c r="T774" s="1" t="str">
        <f t="shared" si="89"/>
        <v/>
      </c>
      <c r="U774" s="1" t="str">
        <f t="shared" si="90"/>
        <v/>
      </c>
      <c r="V774"/>
    </row>
    <row r="775" spans="13:22" x14ac:dyDescent="0.3">
      <c r="M775" s="1" t="str">
        <f t="shared" si="84"/>
        <v/>
      </c>
      <c r="N775" s="1" t="str">
        <f t="shared" si="85"/>
        <v/>
      </c>
      <c r="O775" s="1" t="str">
        <f ca="1">IF(F775="","",IF(INT(F775)=INT(NOW()),IF(NETWORKDAYS.INTL(F775,F775,1,FERIADOS!$A$2:$A$50)=0,0,MAX(0,(MIN(NOW(),INT(NOW())+18/24)-MAX(F775,INT(F775)+8/24)))*24),MAX(0,(INT(F775)+18/24-MAX(F775,INT(F775)+8/24)))*24*NETWORKDAYS.INTL(F775,F775,1,FERIADOS!$A$2:$A$50)+MAX(0,NETWORKDAYS.INTL(F775+1,NOW()-1,1,FERIADOS!$A$2:$A$50))*10+MAX(0,(MIN(NOW(),INT(NOW())+18/24)-(INT(NOW())+8/24)))*24*NETWORKDAYS.INTL(NOW(),NOW(),1,FERIADOS!$A$2:$A$50)))</f>
        <v/>
      </c>
      <c r="P775" s="1" t="str">
        <f t="shared" si="86"/>
        <v/>
      </c>
      <c r="Q775" s="1" t="str">
        <f t="shared" si="87"/>
        <v/>
      </c>
      <c r="R775" s="1" t="str">
        <f t="shared" si="88"/>
        <v/>
      </c>
      <c r="S775" s="1" t="str">
        <f>IF($A775="","",COUNTIF($N$2:N775,$N775))</f>
        <v/>
      </c>
      <c r="T775" s="1" t="str">
        <f t="shared" si="89"/>
        <v/>
      </c>
      <c r="U775" s="1" t="str">
        <f t="shared" si="90"/>
        <v/>
      </c>
      <c r="V775"/>
    </row>
    <row r="776" spans="13:22" x14ac:dyDescent="0.3">
      <c r="M776" s="1" t="str">
        <f t="shared" si="84"/>
        <v/>
      </c>
      <c r="N776" s="1" t="str">
        <f t="shared" si="85"/>
        <v/>
      </c>
      <c r="O776" s="1" t="str">
        <f ca="1">IF(F776="","",IF(INT(F776)=INT(NOW()),IF(NETWORKDAYS.INTL(F776,F776,1,FERIADOS!$A$2:$A$50)=0,0,MAX(0,(MIN(NOW(),INT(NOW())+18/24)-MAX(F776,INT(F776)+8/24)))*24),MAX(0,(INT(F776)+18/24-MAX(F776,INT(F776)+8/24)))*24*NETWORKDAYS.INTL(F776,F776,1,FERIADOS!$A$2:$A$50)+MAX(0,NETWORKDAYS.INTL(F776+1,NOW()-1,1,FERIADOS!$A$2:$A$50))*10+MAX(0,(MIN(NOW(),INT(NOW())+18/24)-(INT(NOW())+8/24)))*24*NETWORKDAYS.INTL(NOW(),NOW(),1,FERIADOS!$A$2:$A$50)))</f>
        <v/>
      </c>
      <c r="P776" s="1" t="str">
        <f t="shared" si="86"/>
        <v/>
      </c>
      <c r="Q776" s="1" t="str">
        <f t="shared" si="87"/>
        <v/>
      </c>
      <c r="R776" s="1" t="str">
        <f t="shared" si="88"/>
        <v/>
      </c>
      <c r="S776" s="1" t="str">
        <f>IF($A776="","",COUNTIF($N$2:N776,$N776))</f>
        <v/>
      </c>
      <c r="T776" s="1" t="str">
        <f t="shared" si="89"/>
        <v/>
      </c>
      <c r="U776" s="1" t="str">
        <f t="shared" si="90"/>
        <v/>
      </c>
      <c r="V776"/>
    </row>
    <row r="777" spans="13:22" x14ac:dyDescent="0.3">
      <c r="M777" s="1" t="str">
        <f t="shared" si="84"/>
        <v/>
      </c>
      <c r="N777" s="1" t="str">
        <f t="shared" si="85"/>
        <v/>
      </c>
      <c r="O777" s="1" t="str">
        <f ca="1">IF(F777="","",IF(INT(F777)=INT(NOW()),IF(NETWORKDAYS.INTL(F777,F777,1,FERIADOS!$A$2:$A$50)=0,0,MAX(0,(MIN(NOW(),INT(NOW())+18/24)-MAX(F777,INT(F777)+8/24)))*24),MAX(0,(INT(F777)+18/24-MAX(F777,INT(F777)+8/24)))*24*NETWORKDAYS.INTL(F777,F777,1,FERIADOS!$A$2:$A$50)+MAX(0,NETWORKDAYS.INTL(F777+1,NOW()-1,1,FERIADOS!$A$2:$A$50))*10+MAX(0,(MIN(NOW(),INT(NOW())+18/24)-(INT(NOW())+8/24)))*24*NETWORKDAYS.INTL(NOW(),NOW(),1,FERIADOS!$A$2:$A$50)))</f>
        <v/>
      </c>
      <c r="P777" s="1" t="str">
        <f t="shared" si="86"/>
        <v/>
      </c>
      <c r="Q777" s="1" t="str">
        <f t="shared" si="87"/>
        <v/>
      </c>
      <c r="R777" s="1" t="str">
        <f t="shared" si="88"/>
        <v/>
      </c>
      <c r="S777" s="1" t="str">
        <f>IF($A777="","",COUNTIF($N$2:N777,$N777))</f>
        <v/>
      </c>
      <c r="T777" s="1" t="str">
        <f t="shared" si="89"/>
        <v/>
      </c>
      <c r="U777" s="1" t="str">
        <f t="shared" si="90"/>
        <v/>
      </c>
      <c r="V777"/>
    </row>
    <row r="778" spans="13:22" x14ac:dyDescent="0.3">
      <c r="M778" s="1" t="str">
        <f t="shared" si="84"/>
        <v/>
      </c>
      <c r="N778" s="1" t="str">
        <f t="shared" si="85"/>
        <v/>
      </c>
      <c r="O778" s="1" t="str">
        <f ca="1">IF(F778="","",IF(INT(F778)=INT(NOW()),IF(NETWORKDAYS.INTL(F778,F778,1,FERIADOS!$A$2:$A$50)=0,0,MAX(0,(MIN(NOW(),INT(NOW())+18/24)-MAX(F778,INT(F778)+8/24)))*24),MAX(0,(INT(F778)+18/24-MAX(F778,INT(F778)+8/24)))*24*NETWORKDAYS.INTL(F778,F778,1,FERIADOS!$A$2:$A$50)+MAX(0,NETWORKDAYS.INTL(F778+1,NOW()-1,1,FERIADOS!$A$2:$A$50))*10+MAX(0,(MIN(NOW(),INT(NOW())+18/24)-(INT(NOW())+8/24)))*24*NETWORKDAYS.INTL(NOW(),NOW(),1,FERIADOS!$A$2:$A$50)))</f>
        <v/>
      </c>
      <c r="P778" s="1" t="str">
        <f t="shared" si="86"/>
        <v/>
      </c>
      <c r="Q778" s="1" t="str">
        <f t="shared" si="87"/>
        <v/>
      </c>
      <c r="R778" s="1" t="str">
        <f t="shared" si="88"/>
        <v/>
      </c>
      <c r="S778" s="1" t="str">
        <f>IF($A778="","",COUNTIF($N$2:N778,$N778))</f>
        <v/>
      </c>
      <c r="T778" s="1" t="str">
        <f t="shared" si="89"/>
        <v/>
      </c>
      <c r="U778" s="1" t="str">
        <f t="shared" si="90"/>
        <v/>
      </c>
      <c r="V778"/>
    </row>
    <row r="779" spans="13:22" x14ac:dyDescent="0.3">
      <c r="M779" s="1" t="str">
        <f t="shared" si="84"/>
        <v/>
      </c>
      <c r="N779" s="1" t="str">
        <f t="shared" si="85"/>
        <v/>
      </c>
      <c r="O779" s="1" t="str">
        <f ca="1">IF(F779="","",IF(INT(F779)=INT(NOW()),IF(NETWORKDAYS.INTL(F779,F779,1,FERIADOS!$A$2:$A$50)=0,0,MAX(0,(MIN(NOW(),INT(NOW())+18/24)-MAX(F779,INT(F779)+8/24)))*24),MAX(0,(INT(F779)+18/24-MAX(F779,INT(F779)+8/24)))*24*NETWORKDAYS.INTL(F779,F779,1,FERIADOS!$A$2:$A$50)+MAX(0,NETWORKDAYS.INTL(F779+1,NOW()-1,1,FERIADOS!$A$2:$A$50))*10+MAX(0,(MIN(NOW(),INT(NOW())+18/24)-(INT(NOW())+8/24)))*24*NETWORKDAYS.INTL(NOW(),NOW(),1,FERIADOS!$A$2:$A$50)))</f>
        <v/>
      </c>
      <c r="P779" s="1" t="str">
        <f t="shared" si="86"/>
        <v/>
      </c>
      <c r="Q779" s="1" t="str">
        <f t="shared" si="87"/>
        <v/>
      </c>
      <c r="R779" s="1" t="str">
        <f t="shared" si="88"/>
        <v/>
      </c>
      <c r="S779" s="1" t="str">
        <f>IF($A779="","",COUNTIF($N$2:N779,$N779))</f>
        <v/>
      </c>
      <c r="T779" s="1" t="str">
        <f t="shared" si="89"/>
        <v/>
      </c>
      <c r="U779" s="1" t="str">
        <f t="shared" si="90"/>
        <v/>
      </c>
      <c r="V779"/>
    </row>
    <row r="780" spans="13:22" x14ac:dyDescent="0.3">
      <c r="M780" s="1" t="str">
        <f t="shared" si="84"/>
        <v/>
      </c>
      <c r="N780" s="1" t="str">
        <f t="shared" si="85"/>
        <v/>
      </c>
      <c r="O780" s="1" t="str">
        <f ca="1">IF(F780="","",IF(INT(F780)=INT(NOW()),IF(NETWORKDAYS.INTL(F780,F780,1,FERIADOS!$A$2:$A$50)=0,0,MAX(0,(MIN(NOW(),INT(NOW())+18/24)-MAX(F780,INT(F780)+8/24)))*24),MAX(0,(INT(F780)+18/24-MAX(F780,INT(F780)+8/24)))*24*NETWORKDAYS.INTL(F780,F780,1,FERIADOS!$A$2:$A$50)+MAX(0,NETWORKDAYS.INTL(F780+1,NOW()-1,1,FERIADOS!$A$2:$A$50))*10+MAX(0,(MIN(NOW(),INT(NOW())+18/24)-(INT(NOW())+8/24)))*24*NETWORKDAYS.INTL(NOW(),NOW(),1,FERIADOS!$A$2:$A$50)))</f>
        <v/>
      </c>
      <c r="P780" s="1" t="str">
        <f t="shared" si="86"/>
        <v/>
      </c>
      <c r="Q780" s="1" t="str">
        <f t="shared" si="87"/>
        <v/>
      </c>
      <c r="R780" s="1" t="str">
        <f t="shared" si="88"/>
        <v/>
      </c>
      <c r="S780" s="1" t="str">
        <f>IF($A780="","",COUNTIF($N$2:N780,$N780))</f>
        <v/>
      </c>
      <c r="T780" s="1" t="str">
        <f t="shared" si="89"/>
        <v/>
      </c>
      <c r="U780" s="1" t="str">
        <f t="shared" si="90"/>
        <v/>
      </c>
      <c r="V780"/>
    </row>
    <row r="781" spans="13:22" x14ac:dyDescent="0.3">
      <c r="M781" s="1" t="str">
        <f t="shared" si="84"/>
        <v/>
      </c>
      <c r="N781" s="1" t="str">
        <f t="shared" si="85"/>
        <v/>
      </c>
      <c r="O781" s="1" t="str">
        <f ca="1">IF(F781="","",IF(INT(F781)=INT(NOW()),IF(NETWORKDAYS.INTL(F781,F781,1,FERIADOS!$A$2:$A$50)=0,0,MAX(0,(MIN(NOW(),INT(NOW())+18/24)-MAX(F781,INT(F781)+8/24)))*24),MAX(0,(INT(F781)+18/24-MAX(F781,INT(F781)+8/24)))*24*NETWORKDAYS.INTL(F781,F781,1,FERIADOS!$A$2:$A$50)+MAX(0,NETWORKDAYS.INTL(F781+1,NOW()-1,1,FERIADOS!$A$2:$A$50))*10+MAX(0,(MIN(NOW(),INT(NOW())+18/24)-(INT(NOW())+8/24)))*24*NETWORKDAYS.INTL(NOW(),NOW(),1,FERIADOS!$A$2:$A$50)))</f>
        <v/>
      </c>
      <c r="P781" s="1" t="str">
        <f t="shared" si="86"/>
        <v/>
      </c>
      <c r="Q781" s="1" t="str">
        <f t="shared" si="87"/>
        <v/>
      </c>
      <c r="R781" s="1" t="str">
        <f t="shared" si="88"/>
        <v/>
      </c>
      <c r="S781" s="1" t="str">
        <f>IF($A781="","",COUNTIF($N$2:N781,$N781))</f>
        <v/>
      </c>
      <c r="T781" s="1" t="str">
        <f t="shared" si="89"/>
        <v/>
      </c>
      <c r="U781" s="1" t="str">
        <f t="shared" si="90"/>
        <v/>
      </c>
      <c r="V781"/>
    </row>
    <row r="782" spans="13:22" x14ac:dyDescent="0.3">
      <c r="M782" s="1" t="str">
        <f t="shared" si="84"/>
        <v/>
      </c>
      <c r="N782" s="1" t="str">
        <f t="shared" si="85"/>
        <v/>
      </c>
      <c r="O782" s="1" t="str">
        <f ca="1">IF(F782="","",IF(INT(F782)=INT(NOW()),IF(NETWORKDAYS.INTL(F782,F782,1,FERIADOS!$A$2:$A$50)=0,0,MAX(0,(MIN(NOW(),INT(NOW())+18/24)-MAX(F782,INT(F782)+8/24)))*24),MAX(0,(INT(F782)+18/24-MAX(F782,INT(F782)+8/24)))*24*NETWORKDAYS.INTL(F782,F782,1,FERIADOS!$A$2:$A$50)+MAX(0,NETWORKDAYS.INTL(F782+1,NOW()-1,1,FERIADOS!$A$2:$A$50))*10+MAX(0,(MIN(NOW(),INT(NOW())+18/24)-(INT(NOW())+8/24)))*24*NETWORKDAYS.INTL(NOW(),NOW(),1,FERIADOS!$A$2:$A$50)))</f>
        <v/>
      </c>
      <c r="P782" s="1" t="str">
        <f t="shared" si="86"/>
        <v/>
      </c>
      <c r="Q782" s="1" t="str">
        <f t="shared" si="87"/>
        <v/>
      </c>
      <c r="R782" s="1" t="str">
        <f t="shared" si="88"/>
        <v/>
      </c>
      <c r="S782" s="1" t="str">
        <f>IF($A782="","",COUNTIF($N$2:N782,$N782))</f>
        <v/>
      </c>
      <c r="T782" s="1" t="str">
        <f t="shared" si="89"/>
        <v/>
      </c>
      <c r="U782" s="1" t="str">
        <f t="shared" si="90"/>
        <v/>
      </c>
      <c r="V782"/>
    </row>
    <row r="783" spans="13:22" x14ac:dyDescent="0.3">
      <c r="M783" s="1" t="str">
        <f t="shared" si="84"/>
        <v/>
      </c>
      <c r="N783" s="1" t="str">
        <f t="shared" si="85"/>
        <v/>
      </c>
      <c r="O783" s="1" t="str">
        <f ca="1">IF(F783="","",IF(INT(F783)=INT(NOW()),IF(NETWORKDAYS.INTL(F783,F783,1,FERIADOS!$A$2:$A$50)=0,0,MAX(0,(MIN(NOW(),INT(NOW())+18/24)-MAX(F783,INT(F783)+8/24)))*24),MAX(0,(INT(F783)+18/24-MAX(F783,INT(F783)+8/24)))*24*NETWORKDAYS.INTL(F783,F783,1,FERIADOS!$A$2:$A$50)+MAX(0,NETWORKDAYS.INTL(F783+1,NOW()-1,1,FERIADOS!$A$2:$A$50))*10+MAX(0,(MIN(NOW(),INT(NOW())+18/24)-(INT(NOW())+8/24)))*24*NETWORKDAYS.INTL(NOW(),NOW(),1,FERIADOS!$A$2:$A$50)))</f>
        <v/>
      </c>
      <c r="P783" s="1" t="str">
        <f t="shared" si="86"/>
        <v/>
      </c>
      <c r="Q783" s="1" t="str">
        <f t="shared" si="87"/>
        <v/>
      </c>
      <c r="R783" s="1" t="str">
        <f t="shared" si="88"/>
        <v/>
      </c>
      <c r="S783" s="1" t="str">
        <f>IF($A783="","",COUNTIF($N$2:N783,$N783))</f>
        <v/>
      </c>
      <c r="T783" s="1" t="str">
        <f t="shared" si="89"/>
        <v/>
      </c>
      <c r="U783" s="1" t="str">
        <f t="shared" si="90"/>
        <v/>
      </c>
      <c r="V783"/>
    </row>
    <row r="784" spans="13:22" x14ac:dyDescent="0.3">
      <c r="M784" s="1" t="str">
        <f t="shared" si="84"/>
        <v/>
      </c>
      <c r="N784" s="1" t="str">
        <f t="shared" si="85"/>
        <v/>
      </c>
      <c r="O784" s="1" t="str">
        <f ca="1">IF(F784="","",IF(INT(F784)=INT(NOW()),IF(NETWORKDAYS.INTL(F784,F784,1,FERIADOS!$A$2:$A$50)=0,0,MAX(0,(MIN(NOW(),INT(NOW())+18/24)-MAX(F784,INT(F784)+8/24)))*24),MAX(0,(INT(F784)+18/24-MAX(F784,INT(F784)+8/24)))*24*NETWORKDAYS.INTL(F784,F784,1,FERIADOS!$A$2:$A$50)+MAX(0,NETWORKDAYS.INTL(F784+1,NOW()-1,1,FERIADOS!$A$2:$A$50))*10+MAX(0,(MIN(NOW(),INT(NOW())+18/24)-(INT(NOW())+8/24)))*24*NETWORKDAYS.INTL(NOW(),NOW(),1,FERIADOS!$A$2:$A$50)))</f>
        <v/>
      </c>
      <c r="P784" s="1" t="str">
        <f t="shared" si="86"/>
        <v/>
      </c>
      <c r="Q784" s="1" t="str">
        <f t="shared" si="87"/>
        <v/>
      </c>
      <c r="R784" s="1" t="str">
        <f t="shared" si="88"/>
        <v/>
      </c>
      <c r="S784" s="1" t="str">
        <f>IF($A784="","",COUNTIF($N$2:N784,$N784))</f>
        <v/>
      </c>
      <c r="T784" s="1" t="str">
        <f t="shared" si="89"/>
        <v/>
      </c>
      <c r="U784" s="1" t="str">
        <f t="shared" si="90"/>
        <v/>
      </c>
      <c r="V784"/>
    </row>
    <row r="785" spans="13:22" x14ac:dyDescent="0.3">
      <c r="M785" s="1" t="str">
        <f t="shared" si="84"/>
        <v/>
      </c>
      <c r="N785" s="1" t="str">
        <f t="shared" si="85"/>
        <v/>
      </c>
      <c r="O785" s="1" t="str">
        <f ca="1">IF(F785="","",IF(INT(F785)=INT(NOW()),IF(NETWORKDAYS.INTL(F785,F785,1,FERIADOS!$A$2:$A$50)=0,0,MAX(0,(MIN(NOW(),INT(NOW())+18/24)-MAX(F785,INT(F785)+8/24)))*24),MAX(0,(INT(F785)+18/24-MAX(F785,INT(F785)+8/24)))*24*NETWORKDAYS.INTL(F785,F785,1,FERIADOS!$A$2:$A$50)+MAX(0,NETWORKDAYS.INTL(F785+1,NOW()-1,1,FERIADOS!$A$2:$A$50))*10+MAX(0,(MIN(NOW(),INT(NOW())+18/24)-(INT(NOW())+8/24)))*24*NETWORKDAYS.INTL(NOW(),NOW(),1,FERIADOS!$A$2:$A$50)))</f>
        <v/>
      </c>
      <c r="P785" s="1" t="str">
        <f t="shared" si="86"/>
        <v/>
      </c>
      <c r="Q785" s="1" t="str">
        <f t="shared" si="87"/>
        <v/>
      </c>
      <c r="R785" s="1" t="str">
        <f t="shared" si="88"/>
        <v/>
      </c>
      <c r="S785" s="1" t="str">
        <f>IF($A785="","",COUNTIF($N$2:N785,$N785))</f>
        <v/>
      </c>
      <c r="T785" s="1" t="str">
        <f t="shared" si="89"/>
        <v/>
      </c>
      <c r="U785" s="1" t="str">
        <f t="shared" si="90"/>
        <v/>
      </c>
      <c r="V785"/>
    </row>
    <row r="786" spans="13:22" x14ac:dyDescent="0.3">
      <c r="M786" s="1" t="str">
        <f t="shared" si="84"/>
        <v/>
      </c>
      <c r="N786" s="1" t="str">
        <f t="shared" si="85"/>
        <v/>
      </c>
      <c r="O786" s="1" t="str">
        <f ca="1">IF(F786="","",IF(INT(F786)=INT(NOW()),IF(NETWORKDAYS.INTL(F786,F786,1,FERIADOS!$A$2:$A$50)=0,0,MAX(0,(MIN(NOW(),INT(NOW())+18/24)-MAX(F786,INT(F786)+8/24)))*24),MAX(0,(INT(F786)+18/24-MAX(F786,INT(F786)+8/24)))*24*NETWORKDAYS.INTL(F786,F786,1,FERIADOS!$A$2:$A$50)+MAX(0,NETWORKDAYS.INTL(F786+1,NOW()-1,1,FERIADOS!$A$2:$A$50))*10+MAX(0,(MIN(NOW(),INT(NOW())+18/24)-(INT(NOW())+8/24)))*24*NETWORKDAYS.INTL(NOW(),NOW(),1,FERIADOS!$A$2:$A$50)))</f>
        <v/>
      </c>
      <c r="P786" s="1" t="str">
        <f t="shared" si="86"/>
        <v/>
      </c>
      <c r="Q786" s="1" t="str">
        <f t="shared" si="87"/>
        <v/>
      </c>
      <c r="R786" s="1" t="str">
        <f t="shared" si="88"/>
        <v/>
      </c>
      <c r="S786" s="1" t="str">
        <f>IF($A786="","",COUNTIF($N$2:N786,$N786))</f>
        <v/>
      </c>
      <c r="T786" s="1" t="str">
        <f t="shared" si="89"/>
        <v/>
      </c>
      <c r="U786" s="1" t="str">
        <f t="shared" si="90"/>
        <v/>
      </c>
      <c r="V786"/>
    </row>
    <row r="787" spans="13:22" x14ac:dyDescent="0.3">
      <c r="M787" s="1" t="str">
        <f t="shared" si="84"/>
        <v/>
      </c>
      <c r="N787" s="1" t="str">
        <f t="shared" si="85"/>
        <v/>
      </c>
      <c r="O787" s="1" t="str">
        <f ca="1">IF(F787="","",IF(INT(F787)=INT(NOW()),IF(NETWORKDAYS.INTL(F787,F787,1,FERIADOS!$A$2:$A$50)=0,0,MAX(0,(MIN(NOW(),INT(NOW())+18/24)-MAX(F787,INT(F787)+8/24)))*24),MAX(0,(INT(F787)+18/24-MAX(F787,INT(F787)+8/24)))*24*NETWORKDAYS.INTL(F787,F787,1,FERIADOS!$A$2:$A$50)+MAX(0,NETWORKDAYS.INTL(F787+1,NOW()-1,1,FERIADOS!$A$2:$A$50))*10+MAX(0,(MIN(NOW(),INT(NOW())+18/24)-(INT(NOW())+8/24)))*24*NETWORKDAYS.INTL(NOW(),NOW(),1,FERIADOS!$A$2:$A$50)))</f>
        <v/>
      </c>
      <c r="P787" s="1" t="str">
        <f t="shared" si="86"/>
        <v/>
      </c>
      <c r="Q787" s="1" t="str">
        <f t="shared" si="87"/>
        <v/>
      </c>
      <c r="R787" s="1" t="str">
        <f t="shared" si="88"/>
        <v/>
      </c>
      <c r="S787" s="1" t="str">
        <f>IF($A787="","",COUNTIF($N$2:N787,$N787))</f>
        <v/>
      </c>
      <c r="T787" s="1" t="str">
        <f t="shared" si="89"/>
        <v/>
      </c>
      <c r="U787" s="1" t="str">
        <f t="shared" si="90"/>
        <v/>
      </c>
      <c r="V787"/>
    </row>
    <row r="788" spans="13:22" x14ac:dyDescent="0.3">
      <c r="M788" s="1" t="str">
        <f t="shared" si="84"/>
        <v/>
      </c>
      <c r="N788" s="1" t="str">
        <f t="shared" si="85"/>
        <v/>
      </c>
      <c r="O788" s="1" t="str">
        <f ca="1">IF(F788="","",IF(INT(F788)=INT(NOW()),IF(NETWORKDAYS.INTL(F788,F788,1,FERIADOS!$A$2:$A$50)=0,0,MAX(0,(MIN(NOW(),INT(NOW())+18/24)-MAX(F788,INT(F788)+8/24)))*24),MAX(0,(INT(F788)+18/24-MAX(F788,INT(F788)+8/24)))*24*NETWORKDAYS.INTL(F788,F788,1,FERIADOS!$A$2:$A$50)+MAX(0,NETWORKDAYS.INTL(F788+1,NOW()-1,1,FERIADOS!$A$2:$A$50))*10+MAX(0,(MIN(NOW(),INT(NOW())+18/24)-(INT(NOW())+8/24)))*24*NETWORKDAYS.INTL(NOW(),NOW(),1,FERIADOS!$A$2:$A$50)))</f>
        <v/>
      </c>
      <c r="P788" s="1" t="str">
        <f t="shared" si="86"/>
        <v/>
      </c>
      <c r="Q788" s="1" t="str">
        <f t="shared" si="87"/>
        <v/>
      </c>
      <c r="R788" s="1" t="str">
        <f t="shared" si="88"/>
        <v/>
      </c>
      <c r="S788" s="1" t="str">
        <f>IF($A788="","",COUNTIF($N$2:N788,$N788))</f>
        <v/>
      </c>
      <c r="T788" s="1" t="str">
        <f t="shared" si="89"/>
        <v/>
      </c>
      <c r="U788" s="1" t="str">
        <f t="shared" si="90"/>
        <v/>
      </c>
      <c r="V788"/>
    </row>
    <row r="789" spans="13:22" x14ac:dyDescent="0.3">
      <c r="M789" s="1" t="str">
        <f t="shared" si="84"/>
        <v/>
      </c>
      <c r="N789" s="1" t="str">
        <f t="shared" si="85"/>
        <v/>
      </c>
      <c r="O789" s="1" t="str">
        <f ca="1">IF(F789="","",IF(INT(F789)=INT(NOW()),IF(NETWORKDAYS.INTL(F789,F789,1,FERIADOS!$A$2:$A$50)=0,0,MAX(0,(MIN(NOW(),INT(NOW())+18/24)-MAX(F789,INT(F789)+8/24)))*24),MAX(0,(INT(F789)+18/24-MAX(F789,INT(F789)+8/24)))*24*NETWORKDAYS.INTL(F789,F789,1,FERIADOS!$A$2:$A$50)+MAX(0,NETWORKDAYS.INTL(F789+1,NOW()-1,1,FERIADOS!$A$2:$A$50))*10+MAX(0,(MIN(NOW(),INT(NOW())+18/24)-(INT(NOW())+8/24)))*24*NETWORKDAYS.INTL(NOW(),NOW(),1,FERIADOS!$A$2:$A$50)))</f>
        <v/>
      </c>
      <c r="P789" s="1" t="str">
        <f t="shared" si="86"/>
        <v/>
      </c>
      <c r="Q789" s="1" t="str">
        <f t="shared" si="87"/>
        <v/>
      </c>
      <c r="R789" s="1" t="str">
        <f t="shared" si="88"/>
        <v/>
      </c>
      <c r="S789" s="1" t="str">
        <f>IF($A789="","",COUNTIF($N$2:N789,$N789))</f>
        <v/>
      </c>
      <c r="T789" s="1" t="str">
        <f t="shared" si="89"/>
        <v/>
      </c>
      <c r="U789" s="1" t="str">
        <f t="shared" si="90"/>
        <v/>
      </c>
      <c r="V789"/>
    </row>
    <row r="790" spans="13:22" x14ac:dyDescent="0.3">
      <c r="M790" s="1" t="str">
        <f t="shared" si="84"/>
        <v/>
      </c>
      <c r="N790" s="1" t="str">
        <f t="shared" si="85"/>
        <v/>
      </c>
      <c r="O790" s="1" t="str">
        <f ca="1">IF(F790="","",IF(INT(F790)=INT(NOW()),IF(NETWORKDAYS.INTL(F790,F790,1,FERIADOS!$A$2:$A$50)=0,0,MAX(0,(MIN(NOW(),INT(NOW())+18/24)-MAX(F790,INT(F790)+8/24)))*24),MAX(0,(INT(F790)+18/24-MAX(F790,INT(F790)+8/24)))*24*NETWORKDAYS.INTL(F790,F790,1,FERIADOS!$A$2:$A$50)+MAX(0,NETWORKDAYS.INTL(F790+1,NOW()-1,1,FERIADOS!$A$2:$A$50))*10+MAX(0,(MIN(NOW(),INT(NOW())+18/24)-(INT(NOW())+8/24)))*24*NETWORKDAYS.INTL(NOW(),NOW(),1,FERIADOS!$A$2:$A$50)))</f>
        <v/>
      </c>
      <c r="P790" s="1" t="str">
        <f t="shared" si="86"/>
        <v/>
      </c>
      <c r="Q790" s="1" t="str">
        <f t="shared" si="87"/>
        <v/>
      </c>
      <c r="R790" s="1" t="str">
        <f t="shared" si="88"/>
        <v/>
      </c>
      <c r="S790" s="1" t="str">
        <f>IF($A790="","",COUNTIF($N$2:N790,$N790))</f>
        <v/>
      </c>
      <c r="T790" s="1" t="str">
        <f t="shared" si="89"/>
        <v/>
      </c>
      <c r="U790" s="1" t="str">
        <f t="shared" si="90"/>
        <v/>
      </c>
      <c r="V790"/>
    </row>
    <row r="791" spans="13:22" x14ac:dyDescent="0.3">
      <c r="M791" s="1" t="str">
        <f t="shared" si="84"/>
        <v/>
      </c>
      <c r="N791" s="1" t="str">
        <f t="shared" si="85"/>
        <v/>
      </c>
      <c r="O791" s="1" t="str">
        <f ca="1">IF(F791="","",IF(INT(F791)=INT(NOW()),IF(NETWORKDAYS.INTL(F791,F791,1,FERIADOS!$A$2:$A$50)=0,0,MAX(0,(MIN(NOW(),INT(NOW())+18/24)-MAX(F791,INT(F791)+8/24)))*24),MAX(0,(INT(F791)+18/24-MAX(F791,INT(F791)+8/24)))*24*NETWORKDAYS.INTL(F791,F791,1,FERIADOS!$A$2:$A$50)+MAX(0,NETWORKDAYS.INTL(F791+1,NOW()-1,1,FERIADOS!$A$2:$A$50))*10+MAX(0,(MIN(NOW(),INT(NOW())+18/24)-(INT(NOW())+8/24)))*24*NETWORKDAYS.INTL(NOW(),NOW(),1,FERIADOS!$A$2:$A$50)))</f>
        <v/>
      </c>
      <c r="P791" s="1" t="str">
        <f t="shared" si="86"/>
        <v/>
      </c>
      <c r="Q791" s="1" t="str">
        <f t="shared" si="87"/>
        <v/>
      </c>
      <c r="R791" s="1" t="str">
        <f t="shared" si="88"/>
        <v/>
      </c>
      <c r="S791" s="1" t="str">
        <f>IF($A791="","",COUNTIF($N$2:N791,$N791))</f>
        <v/>
      </c>
      <c r="T791" s="1" t="str">
        <f t="shared" si="89"/>
        <v/>
      </c>
      <c r="U791" s="1" t="str">
        <f t="shared" si="90"/>
        <v/>
      </c>
      <c r="V791"/>
    </row>
    <row r="792" spans="13:22" x14ac:dyDescent="0.3">
      <c r="M792" s="1" t="str">
        <f t="shared" si="84"/>
        <v/>
      </c>
      <c r="N792" s="1" t="str">
        <f t="shared" si="85"/>
        <v/>
      </c>
      <c r="O792" s="1" t="str">
        <f ca="1">IF(F792="","",IF(INT(F792)=INT(NOW()),IF(NETWORKDAYS.INTL(F792,F792,1,FERIADOS!$A$2:$A$50)=0,0,MAX(0,(MIN(NOW(),INT(NOW())+18/24)-MAX(F792,INT(F792)+8/24)))*24),MAX(0,(INT(F792)+18/24-MAX(F792,INT(F792)+8/24)))*24*NETWORKDAYS.INTL(F792,F792,1,FERIADOS!$A$2:$A$50)+MAX(0,NETWORKDAYS.INTL(F792+1,NOW()-1,1,FERIADOS!$A$2:$A$50))*10+MAX(0,(MIN(NOW(),INT(NOW())+18/24)-(INT(NOW())+8/24)))*24*NETWORKDAYS.INTL(NOW(),NOW(),1,FERIADOS!$A$2:$A$50)))</f>
        <v/>
      </c>
      <c r="P792" s="1" t="str">
        <f t="shared" si="86"/>
        <v/>
      </c>
      <c r="Q792" s="1" t="str">
        <f t="shared" si="87"/>
        <v/>
      </c>
      <c r="R792" s="1" t="str">
        <f t="shared" si="88"/>
        <v/>
      </c>
      <c r="S792" s="1" t="str">
        <f>IF($A792="","",COUNTIF($N$2:N792,$N792))</f>
        <v/>
      </c>
      <c r="T792" s="1" t="str">
        <f t="shared" si="89"/>
        <v/>
      </c>
      <c r="U792" s="1" t="str">
        <f t="shared" si="90"/>
        <v/>
      </c>
      <c r="V792"/>
    </row>
    <row r="793" spans="13:22" x14ac:dyDescent="0.3">
      <c r="M793" s="1" t="str">
        <f t="shared" si="84"/>
        <v/>
      </c>
      <c r="N793" s="1" t="str">
        <f t="shared" si="85"/>
        <v/>
      </c>
      <c r="O793" s="1" t="str">
        <f ca="1">IF(F793="","",IF(INT(F793)=INT(NOW()),IF(NETWORKDAYS.INTL(F793,F793,1,FERIADOS!$A$2:$A$50)=0,0,MAX(0,(MIN(NOW(),INT(NOW())+18/24)-MAX(F793,INT(F793)+8/24)))*24),MAX(0,(INT(F793)+18/24-MAX(F793,INT(F793)+8/24)))*24*NETWORKDAYS.INTL(F793,F793,1,FERIADOS!$A$2:$A$50)+MAX(0,NETWORKDAYS.INTL(F793+1,NOW()-1,1,FERIADOS!$A$2:$A$50))*10+MAX(0,(MIN(NOW(),INT(NOW())+18/24)-(INT(NOW())+8/24)))*24*NETWORKDAYS.INTL(NOW(),NOW(),1,FERIADOS!$A$2:$A$50)))</f>
        <v/>
      </c>
      <c r="P793" s="1" t="str">
        <f t="shared" si="86"/>
        <v/>
      </c>
      <c r="Q793" s="1" t="str">
        <f t="shared" si="87"/>
        <v/>
      </c>
      <c r="R793" s="1" t="str">
        <f t="shared" si="88"/>
        <v/>
      </c>
      <c r="S793" s="1" t="str">
        <f>IF($A793="","",COUNTIF($N$2:N793,$N793))</f>
        <v/>
      </c>
      <c r="T793" s="1" t="str">
        <f t="shared" si="89"/>
        <v/>
      </c>
      <c r="U793" s="1" t="str">
        <f t="shared" si="90"/>
        <v/>
      </c>
      <c r="V793"/>
    </row>
    <row r="794" spans="13:22" x14ac:dyDescent="0.3">
      <c r="M794" s="1" t="str">
        <f t="shared" si="84"/>
        <v/>
      </c>
      <c r="N794" s="1" t="str">
        <f t="shared" si="85"/>
        <v/>
      </c>
      <c r="O794" s="1" t="str">
        <f ca="1">IF(F794="","",IF(INT(F794)=INT(NOW()),IF(NETWORKDAYS.INTL(F794,F794,1,FERIADOS!$A$2:$A$50)=0,0,MAX(0,(MIN(NOW(),INT(NOW())+18/24)-MAX(F794,INT(F794)+8/24)))*24),MAX(0,(INT(F794)+18/24-MAX(F794,INT(F794)+8/24)))*24*NETWORKDAYS.INTL(F794,F794,1,FERIADOS!$A$2:$A$50)+MAX(0,NETWORKDAYS.INTL(F794+1,NOW()-1,1,FERIADOS!$A$2:$A$50))*10+MAX(0,(MIN(NOW(),INT(NOW())+18/24)-(INT(NOW())+8/24)))*24*NETWORKDAYS.INTL(NOW(),NOW(),1,FERIADOS!$A$2:$A$50)))</f>
        <v/>
      </c>
      <c r="P794" s="1" t="str">
        <f t="shared" si="86"/>
        <v/>
      </c>
      <c r="Q794" s="1" t="str">
        <f t="shared" si="87"/>
        <v/>
      </c>
      <c r="R794" s="1" t="str">
        <f t="shared" si="88"/>
        <v/>
      </c>
      <c r="S794" s="1" t="str">
        <f>IF($A794="","",COUNTIF($N$2:N794,$N794))</f>
        <v/>
      </c>
      <c r="T794" s="1" t="str">
        <f t="shared" si="89"/>
        <v/>
      </c>
      <c r="U794" s="1" t="str">
        <f t="shared" si="90"/>
        <v/>
      </c>
      <c r="V794"/>
    </row>
    <row r="795" spans="13:22" x14ac:dyDescent="0.3">
      <c r="M795" s="1" t="str">
        <f t="shared" si="84"/>
        <v/>
      </c>
      <c r="N795" s="1" t="str">
        <f t="shared" si="85"/>
        <v/>
      </c>
      <c r="O795" s="1" t="str">
        <f ca="1">IF(F795="","",IF(INT(F795)=INT(NOW()),IF(NETWORKDAYS.INTL(F795,F795,1,FERIADOS!$A$2:$A$50)=0,0,MAX(0,(MIN(NOW(),INT(NOW())+18/24)-MAX(F795,INT(F795)+8/24)))*24),MAX(0,(INT(F795)+18/24-MAX(F795,INT(F795)+8/24)))*24*NETWORKDAYS.INTL(F795,F795,1,FERIADOS!$A$2:$A$50)+MAX(0,NETWORKDAYS.INTL(F795+1,NOW()-1,1,FERIADOS!$A$2:$A$50))*10+MAX(0,(MIN(NOW(),INT(NOW())+18/24)-(INT(NOW())+8/24)))*24*NETWORKDAYS.INTL(NOW(),NOW(),1,FERIADOS!$A$2:$A$50)))</f>
        <v/>
      </c>
      <c r="P795" s="1" t="str">
        <f t="shared" si="86"/>
        <v/>
      </c>
      <c r="Q795" s="1" t="str">
        <f t="shared" si="87"/>
        <v/>
      </c>
      <c r="R795" s="1" t="str">
        <f t="shared" si="88"/>
        <v/>
      </c>
      <c r="S795" s="1" t="str">
        <f>IF($A795="","",COUNTIF($N$2:N795,$N795))</f>
        <v/>
      </c>
      <c r="T795" s="1" t="str">
        <f t="shared" si="89"/>
        <v/>
      </c>
      <c r="U795" s="1" t="str">
        <f t="shared" si="90"/>
        <v/>
      </c>
      <c r="V795"/>
    </row>
    <row r="796" spans="13:22" x14ac:dyDescent="0.3">
      <c r="M796" s="1" t="str">
        <f t="shared" si="84"/>
        <v/>
      </c>
      <c r="N796" s="1" t="str">
        <f t="shared" si="85"/>
        <v/>
      </c>
      <c r="O796" s="1" t="str">
        <f ca="1">IF(F796="","",IF(INT(F796)=INT(NOW()),IF(NETWORKDAYS.INTL(F796,F796,1,FERIADOS!$A$2:$A$50)=0,0,MAX(0,(MIN(NOW(),INT(NOW())+18/24)-MAX(F796,INT(F796)+8/24)))*24),MAX(0,(INT(F796)+18/24-MAX(F796,INT(F796)+8/24)))*24*NETWORKDAYS.INTL(F796,F796,1,FERIADOS!$A$2:$A$50)+MAX(0,NETWORKDAYS.INTL(F796+1,NOW()-1,1,FERIADOS!$A$2:$A$50))*10+MAX(0,(MIN(NOW(),INT(NOW())+18/24)-(INT(NOW())+8/24)))*24*NETWORKDAYS.INTL(NOW(),NOW(),1,FERIADOS!$A$2:$A$50)))</f>
        <v/>
      </c>
      <c r="P796" s="1" t="str">
        <f t="shared" si="86"/>
        <v/>
      </c>
      <c r="Q796" s="1" t="str">
        <f t="shared" si="87"/>
        <v/>
      </c>
      <c r="R796" s="1" t="str">
        <f t="shared" si="88"/>
        <v/>
      </c>
      <c r="S796" s="1" t="str">
        <f>IF($A796="","",COUNTIF($N$2:N796,$N796))</f>
        <v/>
      </c>
      <c r="T796" s="1" t="str">
        <f t="shared" si="89"/>
        <v/>
      </c>
      <c r="U796" s="1" t="str">
        <f t="shared" si="90"/>
        <v/>
      </c>
      <c r="V796"/>
    </row>
    <row r="797" spans="13:22" x14ac:dyDescent="0.3">
      <c r="M797" s="1" t="str">
        <f t="shared" si="84"/>
        <v/>
      </c>
      <c r="N797" s="1" t="str">
        <f t="shared" si="85"/>
        <v/>
      </c>
      <c r="O797" s="1" t="str">
        <f ca="1">IF(F797="","",IF(INT(F797)=INT(NOW()),IF(NETWORKDAYS.INTL(F797,F797,1,FERIADOS!$A$2:$A$50)=0,0,MAX(0,(MIN(NOW(),INT(NOW())+18/24)-MAX(F797,INT(F797)+8/24)))*24),MAX(0,(INT(F797)+18/24-MAX(F797,INT(F797)+8/24)))*24*NETWORKDAYS.INTL(F797,F797,1,FERIADOS!$A$2:$A$50)+MAX(0,NETWORKDAYS.INTL(F797+1,NOW()-1,1,FERIADOS!$A$2:$A$50))*10+MAX(0,(MIN(NOW(),INT(NOW())+18/24)-(INT(NOW())+8/24)))*24*NETWORKDAYS.INTL(NOW(),NOW(),1,FERIADOS!$A$2:$A$50)))</f>
        <v/>
      </c>
      <c r="P797" s="1" t="str">
        <f t="shared" si="86"/>
        <v/>
      </c>
      <c r="Q797" s="1" t="str">
        <f t="shared" si="87"/>
        <v/>
      </c>
      <c r="R797" s="1" t="str">
        <f t="shared" si="88"/>
        <v/>
      </c>
      <c r="S797" s="1" t="str">
        <f>IF($A797="","",COUNTIF($N$2:N797,$N797))</f>
        <v/>
      </c>
      <c r="T797" s="1" t="str">
        <f t="shared" si="89"/>
        <v/>
      </c>
      <c r="U797" s="1" t="str">
        <f t="shared" si="90"/>
        <v/>
      </c>
      <c r="V797"/>
    </row>
    <row r="798" spans="13:22" x14ac:dyDescent="0.3">
      <c r="M798" s="1" t="str">
        <f t="shared" si="84"/>
        <v/>
      </c>
      <c r="N798" s="1" t="str">
        <f t="shared" si="85"/>
        <v/>
      </c>
      <c r="O798" s="1" t="str">
        <f ca="1">IF(F798="","",IF(INT(F798)=INT(NOW()),IF(NETWORKDAYS.INTL(F798,F798,1,FERIADOS!$A$2:$A$50)=0,0,MAX(0,(MIN(NOW(),INT(NOW())+18/24)-MAX(F798,INT(F798)+8/24)))*24),MAX(0,(INT(F798)+18/24-MAX(F798,INT(F798)+8/24)))*24*NETWORKDAYS.INTL(F798,F798,1,FERIADOS!$A$2:$A$50)+MAX(0,NETWORKDAYS.INTL(F798+1,NOW()-1,1,FERIADOS!$A$2:$A$50))*10+MAX(0,(MIN(NOW(),INT(NOW())+18/24)-(INT(NOW())+8/24)))*24*NETWORKDAYS.INTL(NOW(),NOW(),1,FERIADOS!$A$2:$A$50)))</f>
        <v/>
      </c>
      <c r="P798" s="1" t="str">
        <f t="shared" si="86"/>
        <v/>
      </c>
      <c r="Q798" s="1" t="str">
        <f t="shared" si="87"/>
        <v/>
      </c>
      <c r="R798" s="1" t="str">
        <f t="shared" si="88"/>
        <v/>
      </c>
      <c r="S798" s="1" t="str">
        <f>IF($A798="","",COUNTIF($N$2:N798,$N798))</f>
        <v/>
      </c>
      <c r="T798" s="1" t="str">
        <f t="shared" si="89"/>
        <v/>
      </c>
      <c r="U798" s="1" t="str">
        <f t="shared" si="90"/>
        <v/>
      </c>
      <c r="V798"/>
    </row>
    <row r="799" spans="13:22" x14ac:dyDescent="0.3">
      <c r="M799" s="1" t="str">
        <f t="shared" si="84"/>
        <v/>
      </c>
      <c r="N799" s="1" t="str">
        <f t="shared" si="85"/>
        <v/>
      </c>
      <c r="O799" s="1" t="str">
        <f ca="1">IF(F799="","",IF(INT(F799)=INT(NOW()),IF(NETWORKDAYS.INTL(F799,F799,1,FERIADOS!$A$2:$A$50)=0,0,MAX(0,(MIN(NOW(),INT(NOW())+18/24)-MAX(F799,INT(F799)+8/24)))*24),MAX(0,(INT(F799)+18/24-MAX(F799,INT(F799)+8/24)))*24*NETWORKDAYS.INTL(F799,F799,1,FERIADOS!$A$2:$A$50)+MAX(0,NETWORKDAYS.INTL(F799+1,NOW()-1,1,FERIADOS!$A$2:$A$50))*10+MAX(0,(MIN(NOW(),INT(NOW())+18/24)-(INT(NOW())+8/24)))*24*NETWORKDAYS.INTL(NOW(),NOW(),1,FERIADOS!$A$2:$A$50)))</f>
        <v/>
      </c>
      <c r="P799" s="1" t="str">
        <f t="shared" si="86"/>
        <v/>
      </c>
      <c r="Q799" s="1" t="str">
        <f t="shared" si="87"/>
        <v/>
      </c>
      <c r="R799" s="1" t="str">
        <f t="shared" si="88"/>
        <v/>
      </c>
      <c r="S799" s="1" t="str">
        <f>IF($A799="","",COUNTIF($N$2:N799,$N799))</f>
        <v/>
      </c>
      <c r="T799" s="1" t="str">
        <f t="shared" si="89"/>
        <v/>
      </c>
      <c r="U799" s="1" t="str">
        <f t="shared" si="90"/>
        <v/>
      </c>
      <c r="V799"/>
    </row>
    <row r="800" spans="13:22" x14ac:dyDescent="0.3">
      <c r="M800" s="1" t="str">
        <f t="shared" si="84"/>
        <v/>
      </c>
      <c r="N800" s="1" t="str">
        <f t="shared" si="85"/>
        <v/>
      </c>
      <c r="O800" s="1" t="str">
        <f ca="1">IF(F800="","",IF(INT(F800)=INT(NOW()),IF(NETWORKDAYS.INTL(F800,F800,1,FERIADOS!$A$2:$A$50)=0,0,MAX(0,(MIN(NOW(),INT(NOW())+18/24)-MAX(F800,INT(F800)+8/24)))*24),MAX(0,(INT(F800)+18/24-MAX(F800,INT(F800)+8/24)))*24*NETWORKDAYS.INTL(F800,F800,1,FERIADOS!$A$2:$A$50)+MAX(0,NETWORKDAYS.INTL(F800+1,NOW()-1,1,FERIADOS!$A$2:$A$50))*10+MAX(0,(MIN(NOW(),INT(NOW())+18/24)-(INT(NOW())+8/24)))*24*NETWORKDAYS.INTL(NOW(),NOW(),1,FERIADOS!$A$2:$A$50)))</f>
        <v/>
      </c>
      <c r="P800" s="1" t="str">
        <f t="shared" si="86"/>
        <v/>
      </c>
      <c r="Q800" s="1" t="str">
        <f t="shared" si="87"/>
        <v/>
      </c>
      <c r="R800" s="1" t="str">
        <f t="shared" si="88"/>
        <v/>
      </c>
      <c r="S800" s="1" t="str">
        <f>IF($A800="","",COUNTIF($N$2:N800,$N800))</f>
        <v/>
      </c>
      <c r="T800" s="1" t="str">
        <f t="shared" si="89"/>
        <v/>
      </c>
      <c r="U800" s="1" t="str">
        <f t="shared" si="90"/>
        <v/>
      </c>
      <c r="V800"/>
    </row>
    <row r="801" spans="13:22" x14ac:dyDescent="0.3">
      <c r="M801" s="1" t="str">
        <f t="shared" si="84"/>
        <v/>
      </c>
      <c r="N801" s="1" t="str">
        <f t="shared" si="85"/>
        <v/>
      </c>
      <c r="O801" s="1" t="str">
        <f ca="1">IF(F801="","",IF(INT(F801)=INT(NOW()),IF(NETWORKDAYS.INTL(F801,F801,1,FERIADOS!$A$2:$A$50)=0,0,MAX(0,(MIN(NOW(),INT(NOW())+18/24)-MAX(F801,INT(F801)+8/24)))*24),MAX(0,(INT(F801)+18/24-MAX(F801,INT(F801)+8/24)))*24*NETWORKDAYS.INTL(F801,F801,1,FERIADOS!$A$2:$A$50)+MAX(0,NETWORKDAYS.INTL(F801+1,NOW()-1,1,FERIADOS!$A$2:$A$50))*10+MAX(0,(MIN(NOW(),INT(NOW())+18/24)-(INT(NOW())+8/24)))*24*NETWORKDAYS.INTL(NOW(),NOW(),1,FERIADOS!$A$2:$A$50)))</f>
        <v/>
      </c>
      <c r="P801" s="1" t="str">
        <f t="shared" si="86"/>
        <v/>
      </c>
      <c r="Q801" s="1" t="str">
        <f t="shared" si="87"/>
        <v/>
      </c>
      <c r="R801" s="1" t="str">
        <f t="shared" si="88"/>
        <v/>
      </c>
      <c r="S801" s="1" t="str">
        <f>IF($A801="","",COUNTIF($N$2:N801,$N801))</f>
        <v/>
      </c>
      <c r="T801" s="1" t="str">
        <f t="shared" si="89"/>
        <v/>
      </c>
      <c r="U801" s="1" t="str">
        <f t="shared" si="90"/>
        <v/>
      </c>
      <c r="V801"/>
    </row>
    <row r="802" spans="13:22" x14ac:dyDescent="0.3">
      <c r="M802" s="1" t="str">
        <f t="shared" si="84"/>
        <v/>
      </c>
      <c r="N802" s="1" t="str">
        <f t="shared" si="85"/>
        <v/>
      </c>
      <c r="O802" s="1" t="str">
        <f ca="1">IF(F802="","",IF(INT(F802)=INT(NOW()),IF(NETWORKDAYS.INTL(F802,F802,1,FERIADOS!$A$2:$A$50)=0,0,MAX(0,(MIN(NOW(),INT(NOW())+18/24)-MAX(F802,INT(F802)+8/24)))*24),MAX(0,(INT(F802)+18/24-MAX(F802,INT(F802)+8/24)))*24*NETWORKDAYS.INTL(F802,F802,1,FERIADOS!$A$2:$A$50)+MAX(0,NETWORKDAYS.INTL(F802+1,NOW()-1,1,FERIADOS!$A$2:$A$50))*10+MAX(0,(MIN(NOW(),INT(NOW())+18/24)-(INT(NOW())+8/24)))*24*NETWORKDAYS.INTL(NOW(),NOW(),1,FERIADOS!$A$2:$A$50)))</f>
        <v/>
      </c>
      <c r="P802" s="1" t="str">
        <f t="shared" si="86"/>
        <v/>
      </c>
      <c r="Q802" s="1" t="str">
        <f t="shared" si="87"/>
        <v/>
      </c>
      <c r="R802" s="1" t="str">
        <f t="shared" si="88"/>
        <v/>
      </c>
      <c r="S802" s="1" t="str">
        <f>IF($A802="","",COUNTIF($N$2:N802,$N802))</f>
        <v/>
      </c>
      <c r="T802" s="1" t="str">
        <f t="shared" si="89"/>
        <v/>
      </c>
      <c r="U802" s="1" t="str">
        <f t="shared" si="90"/>
        <v/>
      </c>
      <c r="V802"/>
    </row>
    <row r="803" spans="13:22" x14ac:dyDescent="0.3">
      <c r="M803" s="1" t="str">
        <f t="shared" si="84"/>
        <v/>
      </c>
      <c r="N803" s="1" t="str">
        <f t="shared" si="85"/>
        <v/>
      </c>
      <c r="O803" s="1" t="str">
        <f ca="1">IF(F803="","",IF(INT(F803)=INT(NOW()),IF(NETWORKDAYS.INTL(F803,F803,1,FERIADOS!$A$2:$A$50)=0,0,MAX(0,(MIN(NOW(),INT(NOW())+18/24)-MAX(F803,INT(F803)+8/24)))*24),MAX(0,(INT(F803)+18/24-MAX(F803,INT(F803)+8/24)))*24*NETWORKDAYS.INTL(F803,F803,1,FERIADOS!$A$2:$A$50)+MAX(0,NETWORKDAYS.INTL(F803+1,NOW()-1,1,FERIADOS!$A$2:$A$50))*10+MAX(0,(MIN(NOW(),INT(NOW())+18/24)-(INT(NOW())+8/24)))*24*NETWORKDAYS.INTL(NOW(),NOW(),1,FERIADOS!$A$2:$A$50)))</f>
        <v/>
      </c>
      <c r="P803" s="1" t="str">
        <f t="shared" si="86"/>
        <v/>
      </c>
      <c r="Q803" s="1" t="str">
        <f t="shared" si="87"/>
        <v/>
      </c>
      <c r="R803" s="1" t="str">
        <f t="shared" si="88"/>
        <v/>
      </c>
      <c r="S803" s="1" t="str">
        <f>IF($A803="","",COUNTIF($N$2:N803,$N803))</f>
        <v/>
      </c>
      <c r="T803" s="1" t="str">
        <f t="shared" si="89"/>
        <v/>
      </c>
      <c r="U803" s="1" t="str">
        <f t="shared" si="90"/>
        <v/>
      </c>
      <c r="V803"/>
    </row>
    <row r="804" spans="13:22" x14ac:dyDescent="0.3">
      <c r="M804" s="1" t="str">
        <f t="shared" si="84"/>
        <v/>
      </c>
      <c r="N804" s="1" t="str">
        <f t="shared" si="85"/>
        <v/>
      </c>
      <c r="O804" s="1" t="str">
        <f ca="1">IF(F804="","",IF(INT(F804)=INT(NOW()),IF(NETWORKDAYS.INTL(F804,F804,1,FERIADOS!$A$2:$A$50)=0,0,MAX(0,(MIN(NOW(),INT(NOW())+18/24)-MAX(F804,INT(F804)+8/24)))*24),MAX(0,(INT(F804)+18/24-MAX(F804,INT(F804)+8/24)))*24*NETWORKDAYS.INTL(F804,F804,1,FERIADOS!$A$2:$A$50)+MAX(0,NETWORKDAYS.INTL(F804+1,NOW()-1,1,FERIADOS!$A$2:$A$50))*10+MAX(0,(MIN(NOW(),INT(NOW())+18/24)-(INT(NOW())+8/24)))*24*NETWORKDAYS.INTL(NOW(),NOW(),1,FERIADOS!$A$2:$A$50)))</f>
        <v/>
      </c>
      <c r="P804" s="1" t="str">
        <f t="shared" si="86"/>
        <v/>
      </c>
      <c r="Q804" s="1" t="str">
        <f t="shared" si="87"/>
        <v/>
      </c>
      <c r="R804" s="1" t="str">
        <f t="shared" si="88"/>
        <v/>
      </c>
      <c r="S804" s="1" t="str">
        <f>IF($A804="","",COUNTIF($N$2:N804,$N804))</f>
        <v/>
      </c>
      <c r="T804" s="1" t="str">
        <f t="shared" si="89"/>
        <v/>
      </c>
      <c r="U804" s="1" t="str">
        <f t="shared" si="90"/>
        <v/>
      </c>
      <c r="V804"/>
    </row>
    <row r="805" spans="13:22" x14ac:dyDescent="0.3">
      <c r="M805" s="1" t="str">
        <f t="shared" si="84"/>
        <v/>
      </c>
      <c r="N805" s="1" t="str">
        <f t="shared" si="85"/>
        <v/>
      </c>
      <c r="O805" s="1" t="str">
        <f ca="1">IF(F805="","",IF(INT(F805)=INT(NOW()),IF(NETWORKDAYS.INTL(F805,F805,1,FERIADOS!$A$2:$A$50)=0,0,MAX(0,(MIN(NOW(),INT(NOW())+18/24)-MAX(F805,INT(F805)+8/24)))*24),MAX(0,(INT(F805)+18/24-MAX(F805,INT(F805)+8/24)))*24*NETWORKDAYS.INTL(F805,F805,1,FERIADOS!$A$2:$A$50)+MAX(0,NETWORKDAYS.INTL(F805+1,NOW()-1,1,FERIADOS!$A$2:$A$50))*10+MAX(0,(MIN(NOW(),INT(NOW())+18/24)-(INT(NOW())+8/24)))*24*NETWORKDAYS.INTL(NOW(),NOW(),1,FERIADOS!$A$2:$A$50)))</f>
        <v/>
      </c>
      <c r="P805" s="1" t="str">
        <f t="shared" si="86"/>
        <v/>
      </c>
      <c r="Q805" s="1" t="str">
        <f t="shared" si="87"/>
        <v/>
      </c>
      <c r="R805" s="1" t="str">
        <f t="shared" si="88"/>
        <v/>
      </c>
      <c r="S805" s="1" t="str">
        <f>IF($A805="","",COUNTIF($N$2:N805,$N805))</f>
        <v/>
      </c>
      <c r="T805" s="1" t="str">
        <f t="shared" si="89"/>
        <v/>
      </c>
      <c r="U805" s="1" t="str">
        <f t="shared" si="90"/>
        <v/>
      </c>
      <c r="V805"/>
    </row>
    <row r="806" spans="13:22" x14ac:dyDescent="0.3">
      <c r="M806" s="1" t="str">
        <f t="shared" si="84"/>
        <v/>
      </c>
      <c r="N806" s="1" t="str">
        <f t="shared" si="85"/>
        <v/>
      </c>
      <c r="O806" s="1" t="str">
        <f ca="1">IF(F806="","",IF(INT(F806)=INT(NOW()),IF(NETWORKDAYS.INTL(F806,F806,1,FERIADOS!$A$2:$A$50)=0,0,MAX(0,(MIN(NOW(),INT(NOW())+18/24)-MAX(F806,INT(F806)+8/24)))*24),MAX(0,(INT(F806)+18/24-MAX(F806,INT(F806)+8/24)))*24*NETWORKDAYS.INTL(F806,F806,1,FERIADOS!$A$2:$A$50)+MAX(0,NETWORKDAYS.INTL(F806+1,NOW()-1,1,FERIADOS!$A$2:$A$50))*10+MAX(0,(MIN(NOW(),INT(NOW())+18/24)-(INT(NOW())+8/24)))*24*NETWORKDAYS.INTL(NOW(),NOW(),1,FERIADOS!$A$2:$A$50)))</f>
        <v/>
      </c>
      <c r="P806" s="1" t="str">
        <f t="shared" si="86"/>
        <v/>
      </c>
      <c r="Q806" s="1" t="str">
        <f t="shared" si="87"/>
        <v/>
      </c>
      <c r="R806" s="1" t="str">
        <f t="shared" si="88"/>
        <v/>
      </c>
      <c r="S806" s="1" t="str">
        <f>IF($A806="","",COUNTIF($N$2:N806,$N806))</f>
        <v/>
      </c>
      <c r="T806" s="1" t="str">
        <f t="shared" si="89"/>
        <v/>
      </c>
      <c r="U806" s="1" t="str">
        <f t="shared" si="90"/>
        <v/>
      </c>
      <c r="V806"/>
    </row>
    <row r="807" spans="13:22" x14ac:dyDescent="0.3">
      <c r="M807" s="1" t="str">
        <f t="shared" si="84"/>
        <v/>
      </c>
      <c r="N807" s="1" t="str">
        <f t="shared" si="85"/>
        <v/>
      </c>
      <c r="O807" s="1" t="str">
        <f ca="1">IF(F807="","",IF(INT(F807)=INT(NOW()),IF(NETWORKDAYS.INTL(F807,F807,1,FERIADOS!$A$2:$A$50)=0,0,MAX(0,(MIN(NOW(),INT(NOW())+18/24)-MAX(F807,INT(F807)+8/24)))*24),MAX(0,(INT(F807)+18/24-MAX(F807,INT(F807)+8/24)))*24*NETWORKDAYS.INTL(F807,F807,1,FERIADOS!$A$2:$A$50)+MAX(0,NETWORKDAYS.INTL(F807+1,NOW()-1,1,FERIADOS!$A$2:$A$50))*10+MAX(0,(MIN(NOW(),INT(NOW())+18/24)-(INT(NOW())+8/24)))*24*NETWORKDAYS.INTL(NOW(),NOW(),1,FERIADOS!$A$2:$A$50)))</f>
        <v/>
      </c>
      <c r="P807" s="1" t="str">
        <f t="shared" si="86"/>
        <v/>
      </c>
      <c r="Q807" s="1" t="str">
        <f t="shared" si="87"/>
        <v/>
      </c>
      <c r="R807" s="1" t="str">
        <f t="shared" si="88"/>
        <v/>
      </c>
      <c r="S807" s="1" t="str">
        <f>IF($A807="","",COUNTIF($N$2:N807,$N807))</f>
        <v/>
      </c>
      <c r="T807" s="1" t="str">
        <f t="shared" si="89"/>
        <v/>
      </c>
      <c r="U807" s="1" t="str">
        <f t="shared" si="90"/>
        <v/>
      </c>
      <c r="V807"/>
    </row>
    <row r="808" spans="13:22" x14ac:dyDescent="0.3">
      <c r="M808" s="1" t="str">
        <f t="shared" si="84"/>
        <v/>
      </c>
      <c r="N808" s="1" t="str">
        <f t="shared" si="85"/>
        <v/>
      </c>
      <c r="O808" s="1" t="str">
        <f ca="1">IF(F808="","",IF(INT(F808)=INT(NOW()),IF(NETWORKDAYS.INTL(F808,F808,1,FERIADOS!$A$2:$A$50)=0,0,MAX(0,(MIN(NOW(),INT(NOW())+18/24)-MAX(F808,INT(F808)+8/24)))*24),MAX(0,(INT(F808)+18/24-MAX(F808,INT(F808)+8/24)))*24*NETWORKDAYS.INTL(F808,F808,1,FERIADOS!$A$2:$A$50)+MAX(0,NETWORKDAYS.INTL(F808+1,NOW()-1,1,FERIADOS!$A$2:$A$50))*10+MAX(0,(MIN(NOW(),INT(NOW())+18/24)-(INT(NOW())+8/24)))*24*NETWORKDAYS.INTL(NOW(),NOW(),1,FERIADOS!$A$2:$A$50)))</f>
        <v/>
      </c>
      <c r="P808" s="1" t="str">
        <f t="shared" si="86"/>
        <v/>
      </c>
      <c r="Q808" s="1" t="str">
        <f t="shared" si="87"/>
        <v/>
      </c>
      <c r="R808" s="1" t="str">
        <f t="shared" si="88"/>
        <v/>
      </c>
      <c r="S808" s="1" t="str">
        <f>IF($A808="","",COUNTIF($N$2:N808,$N808))</f>
        <v/>
      </c>
      <c r="T808" s="1" t="str">
        <f t="shared" si="89"/>
        <v/>
      </c>
      <c r="U808" s="1" t="str">
        <f t="shared" si="90"/>
        <v/>
      </c>
      <c r="V808"/>
    </row>
    <row r="809" spans="13:22" x14ac:dyDescent="0.3">
      <c r="M809" s="1" t="str">
        <f t="shared" si="84"/>
        <v/>
      </c>
      <c r="N809" s="1" t="str">
        <f t="shared" si="85"/>
        <v/>
      </c>
      <c r="O809" s="1" t="str">
        <f ca="1">IF(F809="","",IF(INT(F809)=INT(NOW()),IF(NETWORKDAYS.INTL(F809,F809,1,FERIADOS!$A$2:$A$50)=0,0,MAX(0,(MIN(NOW(),INT(NOW())+18/24)-MAX(F809,INT(F809)+8/24)))*24),MAX(0,(INT(F809)+18/24-MAX(F809,INT(F809)+8/24)))*24*NETWORKDAYS.INTL(F809,F809,1,FERIADOS!$A$2:$A$50)+MAX(0,NETWORKDAYS.INTL(F809+1,NOW()-1,1,FERIADOS!$A$2:$A$50))*10+MAX(0,(MIN(NOW(),INT(NOW())+18/24)-(INT(NOW())+8/24)))*24*NETWORKDAYS.INTL(NOW(),NOW(),1,FERIADOS!$A$2:$A$50)))</f>
        <v/>
      </c>
      <c r="P809" s="1" t="str">
        <f t="shared" si="86"/>
        <v/>
      </c>
      <c r="Q809" s="1" t="str">
        <f t="shared" si="87"/>
        <v/>
      </c>
      <c r="R809" s="1" t="str">
        <f t="shared" si="88"/>
        <v/>
      </c>
      <c r="S809" s="1" t="str">
        <f>IF($A809="","",COUNTIF($N$2:N809,$N809))</f>
        <v/>
      </c>
      <c r="T809" s="1" t="str">
        <f t="shared" si="89"/>
        <v/>
      </c>
      <c r="U809" s="1" t="str">
        <f t="shared" si="90"/>
        <v/>
      </c>
      <c r="V809"/>
    </row>
    <row r="810" spans="13:22" x14ac:dyDescent="0.3">
      <c r="M810" s="1" t="str">
        <f t="shared" si="84"/>
        <v/>
      </c>
      <c r="N810" s="1" t="str">
        <f t="shared" si="85"/>
        <v/>
      </c>
      <c r="O810" s="1" t="str">
        <f ca="1">IF(F810="","",IF(INT(F810)=INT(NOW()),IF(NETWORKDAYS.INTL(F810,F810,1,FERIADOS!$A$2:$A$50)=0,0,MAX(0,(MIN(NOW(),INT(NOW())+18/24)-MAX(F810,INT(F810)+8/24)))*24),MAX(0,(INT(F810)+18/24-MAX(F810,INT(F810)+8/24)))*24*NETWORKDAYS.INTL(F810,F810,1,FERIADOS!$A$2:$A$50)+MAX(0,NETWORKDAYS.INTL(F810+1,NOW()-1,1,FERIADOS!$A$2:$A$50))*10+MAX(0,(MIN(NOW(),INT(NOW())+18/24)-(INT(NOW())+8/24)))*24*NETWORKDAYS.INTL(NOW(),NOW(),1,FERIADOS!$A$2:$A$50)))</f>
        <v/>
      </c>
      <c r="P810" s="1" t="str">
        <f t="shared" si="86"/>
        <v/>
      </c>
      <c r="Q810" s="1" t="str">
        <f t="shared" si="87"/>
        <v/>
      </c>
      <c r="R810" s="1" t="str">
        <f t="shared" si="88"/>
        <v/>
      </c>
      <c r="S810" s="1" t="str">
        <f>IF($A810="","",COUNTIF($N$2:N810,$N810))</f>
        <v/>
      </c>
      <c r="T810" s="1" t="str">
        <f t="shared" si="89"/>
        <v/>
      </c>
      <c r="U810" s="1" t="str">
        <f t="shared" si="90"/>
        <v/>
      </c>
      <c r="V810"/>
    </row>
    <row r="811" spans="13:22" x14ac:dyDescent="0.3">
      <c r="M811" s="1" t="str">
        <f t="shared" si="84"/>
        <v/>
      </c>
      <c r="N811" s="1" t="str">
        <f t="shared" si="85"/>
        <v/>
      </c>
      <c r="O811" s="1" t="str">
        <f ca="1">IF(F811="","",IF(INT(F811)=INT(NOW()),IF(NETWORKDAYS.INTL(F811,F811,1,FERIADOS!$A$2:$A$50)=0,0,MAX(0,(MIN(NOW(),INT(NOW())+18/24)-MAX(F811,INT(F811)+8/24)))*24),MAX(0,(INT(F811)+18/24-MAX(F811,INT(F811)+8/24)))*24*NETWORKDAYS.INTL(F811,F811,1,FERIADOS!$A$2:$A$50)+MAX(0,NETWORKDAYS.INTL(F811+1,NOW()-1,1,FERIADOS!$A$2:$A$50))*10+MAX(0,(MIN(NOW(),INT(NOW())+18/24)-(INT(NOW())+8/24)))*24*NETWORKDAYS.INTL(NOW(),NOW(),1,FERIADOS!$A$2:$A$50)))</f>
        <v/>
      </c>
      <c r="P811" s="1" t="str">
        <f t="shared" si="86"/>
        <v/>
      </c>
      <c r="Q811" s="1" t="str">
        <f t="shared" si="87"/>
        <v/>
      </c>
      <c r="R811" s="1" t="str">
        <f t="shared" si="88"/>
        <v/>
      </c>
      <c r="S811" s="1" t="str">
        <f>IF($A811="","",COUNTIF($N$2:N811,$N811))</f>
        <v/>
      </c>
      <c r="T811" s="1" t="str">
        <f t="shared" si="89"/>
        <v/>
      </c>
      <c r="U811" s="1" t="str">
        <f t="shared" si="90"/>
        <v/>
      </c>
      <c r="V811"/>
    </row>
    <row r="812" spans="13:22" x14ac:dyDescent="0.3">
      <c r="M812" s="1" t="str">
        <f t="shared" si="84"/>
        <v/>
      </c>
      <c r="N812" s="1" t="str">
        <f t="shared" si="85"/>
        <v/>
      </c>
      <c r="O812" s="1" t="str">
        <f ca="1">IF(F812="","",IF(INT(F812)=INT(NOW()),IF(NETWORKDAYS.INTL(F812,F812,1,FERIADOS!$A$2:$A$50)=0,0,MAX(0,(MIN(NOW(),INT(NOW())+18/24)-MAX(F812,INT(F812)+8/24)))*24),MAX(0,(INT(F812)+18/24-MAX(F812,INT(F812)+8/24)))*24*NETWORKDAYS.INTL(F812,F812,1,FERIADOS!$A$2:$A$50)+MAX(0,NETWORKDAYS.INTL(F812+1,NOW()-1,1,FERIADOS!$A$2:$A$50))*10+MAX(0,(MIN(NOW(),INT(NOW())+18/24)-(INT(NOW())+8/24)))*24*NETWORKDAYS.INTL(NOW(),NOW(),1,FERIADOS!$A$2:$A$50)))</f>
        <v/>
      </c>
      <c r="P812" s="1" t="str">
        <f t="shared" si="86"/>
        <v/>
      </c>
      <c r="Q812" s="1" t="str">
        <f t="shared" si="87"/>
        <v/>
      </c>
      <c r="R812" s="1" t="str">
        <f t="shared" si="88"/>
        <v/>
      </c>
      <c r="S812" s="1" t="str">
        <f>IF($A812="","",COUNTIF($N$2:N812,$N812))</f>
        <v/>
      </c>
      <c r="T812" s="1" t="str">
        <f t="shared" si="89"/>
        <v/>
      </c>
      <c r="U812" s="1" t="str">
        <f t="shared" si="90"/>
        <v/>
      </c>
      <c r="V812"/>
    </row>
    <row r="813" spans="13:22" x14ac:dyDescent="0.3">
      <c r="M813" s="1" t="str">
        <f t="shared" si="84"/>
        <v/>
      </c>
      <c r="N813" s="1" t="str">
        <f t="shared" si="85"/>
        <v/>
      </c>
      <c r="O813" s="1" t="str">
        <f ca="1">IF(F813="","",IF(INT(F813)=INT(NOW()),IF(NETWORKDAYS.INTL(F813,F813,1,FERIADOS!$A$2:$A$50)=0,0,MAX(0,(MIN(NOW(),INT(NOW())+18/24)-MAX(F813,INT(F813)+8/24)))*24),MAX(0,(INT(F813)+18/24-MAX(F813,INT(F813)+8/24)))*24*NETWORKDAYS.INTL(F813,F813,1,FERIADOS!$A$2:$A$50)+MAX(0,NETWORKDAYS.INTL(F813+1,NOW()-1,1,FERIADOS!$A$2:$A$50))*10+MAX(0,(MIN(NOW(),INT(NOW())+18/24)-(INT(NOW())+8/24)))*24*NETWORKDAYS.INTL(NOW(),NOW(),1,FERIADOS!$A$2:$A$50)))</f>
        <v/>
      </c>
      <c r="P813" s="1" t="str">
        <f t="shared" si="86"/>
        <v/>
      </c>
      <c r="Q813" s="1" t="str">
        <f t="shared" si="87"/>
        <v/>
      </c>
      <c r="R813" s="1" t="str">
        <f t="shared" si="88"/>
        <v/>
      </c>
      <c r="S813" s="1" t="str">
        <f>IF($A813="","",COUNTIF($N$2:N813,$N813))</f>
        <v/>
      </c>
      <c r="T813" s="1" t="str">
        <f t="shared" si="89"/>
        <v/>
      </c>
      <c r="U813" s="1" t="str">
        <f t="shared" si="90"/>
        <v/>
      </c>
      <c r="V813"/>
    </row>
    <row r="814" spans="13:22" x14ac:dyDescent="0.3">
      <c r="M814" s="1" t="str">
        <f t="shared" si="84"/>
        <v/>
      </c>
      <c r="N814" s="1" t="str">
        <f t="shared" si="85"/>
        <v/>
      </c>
      <c r="O814" s="1" t="str">
        <f ca="1">IF(F814="","",IF(INT(F814)=INT(NOW()),IF(NETWORKDAYS.INTL(F814,F814,1,FERIADOS!$A$2:$A$50)=0,0,MAX(0,(MIN(NOW(),INT(NOW())+18/24)-MAX(F814,INT(F814)+8/24)))*24),MAX(0,(INT(F814)+18/24-MAX(F814,INT(F814)+8/24)))*24*NETWORKDAYS.INTL(F814,F814,1,FERIADOS!$A$2:$A$50)+MAX(0,NETWORKDAYS.INTL(F814+1,NOW()-1,1,FERIADOS!$A$2:$A$50))*10+MAX(0,(MIN(NOW(),INT(NOW())+18/24)-(INT(NOW())+8/24)))*24*NETWORKDAYS.INTL(NOW(),NOW(),1,FERIADOS!$A$2:$A$50)))</f>
        <v/>
      </c>
      <c r="P814" s="1" t="str">
        <f t="shared" si="86"/>
        <v/>
      </c>
      <c r="Q814" s="1" t="str">
        <f t="shared" si="87"/>
        <v/>
      </c>
      <c r="R814" s="1" t="str">
        <f t="shared" si="88"/>
        <v/>
      </c>
      <c r="S814" s="1" t="str">
        <f>IF($A814="","",COUNTIF($N$2:N814,$N814))</f>
        <v/>
      </c>
      <c r="T814" s="1" t="str">
        <f t="shared" si="89"/>
        <v/>
      </c>
      <c r="U814" s="1" t="str">
        <f t="shared" si="90"/>
        <v/>
      </c>
      <c r="V814"/>
    </row>
    <row r="815" spans="13:22" x14ac:dyDescent="0.3">
      <c r="M815" s="1" t="str">
        <f t="shared" si="84"/>
        <v/>
      </c>
      <c r="N815" s="1" t="str">
        <f t="shared" si="85"/>
        <v/>
      </c>
      <c r="O815" s="1" t="str">
        <f ca="1">IF(F815="","",IF(INT(F815)=INT(NOW()),IF(NETWORKDAYS.INTL(F815,F815,1,FERIADOS!$A$2:$A$50)=0,0,MAX(0,(MIN(NOW(),INT(NOW())+18/24)-MAX(F815,INT(F815)+8/24)))*24),MAX(0,(INT(F815)+18/24-MAX(F815,INT(F815)+8/24)))*24*NETWORKDAYS.INTL(F815,F815,1,FERIADOS!$A$2:$A$50)+MAX(0,NETWORKDAYS.INTL(F815+1,NOW()-1,1,FERIADOS!$A$2:$A$50))*10+MAX(0,(MIN(NOW(),INT(NOW())+18/24)-(INT(NOW())+8/24)))*24*NETWORKDAYS.INTL(NOW(),NOW(),1,FERIADOS!$A$2:$A$50)))</f>
        <v/>
      </c>
      <c r="P815" s="1" t="str">
        <f t="shared" si="86"/>
        <v/>
      </c>
      <c r="Q815" s="1" t="str">
        <f t="shared" si="87"/>
        <v/>
      </c>
      <c r="R815" s="1" t="str">
        <f t="shared" si="88"/>
        <v/>
      </c>
      <c r="S815" s="1" t="str">
        <f>IF($A815="","",COUNTIF($N$2:N815,$N815))</f>
        <v/>
      </c>
      <c r="T815" s="1" t="str">
        <f t="shared" si="89"/>
        <v/>
      </c>
      <c r="U815" s="1" t="str">
        <f t="shared" si="90"/>
        <v/>
      </c>
      <c r="V815"/>
    </row>
    <row r="816" spans="13:22" x14ac:dyDescent="0.3">
      <c r="M816" s="1" t="str">
        <f t="shared" si="84"/>
        <v/>
      </c>
      <c r="N816" s="1" t="str">
        <f t="shared" si="85"/>
        <v/>
      </c>
      <c r="O816" s="1" t="str">
        <f ca="1">IF(F816="","",IF(INT(F816)=INT(NOW()),IF(NETWORKDAYS.INTL(F816,F816,1,FERIADOS!$A$2:$A$50)=0,0,MAX(0,(MIN(NOW(),INT(NOW())+18/24)-MAX(F816,INT(F816)+8/24)))*24),MAX(0,(INT(F816)+18/24-MAX(F816,INT(F816)+8/24)))*24*NETWORKDAYS.INTL(F816,F816,1,FERIADOS!$A$2:$A$50)+MAX(0,NETWORKDAYS.INTL(F816+1,NOW()-1,1,FERIADOS!$A$2:$A$50))*10+MAX(0,(MIN(NOW(),INT(NOW())+18/24)-(INT(NOW())+8/24)))*24*NETWORKDAYS.INTL(NOW(),NOW(),1,FERIADOS!$A$2:$A$50)))</f>
        <v/>
      </c>
      <c r="P816" s="1" t="str">
        <f t="shared" si="86"/>
        <v/>
      </c>
      <c r="Q816" s="1" t="str">
        <f t="shared" si="87"/>
        <v/>
      </c>
      <c r="R816" s="1" t="str">
        <f t="shared" si="88"/>
        <v/>
      </c>
      <c r="S816" s="1" t="str">
        <f>IF($A816="","",COUNTIF($N$2:N816,$N816))</f>
        <v/>
      </c>
      <c r="T816" s="1" t="str">
        <f t="shared" si="89"/>
        <v/>
      </c>
      <c r="U816" s="1" t="str">
        <f t="shared" si="90"/>
        <v/>
      </c>
      <c r="V816"/>
    </row>
    <row r="817" spans="13:22" x14ac:dyDescent="0.3">
      <c r="M817" s="1" t="str">
        <f t="shared" si="84"/>
        <v/>
      </c>
      <c r="N817" s="1" t="str">
        <f t="shared" si="85"/>
        <v/>
      </c>
      <c r="O817" s="1" t="str">
        <f ca="1">IF(F817="","",IF(INT(F817)=INT(NOW()),IF(NETWORKDAYS.INTL(F817,F817,1,FERIADOS!$A$2:$A$50)=0,0,MAX(0,(MIN(NOW(),INT(NOW())+18/24)-MAX(F817,INT(F817)+8/24)))*24),MAX(0,(INT(F817)+18/24-MAX(F817,INT(F817)+8/24)))*24*NETWORKDAYS.INTL(F817,F817,1,FERIADOS!$A$2:$A$50)+MAX(0,NETWORKDAYS.INTL(F817+1,NOW()-1,1,FERIADOS!$A$2:$A$50))*10+MAX(0,(MIN(NOW(),INT(NOW())+18/24)-(INT(NOW())+8/24)))*24*NETWORKDAYS.INTL(NOW(),NOW(),1,FERIADOS!$A$2:$A$50)))</f>
        <v/>
      </c>
      <c r="P817" s="1" t="str">
        <f t="shared" si="86"/>
        <v/>
      </c>
      <c r="Q817" s="1" t="str">
        <f t="shared" si="87"/>
        <v/>
      </c>
      <c r="R817" s="1" t="str">
        <f t="shared" si="88"/>
        <v/>
      </c>
      <c r="S817" s="1" t="str">
        <f>IF($A817="","",COUNTIF($N$2:N817,$N817))</f>
        <v/>
      </c>
      <c r="T817" s="1" t="str">
        <f t="shared" si="89"/>
        <v/>
      </c>
      <c r="U817" s="1" t="str">
        <f t="shared" si="90"/>
        <v/>
      </c>
      <c r="V817"/>
    </row>
    <row r="818" spans="13:22" x14ac:dyDescent="0.3">
      <c r="M818" s="1" t="str">
        <f t="shared" si="84"/>
        <v/>
      </c>
      <c r="N818" s="1" t="str">
        <f t="shared" si="85"/>
        <v/>
      </c>
      <c r="O818" s="1" t="str">
        <f ca="1">IF(F818="","",IF(INT(F818)=INT(NOW()),IF(NETWORKDAYS.INTL(F818,F818,1,FERIADOS!$A$2:$A$50)=0,0,MAX(0,(MIN(NOW(),INT(NOW())+18/24)-MAX(F818,INT(F818)+8/24)))*24),MAX(0,(INT(F818)+18/24-MAX(F818,INT(F818)+8/24)))*24*NETWORKDAYS.INTL(F818,F818,1,FERIADOS!$A$2:$A$50)+MAX(0,NETWORKDAYS.INTL(F818+1,NOW()-1,1,FERIADOS!$A$2:$A$50))*10+MAX(0,(MIN(NOW(),INT(NOW())+18/24)-(INT(NOW())+8/24)))*24*NETWORKDAYS.INTL(NOW(),NOW(),1,FERIADOS!$A$2:$A$50)))</f>
        <v/>
      </c>
      <c r="P818" s="1" t="str">
        <f t="shared" si="86"/>
        <v/>
      </c>
      <c r="Q818" s="1" t="str">
        <f t="shared" si="87"/>
        <v/>
      </c>
      <c r="R818" s="1" t="str">
        <f t="shared" si="88"/>
        <v/>
      </c>
      <c r="S818" s="1" t="str">
        <f>IF($A818="","",COUNTIF($N$2:N818,$N818))</f>
        <v/>
      </c>
      <c r="T818" s="1" t="str">
        <f t="shared" si="89"/>
        <v/>
      </c>
      <c r="U818" s="1" t="str">
        <f t="shared" si="90"/>
        <v/>
      </c>
      <c r="V818"/>
    </row>
    <row r="819" spans="13:22" x14ac:dyDescent="0.3">
      <c r="M819" s="1" t="str">
        <f t="shared" si="84"/>
        <v/>
      </c>
      <c r="N819" s="1" t="str">
        <f t="shared" si="85"/>
        <v/>
      </c>
      <c r="O819" s="1" t="str">
        <f ca="1">IF(F819="","",IF(INT(F819)=INT(NOW()),IF(NETWORKDAYS.INTL(F819,F819,1,FERIADOS!$A$2:$A$50)=0,0,MAX(0,(MIN(NOW(),INT(NOW())+18/24)-MAX(F819,INT(F819)+8/24)))*24),MAX(0,(INT(F819)+18/24-MAX(F819,INT(F819)+8/24)))*24*NETWORKDAYS.INTL(F819,F819,1,FERIADOS!$A$2:$A$50)+MAX(0,NETWORKDAYS.INTL(F819+1,NOW()-1,1,FERIADOS!$A$2:$A$50))*10+MAX(0,(MIN(NOW(),INT(NOW())+18/24)-(INT(NOW())+8/24)))*24*NETWORKDAYS.INTL(NOW(),NOW(),1,FERIADOS!$A$2:$A$50)))</f>
        <v/>
      </c>
      <c r="P819" s="1" t="str">
        <f t="shared" si="86"/>
        <v/>
      </c>
      <c r="Q819" s="1" t="str">
        <f t="shared" si="87"/>
        <v/>
      </c>
      <c r="R819" s="1" t="str">
        <f t="shared" si="88"/>
        <v/>
      </c>
      <c r="S819" s="1" t="str">
        <f>IF($A819="","",COUNTIF($N$2:N819,$N819))</f>
        <v/>
      </c>
      <c r="T819" s="1" t="str">
        <f t="shared" si="89"/>
        <v/>
      </c>
      <c r="U819" s="1" t="str">
        <f t="shared" si="90"/>
        <v/>
      </c>
      <c r="V819"/>
    </row>
    <row r="820" spans="13:22" x14ac:dyDescent="0.3">
      <c r="M820" s="1" t="str">
        <f t="shared" si="84"/>
        <v/>
      </c>
      <c r="N820" s="1" t="str">
        <f t="shared" si="85"/>
        <v/>
      </c>
      <c r="O820" s="1" t="str">
        <f ca="1">IF(F820="","",IF(INT(F820)=INT(NOW()),IF(NETWORKDAYS.INTL(F820,F820,1,FERIADOS!$A$2:$A$50)=0,0,MAX(0,(MIN(NOW(),INT(NOW())+18/24)-MAX(F820,INT(F820)+8/24)))*24),MAX(0,(INT(F820)+18/24-MAX(F820,INT(F820)+8/24)))*24*NETWORKDAYS.INTL(F820,F820,1,FERIADOS!$A$2:$A$50)+MAX(0,NETWORKDAYS.INTL(F820+1,NOW()-1,1,FERIADOS!$A$2:$A$50))*10+MAX(0,(MIN(NOW(),INT(NOW())+18/24)-(INT(NOW())+8/24)))*24*NETWORKDAYS.INTL(NOW(),NOW(),1,FERIADOS!$A$2:$A$50)))</f>
        <v/>
      </c>
      <c r="P820" s="1" t="str">
        <f t="shared" si="86"/>
        <v/>
      </c>
      <c r="Q820" s="1" t="str">
        <f t="shared" si="87"/>
        <v/>
      </c>
      <c r="R820" s="1" t="str">
        <f t="shared" si="88"/>
        <v/>
      </c>
      <c r="S820" s="1" t="str">
        <f>IF($A820="","",COUNTIF($N$2:N820,$N820))</f>
        <v/>
      </c>
      <c r="T820" s="1" t="str">
        <f t="shared" si="89"/>
        <v/>
      </c>
      <c r="U820" s="1" t="str">
        <f t="shared" si="90"/>
        <v/>
      </c>
      <c r="V820"/>
    </row>
    <row r="821" spans="13:22" x14ac:dyDescent="0.3">
      <c r="M821" s="1" t="str">
        <f t="shared" si="84"/>
        <v/>
      </c>
      <c r="N821" s="1" t="str">
        <f t="shared" si="85"/>
        <v/>
      </c>
      <c r="O821" s="1" t="str">
        <f ca="1">IF(F821="","",IF(INT(F821)=INT(NOW()),IF(NETWORKDAYS.INTL(F821,F821,1,FERIADOS!$A$2:$A$50)=0,0,MAX(0,(MIN(NOW(),INT(NOW())+18/24)-MAX(F821,INT(F821)+8/24)))*24),MAX(0,(INT(F821)+18/24-MAX(F821,INT(F821)+8/24)))*24*NETWORKDAYS.INTL(F821,F821,1,FERIADOS!$A$2:$A$50)+MAX(0,NETWORKDAYS.INTL(F821+1,NOW()-1,1,FERIADOS!$A$2:$A$50))*10+MAX(0,(MIN(NOW(),INT(NOW())+18/24)-(INT(NOW())+8/24)))*24*NETWORKDAYS.INTL(NOW(),NOW(),1,FERIADOS!$A$2:$A$50)))</f>
        <v/>
      </c>
      <c r="P821" s="1" t="str">
        <f t="shared" si="86"/>
        <v/>
      </c>
      <c r="Q821" s="1" t="str">
        <f t="shared" si="87"/>
        <v/>
      </c>
      <c r="R821" s="1" t="str">
        <f t="shared" si="88"/>
        <v/>
      </c>
      <c r="S821" s="1" t="str">
        <f>IF($A821="","",COUNTIF($N$2:N821,$N821))</f>
        <v/>
      </c>
      <c r="T821" s="1" t="str">
        <f t="shared" si="89"/>
        <v/>
      </c>
      <c r="U821" s="1" t="str">
        <f t="shared" si="90"/>
        <v/>
      </c>
      <c r="V821"/>
    </row>
    <row r="822" spans="13:22" x14ac:dyDescent="0.3">
      <c r="M822" s="1" t="str">
        <f t="shared" si="84"/>
        <v/>
      </c>
      <c r="N822" s="1" t="str">
        <f t="shared" si="85"/>
        <v/>
      </c>
      <c r="O822" s="1" t="str">
        <f ca="1">IF(F822="","",IF(INT(F822)=INT(NOW()),IF(NETWORKDAYS.INTL(F822,F822,1,FERIADOS!$A$2:$A$50)=0,0,MAX(0,(MIN(NOW(),INT(NOW())+18/24)-MAX(F822,INT(F822)+8/24)))*24),MAX(0,(INT(F822)+18/24-MAX(F822,INT(F822)+8/24)))*24*NETWORKDAYS.INTL(F822,F822,1,FERIADOS!$A$2:$A$50)+MAX(0,NETWORKDAYS.INTL(F822+1,NOW()-1,1,FERIADOS!$A$2:$A$50))*10+MAX(0,(MIN(NOW(),INT(NOW())+18/24)-(INT(NOW())+8/24)))*24*NETWORKDAYS.INTL(NOW(),NOW(),1,FERIADOS!$A$2:$A$50)))</f>
        <v/>
      </c>
      <c r="P822" s="1" t="str">
        <f t="shared" si="86"/>
        <v/>
      </c>
      <c r="Q822" s="1" t="str">
        <f t="shared" si="87"/>
        <v/>
      </c>
      <c r="R822" s="1" t="str">
        <f t="shared" si="88"/>
        <v/>
      </c>
      <c r="S822" s="1" t="str">
        <f>IF($A822="","",COUNTIF($N$2:N822,$N822))</f>
        <v/>
      </c>
      <c r="T822" s="1" t="str">
        <f t="shared" si="89"/>
        <v/>
      </c>
      <c r="U822" s="1" t="str">
        <f t="shared" si="90"/>
        <v/>
      </c>
      <c r="V822"/>
    </row>
    <row r="823" spans="13:22" x14ac:dyDescent="0.3">
      <c r="M823" s="1" t="str">
        <f t="shared" si="84"/>
        <v/>
      </c>
      <c r="N823" s="1" t="str">
        <f t="shared" si="85"/>
        <v/>
      </c>
      <c r="O823" s="1" t="str">
        <f ca="1">IF(F823="","",IF(INT(F823)=INT(NOW()),IF(NETWORKDAYS.INTL(F823,F823,1,FERIADOS!$A$2:$A$50)=0,0,MAX(0,(MIN(NOW(),INT(NOW())+18/24)-MAX(F823,INT(F823)+8/24)))*24),MAX(0,(INT(F823)+18/24-MAX(F823,INT(F823)+8/24)))*24*NETWORKDAYS.INTL(F823,F823,1,FERIADOS!$A$2:$A$50)+MAX(0,NETWORKDAYS.INTL(F823+1,NOW()-1,1,FERIADOS!$A$2:$A$50))*10+MAX(0,(MIN(NOW(),INT(NOW())+18/24)-(INT(NOW())+8/24)))*24*NETWORKDAYS.INTL(NOW(),NOW(),1,FERIADOS!$A$2:$A$50)))</f>
        <v/>
      </c>
      <c r="P823" s="1" t="str">
        <f t="shared" si="86"/>
        <v/>
      </c>
      <c r="Q823" s="1" t="str">
        <f t="shared" si="87"/>
        <v/>
      </c>
      <c r="R823" s="1" t="str">
        <f t="shared" si="88"/>
        <v/>
      </c>
      <c r="S823" s="1" t="str">
        <f>IF($A823="","",COUNTIF($N$2:N823,$N823))</f>
        <v/>
      </c>
      <c r="T823" s="1" t="str">
        <f t="shared" si="89"/>
        <v/>
      </c>
      <c r="U823" s="1" t="str">
        <f t="shared" si="90"/>
        <v/>
      </c>
      <c r="V823"/>
    </row>
    <row r="824" spans="13:22" x14ac:dyDescent="0.3">
      <c r="M824" s="1" t="str">
        <f t="shared" si="84"/>
        <v/>
      </c>
      <c r="N824" s="1" t="str">
        <f t="shared" si="85"/>
        <v/>
      </c>
      <c r="O824" s="1" t="str">
        <f ca="1">IF(F824="","",IF(INT(F824)=INT(NOW()),IF(NETWORKDAYS.INTL(F824,F824,1,FERIADOS!$A$2:$A$50)=0,0,MAX(0,(MIN(NOW(),INT(NOW())+18/24)-MAX(F824,INT(F824)+8/24)))*24),MAX(0,(INT(F824)+18/24-MAX(F824,INT(F824)+8/24)))*24*NETWORKDAYS.INTL(F824,F824,1,FERIADOS!$A$2:$A$50)+MAX(0,NETWORKDAYS.INTL(F824+1,NOW()-1,1,FERIADOS!$A$2:$A$50))*10+MAX(0,(MIN(NOW(),INT(NOW())+18/24)-(INT(NOW())+8/24)))*24*NETWORKDAYS.INTL(NOW(),NOW(),1,FERIADOS!$A$2:$A$50)))</f>
        <v/>
      </c>
      <c r="P824" s="1" t="str">
        <f t="shared" si="86"/>
        <v/>
      </c>
      <c r="Q824" s="1" t="str">
        <f t="shared" si="87"/>
        <v/>
      </c>
      <c r="R824" s="1" t="str">
        <f t="shared" si="88"/>
        <v/>
      </c>
      <c r="S824" s="1" t="str">
        <f>IF($A824="","",COUNTIF($N$2:N824,$N824))</f>
        <v/>
      </c>
      <c r="T824" s="1" t="str">
        <f t="shared" si="89"/>
        <v/>
      </c>
      <c r="U824" s="1" t="str">
        <f t="shared" si="90"/>
        <v/>
      </c>
      <c r="V824"/>
    </row>
    <row r="825" spans="13:22" x14ac:dyDescent="0.3">
      <c r="M825" s="1" t="str">
        <f t="shared" si="84"/>
        <v/>
      </c>
      <c r="N825" s="1" t="str">
        <f t="shared" si="85"/>
        <v/>
      </c>
      <c r="O825" s="1" t="str">
        <f ca="1">IF(F825="","",IF(INT(F825)=INT(NOW()),IF(NETWORKDAYS.INTL(F825,F825,1,FERIADOS!$A$2:$A$50)=0,0,MAX(0,(MIN(NOW(),INT(NOW())+18/24)-MAX(F825,INT(F825)+8/24)))*24),MAX(0,(INT(F825)+18/24-MAX(F825,INT(F825)+8/24)))*24*NETWORKDAYS.INTL(F825,F825,1,FERIADOS!$A$2:$A$50)+MAX(0,NETWORKDAYS.INTL(F825+1,NOW()-1,1,FERIADOS!$A$2:$A$50))*10+MAX(0,(MIN(NOW(),INT(NOW())+18/24)-(INT(NOW())+8/24)))*24*NETWORKDAYS.INTL(NOW(),NOW(),1,FERIADOS!$A$2:$A$50)))</f>
        <v/>
      </c>
      <c r="P825" s="1" t="str">
        <f t="shared" si="86"/>
        <v/>
      </c>
      <c r="Q825" s="1" t="str">
        <f t="shared" si="87"/>
        <v/>
      </c>
      <c r="R825" s="1" t="str">
        <f t="shared" si="88"/>
        <v/>
      </c>
      <c r="S825" s="1" t="str">
        <f>IF($A825="","",COUNTIF($N$2:N825,$N825))</f>
        <v/>
      </c>
      <c r="T825" s="1" t="str">
        <f t="shared" si="89"/>
        <v/>
      </c>
      <c r="U825" s="1" t="str">
        <f t="shared" si="90"/>
        <v/>
      </c>
      <c r="V825"/>
    </row>
    <row r="826" spans="13:22" x14ac:dyDescent="0.3">
      <c r="M826" s="1" t="str">
        <f t="shared" si="84"/>
        <v/>
      </c>
      <c r="N826" s="1" t="str">
        <f t="shared" si="85"/>
        <v/>
      </c>
      <c r="O826" s="1" t="str">
        <f ca="1">IF(F826="","",IF(INT(F826)=INT(NOW()),IF(NETWORKDAYS.INTL(F826,F826,1,FERIADOS!$A$2:$A$50)=0,0,MAX(0,(MIN(NOW(),INT(NOW())+18/24)-MAX(F826,INT(F826)+8/24)))*24),MAX(0,(INT(F826)+18/24-MAX(F826,INT(F826)+8/24)))*24*NETWORKDAYS.INTL(F826,F826,1,FERIADOS!$A$2:$A$50)+MAX(0,NETWORKDAYS.INTL(F826+1,NOW()-1,1,FERIADOS!$A$2:$A$50))*10+MAX(0,(MIN(NOW(),INT(NOW())+18/24)-(INT(NOW())+8/24)))*24*NETWORKDAYS.INTL(NOW(),NOW(),1,FERIADOS!$A$2:$A$50)))</f>
        <v/>
      </c>
      <c r="P826" s="1" t="str">
        <f t="shared" si="86"/>
        <v/>
      </c>
      <c r="Q826" s="1" t="str">
        <f t="shared" si="87"/>
        <v/>
      </c>
      <c r="R826" s="1" t="str">
        <f t="shared" si="88"/>
        <v/>
      </c>
      <c r="S826" s="1" t="str">
        <f>IF($A826="","",COUNTIF($N$2:N826,$N826))</f>
        <v/>
      </c>
      <c r="T826" s="1" t="str">
        <f t="shared" si="89"/>
        <v/>
      </c>
      <c r="U826" s="1" t="str">
        <f t="shared" si="90"/>
        <v/>
      </c>
      <c r="V826"/>
    </row>
    <row r="827" spans="13:22" x14ac:dyDescent="0.3">
      <c r="M827" s="1" t="str">
        <f t="shared" si="84"/>
        <v/>
      </c>
      <c r="N827" s="1" t="str">
        <f t="shared" si="85"/>
        <v/>
      </c>
      <c r="O827" s="1" t="str">
        <f ca="1">IF(F827="","",IF(INT(F827)=INT(NOW()),IF(NETWORKDAYS.INTL(F827,F827,1,FERIADOS!$A$2:$A$50)=0,0,MAX(0,(MIN(NOW(),INT(NOW())+18/24)-MAX(F827,INT(F827)+8/24)))*24),MAX(0,(INT(F827)+18/24-MAX(F827,INT(F827)+8/24)))*24*NETWORKDAYS.INTL(F827,F827,1,FERIADOS!$A$2:$A$50)+MAX(0,NETWORKDAYS.INTL(F827+1,NOW()-1,1,FERIADOS!$A$2:$A$50))*10+MAX(0,(MIN(NOW(),INT(NOW())+18/24)-(INT(NOW())+8/24)))*24*NETWORKDAYS.INTL(NOW(),NOW(),1,FERIADOS!$A$2:$A$50)))</f>
        <v/>
      </c>
      <c r="P827" s="1" t="str">
        <f t="shared" si="86"/>
        <v/>
      </c>
      <c r="Q827" s="1" t="str">
        <f t="shared" si="87"/>
        <v/>
      </c>
      <c r="R827" s="1" t="str">
        <f t="shared" si="88"/>
        <v/>
      </c>
      <c r="S827" s="1" t="str">
        <f>IF($A827="","",COUNTIF($N$2:N827,$N827))</f>
        <v/>
      </c>
      <c r="T827" s="1" t="str">
        <f t="shared" si="89"/>
        <v/>
      </c>
      <c r="U827" s="1" t="str">
        <f t="shared" si="90"/>
        <v/>
      </c>
      <c r="V827"/>
    </row>
    <row r="828" spans="13:22" x14ac:dyDescent="0.3">
      <c r="M828" s="1" t="str">
        <f t="shared" si="84"/>
        <v/>
      </c>
      <c r="N828" s="1" t="str">
        <f t="shared" si="85"/>
        <v/>
      </c>
      <c r="O828" s="1" t="str">
        <f ca="1">IF(F828="","",IF(INT(F828)=INT(NOW()),IF(NETWORKDAYS.INTL(F828,F828,1,FERIADOS!$A$2:$A$50)=0,0,MAX(0,(MIN(NOW(),INT(NOW())+18/24)-MAX(F828,INT(F828)+8/24)))*24),MAX(0,(INT(F828)+18/24-MAX(F828,INT(F828)+8/24)))*24*NETWORKDAYS.INTL(F828,F828,1,FERIADOS!$A$2:$A$50)+MAX(0,NETWORKDAYS.INTL(F828+1,NOW()-1,1,FERIADOS!$A$2:$A$50))*10+MAX(0,(MIN(NOW(),INT(NOW())+18/24)-(INT(NOW())+8/24)))*24*NETWORKDAYS.INTL(NOW(),NOW(),1,FERIADOS!$A$2:$A$50)))</f>
        <v/>
      </c>
      <c r="P828" s="1" t="str">
        <f t="shared" si="86"/>
        <v/>
      </c>
      <c r="Q828" s="1" t="str">
        <f t="shared" si="87"/>
        <v/>
      </c>
      <c r="R828" s="1" t="str">
        <f t="shared" si="88"/>
        <v/>
      </c>
      <c r="S828" s="1" t="str">
        <f>IF($A828="","",COUNTIF($N$2:N828,$N828))</f>
        <v/>
      </c>
      <c r="T828" s="1" t="str">
        <f t="shared" si="89"/>
        <v/>
      </c>
      <c r="U828" s="1" t="str">
        <f t="shared" si="90"/>
        <v/>
      </c>
      <c r="V828"/>
    </row>
    <row r="829" spans="13:22" x14ac:dyDescent="0.3">
      <c r="M829" s="1" t="str">
        <f t="shared" si="84"/>
        <v/>
      </c>
      <c r="N829" s="1" t="str">
        <f t="shared" si="85"/>
        <v/>
      </c>
      <c r="O829" s="1" t="str">
        <f ca="1">IF(F829="","",IF(INT(F829)=INT(NOW()),IF(NETWORKDAYS.INTL(F829,F829,1,FERIADOS!$A$2:$A$50)=0,0,MAX(0,(MIN(NOW(),INT(NOW())+18/24)-MAX(F829,INT(F829)+8/24)))*24),MAX(0,(INT(F829)+18/24-MAX(F829,INT(F829)+8/24)))*24*NETWORKDAYS.INTL(F829,F829,1,FERIADOS!$A$2:$A$50)+MAX(0,NETWORKDAYS.INTL(F829+1,NOW()-1,1,FERIADOS!$A$2:$A$50))*10+MAX(0,(MIN(NOW(),INT(NOW())+18/24)-(INT(NOW())+8/24)))*24*NETWORKDAYS.INTL(NOW(),NOW(),1,FERIADOS!$A$2:$A$50)))</f>
        <v/>
      </c>
      <c r="P829" s="1" t="str">
        <f t="shared" si="86"/>
        <v/>
      </c>
      <c r="Q829" s="1" t="str">
        <f t="shared" si="87"/>
        <v/>
      </c>
      <c r="R829" s="1" t="str">
        <f t="shared" si="88"/>
        <v/>
      </c>
      <c r="S829" s="1" t="str">
        <f>IF($A829="","",COUNTIF($N$2:N829,$N829))</f>
        <v/>
      </c>
      <c r="T829" s="1" t="str">
        <f t="shared" si="89"/>
        <v/>
      </c>
      <c r="U829" s="1" t="str">
        <f t="shared" si="90"/>
        <v/>
      </c>
      <c r="V829"/>
    </row>
    <row r="830" spans="13:22" x14ac:dyDescent="0.3">
      <c r="M830" s="1" t="str">
        <f t="shared" si="84"/>
        <v/>
      </c>
      <c r="N830" s="1" t="str">
        <f t="shared" si="85"/>
        <v/>
      </c>
      <c r="O830" s="1" t="str">
        <f ca="1">IF(F830="","",IF(INT(F830)=INT(NOW()),IF(NETWORKDAYS.INTL(F830,F830,1,FERIADOS!$A$2:$A$50)=0,0,MAX(0,(MIN(NOW(),INT(NOW())+18/24)-MAX(F830,INT(F830)+8/24)))*24),MAX(0,(INT(F830)+18/24-MAX(F830,INT(F830)+8/24)))*24*NETWORKDAYS.INTL(F830,F830,1,FERIADOS!$A$2:$A$50)+MAX(0,NETWORKDAYS.INTL(F830+1,NOW()-1,1,FERIADOS!$A$2:$A$50))*10+MAX(0,(MIN(NOW(),INT(NOW())+18/24)-(INT(NOW())+8/24)))*24*NETWORKDAYS.INTL(NOW(),NOW(),1,FERIADOS!$A$2:$A$50)))</f>
        <v/>
      </c>
      <c r="P830" s="1" t="str">
        <f t="shared" si="86"/>
        <v/>
      </c>
      <c r="Q830" s="1" t="str">
        <f t="shared" si="87"/>
        <v/>
      </c>
      <c r="R830" s="1" t="str">
        <f t="shared" si="88"/>
        <v/>
      </c>
      <c r="S830" s="1" t="str">
        <f>IF($A830="","",COUNTIF($N$2:N830,$N830))</f>
        <v/>
      </c>
      <c r="T830" s="1" t="str">
        <f t="shared" si="89"/>
        <v/>
      </c>
      <c r="U830" s="1" t="str">
        <f t="shared" si="90"/>
        <v/>
      </c>
      <c r="V830"/>
    </row>
    <row r="831" spans="13:22" x14ac:dyDescent="0.3">
      <c r="M831" s="1" t="str">
        <f t="shared" si="84"/>
        <v/>
      </c>
      <c r="N831" s="1" t="str">
        <f t="shared" si="85"/>
        <v/>
      </c>
      <c r="O831" s="1" t="str">
        <f ca="1">IF(F831="","",IF(INT(F831)=INT(NOW()),IF(NETWORKDAYS.INTL(F831,F831,1,FERIADOS!$A$2:$A$50)=0,0,MAX(0,(MIN(NOW(),INT(NOW())+18/24)-MAX(F831,INT(F831)+8/24)))*24),MAX(0,(INT(F831)+18/24-MAX(F831,INT(F831)+8/24)))*24*NETWORKDAYS.INTL(F831,F831,1,FERIADOS!$A$2:$A$50)+MAX(0,NETWORKDAYS.INTL(F831+1,NOW()-1,1,FERIADOS!$A$2:$A$50))*10+MAX(0,(MIN(NOW(),INT(NOW())+18/24)-(INT(NOW())+8/24)))*24*NETWORKDAYS.INTL(NOW(),NOW(),1,FERIADOS!$A$2:$A$50)))</f>
        <v/>
      </c>
      <c r="P831" s="1" t="str">
        <f t="shared" si="86"/>
        <v/>
      </c>
      <c r="Q831" s="1" t="str">
        <f t="shared" si="87"/>
        <v/>
      </c>
      <c r="R831" s="1" t="str">
        <f t="shared" si="88"/>
        <v/>
      </c>
      <c r="S831" s="1" t="str">
        <f>IF($A831="","",COUNTIF($N$2:N831,$N831))</f>
        <v/>
      </c>
      <c r="T831" s="1" t="str">
        <f t="shared" si="89"/>
        <v/>
      </c>
      <c r="U831" s="1" t="str">
        <f t="shared" si="90"/>
        <v/>
      </c>
      <c r="V831"/>
    </row>
    <row r="832" spans="13:22" x14ac:dyDescent="0.3">
      <c r="M832" s="1" t="str">
        <f t="shared" si="84"/>
        <v/>
      </c>
      <c r="N832" s="1" t="str">
        <f t="shared" si="85"/>
        <v/>
      </c>
      <c r="O832" s="1" t="str">
        <f ca="1">IF(F832="","",IF(INT(F832)=INT(NOW()),IF(NETWORKDAYS.INTL(F832,F832,1,FERIADOS!$A$2:$A$50)=0,0,MAX(0,(MIN(NOW(),INT(NOW())+18/24)-MAX(F832,INT(F832)+8/24)))*24),MAX(0,(INT(F832)+18/24-MAX(F832,INT(F832)+8/24)))*24*NETWORKDAYS.INTL(F832,F832,1,FERIADOS!$A$2:$A$50)+MAX(0,NETWORKDAYS.INTL(F832+1,NOW()-1,1,FERIADOS!$A$2:$A$50))*10+MAX(0,(MIN(NOW(),INT(NOW())+18/24)-(INT(NOW())+8/24)))*24*NETWORKDAYS.INTL(NOW(),NOW(),1,FERIADOS!$A$2:$A$50)))</f>
        <v/>
      </c>
      <c r="P832" s="1" t="str">
        <f t="shared" si="86"/>
        <v/>
      </c>
      <c r="Q832" s="1" t="str">
        <f t="shared" si="87"/>
        <v/>
      </c>
      <c r="R832" s="1" t="str">
        <f t="shared" si="88"/>
        <v/>
      </c>
      <c r="S832" s="1" t="str">
        <f>IF($A832="","",COUNTIF($N$2:N832,$N832))</f>
        <v/>
      </c>
      <c r="T832" s="1" t="str">
        <f t="shared" si="89"/>
        <v/>
      </c>
      <c r="U832" s="1" t="str">
        <f t="shared" si="90"/>
        <v/>
      </c>
      <c r="V832"/>
    </row>
    <row r="833" spans="13:22" x14ac:dyDescent="0.3">
      <c r="M833" s="1" t="str">
        <f t="shared" si="84"/>
        <v/>
      </c>
      <c r="N833" s="1" t="str">
        <f t="shared" si="85"/>
        <v/>
      </c>
      <c r="O833" s="1" t="str">
        <f ca="1">IF(F833="","",IF(INT(F833)=INT(NOW()),IF(NETWORKDAYS.INTL(F833,F833,1,FERIADOS!$A$2:$A$50)=0,0,MAX(0,(MIN(NOW(),INT(NOW())+18/24)-MAX(F833,INT(F833)+8/24)))*24),MAX(0,(INT(F833)+18/24-MAX(F833,INT(F833)+8/24)))*24*NETWORKDAYS.INTL(F833,F833,1,FERIADOS!$A$2:$A$50)+MAX(0,NETWORKDAYS.INTL(F833+1,NOW()-1,1,FERIADOS!$A$2:$A$50))*10+MAX(0,(MIN(NOW(),INT(NOW())+18/24)-(INT(NOW())+8/24)))*24*NETWORKDAYS.INTL(NOW(),NOW(),1,FERIADOS!$A$2:$A$50)))</f>
        <v/>
      </c>
      <c r="P833" s="1" t="str">
        <f t="shared" si="86"/>
        <v/>
      </c>
      <c r="Q833" s="1" t="str">
        <f t="shared" si="87"/>
        <v/>
      </c>
      <c r="R833" s="1" t="str">
        <f t="shared" si="88"/>
        <v/>
      </c>
      <c r="S833" s="1" t="str">
        <f>IF($A833="","",COUNTIF($N$2:N833,$N833))</f>
        <v/>
      </c>
      <c r="T833" s="1" t="str">
        <f t="shared" si="89"/>
        <v/>
      </c>
      <c r="U833" s="1" t="str">
        <f t="shared" si="90"/>
        <v/>
      </c>
      <c r="V833"/>
    </row>
    <row r="834" spans="13:22" x14ac:dyDescent="0.3">
      <c r="M834" s="1" t="str">
        <f t="shared" ref="M834:M897" si="91">IF($A834="","",IF($L834="MA",IF(OR(UPPER($K834)="SAO LUIS",UPPER($K834)="SÃO LUIS",UPPER($K834)="PACO DO LUMIAR",UPPER($K834)="PAÇO DO LUMIAR",UPPER($K834)="SAO JOSE DE RIBAMAR",UPPER($K834)="SÃO JOSÉ DE RIBAMAR"),"MA CAP","MA INT"),IF($L834="PA",IF(OR(UPPER($K834)="BELEM",UPPER($K834)="BELÉM",UPPER($K834)="ANANINDEUA"),"PA CAP","PA INT"),IF($L834="PI",IF(UPPER($K834)="TERESINA","PI CAP","PI INT"),IF($L834="AM","AM INT",IF($L834="AP","AP","OUTROS"))))))</f>
        <v/>
      </c>
      <c r="N834" s="1" t="str">
        <f t="shared" ref="N834:N897" si="92">IF($A834="","",IF($M834="PI CAP","GIGA+ PI",IF($M834="PI INT","GIGA+ PI",IF($M834="MA CAP","SLN MA",IF($M834="MA INT","GIGA+ MA",IF($M834="PA CAP","SLN PA",IF($M834="PA INT","SLN PA",IF($M834="AM INT","ADX",IF($M834="AP","ADX","OUTROS")))))))))</f>
        <v/>
      </c>
      <c r="O834" s="1" t="str">
        <f ca="1">IF(F834="","",IF(INT(F834)=INT(NOW()),IF(NETWORKDAYS.INTL(F834,F834,1,FERIADOS!$A$2:$A$50)=0,0,MAX(0,(MIN(NOW(),INT(NOW())+18/24)-MAX(F834,INT(F834)+8/24)))*24),MAX(0,(INT(F834)+18/24-MAX(F834,INT(F834)+8/24)))*24*NETWORKDAYS.INTL(F834,F834,1,FERIADOS!$A$2:$A$50)+MAX(0,NETWORKDAYS.INTL(F834+1,NOW()-1,1,FERIADOS!$A$2:$A$50))*10+MAX(0,(MIN(NOW(),INT(NOW())+18/24)-(INT(NOW())+8/24)))*24*NETWORKDAYS.INTL(NOW(),NOW(),1,FERIADOS!$A$2:$A$50)))</f>
        <v/>
      </c>
      <c r="P834" s="1" t="str">
        <f t="shared" ref="P834:P897" si="93">IF($A834="","",IF(OR(O834="",O834=0),"00h 00m",TEXT(INT(O834),"00") &amp; "h " &amp; TEXT(INT((O834-INT(O834))*60),"00") &amp; "m"))</f>
        <v/>
      </c>
      <c r="Q834" s="1" t="str">
        <f t="shared" ref="Q834:Q897" si="94">IF($A834="","",IF(OR(O834="",O834&lt;=4),"🔵 Até 4h",IF(O834&lt;=8,"🟢 Entre 4h e 8h",IF(O834&lt;=12,"🟡 Entre 8h e 12h",IF(O834&lt;=24,"🟠 Entre 12h e 24h","🔴 Maior que 24h")))))</f>
        <v/>
      </c>
      <c r="R834" s="1" t="str">
        <f t="shared" ref="R834:R897" si="95">IF($A834="","",IF(OR(O834="",O834&lt;=8),"NO PRAZO","FORA DO PRAZO"))</f>
        <v/>
      </c>
      <c r="S834" s="1" t="str">
        <f>IF($A834="","",COUNTIF($N$2:N834,$N834))</f>
        <v/>
      </c>
      <c r="T834" s="1" t="str">
        <f t="shared" ref="T834:T897" si="96">IF($A834="","",IF($N834="SLN MA",1,IF($N834="GIGA+ MA",2,IF($N834="GIGA+ PI",3,IF($N834="SLN PA",4,IF($N834="ADX",5,6))))))</f>
        <v/>
      </c>
      <c r="U834" s="1" t="str">
        <f t="shared" ref="U834:U897" si="97">IF($A834="","",$T834*10000+$S834)</f>
        <v/>
      </c>
      <c r="V834"/>
    </row>
    <row r="835" spans="13:22" x14ac:dyDescent="0.3">
      <c r="M835" s="1" t="str">
        <f t="shared" si="91"/>
        <v/>
      </c>
      <c r="N835" s="1" t="str">
        <f t="shared" si="92"/>
        <v/>
      </c>
      <c r="O835" s="1" t="str">
        <f ca="1">IF(F835="","",IF(INT(F835)=INT(NOW()),IF(NETWORKDAYS.INTL(F835,F835,1,FERIADOS!$A$2:$A$50)=0,0,MAX(0,(MIN(NOW(),INT(NOW())+18/24)-MAX(F835,INT(F835)+8/24)))*24),MAX(0,(INT(F835)+18/24-MAX(F835,INT(F835)+8/24)))*24*NETWORKDAYS.INTL(F835,F835,1,FERIADOS!$A$2:$A$50)+MAX(0,NETWORKDAYS.INTL(F835+1,NOW()-1,1,FERIADOS!$A$2:$A$50))*10+MAX(0,(MIN(NOW(),INT(NOW())+18/24)-(INT(NOW())+8/24)))*24*NETWORKDAYS.INTL(NOW(),NOW(),1,FERIADOS!$A$2:$A$50)))</f>
        <v/>
      </c>
      <c r="P835" s="1" t="str">
        <f t="shared" si="93"/>
        <v/>
      </c>
      <c r="Q835" s="1" t="str">
        <f t="shared" si="94"/>
        <v/>
      </c>
      <c r="R835" s="1" t="str">
        <f t="shared" si="95"/>
        <v/>
      </c>
      <c r="S835" s="1" t="str">
        <f>IF($A835="","",COUNTIF($N$2:N835,$N835))</f>
        <v/>
      </c>
      <c r="T835" s="1" t="str">
        <f t="shared" si="96"/>
        <v/>
      </c>
      <c r="U835" s="1" t="str">
        <f t="shared" si="97"/>
        <v/>
      </c>
      <c r="V835"/>
    </row>
    <row r="836" spans="13:22" x14ac:dyDescent="0.3">
      <c r="M836" s="1" t="str">
        <f t="shared" si="91"/>
        <v/>
      </c>
      <c r="N836" s="1" t="str">
        <f t="shared" si="92"/>
        <v/>
      </c>
      <c r="O836" s="1" t="str">
        <f ca="1">IF(F836="","",IF(INT(F836)=INT(NOW()),IF(NETWORKDAYS.INTL(F836,F836,1,FERIADOS!$A$2:$A$50)=0,0,MAX(0,(MIN(NOW(),INT(NOW())+18/24)-MAX(F836,INT(F836)+8/24)))*24),MAX(0,(INT(F836)+18/24-MAX(F836,INT(F836)+8/24)))*24*NETWORKDAYS.INTL(F836,F836,1,FERIADOS!$A$2:$A$50)+MAX(0,NETWORKDAYS.INTL(F836+1,NOW()-1,1,FERIADOS!$A$2:$A$50))*10+MAX(0,(MIN(NOW(),INT(NOW())+18/24)-(INT(NOW())+8/24)))*24*NETWORKDAYS.INTL(NOW(),NOW(),1,FERIADOS!$A$2:$A$50)))</f>
        <v/>
      </c>
      <c r="P836" s="1" t="str">
        <f t="shared" si="93"/>
        <v/>
      </c>
      <c r="Q836" s="1" t="str">
        <f t="shared" si="94"/>
        <v/>
      </c>
      <c r="R836" s="1" t="str">
        <f t="shared" si="95"/>
        <v/>
      </c>
      <c r="S836" s="1" t="str">
        <f>IF($A836="","",COUNTIF($N$2:N836,$N836))</f>
        <v/>
      </c>
      <c r="T836" s="1" t="str">
        <f t="shared" si="96"/>
        <v/>
      </c>
      <c r="U836" s="1" t="str">
        <f t="shared" si="97"/>
        <v/>
      </c>
      <c r="V836"/>
    </row>
    <row r="837" spans="13:22" x14ac:dyDescent="0.3">
      <c r="M837" s="1" t="str">
        <f t="shared" si="91"/>
        <v/>
      </c>
      <c r="N837" s="1" t="str">
        <f t="shared" si="92"/>
        <v/>
      </c>
      <c r="O837" s="1" t="str">
        <f ca="1">IF(F837="","",IF(INT(F837)=INT(NOW()),IF(NETWORKDAYS.INTL(F837,F837,1,FERIADOS!$A$2:$A$50)=0,0,MAX(0,(MIN(NOW(),INT(NOW())+18/24)-MAX(F837,INT(F837)+8/24)))*24),MAX(0,(INT(F837)+18/24-MAX(F837,INT(F837)+8/24)))*24*NETWORKDAYS.INTL(F837,F837,1,FERIADOS!$A$2:$A$50)+MAX(0,NETWORKDAYS.INTL(F837+1,NOW()-1,1,FERIADOS!$A$2:$A$50))*10+MAX(0,(MIN(NOW(),INT(NOW())+18/24)-(INT(NOW())+8/24)))*24*NETWORKDAYS.INTL(NOW(),NOW(),1,FERIADOS!$A$2:$A$50)))</f>
        <v/>
      </c>
      <c r="P837" s="1" t="str">
        <f t="shared" si="93"/>
        <v/>
      </c>
      <c r="Q837" s="1" t="str">
        <f t="shared" si="94"/>
        <v/>
      </c>
      <c r="R837" s="1" t="str">
        <f t="shared" si="95"/>
        <v/>
      </c>
      <c r="S837" s="1" t="str">
        <f>IF($A837="","",COUNTIF($N$2:N837,$N837))</f>
        <v/>
      </c>
      <c r="T837" s="1" t="str">
        <f t="shared" si="96"/>
        <v/>
      </c>
      <c r="U837" s="1" t="str">
        <f t="shared" si="97"/>
        <v/>
      </c>
      <c r="V837"/>
    </row>
    <row r="838" spans="13:22" x14ac:dyDescent="0.3">
      <c r="M838" s="1" t="str">
        <f t="shared" si="91"/>
        <v/>
      </c>
      <c r="N838" s="1" t="str">
        <f t="shared" si="92"/>
        <v/>
      </c>
      <c r="O838" s="1" t="str">
        <f ca="1">IF(F838="","",IF(INT(F838)=INT(NOW()),IF(NETWORKDAYS.INTL(F838,F838,1,FERIADOS!$A$2:$A$50)=0,0,MAX(0,(MIN(NOW(),INT(NOW())+18/24)-MAX(F838,INT(F838)+8/24)))*24),MAX(0,(INT(F838)+18/24-MAX(F838,INT(F838)+8/24)))*24*NETWORKDAYS.INTL(F838,F838,1,FERIADOS!$A$2:$A$50)+MAX(0,NETWORKDAYS.INTL(F838+1,NOW()-1,1,FERIADOS!$A$2:$A$50))*10+MAX(0,(MIN(NOW(),INT(NOW())+18/24)-(INT(NOW())+8/24)))*24*NETWORKDAYS.INTL(NOW(),NOW(),1,FERIADOS!$A$2:$A$50)))</f>
        <v/>
      </c>
      <c r="P838" s="1" t="str">
        <f t="shared" si="93"/>
        <v/>
      </c>
      <c r="Q838" s="1" t="str">
        <f t="shared" si="94"/>
        <v/>
      </c>
      <c r="R838" s="1" t="str">
        <f t="shared" si="95"/>
        <v/>
      </c>
      <c r="S838" s="1" t="str">
        <f>IF($A838="","",COUNTIF($N$2:N838,$N838))</f>
        <v/>
      </c>
      <c r="T838" s="1" t="str">
        <f t="shared" si="96"/>
        <v/>
      </c>
      <c r="U838" s="1" t="str">
        <f t="shared" si="97"/>
        <v/>
      </c>
      <c r="V838"/>
    </row>
    <row r="839" spans="13:22" x14ac:dyDescent="0.3">
      <c r="M839" s="1" t="str">
        <f t="shared" si="91"/>
        <v/>
      </c>
      <c r="N839" s="1" t="str">
        <f t="shared" si="92"/>
        <v/>
      </c>
      <c r="O839" s="1" t="str">
        <f ca="1">IF(F839="","",IF(INT(F839)=INT(NOW()),IF(NETWORKDAYS.INTL(F839,F839,1,FERIADOS!$A$2:$A$50)=0,0,MAX(0,(MIN(NOW(),INT(NOW())+18/24)-MAX(F839,INT(F839)+8/24)))*24),MAX(0,(INT(F839)+18/24-MAX(F839,INT(F839)+8/24)))*24*NETWORKDAYS.INTL(F839,F839,1,FERIADOS!$A$2:$A$50)+MAX(0,NETWORKDAYS.INTL(F839+1,NOW()-1,1,FERIADOS!$A$2:$A$50))*10+MAX(0,(MIN(NOW(),INT(NOW())+18/24)-(INT(NOW())+8/24)))*24*NETWORKDAYS.INTL(NOW(),NOW(),1,FERIADOS!$A$2:$A$50)))</f>
        <v/>
      </c>
      <c r="P839" s="1" t="str">
        <f t="shared" si="93"/>
        <v/>
      </c>
      <c r="Q839" s="1" t="str">
        <f t="shared" si="94"/>
        <v/>
      </c>
      <c r="R839" s="1" t="str">
        <f t="shared" si="95"/>
        <v/>
      </c>
      <c r="S839" s="1" t="str">
        <f>IF($A839="","",COUNTIF($N$2:N839,$N839))</f>
        <v/>
      </c>
      <c r="T839" s="1" t="str">
        <f t="shared" si="96"/>
        <v/>
      </c>
      <c r="U839" s="1" t="str">
        <f t="shared" si="97"/>
        <v/>
      </c>
      <c r="V839"/>
    </row>
    <row r="840" spans="13:22" x14ac:dyDescent="0.3">
      <c r="M840" s="1" t="str">
        <f t="shared" si="91"/>
        <v/>
      </c>
      <c r="N840" s="1" t="str">
        <f t="shared" si="92"/>
        <v/>
      </c>
      <c r="O840" s="1" t="str">
        <f ca="1">IF(F840="","",IF(INT(F840)=INT(NOW()),IF(NETWORKDAYS.INTL(F840,F840,1,FERIADOS!$A$2:$A$50)=0,0,MAX(0,(MIN(NOW(),INT(NOW())+18/24)-MAX(F840,INT(F840)+8/24)))*24),MAX(0,(INT(F840)+18/24-MAX(F840,INT(F840)+8/24)))*24*NETWORKDAYS.INTL(F840,F840,1,FERIADOS!$A$2:$A$50)+MAX(0,NETWORKDAYS.INTL(F840+1,NOW()-1,1,FERIADOS!$A$2:$A$50))*10+MAX(0,(MIN(NOW(),INT(NOW())+18/24)-(INT(NOW())+8/24)))*24*NETWORKDAYS.INTL(NOW(),NOW(),1,FERIADOS!$A$2:$A$50)))</f>
        <v/>
      </c>
      <c r="P840" s="1" t="str">
        <f t="shared" si="93"/>
        <v/>
      </c>
      <c r="Q840" s="1" t="str">
        <f t="shared" si="94"/>
        <v/>
      </c>
      <c r="R840" s="1" t="str">
        <f t="shared" si="95"/>
        <v/>
      </c>
      <c r="S840" s="1" t="str">
        <f>IF($A840="","",COUNTIF($N$2:N840,$N840))</f>
        <v/>
      </c>
      <c r="T840" s="1" t="str">
        <f t="shared" si="96"/>
        <v/>
      </c>
      <c r="U840" s="1" t="str">
        <f t="shared" si="97"/>
        <v/>
      </c>
      <c r="V840"/>
    </row>
    <row r="841" spans="13:22" x14ac:dyDescent="0.3">
      <c r="M841" s="1" t="str">
        <f t="shared" si="91"/>
        <v/>
      </c>
      <c r="N841" s="1" t="str">
        <f t="shared" si="92"/>
        <v/>
      </c>
      <c r="O841" s="1" t="str">
        <f ca="1">IF(F841="","",IF(INT(F841)=INT(NOW()),IF(NETWORKDAYS.INTL(F841,F841,1,FERIADOS!$A$2:$A$50)=0,0,MAX(0,(MIN(NOW(),INT(NOW())+18/24)-MAX(F841,INT(F841)+8/24)))*24),MAX(0,(INT(F841)+18/24-MAX(F841,INT(F841)+8/24)))*24*NETWORKDAYS.INTL(F841,F841,1,FERIADOS!$A$2:$A$50)+MAX(0,NETWORKDAYS.INTL(F841+1,NOW()-1,1,FERIADOS!$A$2:$A$50))*10+MAX(0,(MIN(NOW(),INT(NOW())+18/24)-(INT(NOW())+8/24)))*24*NETWORKDAYS.INTL(NOW(),NOW(),1,FERIADOS!$A$2:$A$50)))</f>
        <v/>
      </c>
      <c r="P841" s="1" t="str">
        <f t="shared" si="93"/>
        <v/>
      </c>
      <c r="Q841" s="1" t="str">
        <f t="shared" si="94"/>
        <v/>
      </c>
      <c r="R841" s="1" t="str">
        <f t="shared" si="95"/>
        <v/>
      </c>
      <c r="S841" s="1" t="str">
        <f>IF($A841="","",COUNTIF($N$2:N841,$N841))</f>
        <v/>
      </c>
      <c r="T841" s="1" t="str">
        <f t="shared" si="96"/>
        <v/>
      </c>
      <c r="U841" s="1" t="str">
        <f t="shared" si="97"/>
        <v/>
      </c>
      <c r="V841"/>
    </row>
    <row r="842" spans="13:22" x14ac:dyDescent="0.3">
      <c r="M842" s="1" t="str">
        <f t="shared" si="91"/>
        <v/>
      </c>
      <c r="N842" s="1" t="str">
        <f t="shared" si="92"/>
        <v/>
      </c>
      <c r="O842" s="1" t="str">
        <f ca="1">IF(F842="","",IF(INT(F842)=INT(NOW()),IF(NETWORKDAYS.INTL(F842,F842,1,FERIADOS!$A$2:$A$50)=0,0,MAX(0,(MIN(NOW(),INT(NOW())+18/24)-MAX(F842,INT(F842)+8/24)))*24),MAX(0,(INT(F842)+18/24-MAX(F842,INT(F842)+8/24)))*24*NETWORKDAYS.INTL(F842,F842,1,FERIADOS!$A$2:$A$50)+MAX(0,NETWORKDAYS.INTL(F842+1,NOW()-1,1,FERIADOS!$A$2:$A$50))*10+MAX(0,(MIN(NOW(),INT(NOW())+18/24)-(INT(NOW())+8/24)))*24*NETWORKDAYS.INTL(NOW(),NOW(),1,FERIADOS!$A$2:$A$50)))</f>
        <v/>
      </c>
      <c r="P842" s="1" t="str">
        <f t="shared" si="93"/>
        <v/>
      </c>
      <c r="Q842" s="1" t="str">
        <f t="shared" si="94"/>
        <v/>
      </c>
      <c r="R842" s="1" t="str">
        <f t="shared" si="95"/>
        <v/>
      </c>
      <c r="S842" s="1" t="str">
        <f>IF($A842="","",COUNTIF($N$2:N842,$N842))</f>
        <v/>
      </c>
      <c r="T842" s="1" t="str">
        <f t="shared" si="96"/>
        <v/>
      </c>
      <c r="U842" s="1" t="str">
        <f t="shared" si="97"/>
        <v/>
      </c>
      <c r="V842"/>
    </row>
    <row r="843" spans="13:22" x14ac:dyDescent="0.3">
      <c r="M843" s="1" t="str">
        <f t="shared" si="91"/>
        <v/>
      </c>
      <c r="N843" s="1" t="str">
        <f t="shared" si="92"/>
        <v/>
      </c>
      <c r="O843" s="1" t="str">
        <f ca="1">IF(F843="","",IF(INT(F843)=INT(NOW()),IF(NETWORKDAYS.INTL(F843,F843,1,FERIADOS!$A$2:$A$50)=0,0,MAX(0,(MIN(NOW(),INT(NOW())+18/24)-MAX(F843,INT(F843)+8/24)))*24),MAX(0,(INT(F843)+18/24-MAX(F843,INT(F843)+8/24)))*24*NETWORKDAYS.INTL(F843,F843,1,FERIADOS!$A$2:$A$50)+MAX(0,NETWORKDAYS.INTL(F843+1,NOW()-1,1,FERIADOS!$A$2:$A$50))*10+MAX(0,(MIN(NOW(),INT(NOW())+18/24)-(INT(NOW())+8/24)))*24*NETWORKDAYS.INTL(NOW(),NOW(),1,FERIADOS!$A$2:$A$50)))</f>
        <v/>
      </c>
      <c r="P843" s="1" t="str">
        <f t="shared" si="93"/>
        <v/>
      </c>
      <c r="Q843" s="1" t="str">
        <f t="shared" si="94"/>
        <v/>
      </c>
      <c r="R843" s="1" t="str">
        <f t="shared" si="95"/>
        <v/>
      </c>
      <c r="S843" s="1" t="str">
        <f>IF($A843="","",COUNTIF($N$2:N843,$N843))</f>
        <v/>
      </c>
      <c r="T843" s="1" t="str">
        <f t="shared" si="96"/>
        <v/>
      </c>
      <c r="U843" s="1" t="str">
        <f t="shared" si="97"/>
        <v/>
      </c>
      <c r="V843"/>
    </row>
    <row r="844" spans="13:22" x14ac:dyDescent="0.3">
      <c r="M844" s="1" t="str">
        <f t="shared" si="91"/>
        <v/>
      </c>
      <c r="N844" s="1" t="str">
        <f t="shared" si="92"/>
        <v/>
      </c>
      <c r="O844" s="1" t="str">
        <f ca="1">IF(F844="","",IF(INT(F844)=INT(NOW()),IF(NETWORKDAYS.INTL(F844,F844,1,FERIADOS!$A$2:$A$50)=0,0,MAX(0,(MIN(NOW(),INT(NOW())+18/24)-MAX(F844,INT(F844)+8/24)))*24),MAX(0,(INT(F844)+18/24-MAX(F844,INT(F844)+8/24)))*24*NETWORKDAYS.INTL(F844,F844,1,FERIADOS!$A$2:$A$50)+MAX(0,NETWORKDAYS.INTL(F844+1,NOW()-1,1,FERIADOS!$A$2:$A$50))*10+MAX(0,(MIN(NOW(),INT(NOW())+18/24)-(INT(NOW())+8/24)))*24*NETWORKDAYS.INTL(NOW(),NOW(),1,FERIADOS!$A$2:$A$50)))</f>
        <v/>
      </c>
      <c r="P844" s="1" t="str">
        <f t="shared" si="93"/>
        <v/>
      </c>
      <c r="Q844" s="1" t="str">
        <f t="shared" si="94"/>
        <v/>
      </c>
      <c r="R844" s="1" t="str">
        <f t="shared" si="95"/>
        <v/>
      </c>
      <c r="S844" s="1" t="str">
        <f>IF($A844="","",COUNTIF($N$2:N844,$N844))</f>
        <v/>
      </c>
      <c r="T844" s="1" t="str">
        <f t="shared" si="96"/>
        <v/>
      </c>
      <c r="U844" s="1" t="str">
        <f t="shared" si="97"/>
        <v/>
      </c>
      <c r="V844"/>
    </row>
    <row r="845" spans="13:22" x14ac:dyDescent="0.3">
      <c r="M845" s="1" t="str">
        <f t="shared" si="91"/>
        <v/>
      </c>
      <c r="N845" s="1" t="str">
        <f t="shared" si="92"/>
        <v/>
      </c>
      <c r="O845" s="1" t="str">
        <f ca="1">IF(F845="","",IF(INT(F845)=INT(NOW()),IF(NETWORKDAYS.INTL(F845,F845,1,FERIADOS!$A$2:$A$50)=0,0,MAX(0,(MIN(NOW(),INT(NOW())+18/24)-MAX(F845,INT(F845)+8/24)))*24),MAX(0,(INT(F845)+18/24-MAX(F845,INT(F845)+8/24)))*24*NETWORKDAYS.INTL(F845,F845,1,FERIADOS!$A$2:$A$50)+MAX(0,NETWORKDAYS.INTL(F845+1,NOW()-1,1,FERIADOS!$A$2:$A$50))*10+MAX(0,(MIN(NOW(),INT(NOW())+18/24)-(INT(NOW())+8/24)))*24*NETWORKDAYS.INTL(NOW(),NOW(),1,FERIADOS!$A$2:$A$50)))</f>
        <v/>
      </c>
      <c r="P845" s="1" t="str">
        <f t="shared" si="93"/>
        <v/>
      </c>
      <c r="Q845" s="1" t="str">
        <f t="shared" si="94"/>
        <v/>
      </c>
      <c r="R845" s="1" t="str">
        <f t="shared" si="95"/>
        <v/>
      </c>
      <c r="S845" s="1" t="str">
        <f>IF($A845="","",COUNTIF($N$2:N845,$N845))</f>
        <v/>
      </c>
      <c r="T845" s="1" t="str">
        <f t="shared" si="96"/>
        <v/>
      </c>
      <c r="U845" s="1" t="str">
        <f t="shared" si="97"/>
        <v/>
      </c>
      <c r="V845"/>
    </row>
    <row r="846" spans="13:22" x14ac:dyDescent="0.3">
      <c r="M846" s="1" t="str">
        <f t="shared" si="91"/>
        <v/>
      </c>
      <c r="N846" s="1" t="str">
        <f t="shared" si="92"/>
        <v/>
      </c>
      <c r="O846" s="1" t="str">
        <f ca="1">IF(F846="","",IF(INT(F846)=INT(NOW()),IF(NETWORKDAYS.INTL(F846,F846,1,FERIADOS!$A$2:$A$50)=0,0,MAX(0,(MIN(NOW(),INT(NOW())+18/24)-MAX(F846,INT(F846)+8/24)))*24),MAX(0,(INT(F846)+18/24-MAX(F846,INT(F846)+8/24)))*24*NETWORKDAYS.INTL(F846,F846,1,FERIADOS!$A$2:$A$50)+MAX(0,NETWORKDAYS.INTL(F846+1,NOW()-1,1,FERIADOS!$A$2:$A$50))*10+MAX(0,(MIN(NOW(),INT(NOW())+18/24)-(INT(NOW())+8/24)))*24*NETWORKDAYS.INTL(NOW(),NOW(),1,FERIADOS!$A$2:$A$50)))</f>
        <v/>
      </c>
      <c r="P846" s="1" t="str">
        <f t="shared" si="93"/>
        <v/>
      </c>
      <c r="Q846" s="1" t="str">
        <f t="shared" si="94"/>
        <v/>
      </c>
      <c r="R846" s="1" t="str">
        <f t="shared" si="95"/>
        <v/>
      </c>
      <c r="S846" s="1" t="str">
        <f>IF($A846="","",COUNTIF($N$2:N846,$N846))</f>
        <v/>
      </c>
      <c r="T846" s="1" t="str">
        <f t="shared" si="96"/>
        <v/>
      </c>
      <c r="U846" s="1" t="str">
        <f t="shared" si="97"/>
        <v/>
      </c>
      <c r="V846"/>
    </row>
    <row r="847" spans="13:22" x14ac:dyDescent="0.3">
      <c r="M847" s="1" t="str">
        <f t="shared" si="91"/>
        <v/>
      </c>
      <c r="N847" s="1" t="str">
        <f t="shared" si="92"/>
        <v/>
      </c>
      <c r="O847" s="1" t="str">
        <f ca="1">IF(F847="","",IF(INT(F847)=INT(NOW()),IF(NETWORKDAYS.INTL(F847,F847,1,FERIADOS!$A$2:$A$50)=0,0,MAX(0,(MIN(NOW(),INT(NOW())+18/24)-MAX(F847,INT(F847)+8/24)))*24),MAX(0,(INT(F847)+18/24-MAX(F847,INT(F847)+8/24)))*24*NETWORKDAYS.INTL(F847,F847,1,FERIADOS!$A$2:$A$50)+MAX(0,NETWORKDAYS.INTL(F847+1,NOW()-1,1,FERIADOS!$A$2:$A$50))*10+MAX(0,(MIN(NOW(),INT(NOW())+18/24)-(INT(NOW())+8/24)))*24*NETWORKDAYS.INTL(NOW(),NOW(),1,FERIADOS!$A$2:$A$50)))</f>
        <v/>
      </c>
      <c r="P847" s="1" t="str">
        <f t="shared" si="93"/>
        <v/>
      </c>
      <c r="Q847" s="1" t="str">
        <f t="shared" si="94"/>
        <v/>
      </c>
      <c r="R847" s="1" t="str">
        <f t="shared" si="95"/>
        <v/>
      </c>
      <c r="S847" s="1" t="str">
        <f>IF($A847="","",COUNTIF($N$2:N847,$N847))</f>
        <v/>
      </c>
      <c r="T847" s="1" t="str">
        <f t="shared" si="96"/>
        <v/>
      </c>
      <c r="U847" s="1" t="str">
        <f t="shared" si="97"/>
        <v/>
      </c>
      <c r="V847"/>
    </row>
    <row r="848" spans="13:22" x14ac:dyDescent="0.3">
      <c r="M848" s="1" t="str">
        <f t="shared" si="91"/>
        <v/>
      </c>
      <c r="N848" s="1" t="str">
        <f t="shared" si="92"/>
        <v/>
      </c>
      <c r="O848" s="1" t="str">
        <f ca="1">IF(F848="","",IF(INT(F848)=INT(NOW()),IF(NETWORKDAYS.INTL(F848,F848,1,FERIADOS!$A$2:$A$50)=0,0,MAX(0,(MIN(NOW(),INT(NOW())+18/24)-MAX(F848,INT(F848)+8/24)))*24),MAX(0,(INT(F848)+18/24-MAX(F848,INT(F848)+8/24)))*24*NETWORKDAYS.INTL(F848,F848,1,FERIADOS!$A$2:$A$50)+MAX(0,NETWORKDAYS.INTL(F848+1,NOW()-1,1,FERIADOS!$A$2:$A$50))*10+MAX(0,(MIN(NOW(),INT(NOW())+18/24)-(INT(NOW())+8/24)))*24*NETWORKDAYS.INTL(NOW(),NOW(),1,FERIADOS!$A$2:$A$50)))</f>
        <v/>
      </c>
      <c r="P848" s="1" t="str">
        <f t="shared" si="93"/>
        <v/>
      </c>
      <c r="Q848" s="1" t="str">
        <f t="shared" si="94"/>
        <v/>
      </c>
      <c r="R848" s="1" t="str">
        <f t="shared" si="95"/>
        <v/>
      </c>
      <c r="S848" s="1" t="str">
        <f>IF($A848="","",COUNTIF($N$2:N848,$N848))</f>
        <v/>
      </c>
      <c r="T848" s="1" t="str">
        <f t="shared" si="96"/>
        <v/>
      </c>
      <c r="U848" s="1" t="str">
        <f t="shared" si="97"/>
        <v/>
      </c>
      <c r="V848"/>
    </row>
    <row r="849" spans="13:22" x14ac:dyDescent="0.3">
      <c r="M849" s="1" t="str">
        <f t="shared" si="91"/>
        <v/>
      </c>
      <c r="N849" s="1" t="str">
        <f t="shared" si="92"/>
        <v/>
      </c>
      <c r="O849" s="1" t="str">
        <f ca="1">IF(F849="","",IF(INT(F849)=INT(NOW()),IF(NETWORKDAYS.INTL(F849,F849,1,FERIADOS!$A$2:$A$50)=0,0,MAX(0,(MIN(NOW(),INT(NOW())+18/24)-MAX(F849,INT(F849)+8/24)))*24),MAX(0,(INT(F849)+18/24-MAX(F849,INT(F849)+8/24)))*24*NETWORKDAYS.INTL(F849,F849,1,FERIADOS!$A$2:$A$50)+MAX(0,NETWORKDAYS.INTL(F849+1,NOW()-1,1,FERIADOS!$A$2:$A$50))*10+MAX(0,(MIN(NOW(),INT(NOW())+18/24)-(INT(NOW())+8/24)))*24*NETWORKDAYS.INTL(NOW(),NOW(),1,FERIADOS!$A$2:$A$50)))</f>
        <v/>
      </c>
      <c r="P849" s="1" t="str">
        <f t="shared" si="93"/>
        <v/>
      </c>
      <c r="Q849" s="1" t="str">
        <f t="shared" si="94"/>
        <v/>
      </c>
      <c r="R849" s="1" t="str">
        <f t="shared" si="95"/>
        <v/>
      </c>
      <c r="S849" s="1" t="str">
        <f>IF($A849="","",COUNTIF($N$2:N849,$N849))</f>
        <v/>
      </c>
      <c r="T849" s="1" t="str">
        <f t="shared" si="96"/>
        <v/>
      </c>
      <c r="U849" s="1" t="str">
        <f t="shared" si="97"/>
        <v/>
      </c>
      <c r="V849"/>
    </row>
    <row r="850" spans="13:22" x14ac:dyDescent="0.3">
      <c r="M850" s="1" t="str">
        <f t="shared" si="91"/>
        <v/>
      </c>
      <c r="N850" s="1" t="str">
        <f t="shared" si="92"/>
        <v/>
      </c>
      <c r="O850" s="1" t="str">
        <f ca="1">IF(F850="","",IF(INT(F850)=INT(NOW()),IF(NETWORKDAYS.INTL(F850,F850,1,FERIADOS!$A$2:$A$50)=0,0,MAX(0,(MIN(NOW(),INT(NOW())+18/24)-MAX(F850,INT(F850)+8/24)))*24),MAX(0,(INT(F850)+18/24-MAX(F850,INT(F850)+8/24)))*24*NETWORKDAYS.INTL(F850,F850,1,FERIADOS!$A$2:$A$50)+MAX(0,NETWORKDAYS.INTL(F850+1,NOW()-1,1,FERIADOS!$A$2:$A$50))*10+MAX(0,(MIN(NOW(),INT(NOW())+18/24)-(INT(NOW())+8/24)))*24*NETWORKDAYS.INTL(NOW(),NOW(),1,FERIADOS!$A$2:$A$50)))</f>
        <v/>
      </c>
      <c r="P850" s="1" t="str">
        <f t="shared" si="93"/>
        <v/>
      </c>
      <c r="Q850" s="1" t="str">
        <f t="shared" si="94"/>
        <v/>
      </c>
      <c r="R850" s="1" t="str">
        <f t="shared" si="95"/>
        <v/>
      </c>
      <c r="S850" s="1" t="str">
        <f>IF($A850="","",COUNTIF($N$2:N850,$N850))</f>
        <v/>
      </c>
      <c r="T850" s="1" t="str">
        <f t="shared" si="96"/>
        <v/>
      </c>
      <c r="U850" s="1" t="str">
        <f t="shared" si="97"/>
        <v/>
      </c>
      <c r="V850"/>
    </row>
    <row r="851" spans="13:22" x14ac:dyDescent="0.3">
      <c r="M851" s="1" t="str">
        <f t="shared" si="91"/>
        <v/>
      </c>
      <c r="N851" s="1" t="str">
        <f t="shared" si="92"/>
        <v/>
      </c>
      <c r="O851" s="1" t="str">
        <f ca="1">IF(F851="","",IF(INT(F851)=INT(NOW()),IF(NETWORKDAYS.INTL(F851,F851,1,FERIADOS!$A$2:$A$50)=0,0,MAX(0,(MIN(NOW(),INT(NOW())+18/24)-MAX(F851,INT(F851)+8/24)))*24),MAX(0,(INT(F851)+18/24-MAX(F851,INT(F851)+8/24)))*24*NETWORKDAYS.INTL(F851,F851,1,FERIADOS!$A$2:$A$50)+MAX(0,NETWORKDAYS.INTL(F851+1,NOW()-1,1,FERIADOS!$A$2:$A$50))*10+MAX(0,(MIN(NOW(),INT(NOW())+18/24)-(INT(NOW())+8/24)))*24*NETWORKDAYS.INTL(NOW(),NOW(),1,FERIADOS!$A$2:$A$50)))</f>
        <v/>
      </c>
      <c r="P851" s="1" t="str">
        <f t="shared" si="93"/>
        <v/>
      </c>
      <c r="Q851" s="1" t="str">
        <f t="shared" si="94"/>
        <v/>
      </c>
      <c r="R851" s="1" t="str">
        <f t="shared" si="95"/>
        <v/>
      </c>
      <c r="S851" s="1" t="str">
        <f>IF($A851="","",COUNTIF($N$2:N851,$N851))</f>
        <v/>
      </c>
      <c r="T851" s="1" t="str">
        <f t="shared" si="96"/>
        <v/>
      </c>
      <c r="U851" s="1" t="str">
        <f t="shared" si="97"/>
        <v/>
      </c>
      <c r="V851"/>
    </row>
    <row r="852" spans="13:22" x14ac:dyDescent="0.3">
      <c r="M852" s="1" t="str">
        <f t="shared" si="91"/>
        <v/>
      </c>
      <c r="N852" s="1" t="str">
        <f t="shared" si="92"/>
        <v/>
      </c>
      <c r="O852" s="1" t="str">
        <f ca="1">IF(F852="","",IF(INT(F852)=INT(NOW()),IF(NETWORKDAYS.INTL(F852,F852,1,FERIADOS!$A$2:$A$50)=0,0,MAX(0,(MIN(NOW(),INT(NOW())+18/24)-MAX(F852,INT(F852)+8/24)))*24),MAX(0,(INT(F852)+18/24-MAX(F852,INT(F852)+8/24)))*24*NETWORKDAYS.INTL(F852,F852,1,FERIADOS!$A$2:$A$50)+MAX(0,NETWORKDAYS.INTL(F852+1,NOW()-1,1,FERIADOS!$A$2:$A$50))*10+MAX(0,(MIN(NOW(),INT(NOW())+18/24)-(INT(NOW())+8/24)))*24*NETWORKDAYS.INTL(NOW(),NOW(),1,FERIADOS!$A$2:$A$50)))</f>
        <v/>
      </c>
      <c r="P852" s="1" t="str">
        <f t="shared" si="93"/>
        <v/>
      </c>
      <c r="Q852" s="1" t="str">
        <f t="shared" si="94"/>
        <v/>
      </c>
      <c r="R852" s="1" t="str">
        <f t="shared" si="95"/>
        <v/>
      </c>
      <c r="S852" s="1" t="str">
        <f>IF($A852="","",COUNTIF($N$2:N852,$N852))</f>
        <v/>
      </c>
      <c r="T852" s="1" t="str">
        <f t="shared" si="96"/>
        <v/>
      </c>
      <c r="U852" s="1" t="str">
        <f t="shared" si="97"/>
        <v/>
      </c>
      <c r="V852"/>
    </row>
    <row r="853" spans="13:22" x14ac:dyDescent="0.3">
      <c r="M853" s="1" t="str">
        <f t="shared" si="91"/>
        <v/>
      </c>
      <c r="N853" s="1" t="str">
        <f t="shared" si="92"/>
        <v/>
      </c>
      <c r="O853" s="1" t="str">
        <f ca="1">IF(F853="","",IF(INT(F853)=INT(NOW()),IF(NETWORKDAYS.INTL(F853,F853,1,FERIADOS!$A$2:$A$50)=0,0,MAX(0,(MIN(NOW(),INT(NOW())+18/24)-MAX(F853,INT(F853)+8/24)))*24),MAX(0,(INT(F853)+18/24-MAX(F853,INT(F853)+8/24)))*24*NETWORKDAYS.INTL(F853,F853,1,FERIADOS!$A$2:$A$50)+MAX(0,NETWORKDAYS.INTL(F853+1,NOW()-1,1,FERIADOS!$A$2:$A$50))*10+MAX(0,(MIN(NOW(),INT(NOW())+18/24)-(INT(NOW())+8/24)))*24*NETWORKDAYS.INTL(NOW(),NOW(),1,FERIADOS!$A$2:$A$50)))</f>
        <v/>
      </c>
      <c r="P853" s="1" t="str">
        <f t="shared" si="93"/>
        <v/>
      </c>
      <c r="Q853" s="1" t="str">
        <f t="shared" si="94"/>
        <v/>
      </c>
      <c r="R853" s="1" t="str">
        <f t="shared" si="95"/>
        <v/>
      </c>
      <c r="S853" s="1" t="str">
        <f>IF($A853="","",COUNTIF($N$2:N853,$N853))</f>
        <v/>
      </c>
      <c r="T853" s="1" t="str">
        <f t="shared" si="96"/>
        <v/>
      </c>
      <c r="U853" s="1" t="str">
        <f t="shared" si="97"/>
        <v/>
      </c>
      <c r="V853"/>
    </row>
    <row r="854" spans="13:22" x14ac:dyDescent="0.3">
      <c r="M854" s="1" t="str">
        <f t="shared" si="91"/>
        <v/>
      </c>
      <c r="N854" s="1" t="str">
        <f t="shared" si="92"/>
        <v/>
      </c>
      <c r="O854" s="1" t="str">
        <f ca="1">IF(F854="","",IF(INT(F854)=INT(NOW()),IF(NETWORKDAYS.INTL(F854,F854,1,FERIADOS!$A$2:$A$50)=0,0,MAX(0,(MIN(NOW(),INT(NOW())+18/24)-MAX(F854,INT(F854)+8/24)))*24),MAX(0,(INT(F854)+18/24-MAX(F854,INT(F854)+8/24)))*24*NETWORKDAYS.INTL(F854,F854,1,FERIADOS!$A$2:$A$50)+MAX(0,NETWORKDAYS.INTL(F854+1,NOW()-1,1,FERIADOS!$A$2:$A$50))*10+MAX(0,(MIN(NOW(),INT(NOW())+18/24)-(INT(NOW())+8/24)))*24*NETWORKDAYS.INTL(NOW(),NOW(),1,FERIADOS!$A$2:$A$50)))</f>
        <v/>
      </c>
      <c r="P854" s="1" t="str">
        <f t="shared" si="93"/>
        <v/>
      </c>
      <c r="Q854" s="1" t="str">
        <f t="shared" si="94"/>
        <v/>
      </c>
      <c r="R854" s="1" t="str">
        <f t="shared" si="95"/>
        <v/>
      </c>
      <c r="S854" s="1" t="str">
        <f>IF($A854="","",COUNTIF($N$2:N854,$N854))</f>
        <v/>
      </c>
      <c r="T854" s="1" t="str">
        <f t="shared" si="96"/>
        <v/>
      </c>
      <c r="U854" s="1" t="str">
        <f t="shared" si="97"/>
        <v/>
      </c>
      <c r="V854"/>
    </row>
    <row r="855" spans="13:22" x14ac:dyDescent="0.3">
      <c r="M855" s="1" t="str">
        <f t="shared" si="91"/>
        <v/>
      </c>
      <c r="N855" s="1" t="str">
        <f t="shared" si="92"/>
        <v/>
      </c>
      <c r="O855" s="1" t="str">
        <f ca="1">IF(F855="","",IF(INT(F855)=INT(NOW()),IF(NETWORKDAYS.INTL(F855,F855,1,FERIADOS!$A$2:$A$50)=0,0,MAX(0,(MIN(NOW(),INT(NOW())+18/24)-MAX(F855,INT(F855)+8/24)))*24),MAX(0,(INT(F855)+18/24-MAX(F855,INT(F855)+8/24)))*24*NETWORKDAYS.INTL(F855,F855,1,FERIADOS!$A$2:$A$50)+MAX(0,NETWORKDAYS.INTL(F855+1,NOW()-1,1,FERIADOS!$A$2:$A$50))*10+MAX(0,(MIN(NOW(),INT(NOW())+18/24)-(INT(NOW())+8/24)))*24*NETWORKDAYS.INTL(NOW(),NOW(),1,FERIADOS!$A$2:$A$50)))</f>
        <v/>
      </c>
      <c r="P855" s="1" t="str">
        <f t="shared" si="93"/>
        <v/>
      </c>
      <c r="Q855" s="1" t="str">
        <f t="shared" si="94"/>
        <v/>
      </c>
      <c r="R855" s="1" t="str">
        <f t="shared" si="95"/>
        <v/>
      </c>
      <c r="S855" s="1" t="str">
        <f>IF($A855="","",COUNTIF($N$2:N855,$N855))</f>
        <v/>
      </c>
      <c r="T855" s="1" t="str">
        <f t="shared" si="96"/>
        <v/>
      </c>
      <c r="U855" s="1" t="str">
        <f t="shared" si="97"/>
        <v/>
      </c>
      <c r="V855"/>
    </row>
    <row r="856" spans="13:22" x14ac:dyDescent="0.3">
      <c r="M856" s="1" t="str">
        <f t="shared" si="91"/>
        <v/>
      </c>
      <c r="N856" s="1" t="str">
        <f t="shared" si="92"/>
        <v/>
      </c>
      <c r="O856" s="1" t="str">
        <f ca="1">IF(F856="","",IF(INT(F856)=INT(NOW()),IF(NETWORKDAYS.INTL(F856,F856,1,FERIADOS!$A$2:$A$50)=0,0,MAX(0,(MIN(NOW(),INT(NOW())+18/24)-MAX(F856,INT(F856)+8/24)))*24),MAX(0,(INT(F856)+18/24-MAX(F856,INT(F856)+8/24)))*24*NETWORKDAYS.INTL(F856,F856,1,FERIADOS!$A$2:$A$50)+MAX(0,NETWORKDAYS.INTL(F856+1,NOW()-1,1,FERIADOS!$A$2:$A$50))*10+MAX(0,(MIN(NOW(),INT(NOW())+18/24)-(INT(NOW())+8/24)))*24*NETWORKDAYS.INTL(NOW(),NOW(),1,FERIADOS!$A$2:$A$50)))</f>
        <v/>
      </c>
      <c r="P856" s="1" t="str">
        <f t="shared" si="93"/>
        <v/>
      </c>
      <c r="Q856" s="1" t="str">
        <f t="shared" si="94"/>
        <v/>
      </c>
      <c r="R856" s="1" t="str">
        <f t="shared" si="95"/>
        <v/>
      </c>
      <c r="S856" s="1" t="str">
        <f>IF($A856="","",COUNTIF($N$2:N856,$N856))</f>
        <v/>
      </c>
      <c r="T856" s="1" t="str">
        <f t="shared" si="96"/>
        <v/>
      </c>
      <c r="U856" s="1" t="str">
        <f t="shared" si="97"/>
        <v/>
      </c>
      <c r="V856"/>
    </row>
    <row r="857" spans="13:22" x14ac:dyDescent="0.3">
      <c r="M857" s="1" t="str">
        <f t="shared" si="91"/>
        <v/>
      </c>
      <c r="N857" s="1" t="str">
        <f t="shared" si="92"/>
        <v/>
      </c>
      <c r="O857" s="1" t="str">
        <f ca="1">IF(F857="","",IF(INT(F857)=INT(NOW()),IF(NETWORKDAYS.INTL(F857,F857,1,FERIADOS!$A$2:$A$50)=0,0,MAX(0,(MIN(NOW(),INT(NOW())+18/24)-MAX(F857,INT(F857)+8/24)))*24),MAX(0,(INT(F857)+18/24-MAX(F857,INT(F857)+8/24)))*24*NETWORKDAYS.INTL(F857,F857,1,FERIADOS!$A$2:$A$50)+MAX(0,NETWORKDAYS.INTL(F857+1,NOW()-1,1,FERIADOS!$A$2:$A$50))*10+MAX(0,(MIN(NOW(),INT(NOW())+18/24)-(INT(NOW())+8/24)))*24*NETWORKDAYS.INTL(NOW(),NOW(),1,FERIADOS!$A$2:$A$50)))</f>
        <v/>
      </c>
      <c r="P857" s="1" t="str">
        <f t="shared" si="93"/>
        <v/>
      </c>
      <c r="Q857" s="1" t="str">
        <f t="shared" si="94"/>
        <v/>
      </c>
      <c r="R857" s="1" t="str">
        <f t="shared" si="95"/>
        <v/>
      </c>
      <c r="S857" s="1" t="str">
        <f>IF($A857="","",COUNTIF($N$2:N857,$N857))</f>
        <v/>
      </c>
      <c r="T857" s="1" t="str">
        <f t="shared" si="96"/>
        <v/>
      </c>
      <c r="U857" s="1" t="str">
        <f t="shared" si="97"/>
        <v/>
      </c>
      <c r="V857"/>
    </row>
    <row r="858" spans="13:22" x14ac:dyDescent="0.3">
      <c r="M858" s="1" t="str">
        <f t="shared" si="91"/>
        <v/>
      </c>
      <c r="N858" s="1" t="str">
        <f t="shared" si="92"/>
        <v/>
      </c>
      <c r="O858" s="1" t="str">
        <f ca="1">IF(F858="","",IF(INT(F858)=INT(NOW()),IF(NETWORKDAYS.INTL(F858,F858,1,FERIADOS!$A$2:$A$50)=0,0,MAX(0,(MIN(NOW(),INT(NOW())+18/24)-MAX(F858,INT(F858)+8/24)))*24),MAX(0,(INT(F858)+18/24-MAX(F858,INT(F858)+8/24)))*24*NETWORKDAYS.INTL(F858,F858,1,FERIADOS!$A$2:$A$50)+MAX(0,NETWORKDAYS.INTL(F858+1,NOW()-1,1,FERIADOS!$A$2:$A$50))*10+MAX(0,(MIN(NOW(),INT(NOW())+18/24)-(INT(NOW())+8/24)))*24*NETWORKDAYS.INTL(NOW(),NOW(),1,FERIADOS!$A$2:$A$50)))</f>
        <v/>
      </c>
      <c r="P858" s="1" t="str">
        <f t="shared" si="93"/>
        <v/>
      </c>
      <c r="Q858" s="1" t="str">
        <f t="shared" si="94"/>
        <v/>
      </c>
      <c r="R858" s="1" t="str">
        <f t="shared" si="95"/>
        <v/>
      </c>
      <c r="S858" s="1" t="str">
        <f>IF($A858="","",COUNTIF($N$2:N858,$N858))</f>
        <v/>
      </c>
      <c r="T858" s="1" t="str">
        <f t="shared" si="96"/>
        <v/>
      </c>
      <c r="U858" s="1" t="str">
        <f t="shared" si="97"/>
        <v/>
      </c>
      <c r="V858"/>
    </row>
    <row r="859" spans="13:22" x14ac:dyDescent="0.3">
      <c r="M859" s="1" t="str">
        <f t="shared" si="91"/>
        <v/>
      </c>
      <c r="N859" s="1" t="str">
        <f t="shared" si="92"/>
        <v/>
      </c>
      <c r="O859" s="1" t="str">
        <f ca="1">IF(F859="","",IF(INT(F859)=INT(NOW()),IF(NETWORKDAYS.INTL(F859,F859,1,FERIADOS!$A$2:$A$50)=0,0,MAX(0,(MIN(NOW(),INT(NOW())+18/24)-MAX(F859,INT(F859)+8/24)))*24),MAX(0,(INT(F859)+18/24-MAX(F859,INT(F859)+8/24)))*24*NETWORKDAYS.INTL(F859,F859,1,FERIADOS!$A$2:$A$50)+MAX(0,NETWORKDAYS.INTL(F859+1,NOW()-1,1,FERIADOS!$A$2:$A$50))*10+MAX(0,(MIN(NOW(),INT(NOW())+18/24)-(INT(NOW())+8/24)))*24*NETWORKDAYS.INTL(NOW(),NOW(),1,FERIADOS!$A$2:$A$50)))</f>
        <v/>
      </c>
      <c r="P859" s="1" t="str">
        <f t="shared" si="93"/>
        <v/>
      </c>
      <c r="Q859" s="1" t="str">
        <f t="shared" si="94"/>
        <v/>
      </c>
      <c r="R859" s="1" t="str">
        <f t="shared" si="95"/>
        <v/>
      </c>
      <c r="S859" s="1" t="str">
        <f>IF($A859="","",COUNTIF($N$2:N859,$N859))</f>
        <v/>
      </c>
      <c r="T859" s="1" t="str">
        <f t="shared" si="96"/>
        <v/>
      </c>
      <c r="U859" s="1" t="str">
        <f t="shared" si="97"/>
        <v/>
      </c>
      <c r="V859"/>
    </row>
    <row r="860" spans="13:22" x14ac:dyDescent="0.3">
      <c r="M860" s="1" t="str">
        <f t="shared" si="91"/>
        <v/>
      </c>
      <c r="N860" s="1" t="str">
        <f t="shared" si="92"/>
        <v/>
      </c>
      <c r="O860" s="1" t="str">
        <f ca="1">IF(F860="","",IF(INT(F860)=INT(NOW()),IF(NETWORKDAYS.INTL(F860,F860,1,FERIADOS!$A$2:$A$50)=0,0,MAX(0,(MIN(NOW(),INT(NOW())+18/24)-MAX(F860,INT(F860)+8/24)))*24),MAX(0,(INT(F860)+18/24-MAX(F860,INT(F860)+8/24)))*24*NETWORKDAYS.INTL(F860,F860,1,FERIADOS!$A$2:$A$50)+MAX(0,NETWORKDAYS.INTL(F860+1,NOW()-1,1,FERIADOS!$A$2:$A$50))*10+MAX(0,(MIN(NOW(),INT(NOW())+18/24)-(INT(NOW())+8/24)))*24*NETWORKDAYS.INTL(NOW(),NOW(),1,FERIADOS!$A$2:$A$50)))</f>
        <v/>
      </c>
      <c r="P860" s="1" t="str">
        <f t="shared" si="93"/>
        <v/>
      </c>
      <c r="Q860" s="1" t="str">
        <f t="shared" si="94"/>
        <v/>
      </c>
      <c r="R860" s="1" t="str">
        <f t="shared" si="95"/>
        <v/>
      </c>
      <c r="S860" s="1" t="str">
        <f>IF($A860="","",COUNTIF($N$2:N860,$N860))</f>
        <v/>
      </c>
      <c r="T860" s="1" t="str">
        <f t="shared" si="96"/>
        <v/>
      </c>
      <c r="U860" s="1" t="str">
        <f t="shared" si="97"/>
        <v/>
      </c>
      <c r="V860"/>
    </row>
    <row r="861" spans="13:22" x14ac:dyDescent="0.3">
      <c r="M861" s="1" t="str">
        <f t="shared" si="91"/>
        <v/>
      </c>
      <c r="N861" s="1" t="str">
        <f t="shared" si="92"/>
        <v/>
      </c>
      <c r="O861" s="1" t="str">
        <f ca="1">IF(F861="","",IF(INT(F861)=INT(NOW()),IF(NETWORKDAYS.INTL(F861,F861,1,FERIADOS!$A$2:$A$50)=0,0,MAX(0,(MIN(NOW(),INT(NOW())+18/24)-MAX(F861,INT(F861)+8/24)))*24),MAX(0,(INT(F861)+18/24-MAX(F861,INT(F861)+8/24)))*24*NETWORKDAYS.INTL(F861,F861,1,FERIADOS!$A$2:$A$50)+MAX(0,NETWORKDAYS.INTL(F861+1,NOW()-1,1,FERIADOS!$A$2:$A$50))*10+MAX(0,(MIN(NOW(),INT(NOW())+18/24)-(INT(NOW())+8/24)))*24*NETWORKDAYS.INTL(NOW(),NOW(),1,FERIADOS!$A$2:$A$50)))</f>
        <v/>
      </c>
      <c r="P861" s="1" t="str">
        <f t="shared" si="93"/>
        <v/>
      </c>
      <c r="Q861" s="1" t="str">
        <f t="shared" si="94"/>
        <v/>
      </c>
      <c r="R861" s="1" t="str">
        <f t="shared" si="95"/>
        <v/>
      </c>
      <c r="S861" s="1" t="str">
        <f>IF($A861="","",COUNTIF($N$2:N861,$N861))</f>
        <v/>
      </c>
      <c r="T861" s="1" t="str">
        <f t="shared" si="96"/>
        <v/>
      </c>
      <c r="U861" s="1" t="str">
        <f t="shared" si="97"/>
        <v/>
      </c>
      <c r="V861"/>
    </row>
    <row r="862" spans="13:22" x14ac:dyDescent="0.3">
      <c r="M862" s="1" t="str">
        <f t="shared" si="91"/>
        <v/>
      </c>
      <c r="N862" s="1" t="str">
        <f t="shared" si="92"/>
        <v/>
      </c>
      <c r="O862" s="1" t="str">
        <f ca="1">IF(F862="","",IF(INT(F862)=INT(NOW()),IF(NETWORKDAYS.INTL(F862,F862,1,FERIADOS!$A$2:$A$50)=0,0,MAX(0,(MIN(NOW(),INT(NOW())+18/24)-MAX(F862,INT(F862)+8/24)))*24),MAX(0,(INT(F862)+18/24-MAX(F862,INT(F862)+8/24)))*24*NETWORKDAYS.INTL(F862,F862,1,FERIADOS!$A$2:$A$50)+MAX(0,NETWORKDAYS.INTL(F862+1,NOW()-1,1,FERIADOS!$A$2:$A$50))*10+MAX(0,(MIN(NOW(),INT(NOW())+18/24)-(INT(NOW())+8/24)))*24*NETWORKDAYS.INTL(NOW(),NOW(),1,FERIADOS!$A$2:$A$50)))</f>
        <v/>
      </c>
      <c r="P862" s="1" t="str">
        <f t="shared" si="93"/>
        <v/>
      </c>
      <c r="Q862" s="1" t="str">
        <f t="shared" si="94"/>
        <v/>
      </c>
      <c r="R862" s="1" t="str">
        <f t="shared" si="95"/>
        <v/>
      </c>
      <c r="S862" s="1" t="str">
        <f>IF($A862="","",COUNTIF($N$2:N862,$N862))</f>
        <v/>
      </c>
      <c r="T862" s="1" t="str">
        <f t="shared" si="96"/>
        <v/>
      </c>
      <c r="U862" s="1" t="str">
        <f t="shared" si="97"/>
        <v/>
      </c>
      <c r="V862"/>
    </row>
    <row r="863" spans="13:22" x14ac:dyDescent="0.3">
      <c r="M863" s="1" t="str">
        <f t="shared" si="91"/>
        <v/>
      </c>
      <c r="N863" s="1" t="str">
        <f t="shared" si="92"/>
        <v/>
      </c>
      <c r="O863" s="1" t="str">
        <f ca="1">IF(F863="","",IF(INT(F863)=INT(NOW()),IF(NETWORKDAYS.INTL(F863,F863,1,FERIADOS!$A$2:$A$50)=0,0,MAX(0,(MIN(NOW(),INT(NOW())+18/24)-MAX(F863,INT(F863)+8/24)))*24),MAX(0,(INT(F863)+18/24-MAX(F863,INT(F863)+8/24)))*24*NETWORKDAYS.INTL(F863,F863,1,FERIADOS!$A$2:$A$50)+MAX(0,NETWORKDAYS.INTL(F863+1,NOW()-1,1,FERIADOS!$A$2:$A$50))*10+MAX(0,(MIN(NOW(),INT(NOW())+18/24)-(INT(NOW())+8/24)))*24*NETWORKDAYS.INTL(NOW(),NOW(),1,FERIADOS!$A$2:$A$50)))</f>
        <v/>
      </c>
      <c r="P863" s="1" t="str">
        <f t="shared" si="93"/>
        <v/>
      </c>
      <c r="Q863" s="1" t="str">
        <f t="shared" si="94"/>
        <v/>
      </c>
      <c r="R863" s="1" t="str">
        <f t="shared" si="95"/>
        <v/>
      </c>
      <c r="S863" s="1" t="str">
        <f>IF($A863="","",COUNTIF($N$2:N863,$N863))</f>
        <v/>
      </c>
      <c r="T863" s="1" t="str">
        <f t="shared" si="96"/>
        <v/>
      </c>
      <c r="U863" s="1" t="str">
        <f t="shared" si="97"/>
        <v/>
      </c>
      <c r="V863"/>
    </row>
    <row r="864" spans="13:22" x14ac:dyDescent="0.3">
      <c r="M864" s="1" t="str">
        <f t="shared" si="91"/>
        <v/>
      </c>
      <c r="N864" s="1" t="str">
        <f t="shared" si="92"/>
        <v/>
      </c>
      <c r="O864" s="1" t="str">
        <f ca="1">IF(F864="","",IF(INT(F864)=INT(NOW()),IF(NETWORKDAYS.INTL(F864,F864,1,FERIADOS!$A$2:$A$50)=0,0,MAX(0,(MIN(NOW(),INT(NOW())+18/24)-MAX(F864,INT(F864)+8/24)))*24),MAX(0,(INT(F864)+18/24-MAX(F864,INT(F864)+8/24)))*24*NETWORKDAYS.INTL(F864,F864,1,FERIADOS!$A$2:$A$50)+MAX(0,NETWORKDAYS.INTL(F864+1,NOW()-1,1,FERIADOS!$A$2:$A$50))*10+MAX(0,(MIN(NOW(),INT(NOW())+18/24)-(INT(NOW())+8/24)))*24*NETWORKDAYS.INTL(NOW(),NOW(),1,FERIADOS!$A$2:$A$50)))</f>
        <v/>
      </c>
      <c r="P864" s="1" t="str">
        <f t="shared" si="93"/>
        <v/>
      </c>
      <c r="Q864" s="1" t="str">
        <f t="shared" si="94"/>
        <v/>
      </c>
      <c r="R864" s="1" t="str">
        <f t="shared" si="95"/>
        <v/>
      </c>
      <c r="S864" s="1" t="str">
        <f>IF($A864="","",COUNTIF($N$2:N864,$N864))</f>
        <v/>
      </c>
      <c r="T864" s="1" t="str">
        <f t="shared" si="96"/>
        <v/>
      </c>
      <c r="U864" s="1" t="str">
        <f t="shared" si="97"/>
        <v/>
      </c>
      <c r="V864"/>
    </row>
    <row r="865" spans="13:22" x14ac:dyDescent="0.3">
      <c r="M865" s="1" t="str">
        <f t="shared" si="91"/>
        <v/>
      </c>
      <c r="N865" s="1" t="str">
        <f t="shared" si="92"/>
        <v/>
      </c>
      <c r="O865" s="1" t="str">
        <f ca="1">IF(F865="","",IF(INT(F865)=INT(NOW()),IF(NETWORKDAYS.INTL(F865,F865,1,FERIADOS!$A$2:$A$50)=0,0,MAX(0,(MIN(NOW(),INT(NOW())+18/24)-MAX(F865,INT(F865)+8/24)))*24),MAX(0,(INT(F865)+18/24-MAX(F865,INT(F865)+8/24)))*24*NETWORKDAYS.INTL(F865,F865,1,FERIADOS!$A$2:$A$50)+MAX(0,NETWORKDAYS.INTL(F865+1,NOW()-1,1,FERIADOS!$A$2:$A$50))*10+MAX(0,(MIN(NOW(),INT(NOW())+18/24)-(INT(NOW())+8/24)))*24*NETWORKDAYS.INTL(NOW(),NOW(),1,FERIADOS!$A$2:$A$50)))</f>
        <v/>
      </c>
      <c r="P865" s="1" t="str">
        <f t="shared" si="93"/>
        <v/>
      </c>
      <c r="Q865" s="1" t="str">
        <f t="shared" si="94"/>
        <v/>
      </c>
      <c r="R865" s="1" t="str">
        <f t="shared" si="95"/>
        <v/>
      </c>
      <c r="S865" s="1" t="str">
        <f>IF($A865="","",COUNTIF($N$2:N865,$N865))</f>
        <v/>
      </c>
      <c r="T865" s="1" t="str">
        <f t="shared" si="96"/>
        <v/>
      </c>
      <c r="U865" s="1" t="str">
        <f t="shared" si="97"/>
        <v/>
      </c>
      <c r="V865"/>
    </row>
    <row r="866" spans="13:22" x14ac:dyDescent="0.3">
      <c r="M866" s="1" t="str">
        <f t="shared" si="91"/>
        <v/>
      </c>
      <c r="N866" s="1" t="str">
        <f t="shared" si="92"/>
        <v/>
      </c>
      <c r="O866" s="1" t="str">
        <f ca="1">IF(F866="","",IF(INT(F866)=INT(NOW()),IF(NETWORKDAYS.INTL(F866,F866,1,FERIADOS!$A$2:$A$50)=0,0,MAX(0,(MIN(NOW(),INT(NOW())+18/24)-MAX(F866,INT(F866)+8/24)))*24),MAX(0,(INT(F866)+18/24-MAX(F866,INT(F866)+8/24)))*24*NETWORKDAYS.INTL(F866,F866,1,FERIADOS!$A$2:$A$50)+MAX(0,NETWORKDAYS.INTL(F866+1,NOW()-1,1,FERIADOS!$A$2:$A$50))*10+MAX(0,(MIN(NOW(),INT(NOW())+18/24)-(INT(NOW())+8/24)))*24*NETWORKDAYS.INTL(NOW(),NOW(),1,FERIADOS!$A$2:$A$50)))</f>
        <v/>
      </c>
      <c r="P866" s="1" t="str">
        <f t="shared" si="93"/>
        <v/>
      </c>
      <c r="Q866" s="1" t="str">
        <f t="shared" si="94"/>
        <v/>
      </c>
      <c r="R866" s="1" t="str">
        <f t="shared" si="95"/>
        <v/>
      </c>
      <c r="S866" s="1" t="str">
        <f>IF($A866="","",COUNTIF($N$2:N866,$N866))</f>
        <v/>
      </c>
      <c r="T866" s="1" t="str">
        <f t="shared" si="96"/>
        <v/>
      </c>
      <c r="U866" s="1" t="str">
        <f t="shared" si="97"/>
        <v/>
      </c>
      <c r="V866"/>
    </row>
    <row r="867" spans="13:22" x14ac:dyDescent="0.3">
      <c r="M867" s="1" t="str">
        <f t="shared" si="91"/>
        <v/>
      </c>
      <c r="N867" s="1" t="str">
        <f t="shared" si="92"/>
        <v/>
      </c>
      <c r="O867" s="1" t="str">
        <f ca="1">IF(F867="","",IF(INT(F867)=INT(NOW()),IF(NETWORKDAYS.INTL(F867,F867,1,FERIADOS!$A$2:$A$50)=0,0,MAX(0,(MIN(NOW(),INT(NOW())+18/24)-MAX(F867,INT(F867)+8/24)))*24),MAX(0,(INT(F867)+18/24-MAX(F867,INT(F867)+8/24)))*24*NETWORKDAYS.INTL(F867,F867,1,FERIADOS!$A$2:$A$50)+MAX(0,NETWORKDAYS.INTL(F867+1,NOW()-1,1,FERIADOS!$A$2:$A$50))*10+MAX(0,(MIN(NOW(),INT(NOW())+18/24)-(INT(NOW())+8/24)))*24*NETWORKDAYS.INTL(NOW(),NOW(),1,FERIADOS!$A$2:$A$50)))</f>
        <v/>
      </c>
      <c r="P867" s="1" t="str">
        <f t="shared" si="93"/>
        <v/>
      </c>
      <c r="Q867" s="1" t="str">
        <f t="shared" si="94"/>
        <v/>
      </c>
      <c r="R867" s="1" t="str">
        <f t="shared" si="95"/>
        <v/>
      </c>
      <c r="S867" s="1" t="str">
        <f>IF($A867="","",COUNTIF($N$2:N867,$N867))</f>
        <v/>
      </c>
      <c r="T867" s="1" t="str">
        <f t="shared" si="96"/>
        <v/>
      </c>
      <c r="U867" s="1" t="str">
        <f t="shared" si="97"/>
        <v/>
      </c>
      <c r="V867"/>
    </row>
    <row r="868" spans="13:22" x14ac:dyDescent="0.3">
      <c r="M868" s="1" t="str">
        <f t="shared" si="91"/>
        <v/>
      </c>
      <c r="N868" s="1" t="str">
        <f t="shared" si="92"/>
        <v/>
      </c>
      <c r="O868" s="1" t="str">
        <f ca="1">IF(F868="","",IF(INT(F868)=INT(NOW()),IF(NETWORKDAYS.INTL(F868,F868,1,FERIADOS!$A$2:$A$50)=0,0,MAX(0,(MIN(NOW(),INT(NOW())+18/24)-MAX(F868,INT(F868)+8/24)))*24),MAX(0,(INT(F868)+18/24-MAX(F868,INT(F868)+8/24)))*24*NETWORKDAYS.INTL(F868,F868,1,FERIADOS!$A$2:$A$50)+MAX(0,NETWORKDAYS.INTL(F868+1,NOW()-1,1,FERIADOS!$A$2:$A$50))*10+MAX(0,(MIN(NOW(),INT(NOW())+18/24)-(INT(NOW())+8/24)))*24*NETWORKDAYS.INTL(NOW(),NOW(),1,FERIADOS!$A$2:$A$50)))</f>
        <v/>
      </c>
      <c r="P868" s="1" t="str">
        <f t="shared" si="93"/>
        <v/>
      </c>
      <c r="Q868" s="1" t="str">
        <f t="shared" si="94"/>
        <v/>
      </c>
      <c r="R868" s="1" t="str">
        <f t="shared" si="95"/>
        <v/>
      </c>
      <c r="S868" s="1" t="str">
        <f>IF($A868="","",COUNTIF($N$2:N868,$N868))</f>
        <v/>
      </c>
      <c r="T868" s="1" t="str">
        <f t="shared" si="96"/>
        <v/>
      </c>
      <c r="U868" s="1" t="str">
        <f t="shared" si="97"/>
        <v/>
      </c>
      <c r="V868"/>
    </row>
    <row r="869" spans="13:22" x14ac:dyDescent="0.3">
      <c r="M869" s="1" t="str">
        <f t="shared" si="91"/>
        <v/>
      </c>
      <c r="N869" s="1" t="str">
        <f t="shared" si="92"/>
        <v/>
      </c>
      <c r="O869" s="1" t="str">
        <f ca="1">IF(F869="","",IF(INT(F869)=INT(NOW()),IF(NETWORKDAYS.INTL(F869,F869,1,FERIADOS!$A$2:$A$50)=0,0,MAX(0,(MIN(NOW(),INT(NOW())+18/24)-MAX(F869,INT(F869)+8/24)))*24),MAX(0,(INT(F869)+18/24-MAX(F869,INT(F869)+8/24)))*24*NETWORKDAYS.INTL(F869,F869,1,FERIADOS!$A$2:$A$50)+MAX(0,NETWORKDAYS.INTL(F869+1,NOW()-1,1,FERIADOS!$A$2:$A$50))*10+MAX(0,(MIN(NOW(),INT(NOW())+18/24)-(INT(NOW())+8/24)))*24*NETWORKDAYS.INTL(NOW(),NOW(),1,FERIADOS!$A$2:$A$50)))</f>
        <v/>
      </c>
      <c r="P869" s="1" t="str">
        <f t="shared" si="93"/>
        <v/>
      </c>
      <c r="Q869" s="1" t="str">
        <f t="shared" si="94"/>
        <v/>
      </c>
      <c r="R869" s="1" t="str">
        <f t="shared" si="95"/>
        <v/>
      </c>
      <c r="S869" s="1" t="str">
        <f>IF($A869="","",COUNTIF($N$2:N869,$N869))</f>
        <v/>
      </c>
      <c r="T869" s="1" t="str">
        <f t="shared" si="96"/>
        <v/>
      </c>
      <c r="U869" s="1" t="str">
        <f t="shared" si="97"/>
        <v/>
      </c>
      <c r="V869"/>
    </row>
    <row r="870" spans="13:22" x14ac:dyDescent="0.3">
      <c r="M870" s="1" t="str">
        <f t="shared" si="91"/>
        <v/>
      </c>
      <c r="N870" s="1" t="str">
        <f t="shared" si="92"/>
        <v/>
      </c>
      <c r="O870" s="1" t="str">
        <f ca="1">IF(F870="","",IF(INT(F870)=INT(NOW()),IF(NETWORKDAYS.INTL(F870,F870,1,FERIADOS!$A$2:$A$50)=0,0,MAX(0,(MIN(NOW(),INT(NOW())+18/24)-MAX(F870,INT(F870)+8/24)))*24),MAX(0,(INT(F870)+18/24-MAX(F870,INT(F870)+8/24)))*24*NETWORKDAYS.INTL(F870,F870,1,FERIADOS!$A$2:$A$50)+MAX(0,NETWORKDAYS.INTL(F870+1,NOW()-1,1,FERIADOS!$A$2:$A$50))*10+MAX(0,(MIN(NOW(),INT(NOW())+18/24)-(INT(NOW())+8/24)))*24*NETWORKDAYS.INTL(NOW(),NOW(),1,FERIADOS!$A$2:$A$50)))</f>
        <v/>
      </c>
      <c r="P870" s="1" t="str">
        <f t="shared" si="93"/>
        <v/>
      </c>
      <c r="Q870" s="1" t="str">
        <f t="shared" si="94"/>
        <v/>
      </c>
      <c r="R870" s="1" t="str">
        <f t="shared" si="95"/>
        <v/>
      </c>
      <c r="S870" s="1" t="str">
        <f>IF($A870="","",COUNTIF($N$2:N870,$N870))</f>
        <v/>
      </c>
      <c r="T870" s="1" t="str">
        <f t="shared" si="96"/>
        <v/>
      </c>
      <c r="U870" s="1" t="str">
        <f t="shared" si="97"/>
        <v/>
      </c>
      <c r="V870"/>
    </row>
    <row r="871" spans="13:22" x14ac:dyDescent="0.3">
      <c r="M871" s="1" t="str">
        <f t="shared" si="91"/>
        <v/>
      </c>
      <c r="N871" s="1" t="str">
        <f t="shared" si="92"/>
        <v/>
      </c>
      <c r="O871" s="1" t="str">
        <f ca="1">IF(F871="","",IF(INT(F871)=INT(NOW()),IF(NETWORKDAYS.INTL(F871,F871,1,FERIADOS!$A$2:$A$50)=0,0,MAX(0,(MIN(NOW(),INT(NOW())+18/24)-MAX(F871,INT(F871)+8/24)))*24),MAX(0,(INT(F871)+18/24-MAX(F871,INT(F871)+8/24)))*24*NETWORKDAYS.INTL(F871,F871,1,FERIADOS!$A$2:$A$50)+MAX(0,NETWORKDAYS.INTL(F871+1,NOW()-1,1,FERIADOS!$A$2:$A$50))*10+MAX(0,(MIN(NOW(),INT(NOW())+18/24)-(INT(NOW())+8/24)))*24*NETWORKDAYS.INTL(NOW(),NOW(),1,FERIADOS!$A$2:$A$50)))</f>
        <v/>
      </c>
      <c r="P871" s="1" t="str">
        <f t="shared" si="93"/>
        <v/>
      </c>
      <c r="Q871" s="1" t="str">
        <f t="shared" si="94"/>
        <v/>
      </c>
      <c r="R871" s="1" t="str">
        <f t="shared" si="95"/>
        <v/>
      </c>
      <c r="S871" s="1" t="str">
        <f>IF($A871="","",COUNTIF($N$2:N871,$N871))</f>
        <v/>
      </c>
      <c r="T871" s="1" t="str">
        <f t="shared" si="96"/>
        <v/>
      </c>
      <c r="U871" s="1" t="str">
        <f t="shared" si="97"/>
        <v/>
      </c>
      <c r="V871"/>
    </row>
    <row r="872" spans="13:22" x14ac:dyDescent="0.3">
      <c r="M872" s="1" t="str">
        <f t="shared" si="91"/>
        <v/>
      </c>
      <c r="N872" s="1" t="str">
        <f t="shared" si="92"/>
        <v/>
      </c>
      <c r="O872" s="1" t="str">
        <f ca="1">IF(F872="","",IF(INT(F872)=INT(NOW()),IF(NETWORKDAYS.INTL(F872,F872,1,FERIADOS!$A$2:$A$50)=0,0,MAX(0,(MIN(NOW(),INT(NOW())+18/24)-MAX(F872,INT(F872)+8/24)))*24),MAX(0,(INT(F872)+18/24-MAX(F872,INT(F872)+8/24)))*24*NETWORKDAYS.INTL(F872,F872,1,FERIADOS!$A$2:$A$50)+MAX(0,NETWORKDAYS.INTL(F872+1,NOW()-1,1,FERIADOS!$A$2:$A$50))*10+MAX(0,(MIN(NOW(),INT(NOW())+18/24)-(INT(NOW())+8/24)))*24*NETWORKDAYS.INTL(NOW(),NOW(),1,FERIADOS!$A$2:$A$50)))</f>
        <v/>
      </c>
      <c r="P872" s="1" t="str">
        <f t="shared" si="93"/>
        <v/>
      </c>
      <c r="Q872" s="1" t="str">
        <f t="shared" si="94"/>
        <v/>
      </c>
      <c r="R872" s="1" t="str">
        <f t="shared" si="95"/>
        <v/>
      </c>
      <c r="S872" s="1" t="str">
        <f>IF($A872="","",COUNTIF($N$2:N872,$N872))</f>
        <v/>
      </c>
      <c r="T872" s="1" t="str">
        <f t="shared" si="96"/>
        <v/>
      </c>
      <c r="U872" s="1" t="str">
        <f t="shared" si="97"/>
        <v/>
      </c>
      <c r="V872"/>
    </row>
    <row r="873" spans="13:22" x14ac:dyDescent="0.3">
      <c r="M873" s="1" t="str">
        <f t="shared" si="91"/>
        <v/>
      </c>
      <c r="N873" s="1" t="str">
        <f t="shared" si="92"/>
        <v/>
      </c>
      <c r="O873" s="1" t="str">
        <f ca="1">IF(F873="","",IF(INT(F873)=INT(NOW()),IF(NETWORKDAYS.INTL(F873,F873,1,FERIADOS!$A$2:$A$50)=0,0,MAX(0,(MIN(NOW(),INT(NOW())+18/24)-MAX(F873,INT(F873)+8/24)))*24),MAX(0,(INT(F873)+18/24-MAX(F873,INT(F873)+8/24)))*24*NETWORKDAYS.INTL(F873,F873,1,FERIADOS!$A$2:$A$50)+MAX(0,NETWORKDAYS.INTL(F873+1,NOW()-1,1,FERIADOS!$A$2:$A$50))*10+MAX(0,(MIN(NOW(),INT(NOW())+18/24)-(INT(NOW())+8/24)))*24*NETWORKDAYS.INTL(NOW(),NOW(),1,FERIADOS!$A$2:$A$50)))</f>
        <v/>
      </c>
      <c r="P873" s="1" t="str">
        <f t="shared" si="93"/>
        <v/>
      </c>
      <c r="Q873" s="1" t="str">
        <f t="shared" si="94"/>
        <v/>
      </c>
      <c r="R873" s="1" t="str">
        <f t="shared" si="95"/>
        <v/>
      </c>
      <c r="S873" s="1" t="str">
        <f>IF($A873="","",COUNTIF($N$2:N873,$N873))</f>
        <v/>
      </c>
      <c r="T873" s="1" t="str">
        <f t="shared" si="96"/>
        <v/>
      </c>
      <c r="U873" s="1" t="str">
        <f t="shared" si="97"/>
        <v/>
      </c>
      <c r="V873"/>
    </row>
    <row r="874" spans="13:22" x14ac:dyDescent="0.3">
      <c r="M874" s="1" t="str">
        <f t="shared" si="91"/>
        <v/>
      </c>
      <c r="N874" s="1" t="str">
        <f t="shared" si="92"/>
        <v/>
      </c>
      <c r="O874" s="1" t="str">
        <f ca="1">IF(F874="","",IF(INT(F874)=INT(NOW()),IF(NETWORKDAYS.INTL(F874,F874,1,FERIADOS!$A$2:$A$50)=0,0,MAX(0,(MIN(NOW(),INT(NOW())+18/24)-MAX(F874,INT(F874)+8/24)))*24),MAX(0,(INT(F874)+18/24-MAX(F874,INT(F874)+8/24)))*24*NETWORKDAYS.INTL(F874,F874,1,FERIADOS!$A$2:$A$50)+MAX(0,NETWORKDAYS.INTL(F874+1,NOW()-1,1,FERIADOS!$A$2:$A$50))*10+MAX(0,(MIN(NOW(),INT(NOW())+18/24)-(INT(NOW())+8/24)))*24*NETWORKDAYS.INTL(NOW(),NOW(),1,FERIADOS!$A$2:$A$50)))</f>
        <v/>
      </c>
      <c r="P874" s="1" t="str">
        <f t="shared" si="93"/>
        <v/>
      </c>
      <c r="Q874" s="1" t="str">
        <f t="shared" si="94"/>
        <v/>
      </c>
      <c r="R874" s="1" t="str">
        <f t="shared" si="95"/>
        <v/>
      </c>
      <c r="S874" s="1" t="str">
        <f>IF($A874="","",COUNTIF($N$2:N874,$N874))</f>
        <v/>
      </c>
      <c r="T874" s="1" t="str">
        <f t="shared" si="96"/>
        <v/>
      </c>
      <c r="U874" s="1" t="str">
        <f t="shared" si="97"/>
        <v/>
      </c>
      <c r="V874"/>
    </row>
    <row r="875" spans="13:22" x14ac:dyDescent="0.3">
      <c r="M875" s="1" t="str">
        <f t="shared" si="91"/>
        <v/>
      </c>
      <c r="N875" s="1" t="str">
        <f t="shared" si="92"/>
        <v/>
      </c>
      <c r="O875" s="1" t="str">
        <f ca="1">IF(F875="","",IF(INT(F875)=INT(NOW()),IF(NETWORKDAYS.INTL(F875,F875,1,FERIADOS!$A$2:$A$50)=0,0,MAX(0,(MIN(NOW(),INT(NOW())+18/24)-MAX(F875,INT(F875)+8/24)))*24),MAX(0,(INT(F875)+18/24-MAX(F875,INT(F875)+8/24)))*24*NETWORKDAYS.INTL(F875,F875,1,FERIADOS!$A$2:$A$50)+MAX(0,NETWORKDAYS.INTL(F875+1,NOW()-1,1,FERIADOS!$A$2:$A$50))*10+MAX(0,(MIN(NOW(),INT(NOW())+18/24)-(INT(NOW())+8/24)))*24*NETWORKDAYS.INTL(NOW(),NOW(),1,FERIADOS!$A$2:$A$50)))</f>
        <v/>
      </c>
      <c r="P875" s="1" t="str">
        <f t="shared" si="93"/>
        <v/>
      </c>
      <c r="Q875" s="1" t="str">
        <f t="shared" si="94"/>
        <v/>
      </c>
      <c r="R875" s="1" t="str">
        <f t="shared" si="95"/>
        <v/>
      </c>
      <c r="S875" s="1" t="str">
        <f>IF($A875="","",COUNTIF($N$2:N875,$N875))</f>
        <v/>
      </c>
      <c r="T875" s="1" t="str">
        <f t="shared" si="96"/>
        <v/>
      </c>
      <c r="U875" s="1" t="str">
        <f t="shared" si="97"/>
        <v/>
      </c>
      <c r="V875"/>
    </row>
    <row r="876" spans="13:22" x14ac:dyDescent="0.3">
      <c r="M876" s="1" t="str">
        <f t="shared" si="91"/>
        <v/>
      </c>
      <c r="N876" s="1" t="str">
        <f t="shared" si="92"/>
        <v/>
      </c>
      <c r="O876" s="1" t="str">
        <f ca="1">IF(F876="","",IF(INT(F876)=INT(NOW()),IF(NETWORKDAYS.INTL(F876,F876,1,FERIADOS!$A$2:$A$50)=0,0,MAX(0,(MIN(NOW(),INT(NOW())+18/24)-MAX(F876,INT(F876)+8/24)))*24),MAX(0,(INT(F876)+18/24-MAX(F876,INT(F876)+8/24)))*24*NETWORKDAYS.INTL(F876,F876,1,FERIADOS!$A$2:$A$50)+MAX(0,NETWORKDAYS.INTL(F876+1,NOW()-1,1,FERIADOS!$A$2:$A$50))*10+MAX(0,(MIN(NOW(),INT(NOW())+18/24)-(INT(NOW())+8/24)))*24*NETWORKDAYS.INTL(NOW(),NOW(),1,FERIADOS!$A$2:$A$50)))</f>
        <v/>
      </c>
      <c r="P876" s="1" t="str">
        <f t="shared" si="93"/>
        <v/>
      </c>
      <c r="Q876" s="1" t="str">
        <f t="shared" si="94"/>
        <v/>
      </c>
      <c r="R876" s="1" t="str">
        <f t="shared" si="95"/>
        <v/>
      </c>
      <c r="S876" s="1" t="str">
        <f>IF($A876="","",COUNTIF($N$2:N876,$N876))</f>
        <v/>
      </c>
      <c r="T876" s="1" t="str">
        <f t="shared" si="96"/>
        <v/>
      </c>
      <c r="U876" s="1" t="str">
        <f t="shared" si="97"/>
        <v/>
      </c>
      <c r="V876"/>
    </row>
    <row r="877" spans="13:22" x14ac:dyDescent="0.3">
      <c r="M877" s="1" t="str">
        <f t="shared" si="91"/>
        <v/>
      </c>
      <c r="N877" s="1" t="str">
        <f t="shared" si="92"/>
        <v/>
      </c>
      <c r="O877" s="1" t="str">
        <f ca="1">IF(F877="","",IF(INT(F877)=INT(NOW()),IF(NETWORKDAYS.INTL(F877,F877,1,FERIADOS!$A$2:$A$50)=0,0,MAX(0,(MIN(NOW(),INT(NOW())+18/24)-MAX(F877,INT(F877)+8/24)))*24),MAX(0,(INT(F877)+18/24-MAX(F877,INT(F877)+8/24)))*24*NETWORKDAYS.INTL(F877,F877,1,FERIADOS!$A$2:$A$50)+MAX(0,NETWORKDAYS.INTL(F877+1,NOW()-1,1,FERIADOS!$A$2:$A$50))*10+MAX(0,(MIN(NOW(),INT(NOW())+18/24)-(INT(NOW())+8/24)))*24*NETWORKDAYS.INTL(NOW(),NOW(),1,FERIADOS!$A$2:$A$50)))</f>
        <v/>
      </c>
      <c r="P877" s="1" t="str">
        <f t="shared" si="93"/>
        <v/>
      </c>
      <c r="Q877" s="1" t="str">
        <f t="shared" si="94"/>
        <v/>
      </c>
      <c r="R877" s="1" t="str">
        <f t="shared" si="95"/>
        <v/>
      </c>
      <c r="S877" s="1" t="str">
        <f>IF($A877="","",COUNTIF($N$2:N877,$N877))</f>
        <v/>
      </c>
      <c r="T877" s="1" t="str">
        <f t="shared" si="96"/>
        <v/>
      </c>
      <c r="U877" s="1" t="str">
        <f t="shared" si="97"/>
        <v/>
      </c>
      <c r="V877"/>
    </row>
    <row r="878" spans="13:22" x14ac:dyDescent="0.3">
      <c r="M878" s="1" t="str">
        <f t="shared" si="91"/>
        <v/>
      </c>
      <c r="N878" s="1" t="str">
        <f t="shared" si="92"/>
        <v/>
      </c>
      <c r="O878" s="1" t="str">
        <f ca="1">IF(F878="","",IF(INT(F878)=INT(NOW()),IF(NETWORKDAYS.INTL(F878,F878,1,FERIADOS!$A$2:$A$50)=0,0,MAX(0,(MIN(NOW(),INT(NOW())+18/24)-MAX(F878,INT(F878)+8/24)))*24),MAX(0,(INT(F878)+18/24-MAX(F878,INT(F878)+8/24)))*24*NETWORKDAYS.INTL(F878,F878,1,FERIADOS!$A$2:$A$50)+MAX(0,NETWORKDAYS.INTL(F878+1,NOW()-1,1,FERIADOS!$A$2:$A$50))*10+MAX(0,(MIN(NOW(),INT(NOW())+18/24)-(INT(NOW())+8/24)))*24*NETWORKDAYS.INTL(NOW(),NOW(),1,FERIADOS!$A$2:$A$50)))</f>
        <v/>
      </c>
      <c r="P878" s="1" t="str">
        <f t="shared" si="93"/>
        <v/>
      </c>
      <c r="Q878" s="1" t="str">
        <f t="shared" si="94"/>
        <v/>
      </c>
      <c r="R878" s="1" t="str">
        <f t="shared" si="95"/>
        <v/>
      </c>
      <c r="S878" s="1" t="str">
        <f>IF($A878="","",COUNTIF($N$2:N878,$N878))</f>
        <v/>
      </c>
      <c r="T878" s="1" t="str">
        <f t="shared" si="96"/>
        <v/>
      </c>
      <c r="U878" s="1" t="str">
        <f t="shared" si="97"/>
        <v/>
      </c>
      <c r="V878"/>
    </row>
    <row r="879" spans="13:22" x14ac:dyDescent="0.3">
      <c r="M879" s="1" t="str">
        <f t="shared" si="91"/>
        <v/>
      </c>
      <c r="N879" s="1" t="str">
        <f t="shared" si="92"/>
        <v/>
      </c>
      <c r="O879" s="1" t="str">
        <f ca="1">IF(F879="","",IF(INT(F879)=INT(NOW()),IF(NETWORKDAYS.INTL(F879,F879,1,FERIADOS!$A$2:$A$50)=0,0,MAX(0,(MIN(NOW(),INT(NOW())+18/24)-MAX(F879,INT(F879)+8/24)))*24),MAX(0,(INT(F879)+18/24-MAX(F879,INT(F879)+8/24)))*24*NETWORKDAYS.INTL(F879,F879,1,FERIADOS!$A$2:$A$50)+MAX(0,NETWORKDAYS.INTL(F879+1,NOW()-1,1,FERIADOS!$A$2:$A$50))*10+MAX(0,(MIN(NOW(),INT(NOW())+18/24)-(INT(NOW())+8/24)))*24*NETWORKDAYS.INTL(NOW(),NOW(),1,FERIADOS!$A$2:$A$50)))</f>
        <v/>
      </c>
      <c r="P879" s="1" t="str">
        <f t="shared" si="93"/>
        <v/>
      </c>
      <c r="Q879" s="1" t="str">
        <f t="shared" si="94"/>
        <v/>
      </c>
      <c r="R879" s="1" t="str">
        <f t="shared" si="95"/>
        <v/>
      </c>
      <c r="S879" s="1" t="str">
        <f>IF($A879="","",COUNTIF($N$2:N879,$N879))</f>
        <v/>
      </c>
      <c r="T879" s="1" t="str">
        <f t="shared" si="96"/>
        <v/>
      </c>
      <c r="U879" s="1" t="str">
        <f t="shared" si="97"/>
        <v/>
      </c>
      <c r="V879"/>
    </row>
    <row r="880" spans="13:22" x14ac:dyDescent="0.3">
      <c r="M880" s="1" t="str">
        <f t="shared" si="91"/>
        <v/>
      </c>
      <c r="N880" s="1" t="str">
        <f t="shared" si="92"/>
        <v/>
      </c>
      <c r="O880" s="1" t="str">
        <f ca="1">IF(F880="","",IF(INT(F880)=INT(NOW()),IF(NETWORKDAYS.INTL(F880,F880,1,FERIADOS!$A$2:$A$50)=0,0,MAX(0,(MIN(NOW(),INT(NOW())+18/24)-MAX(F880,INT(F880)+8/24)))*24),MAX(0,(INT(F880)+18/24-MAX(F880,INT(F880)+8/24)))*24*NETWORKDAYS.INTL(F880,F880,1,FERIADOS!$A$2:$A$50)+MAX(0,NETWORKDAYS.INTL(F880+1,NOW()-1,1,FERIADOS!$A$2:$A$50))*10+MAX(0,(MIN(NOW(),INT(NOW())+18/24)-(INT(NOW())+8/24)))*24*NETWORKDAYS.INTL(NOW(),NOW(),1,FERIADOS!$A$2:$A$50)))</f>
        <v/>
      </c>
      <c r="P880" s="1" t="str">
        <f t="shared" si="93"/>
        <v/>
      </c>
      <c r="Q880" s="1" t="str">
        <f t="shared" si="94"/>
        <v/>
      </c>
      <c r="R880" s="1" t="str">
        <f t="shared" si="95"/>
        <v/>
      </c>
      <c r="S880" s="1" t="str">
        <f>IF($A880="","",COUNTIF($N$2:N880,$N880))</f>
        <v/>
      </c>
      <c r="T880" s="1" t="str">
        <f t="shared" si="96"/>
        <v/>
      </c>
      <c r="U880" s="1" t="str">
        <f t="shared" si="97"/>
        <v/>
      </c>
      <c r="V880"/>
    </row>
    <row r="881" spans="13:22" x14ac:dyDescent="0.3">
      <c r="M881" s="1" t="str">
        <f t="shared" si="91"/>
        <v/>
      </c>
      <c r="N881" s="1" t="str">
        <f t="shared" si="92"/>
        <v/>
      </c>
      <c r="O881" s="1" t="str">
        <f ca="1">IF(F881="","",IF(INT(F881)=INT(NOW()),IF(NETWORKDAYS.INTL(F881,F881,1,FERIADOS!$A$2:$A$50)=0,0,MAX(0,(MIN(NOW(),INT(NOW())+18/24)-MAX(F881,INT(F881)+8/24)))*24),MAX(0,(INT(F881)+18/24-MAX(F881,INT(F881)+8/24)))*24*NETWORKDAYS.INTL(F881,F881,1,FERIADOS!$A$2:$A$50)+MAX(0,NETWORKDAYS.INTL(F881+1,NOW()-1,1,FERIADOS!$A$2:$A$50))*10+MAX(0,(MIN(NOW(),INT(NOW())+18/24)-(INT(NOW())+8/24)))*24*NETWORKDAYS.INTL(NOW(),NOW(),1,FERIADOS!$A$2:$A$50)))</f>
        <v/>
      </c>
      <c r="P881" s="1" t="str">
        <f t="shared" si="93"/>
        <v/>
      </c>
      <c r="Q881" s="1" t="str">
        <f t="shared" si="94"/>
        <v/>
      </c>
      <c r="R881" s="1" t="str">
        <f t="shared" si="95"/>
        <v/>
      </c>
      <c r="S881" s="1" t="str">
        <f>IF($A881="","",COUNTIF($N$2:N881,$N881))</f>
        <v/>
      </c>
      <c r="T881" s="1" t="str">
        <f t="shared" si="96"/>
        <v/>
      </c>
      <c r="U881" s="1" t="str">
        <f t="shared" si="97"/>
        <v/>
      </c>
      <c r="V881"/>
    </row>
    <row r="882" spans="13:22" x14ac:dyDescent="0.3">
      <c r="M882" s="1" t="str">
        <f t="shared" si="91"/>
        <v/>
      </c>
      <c r="N882" s="1" t="str">
        <f t="shared" si="92"/>
        <v/>
      </c>
      <c r="O882" s="1" t="str">
        <f ca="1">IF(F882="","",IF(INT(F882)=INT(NOW()),IF(NETWORKDAYS.INTL(F882,F882,1,FERIADOS!$A$2:$A$50)=0,0,MAX(0,(MIN(NOW(),INT(NOW())+18/24)-MAX(F882,INT(F882)+8/24)))*24),MAX(0,(INT(F882)+18/24-MAX(F882,INT(F882)+8/24)))*24*NETWORKDAYS.INTL(F882,F882,1,FERIADOS!$A$2:$A$50)+MAX(0,NETWORKDAYS.INTL(F882+1,NOW()-1,1,FERIADOS!$A$2:$A$50))*10+MAX(0,(MIN(NOW(),INT(NOW())+18/24)-(INT(NOW())+8/24)))*24*NETWORKDAYS.INTL(NOW(),NOW(),1,FERIADOS!$A$2:$A$50)))</f>
        <v/>
      </c>
      <c r="P882" s="1" t="str">
        <f t="shared" si="93"/>
        <v/>
      </c>
      <c r="Q882" s="1" t="str">
        <f t="shared" si="94"/>
        <v/>
      </c>
      <c r="R882" s="1" t="str">
        <f t="shared" si="95"/>
        <v/>
      </c>
      <c r="S882" s="1" t="str">
        <f>IF($A882="","",COUNTIF($N$2:N882,$N882))</f>
        <v/>
      </c>
      <c r="T882" s="1" t="str">
        <f t="shared" si="96"/>
        <v/>
      </c>
      <c r="U882" s="1" t="str">
        <f t="shared" si="97"/>
        <v/>
      </c>
      <c r="V882"/>
    </row>
    <row r="883" spans="13:22" x14ac:dyDescent="0.3">
      <c r="M883" s="1" t="str">
        <f t="shared" si="91"/>
        <v/>
      </c>
      <c r="N883" s="1" t="str">
        <f t="shared" si="92"/>
        <v/>
      </c>
      <c r="O883" s="1" t="str">
        <f ca="1">IF(F883="","",IF(INT(F883)=INT(NOW()),IF(NETWORKDAYS.INTL(F883,F883,1,FERIADOS!$A$2:$A$50)=0,0,MAX(0,(MIN(NOW(),INT(NOW())+18/24)-MAX(F883,INT(F883)+8/24)))*24),MAX(0,(INT(F883)+18/24-MAX(F883,INT(F883)+8/24)))*24*NETWORKDAYS.INTL(F883,F883,1,FERIADOS!$A$2:$A$50)+MAX(0,NETWORKDAYS.INTL(F883+1,NOW()-1,1,FERIADOS!$A$2:$A$50))*10+MAX(0,(MIN(NOW(),INT(NOW())+18/24)-(INT(NOW())+8/24)))*24*NETWORKDAYS.INTL(NOW(),NOW(),1,FERIADOS!$A$2:$A$50)))</f>
        <v/>
      </c>
      <c r="P883" s="1" t="str">
        <f t="shared" si="93"/>
        <v/>
      </c>
      <c r="Q883" s="1" t="str">
        <f t="shared" si="94"/>
        <v/>
      </c>
      <c r="R883" s="1" t="str">
        <f t="shared" si="95"/>
        <v/>
      </c>
      <c r="S883" s="1" t="str">
        <f>IF($A883="","",COUNTIF($N$2:N883,$N883))</f>
        <v/>
      </c>
      <c r="T883" s="1" t="str">
        <f t="shared" si="96"/>
        <v/>
      </c>
      <c r="U883" s="1" t="str">
        <f t="shared" si="97"/>
        <v/>
      </c>
      <c r="V883"/>
    </row>
    <row r="884" spans="13:22" x14ac:dyDescent="0.3">
      <c r="M884" s="1" t="str">
        <f t="shared" si="91"/>
        <v/>
      </c>
      <c r="N884" s="1" t="str">
        <f t="shared" si="92"/>
        <v/>
      </c>
      <c r="O884" s="1" t="str">
        <f ca="1">IF(F884="","",IF(INT(F884)=INT(NOW()),IF(NETWORKDAYS.INTL(F884,F884,1,FERIADOS!$A$2:$A$50)=0,0,MAX(0,(MIN(NOW(),INT(NOW())+18/24)-MAX(F884,INT(F884)+8/24)))*24),MAX(0,(INT(F884)+18/24-MAX(F884,INT(F884)+8/24)))*24*NETWORKDAYS.INTL(F884,F884,1,FERIADOS!$A$2:$A$50)+MAX(0,NETWORKDAYS.INTL(F884+1,NOW()-1,1,FERIADOS!$A$2:$A$50))*10+MAX(0,(MIN(NOW(),INT(NOW())+18/24)-(INT(NOW())+8/24)))*24*NETWORKDAYS.INTL(NOW(),NOW(),1,FERIADOS!$A$2:$A$50)))</f>
        <v/>
      </c>
      <c r="P884" s="1" t="str">
        <f t="shared" si="93"/>
        <v/>
      </c>
      <c r="Q884" s="1" t="str">
        <f t="shared" si="94"/>
        <v/>
      </c>
      <c r="R884" s="1" t="str">
        <f t="shared" si="95"/>
        <v/>
      </c>
      <c r="S884" s="1" t="str">
        <f>IF($A884="","",COUNTIF($N$2:N884,$N884))</f>
        <v/>
      </c>
      <c r="T884" s="1" t="str">
        <f t="shared" si="96"/>
        <v/>
      </c>
      <c r="U884" s="1" t="str">
        <f t="shared" si="97"/>
        <v/>
      </c>
      <c r="V884"/>
    </row>
    <row r="885" spans="13:22" x14ac:dyDescent="0.3">
      <c r="M885" s="1" t="str">
        <f t="shared" si="91"/>
        <v/>
      </c>
      <c r="N885" s="1" t="str">
        <f t="shared" si="92"/>
        <v/>
      </c>
      <c r="O885" s="1" t="str">
        <f ca="1">IF(F885="","",IF(INT(F885)=INT(NOW()),IF(NETWORKDAYS.INTL(F885,F885,1,FERIADOS!$A$2:$A$50)=0,0,MAX(0,(MIN(NOW(),INT(NOW())+18/24)-MAX(F885,INT(F885)+8/24)))*24),MAX(0,(INT(F885)+18/24-MAX(F885,INT(F885)+8/24)))*24*NETWORKDAYS.INTL(F885,F885,1,FERIADOS!$A$2:$A$50)+MAX(0,NETWORKDAYS.INTL(F885+1,NOW()-1,1,FERIADOS!$A$2:$A$50))*10+MAX(0,(MIN(NOW(),INT(NOW())+18/24)-(INT(NOW())+8/24)))*24*NETWORKDAYS.INTL(NOW(),NOW(),1,FERIADOS!$A$2:$A$50)))</f>
        <v/>
      </c>
      <c r="P885" s="1" t="str">
        <f t="shared" si="93"/>
        <v/>
      </c>
      <c r="Q885" s="1" t="str">
        <f t="shared" si="94"/>
        <v/>
      </c>
      <c r="R885" s="1" t="str">
        <f t="shared" si="95"/>
        <v/>
      </c>
      <c r="S885" s="1" t="str">
        <f>IF($A885="","",COUNTIF($N$2:N885,$N885))</f>
        <v/>
      </c>
      <c r="T885" s="1" t="str">
        <f t="shared" si="96"/>
        <v/>
      </c>
      <c r="U885" s="1" t="str">
        <f t="shared" si="97"/>
        <v/>
      </c>
      <c r="V885"/>
    </row>
    <row r="886" spans="13:22" x14ac:dyDescent="0.3">
      <c r="M886" s="1" t="str">
        <f t="shared" si="91"/>
        <v/>
      </c>
      <c r="N886" s="1" t="str">
        <f t="shared" si="92"/>
        <v/>
      </c>
      <c r="O886" s="1" t="str">
        <f ca="1">IF(F886="","",IF(INT(F886)=INT(NOW()),IF(NETWORKDAYS.INTL(F886,F886,1,FERIADOS!$A$2:$A$50)=0,0,MAX(0,(MIN(NOW(),INT(NOW())+18/24)-MAX(F886,INT(F886)+8/24)))*24),MAX(0,(INT(F886)+18/24-MAX(F886,INT(F886)+8/24)))*24*NETWORKDAYS.INTL(F886,F886,1,FERIADOS!$A$2:$A$50)+MAX(0,NETWORKDAYS.INTL(F886+1,NOW()-1,1,FERIADOS!$A$2:$A$50))*10+MAX(0,(MIN(NOW(),INT(NOW())+18/24)-(INT(NOW())+8/24)))*24*NETWORKDAYS.INTL(NOW(),NOW(),1,FERIADOS!$A$2:$A$50)))</f>
        <v/>
      </c>
      <c r="P886" s="1" t="str">
        <f t="shared" si="93"/>
        <v/>
      </c>
      <c r="Q886" s="1" t="str">
        <f t="shared" si="94"/>
        <v/>
      </c>
      <c r="R886" s="1" t="str">
        <f t="shared" si="95"/>
        <v/>
      </c>
      <c r="S886" s="1" t="str">
        <f>IF($A886="","",COUNTIF($N$2:N886,$N886))</f>
        <v/>
      </c>
      <c r="T886" s="1" t="str">
        <f t="shared" si="96"/>
        <v/>
      </c>
      <c r="U886" s="1" t="str">
        <f t="shared" si="97"/>
        <v/>
      </c>
      <c r="V886"/>
    </row>
    <row r="887" spans="13:22" x14ac:dyDescent="0.3">
      <c r="M887" s="1" t="str">
        <f t="shared" si="91"/>
        <v/>
      </c>
      <c r="N887" s="1" t="str">
        <f t="shared" si="92"/>
        <v/>
      </c>
      <c r="O887" s="1" t="str">
        <f ca="1">IF(F887="","",IF(INT(F887)=INT(NOW()),IF(NETWORKDAYS.INTL(F887,F887,1,FERIADOS!$A$2:$A$50)=0,0,MAX(0,(MIN(NOW(),INT(NOW())+18/24)-MAX(F887,INT(F887)+8/24)))*24),MAX(0,(INT(F887)+18/24-MAX(F887,INT(F887)+8/24)))*24*NETWORKDAYS.INTL(F887,F887,1,FERIADOS!$A$2:$A$50)+MAX(0,NETWORKDAYS.INTL(F887+1,NOW()-1,1,FERIADOS!$A$2:$A$50))*10+MAX(0,(MIN(NOW(),INT(NOW())+18/24)-(INT(NOW())+8/24)))*24*NETWORKDAYS.INTL(NOW(),NOW(),1,FERIADOS!$A$2:$A$50)))</f>
        <v/>
      </c>
      <c r="P887" s="1" t="str">
        <f t="shared" si="93"/>
        <v/>
      </c>
      <c r="Q887" s="1" t="str">
        <f t="shared" si="94"/>
        <v/>
      </c>
      <c r="R887" s="1" t="str">
        <f t="shared" si="95"/>
        <v/>
      </c>
      <c r="S887" s="1" t="str">
        <f>IF($A887="","",COUNTIF($N$2:N887,$N887))</f>
        <v/>
      </c>
      <c r="T887" s="1" t="str">
        <f t="shared" si="96"/>
        <v/>
      </c>
      <c r="U887" s="1" t="str">
        <f t="shared" si="97"/>
        <v/>
      </c>
      <c r="V887"/>
    </row>
    <row r="888" spans="13:22" x14ac:dyDescent="0.3">
      <c r="M888" s="1" t="str">
        <f t="shared" si="91"/>
        <v/>
      </c>
      <c r="N888" s="1" t="str">
        <f t="shared" si="92"/>
        <v/>
      </c>
      <c r="O888" s="1" t="str">
        <f ca="1">IF(F888="","",IF(INT(F888)=INT(NOW()),IF(NETWORKDAYS.INTL(F888,F888,1,FERIADOS!$A$2:$A$50)=0,0,MAX(0,(MIN(NOW(),INT(NOW())+18/24)-MAX(F888,INT(F888)+8/24)))*24),MAX(0,(INT(F888)+18/24-MAX(F888,INT(F888)+8/24)))*24*NETWORKDAYS.INTL(F888,F888,1,FERIADOS!$A$2:$A$50)+MAX(0,NETWORKDAYS.INTL(F888+1,NOW()-1,1,FERIADOS!$A$2:$A$50))*10+MAX(0,(MIN(NOW(),INT(NOW())+18/24)-(INT(NOW())+8/24)))*24*NETWORKDAYS.INTL(NOW(),NOW(),1,FERIADOS!$A$2:$A$50)))</f>
        <v/>
      </c>
      <c r="P888" s="1" t="str">
        <f t="shared" si="93"/>
        <v/>
      </c>
      <c r="Q888" s="1" t="str">
        <f t="shared" si="94"/>
        <v/>
      </c>
      <c r="R888" s="1" t="str">
        <f t="shared" si="95"/>
        <v/>
      </c>
      <c r="S888" s="1" t="str">
        <f>IF($A888="","",COUNTIF($N$2:N888,$N888))</f>
        <v/>
      </c>
      <c r="T888" s="1" t="str">
        <f t="shared" si="96"/>
        <v/>
      </c>
      <c r="U888" s="1" t="str">
        <f t="shared" si="97"/>
        <v/>
      </c>
      <c r="V888"/>
    </row>
    <row r="889" spans="13:22" x14ac:dyDescent="0.3">
      <c r="M889" s="1" t="str">
        <f t="shared" si="91"/>
        <v/>
      </c>
      <c r="N889" s="1" t="str">
        <f t="shared" si="92"/>
        <v/>
      </c>
      <c r="O889" s="1" t="str">
        <f ca="1">IF(F889="","",IF(INT(F889)=INT(NOW()),IF(NETWORKDAYS.INTL(F889,F889,1,FERIADOS!$A$2:$A$50)=0,0,MAX(0,(MIN(NOW(),INT(NOW())+18/24)-MAX(F889,INT(F889)+8/24)))*24),MAX(0,(INT(F889)+18/24-MAX(F889,INT(F889)+8/24)))*24*NETWORKDAYS.INTL(F889,F889,1,FERIADOS!$A$2:$A$50)+MAX(0,NETWORKDAYS.INTL(F889+1,NOW()-1,1,FERIADOS!$A$2:$A$50))*10+MAX(0,(MIN(NOW(),INT(NOW())+18/24)-(INT(NOW())+8/24)))*24*NETWORKDAYS.INTL(NOW(),NOW(),1,FERIADOS!$A$2:$A$50)))</f>
        <v/>
      </c>
      <c r="P889" s="1" t="str">
        <f t="shared" si="93"/>
        <v/>
      </c>
      <c r="Q889" s="1" t="str">
        <f t="shared" si="94"/>
        <v/>
      </c>
      <c r="R889" s="1" t="str">
        <f t="shared" si="95"/>
        <v/>
      </c>
      <c r="S889" s="1" t="str">
        <f>IF($A889="","",COUNTIF($N$2:N889,$N889))</f>
        <v/>
      </c>
      <c r="T889" s="1" t="str">
        <f t="shared" si="96"/>
        <v/>
      </c>
      <c r="U889" s="1" t="str">
        <f t="shared" si="97"/>
        <v/>
      </c>
      <c r="V889"/>
    </row>
    <row r="890" spans="13:22" x14ac:dyDescent="0.3">
      <c r="M890" s="1" t="str">
        <f t="shared" si="91"/>
        <v/>
      </c>
      <c r="N890" s="1" t="str">
        <f t="shared" si="92"/>
        <v/>
      </c>
      <c r="O890" s="1" t="str">
        <f ca="1">IF(F890="","",IF(INT(F890)=INT(NOW()),IF(NETWORKDAYS.INTL(F890,F890,1,FERIADOS!$A$2:$A$50)=0,0,MAX(0,(MIN(NOW(),INT(NOW())+18/24)-MAX(F890,INT(F890)+8/24)))*24),MAX(0,(INT(F890)+18/24-MAX(F890,INT(F890)+8/24)))*24*NETWORKDAYS.INTL(F890,F890,1,FERIADOS!$A$2:$A$50)+MAX(0,NETWORKDAYS.INTL(F890+1,NOW()-1,1,FERIADOS!$A$2:$A$50))*10+MAX(0,(MIN(NOW(),INT(NOW())+18/24)-(INT(NOW())+8/24)))*24*NETWORKDAYS.INTL(NOW(),NOW(),1,FERIADOS!$A$2:$A$50)))</f>
        <v/>
      </c>
      <c r="P890" s="1" t="str">
        <f t="shared" si="93"/>
        <v/>
      </c>
      <c r="Q890" s="1" t="str">
        <f t="shared" si="94"/>
        <v/>
      </c>
      <c r="R890" s="1" t="str">
        <f t="shared" si="95"/>
        <v/>
      </c>
      <c r="S890" s="1" t="str">
        <f>IF($A890="","",COUNTIF($N$2:N890,$N890))</f>
        <v/>
      </c>
      <c r="T890" s="1" t="str">
        <f t="shared" si="96"/>
        <v/>
      </c>
      <c r="U890" s="1" t="str">
        <f t="shared" si="97"/>
        <v/>
      </c>
      <c r="V890"/>
    </row>
    <row r="891" spans="13:22" x14ac:dyDescent="0.3">
      <c r="M891" s="1" t="str">
        <f t="shared" si="91"/>
        <v/>
      </c>
      <c r="N891" s="1" t="str">
        <f t="shared" si="92"/>
        <v/>
      </c>
      <c r="O891" s="1" t="str">
        <f ca="1">IF(F891="","",IF(INT(F891)=INT(NOW()),IF(NETWORKDAYS.INTL(F891,F891,1,FERIADOS!$A$2:$A$50)=0,0,MAX(0,(MIN(NOW(),INT(NOW())+18/24)-MAX(F891,INT(F891)+8/24)))*24),MAX(0,(INT(F891)+18/24-MAX(F891,INT(F891)+8/24)))*24*NETWORKDAYS.INTL(F891,F891,1,FERIADOS!$A$2:$A$50)+MAX(0,NETWORKDAYS.INTL(F891+1,NOW()-1,1,FERIADOS!$A$2:$A$50))*10+MAX(0,(MIN(NOW(),INT(NOW())+18/24)-(INT(NOW())+8/24)))*24*NETWORKDAYS.INTL(NOW(),NOW(),1,FERIADOS!$A$2:$A$50)))</f>
        <v/>
      </c>
      <c r="P891" s="1" t="str">
        <f t="shared" si="93"/>
        <v/>
      </c>
      <c r="Q891" s="1" t="str">
        <f t="shared" si="94"/>
        <v/>
      </c>
      <c r="R891" s="1" t="str">
        <f t="shared" si="95"/>
        <v/>
      </c>
      <c r="S891" s="1" t="str">
        <f>IF($A891="","",COUNTIF($N$2:N891,$N891))</f>
        <v/>
      </c>
      <c r="T891" s="1" t="str">
        <f t="shared" si="96"/>
        <v/>
      </c>
      <c r="U891" s="1" t="str">
        <f t="shared" si="97"/>
        <v/>
      </c>
      <c r="V891"/>
    </row>
    <row r="892" spans="13:22" x14ac:dyDescent="0.3">
      <c r="M892" s="1" t="str">
        <f t="shared" si="91"/>
        <v/>
      </c>
      <c r="N892" s="1" t="str">
        <f t="shared" si="92"/>
        <v/>
      </c>
      <c r="O892" s="1" t="str">
        <f ca="1">IF(F892="","",IF(INT(F892)=INT(NOW()),IF(NETWORKDAYS.INTL(F892,F892,1,FERIADOS!$A$2:$A$50)=0,0,MAX(0,(MIN(NOW(),INT(NOW())+18/24)-MAX(F892,INT(F892)+8/24)))*24),MAX(0,(INT(F892)+18/24-MAX(F892,INT(F892)+8/24)))*24*NETWORKDAYS.INTL(F892,F892,1,FERIADOS!$A$2:$A$50)+MAX(0,NETWORKDAYS.INTL(F892+1,NOW()-1,1,FERIADOS!$A$2:$A$50))*10+MAX(0,(MIN(NOW(),INT(NOW())+18/24)-(INT(NOW())+8/24)))*24*NETWORKDAYS.INTL(NOW(),NOW(),1,FERIADOS!$A$2:$A$50)))</f>
        <v/>
      </c>
      <c r="P892" s="1" t="str">
        <f t="shared" si="93"/>
        <v/>
      </c>
      <c r="Q892" s="1" t="str">
        <f t="shared" si="94"/>
        <v/>
      </c>
      <c r="R892" s="1" t="str">
        <f t="shared" si="95"/>
        <v/>
      </c>
      <c r="S892" s="1" t="str">
        <f>IF($A892="","",COUNTIF($N$2:N892,$N892))</f>
        <v/>
      </c>
      <c r="T892" s="1" t="str">
        <f t="shared" si="96"/>
        <v/>
      </c>
      <c r="U892" s="1" t="str">
        <f t="shared" si="97"/>
        <v/>
      </c>
      <c r="V892"/>
    </row>
    <row r="893" spans="13:22" x14ac:dyDescent="0.3">
      <c r="M893" s="1" t="str">
        <f t="shared" si="91"/>
        <v/>
      </c>
      <c r="N893" s="1" t="str">
        <f t="shared" si="92"/>
        <v/>
      </c>
      <c r="O893" s="1" t="str">
        <f ca="1">IF(F893="","",IF(INT(F893)=INT(NOW()),IF(NETWORKDAYS.INTL(F893,F893,1,FERIADOS!$A$2:$A$50)=0,0,MAX(0,(MIN(NOW(),INT(NOW())+18/24)-MAX(F893,INT(F893)+8/24)))*24),MAX(0,(INT(F893)+18/24-MAX(F893,INT(F893)+8/24)))*24*NETWORKDAYS.INTL(F893,F893,1,FERIADOS!$A$2:$A$50)+MAX(0,NETWORKDAYS.INTL(F893+1,NOW()-1,1,FERIADOS!$A$2:$A$50))*10+MAX(0,(MIN(NOW(),INT(NOW())+18/24)-(INT(NOW())+8/24)))*24*NETWORKDAYS.INTL(NOW(),NOW(),1,FERIADOS!$A$2:$A$50)))</f>
        <v/>
      </c>
      <c r="P893" s="1" t="str">
        <f t="shared" si="93"/>
        <v/>
      </c>
      <c r="Q893" s="1" t="str">
        <f t="shared" si="94"/>
        <v/>
      </c>
      <c r="R893" s="1" t="str">
        <f t="shared" si="95"/>
        <v/>
      </c>
      <c r="S893" s="1" t="str">
        <f>IF($A893="","",COUNTIF($N$2:N893,$N893))</f>
        <v/>
      </c>
      <c r="T893" s="1" t="str">
        <f t="shared" si="96"/>
        <v/>
      </c>
      <c r="U893" s="1" t="str">
        <f t="shared" si="97"/>
        <v/>
      </c>
      <c r="V893"/>
    </row>
    <row r="894" spans="13:22" x14ac:dyDescent="0.3">
      <c r="M894" s="1" t="str">
        <f t="shared" si="91"/>
        <v/>
      </c>
      <c r="N894" s="1" t="str">
        <f t="shared" si="92"/>
        <v/>
      </c>
      <c r="O894" s="1" t="str">
        <f ca="1">IF(F894="","",IF(INT(F894)=INT(NOW()),IF(NETWORKDAYS.INTL(F894,F894,1,FERIADOS!$A$2:$A$50)=0,0,MAX(0,(MIN(NOW(),INT(NOW())+18/24)-MAX(F894,INT(F894)+8/24)))*24),MAX(0,(INT(F894)+18/24-MAX(F894,INT(F894)+8/24)))*24*NETWORKDAYS.INTL(F894,F894,1,FERIADOS!$A$2:$A$50)+MAX(0,NETWORKDAYS.INTL(F894+1,NOW()-1,1,FERIADOS!$A$2:$A$50))*10+MAX(0,(MIN(NOW(),INT(NOW())+18/24)-(INT(NOW())+8/24)))*24*NETWORKDAYS.INTL(NOW(),NOW(),1,FERIADOS!$A$2:$A$50)))</f>
        <v/>
      </c>
      <c r="P894" s="1" t="str">
        <f t="shared" si="93"/>
        <v/>
      </c>
      <c r="Q894" s="1" t="str">
        <f t="shared" si="94"/>
        <v/>
      </c>
      <c r="R894" s="1" t="str">
        <f t="shared" si="95"/>
        <v/>
      </c>
      <c r="S894" s="1" t="str">
        <f>IF($A894="","",COUNTIF($N$2:N894,$N894))</f>
        <v/>
      </c>
      <c r="T894" s="1" t="str">
        <f t="shared" si="96"/>
        <v/>
      </c>
      <c r="U894" s="1" t="str">
        <f t="shared" si="97"/>
        <v/>
      </c>
      <c r="V894"/>
    </row>
    <row r="895" spans="13:22" x14ac:dyDescent="0.3">
      <c r="M895" s="1" t="str">
        <f t="shared" si="91"/>
        <v/>
      </c>
      <c r="N895" s="1" t="str">
        <f t="shared" si="92"/>
        <v/>
      </c>
      <c r="O895" s="1" t="str">
        <f ca="1">IF(F895="","",IF(INT(F895)=INT(NOW()),IF(NETWORKDAYS.INTL(F895,F895,1,FERIADOS!$A$2:$A$50)=0,0,MAX(0,(MIN(NOW(),INT(NOW())+18/24)-MAX(F895,INT(F895)+8/24)))*24),MAX(0,(INT(F895)+18/24-MAX(F895,INT(F895)+8/24)))*24*NETWORKDAYS.INTL(F895,F895,1,FERIADOS!$A$2:$A$50)+MAX(0,NETWORKDAYS.INTL(F895+1,NOW()-1,1,FERIADOS!$A$2:$A$50))*10+MAX(0,(MIN(NOW(),INT(NOW())+18/24)-(INT(NOW())+8/24)))*24*NETWORKDAYS.INTL(NOW(),NOW(),1,FERIADOS!$A$2:$A$50)))</f>
        <v/>
      </c>
      <c r="P895" s="1" t="str">
        <f t="shared" si="93"/>
        <v/>
      </c>
      <c r="Q895" s="1" t="str">
        <f t="shared" si="94"/>
        <v/>
      </c>
      <c r="R895" s="1" t="str">
        <f t="shared" si="95"/>
        <v/>
      </c>
      <c r="S895" s="1" t="str">
        <f>IF($A895="","",COUNTIF($N$2:N895,$N895))</f>
        <v/>
      </c>
      <c r="T895" s="1" t="str">
        <f t="shared" si="96"/>
        <v/>
      </c>
      <c r="U895" s="1" t="str">
        <f t="shared" si="97"/>
        <v/>
      </c>
      <c r="V895"/>
    </row>
    <row r="896" spans="13:22" x14ac:dyDescent="0.3">
      <c r="M896" s="1" t="str">
        <f t="shared" si="91"/>
        <v/>
      </c>
      <c r="N896" s="1" t="str">
        <f t="shared" si="92"/>
        <v/>
      </c>
      <c r="O896" s="1" t="str">
        <f ca="1">IF(F896="","",IF(INT(F896)=INT(NOW()),IF(NETWORKDAYS.INTL(F896,F896,1,FERIADOS!$A$2:$A$50)=0,0,MAX(0,(MIN(NOW(),INT(NOW())+18/24)-MAX(F896,INT(F896)+8/24)))*24),MAX(0,(INT(F896)+18/24-MAX(F896,INT(F896)+8/24)))*24*NETWORKDAYS.INTL(F896,F896,1,FERIADOS!$A$2:$A$50)+MAX(0,NETWORKDAYS.INTL(F896+1,NOW()-1,1,FERIADOS!$A$2:$A$50))*10+MAX(0,(MIN(NOW(),INT(NOW())+18/24)-(INT(NOW())+8/24)))*24*NETWORKDAYS.INTL(NOW(),NOW(),1,FERIADOS!$A$2:$A$50)))</f>
        <v/>
      </c>
      <c r="P896" s="1" t="str">
        <f t="shared" si="93"/>
        <v/>
      </c>
      <c r="Q896" s="1" t="str">
        <f t="shared" si="94"/>
        <v/>
      </c>
      <c r="R896" s="1" t="str">
        <f t="shared" si="95"/>
        <v/>
      </c>
      <c r="S896" s="1" t="str">
        <f>IF($A896="","",COUNTIF($N$2:N896,$N896))</f>
        <v/>
      </c>
      <c r="T896" s="1" t="str">
        <f t="shared" si="96"/>
        <v/>
      </c>
      <c r="U896" s="1" t="str">
        <f t="shared" si="97"/>
        <v/>
      </c>
      <c r="V896"/>
    </row>
    <row r="897" spans="13:22" x14ac:dyDescent="0.3">
      <c r="M897" s="1" t="str">
        <f t="shared" si="91"/>
        <v/>
      </c>
      <c r="N897" s="1" t="str">
        <f t="shared" si="92"/>
        <v/>
      </c>
      <c r="O897" s="1" t="str">
        <f ca="1">IF(F897="","",IF(INT(F897)=INT(NOW()),IF(NETWORKDAYS.INTL(F897,F897,1,FERIADOS!$A$2:$A$50)=0,0,MAX(0,(MIN(NOW(),INT(NOW())+18/24)-MAX(F897,INT(F897)+8/24)))*24),MAX(0,(INT(F897)+18/24-MAX(F897,INT(F897)+8/24)))*24*NETWORKDAYS.INTL(F897,F897,1,FERIADOS!$A$2:$A$50)+MAX(0,NETWORKDAYS.INTL(F897+1,NOW()-1,1,FERIADOS!$A$2:$A$50))*10+MAX(0,(MIN(NOW(),INT(NOW())+18/24)-(INT(NOW())+8/24)))*24*NETWORKDAYS.INTL(NOW(),NOW(),1,FERIADOS!$A$2:$A$50)))</f>
        <v/>
      </c>
      <c r="P897" s="1" t="str">
        <f t="shared" si="93"/>
        <v/>
      </c>
      <c r="Q897" s="1" t="str">
        <f t="shared" si="94"/>
        <v/>
      </c>
      <c r="R897" s="1" t="str">
        <f t="shared" si="95"/>
        <v/>
      </c>
      <c r="S897" s="1" t="str">
        <f>IF($A897="","",COUNTIF($N$2:N897,$N897))</f>
        <v/>
      </c>
      <c r="T897" s="1" t="str">
        <f t="shared" si="96"/>
        <v/>
      </c>
      <c r="U897" s="1" t="str">
        <f t="shared" si="97"/>
        <v/>
      </c>
      <c r="V897"/>
    </row>
    <row r="898" spans="13:22" x14ac:dyDescent="0.3">
      <c r="M898" s="1" t="str">
        <f t="shared" ref="M898:M961" si="98">IF($A898="","",IF($L898="MA",IF(OR(UPPER($K898)="SAO LUIS",UPPER($K898)="SÃO LUIS",UPPER($K898)="PACO DO LUMIAR",UPPER($K898)="PAÇO DO LUMIAR",UPPER($K898)="SAO JOSE DE RIBAMAR",UPPER($K898)="SÃO JOSÉ DE RIBAMAR"),"MA CAP","MA INT"),IF($L898="PA",IF(OR(UPPER($K898)="BELEM",UPPER($K898)="BELÉM",UPPER($K898)="ANANINDEUA"),"PA CAP","PA INT"),IF($L898="PI",IF(UPPER($K898)="TERESINA","PI CAP","PI INT"),IF($L898="AM","AM INT",IF($L898="AP","AP","OUTROS"))))))</f>
        <v/>
      </c>
      <c r="N898" s="1" t="str">
        <f t="shared" ref="N898:N961" si="99">IF($A898="","",IF($M898="PI CAP","GIGA+ PI",IF($M898="PI INT","GIGA+ PI",IF($M898="MA CAP","SLN MA",IF($M898="MA INT","GIGA+ MA",IF($M898="PA CAP","SLN PA",IF($M898="PA INT","SLN PA",IF($M898="AM INT","ADX",IF($M898="AP","ADX","OUTROS")))))))))</f>
        <v/>
      </c>
      <c r="O898" s="1" t="str">
        <f ca="1">IF(F898="","",IF(INT(F898)=INT(NOW()),IF(NETWORKDAYS.INTL(F898,F898,1,FERIADOS!$A$2:$A$50)=0,0,MAX(0,(MIN(NOW(),INT(NOW())+18/24)-MAX(F898,INT(F898)+8/24)))*24),MAX(0,(INT(F898)+18/24-MAX(F898,INT(F898)+8/24)))*24*NETWORKDAYS.INTL(F898,F898,1,FERIADOS!$A$2:$A$50)+MAX(0,NETWORKDAYS.INTL(F898+1,NOW()-1,1,FERIADOS!$A$2:$A$50))*10+MAX(0,(MIN(NOW(),INT(NOW())+18/24)-(INT(NOW())+8/24)))*24*NETWORKDAYS.INTL(NOW(),NOW(),1,FERIADOS!$A$2:$A$50)))</f>
        <v/>
      </c>
      <c r="P898" s="1" t="str">
        <f t="shared" ref="P898:P961" si="100">IF($A898="","",IF(OR(O898="",O898=0),"00h 00m",TEXT(INT(O898),"00") &amp; "h " &amp; TEXT(INT((O898-INT(O898))*60),"00") &amp; "m"))</f>
        <v/>
      </c>
      <c r="Q898" s="1" t="str">
        <f t="shared" ref="Q898:Q961" si="101">IF($A898="","",IF(OR(O898="",O898&lt;=4),"🔵 Até 4h",IF(O898&lt;=8,"🟢 Entre 4h e 8h",IF(O898&lt;=12,"🟡 Entre 8h e 12h",IF(O898&lt;=24,"🟠 Entre 12h e 24h","🔴 Maior que 24h")))))</f>
        <v/>
      </c>
      <c r="R898" s="1" t="str">
        <f t="shared" ref="R898:R961" si="102">IF($A898="","",IF(OR(O898="",O898&lt;=8),"NO PRAZO","FORA DO PRAZO"))</f>
        <v/>
      </c>
      <c r="S898" s="1" t="str">
        <f>IF($A898="","",COUNTIF($N$2:N898,$N898))</f>
        <v/>
      </c>
      <c r="T898" s="1" t="str">
        <f t="shared" ref="T898:T961" si="103">IF($A898="","",IF($N898="SLN MA",1,IF($N898="GIGA+ MA",2,IF($N898="GIGA+ PI",3,IF($N898="SLN PA",4,IF($N898="ADX",5,6))))))</f>
        <v/>
      </c>
      <c r="U898" s="1" t="str">
        <f t="shared" ref="U898:U961" si="104">IF($A898="","",$T898*10000+$S898)</f>
        <v/>
      </c>
      <c r="V898"/>
    </row>
    <row r="899" spans="13:22" x14ac:dyDescent="0.3">
      <c r="M899" s="1" t="str">
        <f t="shared" si="98"/>
        <v/>
      </c>
      <c r="N899" s="1" t="str">
        <f t="shared" si="99"/>
        <v/>
      </c>
      <c r="O899" s="1" t="str">
        <f ca="1">IF(F899="","",IF(INT(F899)=INT(NOW()),IF(NETWORKDAYS.INTL(F899,F899,1,FERIADOS!$A$2:$A$50)=0,0,MAX(0,(MIN(NOW(),INT(NOW())+18/24)-MAX(F899,INT(F899)+8/24)))*24),MAX(0,(INT(F899)+18/24-MAX(F899,INT(F899)+8/24)))*24*NETWORKDAYS.INTL(F899,F899,1,FERIADOS!$A$2:$A$50)+MAX(0,NETWORKDAYS.INTL(F899+1,NOW()-1,1,FERIADOS!$A$2:$A$50))*10+MAX(0,(MIN(NOW(),INT(NOW())+18/24)-(INT(NOW())+8/24)))*24*NETWORKDAYS.INTL(NOW(),NOW(),1,FERIADOS!$A$2:$A$50)))</f>
        <v/>
      </c>
      <c r="P899" s="1" t="str">
        <f t="shared" si="100"/>
        <v/>
      </c>
      <c r="Q899" s="1" t="str">
        <f t="shared" si="101"/>
        <v/>
      </c>
      <c r="R899" s="1" t="str">
        <f t="shared" si="102"/>
        <v/>
      </c>
      <c r="S899" s="1" t="str">
        <f>IF($A899="","",COUNTIF($N$2:N899,$N899))</f>
        <v/>
      </c>
      <c r="T899" s="1" t="str">
        <f t="shared" si="103"/>
        <v/>
      </c>
      <c r="U899" s="1" t="str">
        <f t="shared" si="104"/>
        <v/>
      </c>
      <c r="V899"/>
    </row>
    <row r="900" spans="13:22" x14ac:dyDescent="0.3">
      <c r="M900" s="1" t="str">
        <f t="shared" si="98"/>
        <v/>
      </c>
      <c r="N900" s="1" t="str">
        <f t="shared" si="99"/>
        <v/>
      </c>
      <c r="O900" s="1" t="str">
        <f ca="1">IF(F900="","",IF(INT(F900)=INT(NOW()),IF(NETWORKDAYS.INTL(F900,F900,1,FERIADOS!$A$2:$A$50)=0,0,MAX(0,(MIN(NOW(),INT(NOW())+18/24)-MAX(F900,INT(F900)+8/24)))*24),MAX(0,(INT(F900)+18/24-MAX(F900,INT(F900)+8/24)))*24*NETWORKDAYS.INTL(F900,F900,1,FERIADOS!$A$2:$A$50)+MAX(0,NETWORKDAYS.INTL(F900+1,NOW()-1,1,FERIADOS!$A$2:$A$50))*10+MAX(0,(MIN(NOW(),INT(NOW())+18/24)-(INT(NOW())+8/24)))*24*NETWORKDAYS.INTL(NOW(),NOW(),1,FERIADOS!$A$2:$A$50)))</f>
        <v/>
      </c>
      <c r="P900" s="1" t="str">
        <f t="shared" si="100"/>
        <v/>
      </c>
      <c r="Q900" s="1" t="str">
        <f t="shared" si="101"/>
        <v/>
      </c>
      <c r="R900" s="1" t="str">
        <f t="shared" si="102"/>
        <v/>
      </c>
      <c r="S900" s="1" t="str">
        <f>IF($A900="","",COUNTIF($N$2:N900,$N900))</f>
        <v/>
      </c>
      <c r="T900" s="1" t="str">
        <f t="shared" si="103"/>
        <v/>
      </c>
      <c r="U900" s="1" t="str">
        <f t="shared" si="104"/>
        <v/>
      </c>
      <c r="V900"/>
    </row>
    <row r="901" spans="13:22" x14ac:dyDescent="0.3">
      <c r="M901" s="1" t="str">
        <f t="shared" si="98"/>
        <v/>
      </c>
      <c r="N901" s="1" t="str">
        <f t="shared" si="99"/>
        <v/>
      </c>
      <c r="O901" s="1" t="str">
        <f ca="1">IF(F901="","",IF(INT(F901)=INT(NOW()),IF(NETWORKDAYS.INTL(F901,F901,1,FERIADOS!$A$2:$A$50)=0,0,MAX(0,(MIN(NOW(),INT(NOW())+18/24)-MAX(F901,INT(F901)+8/24)))*24),MAX(0,(INT(F901)+18/24-MAX(F901,INT(F901)+8/24)))*24*NETWORKDAYS.INTL(F901,F901,1,FERIADOS!$A$2:$A$50)+MAX(0,NETWORKDAYS.INTL(F901+1,NOW()-1,1,FERIADOS!$A$2:$A$50))*10+MAX(0,(MIN(NOW(),INT(NOW())+18/24)-(INT(NOW())+8/24)))*24*NETWORKDAYS.INTL(NOW(),NOW(),1,FERIADOS!$A$2:$A$50)))</f>
        <v/>
      </c>
      <c r="P901" s="1" t="str">
        <f t="shared" si="100"/>
        <v/>
      </c>
      <c r="Q901" s="1" t="str">
        <f t="shared" si="101"/>
        <v/>
      </c>
      <c r="R901" s="1" t="str">
        <f t="shared" si="102"/>
        <v/>
      </c>
      <c r="S901" s="1" t="str">
        <f>IF($A901="","",COUNTIF($N$2:N901,$N901))</f>
        <v/>
      </c>
      <c r="T901" s="1" t="str">
        <f t="shared" si="103"/>
        <v/>
      </c>
      <c r="U901" s="1" t="str">
        <f t="shared" si="104"/>
        <v/>
      </c>
      <c r="V901"/>
    </row>
    <row r="902" spans="13:22" x14ac:dyDescent="0.3">
      <c r="M902" s="1" t="str">
        <f t="shared" si="98"/>
        <v/>
      </c>
      <c r="N902" s="1" t="str">
        <f t="shared" si="99"/>
        <v/>
      </c>
      <c r="O902" s="1" t="str">
        <f ca="1">IF(F902="","",IF(INT(F902)=INT(NOW()),IF(NETWORKDAYS.INTL(F902,F902,1,FERIADOS!$A$2:$A$50)=0,0,MAX(0,(MIN(NOW(),INT(NOW())+18/24)-MAX(F902,INT(F902)+8/24)))*24),MAX(0,(INT(F902)+18/24-MAX(F902,INT(F902)+8/24)))*24*NETWORKDAYS.INTL(F902,F902,1,FERIADOS!$A$2:$A$50)+MAX(0,NETWORKDAYS.INTL(F902+1,NOW()-1,1,FERIADOS!$A$2:$A$50))*10+MAX(0,(MIN(NOW(),INT(NOW())+18/24)-(INT(NOW())+8/24)))*24*NETWORKDAYS.INTL(NOW(),NOW(),1,FERIADOS!$A$2:$A$50)))</f>
        <v/>
      </c>
      <c r="P902" s="1" t="str">
        <f t="shared" si="100"/>
        <v/>
      </c>
      <c r="Q902" s="1" t="str">
        <f t="shared" si="101"/>
        <v/>
      </c>
      <c r="R902" s="1" t="str">
        <f t="shared" si="102"/>
        <v/>
      </c>
      <c r="S902" s="1" t="str">
        <f>IF($A902="","",COUNTIF($N$2:N902,$N902))</f>
        <v/>
      </c>
      <c r="T902" s="1" t="str">
        <f t="shared" si="103"/>
        <v/>
      </c>
      <c r="U902" s="1" t="str">
        <f t="shared" si="104"/>
        <v/>
      </c>
      <c r="V902"/>
    </row>
    <row r="903" spans="13:22" x14ac:dyDescent="0.3">
      <c r="M903" s="1" t="str">
        <f t="shared" si="98"/>
        <v/>
      </c>
      <c r="N903" s="1" t="str">
        <f t="shared" si="99"/>
        <v/>
      </c>
      <c r="O903" s="1" t="str">
        <f ca="1">IF(F903="","",IF(INT(F903)=INT(NOW()),IF(NETWORKDAYS.INTL(F903,F903,1,FERIADOS!$A$2:$A$50)=0,0,MAX(0,(MIN(NOW(),INT(NOW())+18/24)-MAX(F903,INT(F903)+8/24)))*24),MAX(0,(INT(F903)+18/24-MAX(F903,INT(F903)+8/24)))*24*NETWORKDAYS.INTL(F903,F903,1,FERIADOS!$A$2:$A$50)+MAX(0,NETWORKDAYS.INTL(F903+1,NOW()-1,1,FERIADOS!$A$2:$A$50))*10+MAX(0,(MIN(NOW(),INT(NOW())+18/24)-(INT(NOW())+8/24)))*24*NETWORKDAYS.INTL(NOW(),NOW(),1,FERIADOS!$A$2:$A$50)))</f>
        <v/>
      </c>
      <c r="P903" s="1" t="str">
        <f t="shared" si="100"/>
        <v/>
      </c>
      <c r="Q903" s="1" t="str">
        <f t="shared" si="101"/>
        <v/>
      </c>
      <c r="R903" s="1" t="str">
        <f t="shared" si="102"/>
        <v/>
      </c>
      <c r="S903" s="1" t="str">
        <f>IF($A903="","",COUNTIF($N$2:N903,$N903))</f>
        <v/>
      </c>
      <c r="T903" s="1" t="str">
        <f t="shared" si="103"/>
        <v/>
      </c>
      <c r="U903" s="1" t="str">
        <f t="shared" si="104"/>
        <v/>
      </c>
      <c r="V903"/>
    </row>
    <row r="904" spans="13:22" x14ac:dyDescent="0.3">
      <c r="M904" s="1" t="str">
        <f t="shared" si="98"/>
        <v/>
      </c>
      <c r="N904" s="1" t="str">
        <f t="shared" si="99"/>
        <v/>
      </c>
      <c r="O904" s="1" t="str">
        <f ca="1">IF(F904="","",IF(INT(F904)=INT(NOW()),IF(NETWORKDAYS.INTL(F904,F904,1,FERIADOS!$A$2:$A$50)=0,0,MAX(0,(MIN(NOW(),INT(NOW())+18/24)-MAX(F904,INT(F904)+8/24)))*24),MAX(0,(INT(F904)+18/24-MAX(F904,INT(F904)+8/24)))*24*NETWORKDAYS.INTL(F904,F904,1,FERIADOS!$A$2:$A$50)+MAX(0,NETWORKDAYS.INTL(F904+1,NOW()-1,1,FERIADOS!$A$2:$A$50))*10+MAX(0,(MIN(NOW(),INT(NOW())+18/24)-(INT(NOW())+8/24)))*24*NETWORKDAYS.INTL(NOW(),NOW(),1,FERIADOS!$A$2:$A$50)))</f>
        <v/>
      </c>
      <c r="P904" s="1" t="str">
        <f t="shared" si="100"/>
        <v/>
      </c>
      <c r="Q904" s="1" t="str">
        <f t="shared" si="101"/>
        <v/>
      </c>
      <c r="R904" s="1" t="str">
        <f t="shared" si="102"/>
        <v/>
      </c>
      <c r="S904" s="1" t="str">
        <f>IF($A904="","",COUNTIF($N$2:N904,$N904))</f>
        <v/>
      </c>
      <c r="T904" s="1" t="str">
        <f t="shared" si="103"/>
        <v/>
      </c>
      <c r="U904" s="1" t="str">
        <f t="shared" si="104"/>
        <v/>
      </c>
      <c r="V904"/>
    </row>
    <row r="905" spans="13:22" x14ac:dyDescent="0.3">
      <c r="M905" s="1" t="str">
        <f t="shared" si="98"/>
        <v/>
      </c>
      <c r="N905" s="1" t="str">
        <f t="shared" si="99"/>
        <v/>
      </c>
      <c r="O905" s="1" t="str">
        <f ca="1">IF(F905="","",IF(INT(F905)=INT(NOW()),IF(NETWORKDAYS.INTL(F905,F905,1,FERIADOS!$A$2:$A$50)=0,0,MAX(0,(MIN(NOW(),INT(NOW())+18/24)-MAX(F905,INT(F905)+8/24)))*24),MAX(0,(INT(F905)+18/24-MAX(F905,INT(F905)+8/24)))*24*NETWORKDAYS.INTL(F905,F905,1,FERIADOS!$A$2:$A$50)+MAX(0,NETWORKDAYS.INTL(F905+1,NOW()-1,1,FERIADOS!$A$2:$A$50))*10+MAX(0,(MIN(NOW(),INT(NOW())+18/24)-(INT(NOW())+8/24)))*24*NETWORKDAYS.INTL(NOW(),NOW(),1,FERIADOS!$A$2:$A$50)))</f>
        <v/>
      </c>
      <c r="P905" s="1" t="str">
        <f t="shared" si="100"/>
        <v/>
      </c>
      <c r="Q905" s="1" t="str">
        <f t="shared" si="101"/>
        <v/>
      </c>
      <c r="R905" s="1" t="str">
        <f t="shared" si="102"/>
        <v/>
      </c>
      <c r="S905" s="1" t="str">
        <f>IF($A905="","",COUNTIF($N$2:N905,$N905))</f>
        <v/>
      </c>
      <c r="T905" s="1" t="str">
        <f t="shared" si="103"/>
        <v/>
      </c>
      <c r="U905" s="1" t="str">
        <f t="shared" si="104"/>
        <v/>
      </c>
      <c r="V905"/>
    </row>
    <row r="906" spans="13:22" x14ac:dyDescent="0.3">
      <c r="M906" s="1" t="str">
        <f t="shared" si="98"/>
        <v/>
      </c>
      <c r="N906" s="1" t="str">
        <f t="shared" si="99"/>
        <v/>
      </c>
      <c r="O906" s="1" t="str">
        <f ca="1">IF(F906="","",IF(INT(F906)=INT(NOW()),IF(NETWORKDAYS.INTL(F906,F906,1,FERIADOS!$A$2:$A$50)=0,0,MAX(0,(MIN(NOW(),INT(NOW())+18/24)-MAX(F906,INT(F906)+8/24)))*24),MAX(0,(INT(F906)+18/24-MAX(F906,INT(F906)+8/24)))*24*NETWORKDAYS.INTL(F906,F906,1,FERIADOS!$A$2:$A$50)+MAX(0,NETWORKDAYS.INTL(F906+1,NOW()-1,1,FERIADOS!$A$2:$A$50))*10+MAX(0,(MIN(NOW(),INT(NOW())+18/24)-(INT(NOW())+8/24)))*24*NETWORKDAYS.INTL(NOW(),NOW(),1,FERIADOS!$A$2:$A$50)))</f>
        <v/>
      </c>
      <c r="P906" s="1" t="str">
        <f t="shared" si="100"/>
        <v/>
      </c>
      <c r="Q906" s="1" t="str">
        <f t="shared" si="101"/>
        <v/>
      </c>
      <c r="R906" s="1" t="str">
        <f t="shared" si="102"/>
        <v/>
      </c>
      <c r="S906" s="1" t="str">
        <f>IF($A906="","",COUNTIF($N$2:N906,$N906))</f>
        <v/>
      </c>
      <c r="T906" s="1" t="str">
        <f t="shared" si="103"/>
        <v/>
      </c>
      <c r="U906" s="1" t="str">
        <f t="shared" si="104"/>
        <v/>
      </c>
      <c r="V906"/>
    </row>
    <row r="907" spans="13:22" x14ac:dyDescent="0.3">
      <c r="M907" s="1" t="str">
        <f t="shared" si="98"/>
        <v/>
      </c>
      <c r="N907" s="1" t="str">
        <f t="shared" si="99"/>
        <v/>
      </c>
      <c r="O907" s="1" t="str">
        <f ca="1">IF(F907="","",IF(INT(F907)=INT(NOW()),IF(NETWORKDAYS.INTL(F907,F907,1,FERIADOS!$A$2:$A$50)=0,0,MAX(0,(MIN(NOW(),INT(NOW())+18/24)-MAX(F907,INT(F907)+8/24)))*24),MAX(0,(INT(F907)+18/24-MAX(F907,INT(F907)+8/24)))*24*NETWORKDAYS.INTL(F907,F907,1,FERIADOS!$A$2:$A$50)+MAX(0,NETWORKDAYS.INTL(F907+1,NOW()-1,1,FERIADOS!$A$2:$A$50))*10+MAX(0,(MIN(NOW(),INT(NOW())+18/24)-(INT(NOW())+8/24)))*24*NETWORKDAYS.INTL(NOW(),NOW(),1,FERIADOS!$A$2:$A$50)))</f>
        <v/>
      </c>
      <c r="P907" s="1" t="str">
        <f t="shared" si="100"/>
        <v/>
      </c>
      <c r="Q907" s="1" t="str">
        <f t="shared" si="101"/>
        <v/>
      </c>
      <c r="R907" s="1" t="str">
        <f t="shared" si="102"/>
        <v/>
      </c>
      <c r="S907" s="1" t="str">
        <f>IF($A907="","",COUNTIF($N$2:N907,$N907))</f>
        <v/>
      </c>
      <c r="T907" s="1" t="str">
        <f t="shared" si="103"/>
        <v/>
      </c>
      <c r="U907" s="1" t="str">
        <f t="shared" si="104"/>
        <v/>
      </c>
      <c r="V907"/>
    </row>
    <row r="908" spans="13:22" x14ac:dyDescent="0.3">
      <c r="M908" s="1" t="str">
        <f t="shared" si="98"/>
        <v/>
      </c>
      <c r="N908" s="1" t="str">
        <f t="shared" si="99"/>
        <v/>
      </c>
      <c r="O908" s="1" t="str">
        <f ca="1">IF(F908="","",IF(INT(F908)=INT(NOW()),IF(NETWORKDAYS.INTL(F908,F908,1,FERIADOS!$A$2:$A$50)=0,0,MAX(0,(MIN(NOW(),INT(NOW())+18/24)-MAX(F908,INT(F908)+8/24)))*24),MAX(0,(INT(F908)+18/24-MAX(F908,INT(F908)+8/24)))*24*NETWORKDAYS.INTL(F908,F908,1,FERIADOS!$A$2:$A$50)+MAX(0,NETWORKDAYS.INTL(F908+1,NOW()-1,1,FERIADOS!$A$2:$A$50))*10+MAX(0,(MIN(NOW(),INT(NOW())+18/24)-(INT(NOW())+8/24)))*24*NETWORKDAYS.INTL(NOW(),NOW(),1,FERIADOS!$A$2:$A$50)))</f>
        <v/>
      </c>
      <c r="P908" s="1" t="str">
        <f t="shared" si="100"/>
        <v/>
      </c>
      <c r="Q908" s="1" t="str">
        <f t="shared" si="101"/>
        <v/>
      </c>
      <c r="R908" s="1" t="str">
        <f t="shared" si="102"/>
        <v/>
      </c>
      <c r="S908" s="1" t="str">
        <f>IF($A908="","",COUNTIF($N$2:N908,$N908))</f>
        <v/>
      </c>
      <c r="T908" s="1" t="str">
        <f t="shared" si="103"/>
        <v/>
      </c>
      <c r="U908" s="1" t="str">
        <f t="shared" si="104"/>
        <v/>
      </c>
      <c r="V908"/>
    </row>
    <row r="909" spans="13:22" x14ac:dyDescent="0.3">
      <c r="M909" s="1" t="str">
        <f t="shared" si="98"/>
        <v/>
      </c>
      <c r="N909" s="1" t="str">
        <f t="shared" si="99"/>
        <v/>
      </c>
      <c r="O909" s="1" t="str">
        <f ca="1">IF(F909="","",IF(INT(F909)=INT(NOW()),IF(NETWORKDAYS.INTL(F909,F909,1,FERIADOS!$A$2:$A$50)=0,0,MAX(0,(MIN(NOW(),INT(NOW())+18/24)-MAX(F909,INT(F909)+8/24)))*24),MAX(0,(INT(F909)+18/24-MAX(F909,INT(F909)+8/24)))*24*NETWORKDAYS.INTL(F909,F909,1,FERIADOS!$A$2:$A$50)+MAX(0,NETWORKDAYS.INTL(F909+1,NOW()-1,1,FERIADOS!$A$2:$A$50))*10+MAX(0,(MIN(NOW(),INT(NOW())+18/24)-(INT(NOW())+8/24)))*24*NETWORKDAYS.INTL(NOW(),NOW(),1,FERIADOS!$A$2:$A$50)))</f>
        <v/>
      </c>
      <c r="P909" s="1" t="str">
        <f t="shared" si="100"/>
        <v/>
      </c>
      <c r="Q909" s="1" t="str">
        <f t="shared" si="101"/>
        <v/>
      </c>
      <c r="R909" s="1" t="str">
        <f t="shared" si="102"/>
        <v/>
      </c>
      <c r="S909" s="1" t="str">
        <f>IF($A909="","",COUNTIF($N$2:N909,$N909))</f>
        <v/>
      </c>
      <c r="T909" s="1" t="str">
        <f t="shared" si="103"/>
        <v/>
      </c>
      <c r="U909" s="1" t="str">
        <f t="shared" si="104"/>
        <v/>
      </c>
      <c r="V909"/>
    </row>
    <row r="910" spans="13:22" x14ac:dyDescent="0.3">
      <c r="M910" s="1" t="str">
        <f t="shared" si="98"/>
        <v/>
      </c>
      <c r="N910" s="1" t="str">
        <f t="shared" si="99"/>
        <v/>
      </c>
      <c r="O910" s="1" t="str">
        <f ca="1">IF(F910="","",IF(INT(F910)=INT(NOW()),IF(NETWORKDAYS.INTL(F910,F910,1,FERIADOS!$A$2:$A$50)=0,0,MAX(0,(MIN(NOW(),INT(NOW())+18/24)-MAX(F910,INT(F910)+8/24)))*24),MAX(0,(INT(F910)+18/24-MAX(F910,INT(F910)+8/24)))*24*NETWORKDAYS.INTL(F910,F910,1,FERIADOS!$A$2:$A$50)+MAX(0,NETWORKDAYS.INTL(F910+1,NOW()-1,1,FERIADOS!$A$2:$A$50))*10+MAX(0,(MIN(NOW(),INT(NOW())+18/24)-(INT(NOW())+8/24)))*24*NETWORKDAYS.INTL(NOW(),NOW(),1,FERIADOS!$A$2:$A$50)))</f>
        <v/>
      </c>
      <c r="P910" s="1" t="str">
        <f t="shared" si="100"/>
        <v/>
      </c>
      <c r="Q910" s="1" t="str">
        <f t="shared" si="101"/>
        <v/>
      </c>
      <c r="R910" s="1" t="str">
        <f t="shared" si="102"/>
        <v/>
      </c>
      <c r="S910" s="1" t="str">
        <f>IF($A910="","",COUNTIF($N$2:N910,$N910))</f>
        <v/>
      </c>
      <c r="T910" s="1" t="str">
        <f t="shared" si="103"/>
        <v/>
      </c>
      <c r="U910" s="1" t="str">
        <f t="shared" si="104"/>
        <v/>
      </c>
      <c r="V910"/>
    </row>
    <row r="911" spans="13:22" x14ac:dyDescent="0.3">
      <c r="M911" s="1" t="str">
        <f t="shared" si="98"/>
        <v/>
      </c>
      <c r="N911" s="1" t="str">
        <f t="shared" si="99"/>
        <v/>
      </c>
      <c r="O911" s="1" t="str">
        <f ca="1">IF(F911="","",IF(INT(F911)=INT(NOW()),IF(NETWORKDAYS.INTL(F911,F911,1,FERIADOS!$A$2:$A$50)=0,0,MAX(0,(MIN(NOW(),INT(NOW())+18/24)-MAX(F911,INT(F911)+8/24)))*24),MAX(0,(INT(F911)+18/24-MAX(F911,INT(F911)+8/24)))*24*NETWORKDAYS.INTL(F911,F911,1,FERIADOS!$A$2:$A$50)+MAX(0,NETWORKDAYS.INTL(F911+1,NOW()-1,1,FERIADOS!$A$2:$A$50))*10+MAX(0,(MIN(NOW(),INT(NOW())+18/24)-(INT(NOW())+8/24)))*24*NETWORKDAYS.INTL(NOW(),NOW(),1,FERIADOS!$A$2:$A$50)))</f>
        <v/>
      </c>
      <c r="P911" s="1" t="str">
        <f t="shared" si="100"/>
        <v/>
      </c>
      <c r="Q911" s="1" t="str">
        <f t="shared" si="101"/>
        <v/>
      </c>
      <c r="R911" s="1" t="str">
        <f t="shared" si="102"/>
        <v/>
      </c>
      <c r="S911" s="1" t="str">
        <f>IF($A911="","",COUNTIF($N$2:N911,$N911))</f>
        <v/>
      </c>
      <c r="T911" s="1" t="str">
        <f t="shared" si="103"/>
        <v/>
      </c>
      <c r="U911" s="1" t="str">
        <f t="shared" si="104"/>
        <v/>
      </c>
      <c r="V911"/>
    </row>
    <row r="912" spans="13:22" x14ac:dyDescent="0.3">
      <c r="M912" s="1" t="str">
        <f t="shared" si="98"/>
        <v/>
      </c>
      <c r="N912" s="1" t="str">
        <f t="shared" si="99"/>
        <v/>
      </c>
      <c r="O912" s="1" t="str">
        <f ca="1">IF(F912="","",IF(INT(F912)=INT(NOW()),IF(NETWORKDAYS.INTL(F912,F912,1,FERIADOS!$A$2:$A$50)=0,0,MAX(0,(MIN(NOW(),INT(NOW())+18/24)-MAX(F912,INT(F912)+8/24)))*24),MAX(0,(INT(F912)+18/24-MAX(F912,INT(F912)+8/24)))*24*NETWORKDAYS.INTL(F912,F912,1,FERIADOS!$A$2:$A$50)+MAX(0,NETWORKDAYS.INTL(F912+1,NOW()-1,1,FERIADOS!$A$2:$A$50))*10+MAX(0,(MIN(NOW(),INT(NOW())+18/24)-(INT(NOW())+8/24)))*24*NETWORKDAYS.INTL(NOW(),NOW(),1,FERIADOS!$A$2:$A$50)))</f>
        <v/>
      </c>
      <c r="P912" s="1" t="str">
        <f t="shared" si="100"/>
        <v/>
      </c>
      <c r="Q912" s="1" t="str">
        <f t="shared" si="101"/>
        <v/>
      </c>
      <c r="R912" s="1" t="str">
        <f t="shared" si="102"/>
        <v/>
      </c>
      <c r="S912" s="1" t="str">
        <f>IF($A912="","",COUNTIF($N$2:N912,$N912))</f>
        <v/>
      </c>
      <c r="T912" s="1" t="str">
        <f t="shared" si="103"/>
        <v/>
      </c>
      <c r="U912" s="1" t="str">
        <f t="shared" si="104"/>
        <v/>
      </c>
      <c r="V912"/>
    </row>
    <row r="913" spans="13:22" x14ac:dyDescent="0.3">
      <c r="M913" s="1" t="str">
        <f t="shared" si="98"/>
        <v/>
      </c>
      <c r="N913" s="1" t="str">
        <f t="shared" si="99"/>
        <v/>
      </c>
      <c r="O913" s="1" t="str">
        <f ca="1">IF(F913="","",IF(INT(F913)=INT(NOW()),IF(NETWORKDAYS.INTL(F913,F913,1,FERIADOS!$A$2:$A$50)=0,0,MAX(0,(MIN(NOW(),INT(NOW())+18/24)-MAX(F913,INT(F913)+8/24)))*24),MAX(0,(INT(F913)+18/24-MAX(F913,INT(F913)+8/24)))*24*NETWORKDAYS.INTL(F913,F913,1,FERIADOS!$A$2:$A$50)+MAX(0,NETWORKDAYS.INTL(F913+1,NOW()-1,1,FERIADOS!$A$2:$A$50))*10+MAX(0,(MIN(NOW(),INT(NOW())+18/24)-(INT(NOW())+8/24)))*24*NETWORKDAYS.INTL(NOW(),NOW(),1,FERIADOS!$A$2:$A$50)))</f>
        <v/>
      </c>
      <c r="P913" s="1" t="str">
        <f t="shared" si="100"/>
        <v/>
      </c>
      <c r="Q913" s="1" t="str">
        <f t="shared" si="101"/>
        <v/>
      </c>
      <c r="R913" s="1" t="str">
        <f t="shared" si="102"/>
        <v/>
      </c>
      <c r="S913" s="1" t="str">
        <f>IF($A913="","",COUNTIF($N$2:N913,$N913))</f>
        <v/>
      </c>
      <c r="T913" s="1" t="str">
        <f t="shared" si="103"/>
        <v/>
      </c>
      <c r="U913" s="1" t="str">
        <f t="shared" si="104"/>
        <v/>
      </c>
      <c r="V913"/>
    </row>
    <row r="914" spans="13:22" x14ac:dyDescent="0.3">
      <c r="M914" s="1" t="str">
        <f t="shared" si="98"/>
        <v/>
      </c>
      <c r="N914" s="1" t="str">
        <f t="shared" si="99"/>
        <v/>
      </c>
      <c r="O914" s="1" t="str">
        <f ca="1">IF(F914="","",IF(INT(F914)=INT(NOW()),IF(NETWORKDAYS.INTL(F914,F914,1,FERIADOS!$A$2:$A$50)=0,0,MAX(0,(MIN(NOW(),INT(NOW())+18/24)-MAX(F914,INT(F914)+8/24)))*24),MAX(0,(INT(F914)+18/24-MAX(F914,INT(F914)+8/24)))*24*NETWORKDAYS.INTL(F914,F914,1,FERIADOS!$A$2:$A$50)+MAX(0,NETWORKDAYS.INTL(F914+1,NOW()-1,1,FERIADOS!$A$2:$A$50))*10+MAX(0,(MIN(NOW(),INT(NOW())+18/24)-(INT(NOW())+8/24)))*24*NETWORKDAYS.INTL(NOW(),NOW(),1,FERIADOS!$A$2:$A$50)))</f>
        <v/>
      </c>
      <c r="P914" s="1" t="str">
        <f t="shared" si="100"/>
        <v/>
      </c>
      <c r="Q914" s="1" t="str">
        <f t="shared" si="101"/>
        <v/>
      </c>
      <c r="R914" s="1" t="str">
        <f t="shared" si="102"/>
        <v/>
      </c>
      <c r="S914" s="1" t="str">
        <f>IF($A914="","",COUNTIF($N$2:N914,$N914))</f>
        <v/>
      </c>
      <c r="T914" s="1" t="str">
        <f t="shared" si="103"/>
        <v/>
      </c>
      <c r="U914" s="1" t="str">
        <f t="shared" si="104"/>
        <v/>
      </c>
      <c r="V914"/>
    </row>
    <row r="915" spans="13:22" x14ac:dyDescent="0.3">
      <c r="M915" s="1" t="str">
        <f t="shared" si="98"/>
        <v/>
      </c>
      <c r="N915" s="1" t="str">
        <f t="shared" si="99"/>
        <v/>
      </c>
      <c r="O915" s="1" t="str">
        <f ca="1">IF(F915="","",IF(INT(F915)=INT(NOW()),IF(NETWORKDAYS.INTL(F915,F915,1,FERIADOS!$A$2:$A$50)=0,0,MAX(0,(MIN(NOW(),INT(NOW())+18/24)-MAX(F915,INT(F915)+8/24)))*24),MAX(0,(INT(F915)+18/24-MAX(F915,INT(F915)+8/24)))*24*NETWORKDAYS.INTL(F915,F915,1,FERIADOS!$A$2:$A$50)+MAX(0,NETWORKDAYS.INTL(F915+1,NOW()-1,1,FERIADOS!$A$2:$A$50))*10+MAX(0,(MIN(NOW(),INT(NOW())+18/24)-(INT(NOW())+8/24)))*24*NETWORKDAYS.INTL(NOW(),NOW(),1,FERIADOS!$A$2:$A$50)))</f>
        <v/>
      </c>
      <c r="P915" s="1" t="str">
        <f t="shared" si="100"/>
        <v/>
      </c>
      <c r="Q915" s="1" t="str">
        <f t="shared" si="101"/>
        <v/>
      </c>
      <c r="R915" s="1" t="str">
        <f t="shared" si="102"/>
        <v/>
      </c>
      <c r="S915" s="1" t="str">
        <f>IF($A915="","",COUNTIF($N$2:N915,$N915))</f>
        <v/>
      </c>
      <c r="T915" s="1" t="str">
        <f t="shared" si="103"/>
        <v/>
      </c>
      <c r="U915" s="1" t="str">
        <f t="shared" si="104"/>
        <v/>
      </c>
      <c r="V915"/>
    </row>
    <row r="916" spans="13:22" x14ac:dyDescent="0.3">
      <c r="M916" s="1" t="str">
        <f t="shared" si="98"/>
        <v/>
      </c>
      <c r="N916" s="1" t="str">
        <f t="shared" si="99"/>
        <v/>
      </c>
      <c r="O916" s="1" t="str">
        <f ca="1">IF(F916="","",IF(INT(F916)=INT(NOW()),IF(NETWORKDAYS.INTL(F916,F916,1,FERIADOS!$A$2:$A$50)=0,0,MAX(0,(MIN(NOW(),INT(NOW())+18/24)-MAX(F916,INT(F916)+8/24)))*24),MAX(0,(INT(F916)+18/24-MAX(F916,INT(F916)+8/24)))*24*NETWORKDAYS.INTL(F916,F916,1,FERIADOS!$A$2:$A$50)+MAX(0,NETWORKDAYS.INTL(F916+1,NOW()-1,1,FERIADOS!$A$2:$A$50))*10+MAX(0,(MIN(NOW(),INT(NOW())+18/24)-(INT(NOW())+8/24)))*24*NETWORKDAYS.INTL(NOW(),NOW(),1,FERIADOS!$A$2:$A$50)))</f>
        <v/>
      </c>
      <c r="P916" s="1" t="str">
        <f t="shared" si="100"/>
        <v/>
      </c>
      <c r="Q916" s="1" t="str">
        <f t="shared" si="101"/>
        <v/>
      </c>
      <c r="R916" s="1" t="str">
        <f t="shared" si="102"/>
        <v/>
      </c>
      <c r="S916" s="1" t="str">
        <f>IF($A916="","",COUNTIF($N$2:N916,$N916))</f>
        <v/>
      </c>
      <c r="T916" s="1" t="str">
        <f t="shared" si="103"/>
        <v/>
      </c>
      <c r="U916" s="1" t="str">
        <f t="shared" si="104"/>
        <v/>
      </c>
      <c r="V916"/>
    </row>
    <row r="917" spans="13:22" x14ac:dyDescent="0.3">
      <c r="M917" s="1" t="str">
        <f t="shared" si="98"/>
        <v/>
      </c>
      <c r="N917" s="1" t="str">
        <f t="shared" si="99"/>
        <v/>
      </c>
      <c r="O917" s="1" t="str">
        <f ca="1">IF(F917="","",IF(INT(F917)=INT(NOW()),IF(NETWORKDAYS.INTL(F917,F917,1,FERIADOS!$A$2:$A$50)=0,0,MAX(0,(MIN(NOW(),INT(NOW())+18/24)-MAX(F917,INT(F917)+8/24)))*24),MAX(0,(INT(F917)+18/24-MAX(F917,INT(F917)+8/24)))*24*NETWORKDAYS.INTL(F917,F917,1,FERIADOS!$A$2:$A$50)+MAX(0,NETWORKDAYS.INTL(F917+1,NOW()-1,1,FERIADOS!$A$2:$A$50))*10+MAX(0,(MIN(NOW(),INT(NOW())+18/24)-(INT(NOW())+8/24)))*24*NETWORKDAYS.INTL(NOW(),NOW(),1,FERIADOS!$A$2:$A$50)))</f>
        <v/>
      </c>
      <c r="P917" s="1" t="str">
        <f t="shared" si="100"/>
        <v/>
      </c>
      <c r="Q917" s="1" t="str">
        <f t="shared" si="101"/>
        <v/>
      </c>
      <c r="R917" s="1" t="str">
        <f t="shared" si="102"/>
        <v/>
      </c>
      <c r="S917" s="1" t="str">
        <f>IF($A917="","",COUNTIF($N$2:N917,$N917))</f>
        <v/>
      </c>
      <c r="T917" s="1" t="str">
        <f t="shared" si="103"/>
        <v/>
      </c>
      <c r="U917" s="1" t="str">
        <f t="shared" si="104"/>
        <v/>
      </c>
      <c r="V917"/>
    </row>
    <row r="918" spans="13:22" x14ac:dyDescent="0.3">
      <c r="M918" s="1" t="str">
        <f t="shared" si="98"/>
        <v/>
      </c>
      <c r="N918" s="1" t="str">
        <f t="shared" si="99"/>
        <v/>
      </c>
      <c r="O918" s="1" t="str">
        <f ca="1">IF(F918="","",IF(INT(F918)=INT(NOW()),IF(NETWORKDAYS.INTL(F918,F918,1,FERIADOS!$A$2:$A$50)=0,0,MAX(0,(MIN(NOW(),INT(NOW())+18/24)-MAX(F918,INT(F918)+8/24)))*24),MAX(0,(INT(F918)+18/24-MAX(F918,INT(F918)+8/24)))*24*NETWORKDAYS.INTL(F918,F918,1,FERIADOS!$A$2:$A$50)+MAX(0,NETWORKDAYS.INTL(F918+1,NOW()-1,1,FERIADOS!$A$2:$A$50))*10+MAX(0,(MIN(NOW(),INT(NOW())+18/24)-(INT(NOW())+8/24)))*24*NETWORKDAYS.INTL(NOW(),NOW(),1,FERIADOS!$A$2:$A$50)))</f>
        <v/>
      </c>
      <c r="P918" s="1" t="str">
        <f t="shared" si="100"/>
        <v/>
      </c>
      <c r="Q918" s="1" t="str">
        <f t="shared" si="101"/>
        <v/>
      </c>
      <c r="R918" s="1" t="str">
        <f t="shared" si="102"/>
        <v/>
      </c>
      <c r="S918" s="1" t="str">
        <f>IF($A918="","",COUNTIF($N$2:N918,$N918))</f>
        <v/>
      </c>
      <c r="T918" s="1" t="str">
        <f t="shared" si="103"/>
        <v/>
      </c>
      <c r="U918" s="1" t="str">
        <f t="shared" si="104"/>
        <v/>
      </c>
      <c r="V918"/>
    </row>
    <row r="919" spans="13:22" x14ac:dyDescent="0.3">
      <c r="M919" s="1" t="str">
        <f t="shared" si="98"/>
        <v/>
      </c>
      <c r="N919" s="1" t="str">
        <f t="shared" si="99"/>
        <v/>
      </c>
      <c r="O919" s="1" t="str">
        <f ca="1">IF(F919="","",IF(INT(F919)=INT(NOW()),IF(NETWORKDAYS.INTL(F919,F919,1,FERIADOS!$A$2:$A$50)=0,0,MAX(0,(MIN(NOW(),INT(NOW())+18/24)-MAX(F919,INT(F919)+8/24)))*24),MAX(0,(INT(F919)+18/24-MAX(F919,INT(F919)+8/24)))*24*NETWORKDAYS.INTL(F919,F919,1,FERIADOS!$A$2:$A$50)+MAX(0,NETWORKDAYS.INTL(F919+1,NOW()-1,1,FERIADOS!$A$2:$A$50))*10+MAX(0,(MIN(NOW(),INT(NOW())+18/24)-(INT(NOW())+8/24)))*24*NETWORKDAYS.INTL(NOW(),NOW(),1,FERIADOS!$A$2:$A$50)))</f>
        <v/>
      </c>
      <c r="P919" s="1" t="str">
        <f t="shared" si="100"/>
        <v/>
      </c>
      <c r="Q919" s="1" t="str">
        <f t="shared" si="101"/>
        <v/>
      </c>
      <c r="R919" s="1" t="str">
        <f t="shared" si="102"/>
        <v/>
      </c>
      <c r="S919" s="1" t="str">
        <f>IF($A919="","",COUNTIF($N$2:N919,$N919))</f>
        <v/>
      </c>
      <c r="T919" s="1" t="str">
        <f t="shared" si="103"/>
        <v/>
      </c>
      <c r="U919" s="1" t="str">
        <f t="shared" si="104"/>
        <v/>
      </c>
      <c r="V919"/>
    </row>
    <row r="920" spans="13:22" x14ac:dyDescent="0.3">
      <c r="M920" s="1" t="str">
        <f t="shared" si="98"/>
        <v/>
      </c>
      <c r="N920" s="1" t="str">
        <f t="shared" si="99"/>
        <v/>
      </c>
      <c r="O920" s="1" t="str">
        <f ca="1">IF(F920="","",IF(INT(F920)=INT(NOW()),IF(NETWORKDAYS.INTL(F920,F920,1,FERIADOS!$A$2:$A$50)=0,0,MAX(0,(MIN(NOW(),INT(NOW())+18/24)-MAX(F920,INT(F920)+8/24)))*24),MAX(0,(INT(F920)+18/24-MAX(F920,INT(F920)+8/24)))*24*NETWORKDAYS.INTL(F920,F920,1,FERIADOS!$A$2:$A$50)+MAX(0,NETWORKDAYS.INTL(F920+1,NOW()-1,1,FERIADOS!$A$2:$A$50))*10+MAX(0,(MIN(NOW(),INT(NOW())+18/24)-(INT(NOW())+8/24)))*24*NETWORKDAYS.INTL(NOW(),NOW(),1,FERIADOS!$A$2:$A$50)))</f>
        <v/>
      </c>
      <c r="P920" s="1" t="str">
        <f t="shared" si="100"/>
        <v/>
      </c>
      <c r="Q920" s="1" t="str">
        <f t="shared" si="101"/>
        <v/>
      </c>
      <c r="R920" s="1" t="str">
        <f t="shared" si="102"/>
        <v/>
      </c>
      <c r="S920" s="1" t="str">
        <f>IF($A920="","",COUNTIF($N$2:N920,$N920))</f>
        <v/>
      </c>
      <c r="T920" s="1" t="str">
        <f t="shared" si="103"/>
        <v/>
      </c>
      <c r="U920" s="1" t="str">
        <f t="shared" si="104"/>
        <v/>
      </c>
      <c r="V920"/>
    </row>
    <row r="921" spans="13:22" x14ac:dyDescent="0.3">
      <c r="M921" s="1" t="str">
        <f t="shared" si="98"/>
        <v/>
      </c>
      <c r="N921" s="1" t="str">
        <f t="shared" si="99"/>
        <v/>
      </c>
      <c r="O921" s="1" t="str">
        <f ca="1">IF(F921="","",IF(INT(F921)=INT(NOW()),IF(NETWORKDAYS.INTL(F921,F921,1,FERIADOS!$A$2:$A$50)=0,0,MAX(0,(MIN(NOW(),INT(NOW())+18/24)-MAX(F921,INT(F921)+8/24)))*24),MAX(0,(INT(F921)+18/24-MAX(F921,INT(F921)+8/24)))*24*NETWORKDAYS.INTL(F921,F921,1,FERIADOS!$A$2:$A$50)+MAX(0,NETWORKDAYS.INTL(F921+1,NOW()-1,1,FERIADOS!$A$2:$A$50))*10+MAX(0,(MIN(NOW(),INT(NOW())+18/24)-(INT(NOW())+8/24)))*24*NETWORKDAYS.INTL(NOW(),NOW(),1,FERIADOS!$A$2:$A$50)))</f>
        <v/>
      </c>
      <c r="P921" s="1" t="str">
        <f t="shared" si="100"/>
        <v/>
      </c>
      <c r="Q921" s="1" t="str">
        <f t="shared" si="101"/>
        <v/>
      </c>
      <c r="R921" s="1" t="str">
        <f t="shared" si="102"/>
        <v/>
      </c>
      <c r="S921" s="1" t="str">
        <f>IF($A921="","",COUNTIF($N$2:N921,$N921))</f>
        <v/>
      </c>
      <c r="T921" s="1" t="str">
        <f t="shared" si="103"/>
        <v/>
      </c>
      <c r="U921" s="1" t="str">
        <f t="shared" si="104"/>
        <v/>
      </c>
      <c r="V921"/>
    </row>
    <row r="922" spans="13:22" x14ac:dyDescent="0.3">
      <c r="M922" s="1" t="str">
        <f t="shared" si="98"/>
        <v/>
      </c>
      <c r="N922" s="1" t="str">
        <f t="shared" si="99"/>
        <v/>
      </c>
      <c r="O922" s="1" t="str">
        <f ca="1">IF(F922="","",IF(INT(F922)=INT(NOW()),IF(NETWORKDAYS.INTL(F922,F922,1,FERIADOS!$A$2:$A$50)=0,0,MAX(0,(MIN(NOW(),INT(NOW())+18/24)-MAX(F922,INT(F922)+8/24)))*24),MAX(0,(INT(F922)+18/24-MAX(F922,INT(F922)+8/24)))*24*NETWORKDAYS.INTL(F922,F922,1,FERIADOS!$A$2:$A$50)+MAX(0,NETWORKDAYS.INTL(F922+1,NOW()-1,1,FERIADOS!$A$2:$A$50))*10+MAX(0,(MIN(NOW(),INT(NOW())+18/24)-(INT(NOW())+8/24)))*24*NETWORKDAYS.INTL(NOW(),NOW(),1,FERIADOS!$A$2:$A$50)))</f>
        <v/>
      </c>
      <c r="P922" s="1" t="str">
        <f t="shared" si="100"/>
        <v/>
      </c>
      <c r="Q922" s="1" t="str">
        <f t="shared" si="101"/>
        <v/>
      </c>
      <c r="R922" s="1" t="str">
        <f t="shared" si="102"/>
        <v/>
      </c>
      <c r="S922" s="1" t="str">
        <f>IF($A922="","",COUNTIF($N$2:N922,$N922))</f>
        <v/>
      </c>
      <c r="T922" s="1" t="str">
        <f t="shared" si="103"/>
        <v/>
      </c>
      <c r="U922" s="1" t="str">
        <f t="shared" si="104"/>
        <v/>
      </c>
      <c r="V922"/>
    </row>
    <row r="923" spans="13:22" x14ac:dyDescent="0.3">
      <c r="M923" s="1" t="str">
        <f t="shared" si="98"/>
        <v/>
      </c>
      <c r="N923" s="1" t="str">
        <f t="shared" si="99"/>
        <v/>
      </c>
      <c r="O923" s="1" t="str">
        <f ca="1">IF(F923="","",IF(INT(F923)=INT(NOW()),IF(NETWORKDAYS.INTL(F923,F923,1,FERIADOS!$A$2:$A$50)=0,0,MAX(0,(MIN(NOW(),INT(NOW())+18/24)-MAX(F923,INT(F923)+8/24)))*24),MAX(0,(INT(F923)+18/24-MAX(F923,INT(F923)+8/24)))*24*NETWORKDAYS.INTL(F923,F923,1,FERIADOS!$A$2:$A$50)+MAX(0,NETWORKDAYS.INTL(F923+1,NOW()-1,1,FERIADOS!$A$2:$A$50))*10+MAX(0,(MIN(NOW(),INT(NOW())+18/24)-(INT(NOW())+8/24)))*24*NETWORKDAYS.INTL(NOW(),NOW(),1,FERIADOS!$A$2:$A$50)))</f>
        <v/>
      </c>
      <c r="P923" s="1" t="str">
        <f t="shared" si="100"/>
        <v/>
      </c>
      <c r="Q923" s="1" t="str">
        <f t="shared" si="101"/>
        <v/>
      </c>
      <c r="R923" s="1" t="str">
        <f t="shared" si="102"/>
        <v/>
      </c>
      <c r="S923" s="1" t="str">
        <f>IF($A923="","",COUNTIF($N$2:N923,$N923))</f>
        <v/>
      </c>
      <c r="T923" s="1" t="str">
        <f t="shared" si="103"/>
        <v/>
      </c>
      <c r="U923" s="1" t="str">
        <f t="shared" si="104"/>
        <v/>
      </c>
      <c r="V923"/>
    </row>
    <row r="924" spans="13:22" x14ac:dyDescent="0.3">
      <c r="M924" s="1" t="str">
        <f t="shared" si="98"/>
        <v/>
      </c>
      <c r="N924" s="1" t="str">
        <f t="shared" si="99"/>
        <v/>
      </c>
      <c r="O924" s="1" t="str">
        <f ca="1">IF(F924="","",IF(INT(F924)=INT(NOW()),IF(NETWORKDAYS.INTL(F924,F924,1,FERIADOS!$A$2:$A$50)=0,0,MAX(0,(MIN(NOW(),INT(NOW())+18/24)-MAX(F924,INT(F924)+8/24)))*24),MAX(0,(INT(F924)+18/24-MAX(F924,INT(F924)+8/24)))*24*NETWORKDAYS.INTL(F924,F924,1,FERIADOS!$A$2:$A$50)+MAX(0,NETWORKDAYS.INTL(F924+1,NOW()-1,1,FERIADOS!$A$2:$A$50))*10+MAX(0,(MIN(NOW(),INT(NOW())+18/24)-(INT(NOW())+8/24)))*24*NETWORKDAYS.INTL(NOW(),NOW(),1,FERIADOS!$A$2:$A$50)))</f>
        <v/>
      </c>
      <c r="P924" s="1" t="str">
        <f t="shared" si="100"/>
        <v/>
      </c>
      <c r="Q924" s="1" t="str">
        <f t="shared" si="101"/>
        <v/>
      </c>
      <c r="R924" s="1" t="str">
        <f t="shared" si="102"/>
        <v/>
      </c>
      <c r="S924" s="1" t="str">
        <f>IF($A924="","",COUNTIF($N$2:N924,$N924))</f>
        <v/>
      </c>
      <c r="T924" s="1" t="str">
        <f t="shared" si="103"/>
        <v/>
      </c>
      <c r="U924" s="1" t="str">
        <f t="shared" si="104"/>
        <v/>
      </c>
      <c r="V924"/>
    </row>
    <row r="925" spans="13:22" x14ac:dyDescent="0.3">
      <c r="M925" s="1" t="str">
        <f t="shared" si="98"/>
        <v/>
      </c>
      <c r="N925" s="1" t="str">
        <f t="shared" si="99"/>
        <v/>
      </c>
      <c r="O925" s="1" t="str">
        <f ca="1">IF(F925="","",IF(INT(F925)=INT(NOW()),IF(NETWORKDAYS.INTL(F925,F925,1,FERIADOS!$A$2:$A$50)=0,0,MAX(0,(MIN(NOW(),INT(NOW())+18/24)-MAX(F925,INT(F925)+8/24)))*24),MAX(0,(INT(F925)+18/24-MAX(F925,INT(F925)+8/24)))*24*NETWORKDAYS.INTL(F925,F925,1,FERIADOS!$A$2:$A$50)+MAX(0,NETWORKDAYS.INTL(F925+1,NOW()-1,1,FERIADOS!$A$2:$A$50))*10+MAX(0,(MIN(NOW(),INT(NOW())+18/24)-(INT(NOW())+8/24)))*24*NETWORKDAYS.INTL(NOW(),NOW(),1,FERIADOS!$A$2:$A$50)))</f>
        <v/>
      </c>
      <c r="P925" s="1" t="str">
        <f t="shared" si="100"/>
        <v/>
      </c>
      <c r="Q925" s="1" t="str">
        <f t="shared" si="101"/>
        <v/>
      </c>
      <c r="R925" s="1" t="str">
        <f t="shared" si="102"/>
        <v/>
      </c>
      <c r="S925" s="1" t="str">
        <f>IF($A925="","",COUNTIF($N$2:N925,$N925))</f>
        <v/>
      </c>
      <c r="T925" s="1" t="str">
        <f t="shared" si="103"/>
        <v/>
      </c>
      <c r="U925" s="1" t="str">
        <f t="shared" si="104"/>
        <v/>
      </c>
      <c r="V925"/>
    </row>
    <row r="926" spans="13:22" x14ac:dyDescent="0.3">
      <c r="M926" s="1" t="str">
        <f t="shared" si="98"/>
        <v/>
      </c>
      <c r="N926" s="1" t="str">
        <f t="shared" si="99"/>
        <v/>
      </c>
      <c r="O926" s="1" t="str">
        <f ca="1">IF(F926="","",IF(INT(F926)=INT(NOW()),IF(NETWORKDAYS.INTL(F926,F926,1,FERIADOS!$A$2:$A$50)=0,0,MAX(0,(MIN(NOW(),INT(NOW())+18/24)-MAX(F926,INT(F926)+8/24)))*24),MAX(0,(INT(F926)+18/24-MAX(F926,INT(F926)+8/24)))*24*NETWORKDAYS.INTL(F926,F926,1,FERIADOS!$A$2:$A$50)+MAX(0,NETWORKDAYS.INTL(F926+1,NOW()-1,1,FERIADOS!$A$2:$A$50))*10+MAX(0,(MIN(NOW(),INT(NOW())+18/24)-(INT(NOW())+8/24)))*24*NETWORKDAYS.INTL(NOW(),NOW(),1,FERIADOS!$A$2:$A$50)))</f>
        <v/>
      </c>
      <c r="P926" s="1" t="str">
        <f t="shared" si="100"/>
        <v/>
      </c>
      <c r="Q926" s="1" t="str">
        <f t="shared" si="101"/>
        <v/>
      </c>
      <c r="R926" s="1" t="str">
        <f t="shared" si="102"/>
        <v/>
      </c>
      <c r="S926" s="1" t="str">
        <f>IF($A926="","",COUNTIF($N$2:N926,$N926))</f>
        <v/>
      </c>
      <c r="T926" s="1" t="str">
        <f t="shared" si="103"/>
        <v/>
      </c>
      <c r="U926" s="1" t="str">
        <f t="shared" si="104"/>
        <v/>
      </c>
      <c r="V926"/>
    </row>
    <row r="927" spans="13:22" x14ac:dyDescent="0.3">
      <c r="M927" s="1" t="str">
        <f t="shared" si="98"/>
        <v/>
      </c>
      <c r="N927" s="1" t="str">
        <f t="shared" si="99"/>
        <v/>
      </c>
      <c r="O927" s="1" t="str">
        <f ca="1">IF(F927="","",IF(INT(F927)=INT(NOW()),IF(NETWORKDAYS.INTL(F927,F927,1,FERIADOS!$A$2:$A$50)=0,0,MAX(0,(MIN(NOW(),INT(NOW())+18/24)-MAX(F927,INT(F927)+8/24)))*24),MAX(0,(INT(F927)+18/24-MAX(F927,INT(F927)+8/24)))*24*NETWORKDAYS.INTL(F927,F927,1,FERIADOS!$A$2:$A$50)+MAX(0,NETWORKDAYS.INTL(F927+1,NOW()-1,1,FERIADOS!$A$2:$A$50))*10+MAX(0,(MIN(NOW(),INT(NOW())+18/24)-(INT(NOW())+8/24)))*24*NETWORKDAYS.INTL(NOW(),NOW(),1,FERIADOS!$A$2:$A$50)))</f>
        <v/>
      </c>
      <c r="P927" s="1" t="str">
        <f t="shared" si="100"/>
        <v/>
      </c>
      <c r="Q927" s="1" t="str">
        <f t="shared" si="101"/>
        <v/>
      </c>
      <c r="R927" s="1" t="str">
        <f t="shared" si="102"/>
        <v/>
      </c>
      <c r="S927" s="1" t="str">
        <f>IF($A927="","",COUNTIF($N$2:N927,$N927))</f>
        <v/>
      </c>
      <c r="T927" s="1" t="str">
        <f t="shared" si="103"/>
        <v/>
      </c>
      <c r="U927" s="1" t="str">
        <f t="shared" si="104"/>
        <v/>
      </c>
      <c r="V927"/>
    </row>
    <row r="928" spans="13:22" x14ac:dyDescent="0.3">
      <c r="M928" s="1" t="str">
        <f t="shared" si="98"/>
        <v/>
      </c>
      <c r="N928" s="1" t="str">
        <f t="shared" si="99"/>
        <v/>
      </c>
      <c r="O928" s="1" t="str">
        <f ca="1">IF(F928="","",IF(INT(F928)=INT(NOW()),IF(NETWORKDAYS.INTL(F928,F928,1,FERIADOS!$A$2:$A$50)=0,0,MAX(0,(MIN(NOW(),INT(NOW())+18/24)-MAX(F928,INT(F928)+8/24)))*24),MAX(0,(INT(F928)+18/24-MAX(F928,INT(F928)+8/24)))*24*NETWORKDAYS.INTL(F928,F928,1,FERIADOS!$A$2:$A$50)+MAX(0,NETWORKDAYS.INTL(F928+1,NOW()-1,1,FERIADOS!$A$2:$A$50))*10+MAX(0,(MIN(NOW(),INT(NOW())+18/24)-(INT(NOW())+8/24)))*24*NETWORKDAYS.INTL(NOW(),NOW(),1,FERIADOS!$A$2:$A$50)))</f>
        <v/>
      </c>
      <c r="P928" s="1" t="str">
        <f t="shared" si="100"/>
        <v/>
      </c>
      <c r="Q928" s="1" t="str">
        <f t="shared" si="101"/>
        <v/>
      </c>
      <c r="R928" s="1" t="str">
        <f t="shared" si="102"/>
        <v/>
      </c>
      <c r="S928" s="1" t="str">
        <f>IF($A928="","",COUNTIF($N$2:N928,$N928))</f>
        <v/>
      </c>
      <c r="T928" s="1" t="str">
        <f t="shared" si="103"/>
        <v/>
      </c>
      <c r="U928" s="1" t="str">
        <f t="shared" si="104"/>
        <v/>
      </c>
      <c r="V928"/>
    </row>
    <row r="929" spans="13:22" x14ac:dyDescent="0.3">
      <c r="M929" s="1" t="str">
        <f t="shared" si="98"/>
        <v/>
      </c>
      <c r="N929" s="1" t="str">
        <f t="shared" si="99"/>
        <v/>
      </c>
      <c r="O929" s="1" t="str">
        <f ca="1">IF(F929="","",IF(INT(F929)=INT(NOW()),IF(NETWORKDAYS.INTL(F929,F929,1,FERIADOS!$A$2:$A$50)=0,0,MAX(0,(MIN(NOW(),INT(NOW())+18/24)-MAX(F929,INT(F929)+8/24)))*24),MAX(0,(INT(F929)+18/24-MAX(F929,INT(F929)+8/24)))*24*NETWORKDAYS.INTL(F929,F929,1,FERIADOS!$A$2:$A$50)+MAX(0,NETWORKDAYS.INTL(F929+1,NOW()-1,1,FERIADOS!$A$2:$A$50))*10+MAX(0,(MIN(NOW(),INT(NOW())+18/24)-(INT(NOW())+8/24)))*24*NETWORKDAYS.INTL(NOW(),NOW(),1,FERIADOS!$A$2:$A$50)))</f>
        <v/>
      </c>
      <c r="P929" s="1" t="str">
        <f t="shared" si="100"/>
        <v/>
      </c>
      <c r="Q929" s="1" t="str">
        <f t="shared" si="101"/>
        <v/>
      </c>
      <c r="R929" s="1" t="str">
        <f t="shared" si="102"/>
        <v/>
      </c>
      <c r="S929" s="1" t="str">
        <f>IF($A929="","",COUNTIF($N$2:N929,$N929))</f>
        <v/>
      </c>
      <c r="T929" s="1" t="str">
        <f t="shared" si="103"/>
        <v/>
      </c>
      <c r="U929" s="1" t="str">
        <f t="shared" si="104"/>
        <v/>
      </c>
      <c r="V929"/>
    </row>
    <row r="930" spans="13:22" x14ac:dyDescent="0.3">
      <c r="M930" s="1" t="str">
        <f t="shared" si="98"/>
        <v/>
      </c>
      <c r="N930" s="1" t="str">
        <f t="shared" si="99"/>
        <v/>
      </c>
      <c r="O930" s="1" t="str">
        <f ca="1">IF(F930="","",IF(INT(F930)=INT(NOW()),IF(NETWORKDAYS.INTL(F930,F930,1,FERIADOS!$A$2:$A$50)=0,0,MAX(0,(MIN(NOW(),INT(NOW())+18/24)-MAX(F930,INT(F930)+8/24)))*24),MAX(0,(INT(F930)+18/24-MAX(F930,INT(F930)+8/24)))*24*NETWORKDAYS.INTL(F930,F930,1,FERIADOS!$A$2:$A$50)+MAX(0,NETWORKDAYS.INTL(F930+1,NOW()-1,1,FERIADOS!$A$2:$A$50))*10+MAX(0,(MIN(NOW(),INT(NOW())+18/24)-(INT(NOW())+8/24)))*24*NETWORKDAYS.INTL(NOW(),NOW(),1,FERIADOS!$A$2:$A$50)))</f>
        <v/>
      </c>
      <c r="P930" s="1" t="str">
        <f t="shared" si="100"/>
        <v/>
      </c>
      <c r="Q930" s="1" t="str">
        <f t="shared" si="101"/>
        <v/>
      </c>
      <c r="R930" s="1" t="str">
        <f t="shared" si="102"/>
        <v/>
      </c>
      <c r="S930" s="1" t="str">
        <f>IF($A930="","",COUNTIF($N$2:N930,$N930))</f>
        <v/>
      </c>
      <c r="T930" s="1" t="str">
        <f t="shared" si="103"/>
        <v/>
      </c>
      <c r="U930" s="1" t="str">
        <f t="shared" si="104"/>
        <v/>
      </c>
      <c r="V930"/>
    </row>
    <row r="931" spans="13:22" x14ac:dyDescent="0.3">
      <c r="M931" s="1" t="str">
        <f t="shared" si="98"/>
        <v/>
      </c>
      <c r="N931" s="1" t="str">
        <f t="shared" si="99"/>
        <v/>
      </c>
      <c r="O931" s="1" t="str">
        <f ca="1">IF(F931="","",IF(INT(F931)=INT(NOW()),IF(NETWORKDAYS.INTL(F931,F931,1,FERIADOS!$A$2:$A$50)=0,0,MAX(0,(MIN(NOW(),INT(NOW())+18/24)-MAX(F931,INT(F931)+8/24)))*24),MAX(0,(INT(F931)+18/24-MAX(F931,INT(F931)+8/24)))*24*NETWORKDAYS.INTL(F931,F931,1,FERIADOS!$A$2:$A$50)+MAX(0,NETWORKDAYS.INTL(F931+1,NOW()-1,1,FERIADOS!$A$2:$A$50))*10+MAX(0,(MIN(NOW(),INT(NOW())+18/24)-(INT(NOW())+8/24)))*24*NETWORKDAYS.INTL(NOW(),NOW(),1,FERIADOS!$A$2:$A$50)))</f>
        <v/>
      </c>
      <c r="P931" s="1" t="str">
        <f t="shared" si="100"/>
        <v/>
      </c>
      <c r="Q931" s="1" t="str">
        <f t="shared" si="101"/>
        <v/>
      </c>
      <c r="R931" s="1" t="str">
        <f t="shared" si="102"/>
        <v/>
      </c>
      <c r="S931" s="1" t="str">
        <f>IF($A931="","",COUNTIF($N$2:N931,$N931))</f>
        <v/>
      </c>
      <c r="T931" s="1" t="str">
        <f t="shared" si="103"/>
        <v/>
      </c>
      <c r="U931" s="1" t="str">
        <f t="shared" si="104"/>
        <v/>
      </c>
      <c r="V931"/>
    </row>
    <row r="932" spans="13:22" x14ac:dyDescent="0.3">
      <c r="M932" s="1" t="str">
        <f t="shared" si="98"/>
        <v/>
      </c>
      <c r="N932" s="1" t="str">
        <f t="shared" si="99"/>
        <v/>
      </c>
      <c r="O932" s="1" t="str">
        <f ca="1">IF(F932="","",IF(INT(F932)=INT(NOW()),IF(NETWORKDAYS.INTL(F932,F932,1,FERIADOS!$A$2:$A$50)=0,0,MAX(0,(MIN(NOW(),INT(NOW())+18/24)-MAX(F932,INT(F932)+8/24)))*24),MAX(0,(INT(F932)+18/24-MAX(F932,INT(F932)+8/24)))*24*NETWORKDAYS.INTL(F932,F932,1,FERIADOS!$A$2:$A$50)+MAX(0,NETWORKDAYS.INTL(F932+1,NOW()-1,1,FERIADOS!$A$2:$A$50))*10+MAX(0,(MIN(NOW(),INT(NOW())+18/24)-(INT(NOW())+8/24)))*24*NETWORKDAYS.INTL(NOW(),NOW(),1,FERIADOS!$A$2:$A$50)))</f>
        <v/>
      </c>
      <c r="P932" s="1" t="str">
        <f t="shared" si="100"/>
        <v/>
      </c>
      <c r="Q932" s="1" t="str">
        <f t="shared" si="101"/>
        <v/>
      </c>
      <c r="R932" s="1" t="str">
        <f t="shared" si="102"/>
        <v/>
      </c>
      <c r="S932" s="1" t="str">
        <f>IF($A932="","",COUNTIF($N$2:N932,$N932))</f>
        <v/>
      </c>
      <c r="T932" s="1" t="str">
        <f t="shared" si="103"/>
        <v/>
      </c>
      <c r="U932" s="1" t="str">
        <f t="shared" si="104"/>
        <v/>
      </c>
      <c r="V932"/>
    </row>
    <row r="933" spans="13:22" x14ac:dyDescent="0.3">
      <c r="M933" s="1" t="str">
        <f t="shared" si="98"/>
        <v/>
      </c>
      <c r="N933" s="1" t="str">
        <f t="shared" si="99"/>
        <v/>
      </c>
      <c r="O933" s="1" t="str">
        <f ca="1">IF(F933="","",IF(INT(F933)=INT(NOW()),IF(NETWORKDAYS.INTL(F933,F933,1,FERIADOS!$A$2:$A$50)=0,0,MAX(0,(MIN(NOW(),INT(NOW())+18/24)-MAX(F933,INT(F933)+8/24)))*24),MAX(0,(INT(F933)+18/24-MAX(F933,INT(F933)+8/24)))*24*NETWORKDAYS.INTL(F933,F933,1,FERIADOS!$A$2:$A$50)+MAX(0,NETWORKDAYS.INTL(F933+1,NOW()-1,1,FERIADOS!$A$2:$A$50))*10+MAX(0,(MIN(NOW(),INT(NOW())+18/24)-(INT(NOW())+8/24)))*24*NETWORKDAYS.INTL(NOW(),NOW(),1,FERIADOS!$A$2:$A$50)))</f>
        <v/>
      </c>
      <c r="P933" s="1" t="str">
        <f t="shared" si="100"/>
        <v/>
      </c>
      <c r="Q933" s="1" t="str">
        <f t="shared" si="101"/>
        <v/>
      </c>
      <c r="R933" s="1" t="str">
        <f t="shared" si="102"/>
        <v/>
      </c>
      <c r="S933" s="1" t="str">
        <f>IF($A933="","",COUNTIF($N$2:N933,$N933))</f>
        <v/>
      </c>
      <c r="T933" s="1" t="str">
        <f t="shared" si="103"/>
        <v/>
      </c>
      <c r="U933" s="1" t="str">
        <f t="shared" si="104"/>
        <v/>
      </c>
      <c r="V933"/>
    </row>
    <row r="934" spans="13:22" x14ac:dyDescent="0.3">
      <c r="M934" s="1" t="str">
        <f t="shared" si="98"/>
        <v/>
      </c>
      <c r="N934" s="1" t="str">
        <f t="shared" si="99"/>
        <v/>
      </c>
      <c r="O934" s="1" t="str">
        <f ca="1">IF(F934="","",IF(INT(F934)=INT(NOW()),IF(NETWORKDAYS.INTL(F934,F934,1,FERIADOS!$A$2:$A$50)=0,0,MAX(0,(MIN(NOW(),INT(NOW())+18/24)-MAX(F934,INT(F934)+8/24)))*24),MAX(0,(INT(F934)+18/24-MAX(F934,INT(F934)+8/24)))*24*NETWORKDAYS.INTL(F934,F934,1,FERIADOS!$A$2:$A$50)+MAX(0,NETWORKDAYS.INTL(F934+1,NOW()-1,1,FERIADOS!$A$2:$A$50))*10+MAX(0,(MIN(NOW(),INT(NOW())+18/24)-(INT(NOW())+8/24)))*24*NETWORKDAYS.INTL(NOW(),NOW(),1,FERIADOS!$A$2:$A$50)))</f>
        <v/>
      </c>
      <c r="P934" s="1" t="str">
        <f t="shared" si="100"/>
        <v/>
      </c>
      <c r="Q934" s="1" t="str">
        <f t="shared" si="101"/>
        <v/>
      </c>
      <c r="R934" s="1" t="str">
        <f t="shared" si="102"/>
        <v/>
      </c>
      <c r="S934" s="1" t="str">
        <f>IF($A934="","",COUNTIF($N$2:N934,$N934))</f>
        <v/>
      </c>
      <c r="T934" s="1" t="str">
        <f t="shared" si="103"/>
        <v/>
      </c>
      <c r="U934" s="1" t="str">
        <f t="shared" si="104"/>
        <v/>
      </c>
      <c r="V934"/>
    </row>
    <row r="935" spans="13:22" x14ac:dyDescent="0.3">
      <c r="M935" s="1" t="str">
        <f t="shared" si="98"/>
        <v/>
      </c>
      <c r="N935" s="1" t="str">
        <f t="shared" si="99"/>
        <v/>
      </c>
      <c r="O935" s="1" t="str">
        <f ca="1">IF(F935="","",IF(INT(F935)=INT(NOW()),IF(NETWORKDAYS.INTL(F935,F935,1,FERIADOS!$A$2:$A$50)=0,0,MAX(0,(MIN(NOW(),INT(NOW())+18/24)-MAX(F935,INT(F935)+8/24)))*24),MAX(0,(INT(F935)+18/24-MAX(F935,INT(F935)+8/24)))*24*NETWORKDAYS.INTL(F935,F935,1,FERIADOS!$A$2:$A$50)+MAX(0,NETWORKDAYS.INTL(F935+1,NOW()-1,1,FERIADOS!$A$2:$A$50))*10+MAX(0,(MIN(NOW(),INT(NOW())+18/24)-(INT(NOW())+8/24)))*24*NETWORKDAYS.INTL(NOW(),NOW(),1,FERIADOS!$A$2:$A$50)))</f>
        <v/>
      </c>
      <c r="P935" s="1" t="str">
        <f t="shared" si="100"/>
        <v/>
      </c>
      <c r="Q935" s="1" t="str">
        <f t="shared" si="101"/>
        <v/>
      </c>
      <c r="R935" s="1" t="str">
        <f t="shared" si="102"/>
        <v/>
      </c>
      <c r="S935" s="1" t="str">
        <f>IF($A935="","",COUNTIF($N$2:N935,$N935))</f>
        <v/>
      </c>
      <c r="T935" s="1" t="str">
        <f t="shared" si="103"/>
        <v/>
      </c>
      <c r="U935" s="1" t="str">
        <f t="shared" si="104"/>
        <v/>
      </c>
      <c r="V935"/>
    </row>
    <row r="936" spans="13:22" x14ac:dyDescent="0.3">
      <c r="M936" s="1" t="str">
        <f t="shared" si="98"/>
        <v/>
      </c>
      <c r="N936" s="1" t="str">
        <f t="shared" si="99"/>
        <v/>
      </c>
      <c r="O936" s="1" t="str">
        <f ca="1">IF(F936="","",IF(INT(F936)=INT(NOW()),IF(NETWORKDAYS.INTL(F936,F936,1,FERIADOS!$A$2:$A$50)=0,0,MAX(0,(MIN(NOW(),INT(NOW())+18/24)-MAX(F936,INT(F936)+8/24)))*24),MAX(0,(INT(F936)+18/24-MAX(F936,INT(F936)+8/24)))*24*NETWORKDAYS.INTL(F936,F936,1,FERIADOS!$A$2:$A$50)+MAX(0,NETWORKDAYS.INTL(F936+1,NOW()-1,1,FERIADOS!$A$2:$A$50))*10+MAX(0,(MIN(NOW(),INT(NOW())+18/24)-(INT(NOW())+8/24)))*24*NETWORKDAYS.INTL(NOW(),NOW(),1,FERIADOS!$A$2:$A$50)))</f>
        <v/>
      </c>
      <c r="P936" s="1" t="str">
        <f t="shared" si="100"/>
        <v/>
      </c>
      <c r="Q936" s="1" t="str">
        <f t="shared" si="101"/>
        <v/>
      </c>
      <c r="R936" s="1" t="str">
        <f t="shared" si="102"/>
        <v/>
      </c>
      <c r="S936" s="1" t="str">
        <f>IF($A936="","",COUNTIF($N$2:N936,$N936))</f>
        <v/>
      </c>
      <c r="T936" s="1" t="str">
        <f t="shared" si="103"/>
        <v/>
      </c>
      <c r="U936" s="1" t="str">
        <f t="shared" si="104"/>
        <v/>
      </c>
      <c r="V936"/>
    </row>
    <row r="937" spans="13:22" x14ac:dyDescent="0.3">
      <c r="M937" s="1" t="str">
        <f t="shared" si="98"/>
        <v/>
      </c>
      <c r="N937" s="1" t="str">
        <f t="shared" si="99"/>
        <v/>
      </c>
      <c r="O937" s="1" t="str">
        <f ca="1">IF(F937="","",IF(INT(F937)=INT(NOW()),IF(NETWORKDAYS.INTL(F937,F937,1,FERIADOS!$A$2:$A$50)=0,0,MAX(0,(MIN(NOW(),INT(NOW())+18/24)-MAX(F937,INT(F937)+8/24)))*24),MAX(0,(INT(F937)+18/24-MAX(F937,INT(F937)+8/24)))*24*NETWORKDAYS.INTL(F937,F937,1,FERIADOS!$A$2:$A$50)+MAX(0,NETWORKDAYS.INTL(F937+1,NOW()-1,1,FERIADOS!$A$2:$A$50))*10+MAX(0,(MIN(NOW(),INT(NOW())+18/24)-(INT(NOW())+8/24)))*24*NETWORKDAYS.INTL(NOW(),NOW(),1,FERIADOS!$A$2:$A$50)))</f>
        <v/>
      </c>
      <c r="P937" s="1" t="str">
        <f t="shared" si="100"/>
        <v/>
      </c>
      <c r="Q937" s="1" t="str">
        <f t="shared" si="101"/>
        <v/>
      </c>
      <c r="R937" s="1" t="str">
        <f t="shared" si="102"/>
        <v/>
      </c>
      <c r="S937" s="1" t="str">
        <f>IF($A937="","",COUNTIF($N$2:N937,$N937))</f>
        <v/>
      </c>
      <c r="T937" s="1" t="str">
        <f t="shared" si="103"/>
        <v/>
      </c>
      <c r="U937" s="1" t="str">
        <f t="shared" si="104"/>
        <v/>
      </c>
      <c r="V937"/>
    </row>
    <row r="938" spans="13:22" x14ac:dyDescent="0.3">
      <c r="M938" s="1" t="str">
        <f t="shared" si="98"/>
        <v/>
      </c>
      <c r="N938" s="1" t="str">
        <f t="shared" si="99"/>
        <v/>
      </c>
      <c r="O938" s="1" t="str">
        <f ca="1">IF(F938="","",IF(INT(F938)=INT(NOW()),IF(NETWORKDAYS.INTL(F938,F938,1,FERIADOS!$A$2:$A$50)=0,0,MAX(0,(MIN(NOW(),INT(NOW())+18/24)-MAX(F938,INT(F938)+8/24)))*24),MAX(0,(INT(F938)+18/24-MAX(F938,INT(F938)+8/24)))*24*NETWORKDAYS.INTL(F938,F938,1,FERIADOS!$A$2:$A$50)+MAX(0,NETWORKDAYS.INTL(F938+1,NOW()-1,1,FERIADOS!$A$2:$A$50))*10+MAX(0,(MIN(NOW(),INT(NOW())+18/24)-(INT(NOW())+8/24)))*24*NETWORKDAYS.INTL(NOW(),NOW(),1,FERIADOS!$A$2:$A$50)))</f>
        <v/>
      </c>
      <c r="P938" s="1" t="str">
        <f t="shared" si="100"/>
        <v/>
      </c>
      <c r="Q938" s="1" t="str">
        <f t="shared" si="101"/>
        <v/>
      </c>
      <c r="R938" s="1" t="str">
        <f t="shared" si="102"/>
        <v/>
      </c>
      <c r="S938" s="1" t="str">
        <f>IF($A938="","",COUNTIF($N$2:N938,$N938))</f>
        <v/>
      </c>
      <c r="T938" s="1" t="str">
        <f t="shared" si="103"/>
        <v/>
      </c>
      <c r="U938" s="1" t="str">
        <f t="shared" si="104"/>
        <v/>
      </c>
      <c r="V938"/>
    </row>
    <row r="939" spans="13:22" x14ac:dyDescent="0.3">
      <c r="M939" s="1" t="str">
        <f t="shared" si="98"/>
        <v/>
      </c>
      <c r="N939" s="1" t="str">
        <f t="shared" si="99"/>
        <v/>
      </c>
      <c r="O939" s="1" t="str">
        <f ca="1">IF(F939="","",IF(INT(F939)=INT(NOW()),IF(NETWORKDAYS.INTL(F939,F939,1,FERIADOS!$A$2:$A$50)=0,0,MAX(0,(MIN(NOW(),INT(NOW())+18/24)-MAX(F939,INT(F939)+8/24)))*24),MAX(0,(INT(F939)+18/24-MAX(F939,INT(F939)+8/24)))*24*NETWORKDAYS.INTL(F939,F939,1,FERIADOS!$A$2:$A$50)+MAX(0,NETWORKDAYS.INTL(F939+1,NOW()-1,1,FERIADOS!$A$2:$A$50))*10+MAX(0,(MIN(NOW(),INT(NOW())+18/24)-(INT(NOW())+8/24)))*24*NETWORKDAYS.INTL(NOW(),NOW(),1,FERIADOS!$A$2:$A$50)))</f>
        <v/>
      </c>
      <c r="P939" s="1" t="str">
        <f t="shared" si="100"/>
        <v/>
      </c>
      <c r="Q939" s="1" t="str">
        <f t="shared" si="101"/>
        <v/>
      </c>
      <c r="R939" s="1" t="str">
        <f t="shared" si="102"/>
        <v/>
      </c>
      <c r="S939" s="1" t="str">
        <f>IF($A939="","",COUNTIF($N$2:N939,$N939))</f>
        <v/>
      </c>
      <c r="T939" s="1" t="str">
        <f t="shared" si="103"/>
        <v/>
      </c>
      <c r="U939" s="1" t="str">
        <f t="shared" si="104"/>
        <v/>
      </c>
      <c r="V939"/>
    </row>
    <row r="940" spans="13:22" x14ac:dyDescent="0.3">
      <c r="M940" s="1" t="str">
        <f t="shared" si="98"/>
        <v/>
      </c>
      <c r="N940" s="1" t="str">
        <f t="shared" si="99"/>
        <v/>
      </c>
      <c r="O940" s="1" t="str">
        <f ca="1">IF(F940="","",IF(INT(F940)=INT(NOW()),IF(NETWORKDAYS.INTL(F940,F940,1,FERIADOS!$A$2:$A$50)=0,0,MAX(0,(MIN(NOW(),INT(NOW())+18/24)-MAX(F940,INT(F940)+8/24)))*24),MAX(0,(INT(F940)+18/24-MAX(F940,INT(F940)+8/24)))*24*NETWORKDAYS.INTL(F940,F940,1,FERIADOS!$A$2:$A$50)+MAX(0,NETWORKDAYS.INTL(F940+1,NOW()-1,1,FERIADOS!$A$2:$A$50))*10+MAX(0,(MIN(NOW(),INT(NOW())+18/24)-(INT(NOW())+8/24)))*24*NETWORKDAYS.INTL(NOW(),NOW(),1,FERIADOS!$A$2:$A$50)))</f>
        <v/>
      </c>
      <c r="P940" s="1" t="str">
        <f t="shared" si="100"/>
        <v/>
      </c>
      <c r="Q940" s="1" t="str">
        <f t="shared" si="101"/>
        <v/>
      </c>
      <c r="R940" s="1" t="str">
        <f t="shared" si="102"/>
        <v/>
      </c>
      <c r="S940" s="1" t="str">
        <f>IF($A940="","",COUNTIF($N$2:N940,$N940))</f>
        <v/>
      </c>
      <c r="T940" s="1" t="str">
        <f t="shared" si="103"/>
        <v/>
      </c>
      <c r="U940" s="1" t="str">
        <f t="shared" si="104"/>
        <v/>
      </c>
      <c r="V940"/>
    </row>
    <row r="941" spans="13:22" x14ac:dyDescent="0.3">
      <c r="M941" s="1" t="str">
        <f t="shared" si="98"/>
        <v/>
      </c>
      <c r="N941" s="1" t="str">
        <f t="shared" si="99"/>
        <v/>
      </c>
      <c r="O941" s="1" t="str">
        <f ca="1">IF(F941="","",IF(INT(F941)=INT(NOW()),IF(NETWORKDAYS.INTL(F941,F941,1,FERIADOS!$A$2:$A$50)=0,0,MAX(0,(MIN(NOW(),INT(NOW())+18/24)-MAX(F941,INT(F941)+8/24)))*24),MAX(0,(INT(F941)+18/24-MAX(F941,INT(F941)+8/24)))*24*NETWORKDAYS.INTL(F941,F941,1,FERIADOS!$A$2:$A$50)+MAX(0,NETWORKDAYS.INTL(F941+1,NOW()-1,1,FERIADOS!$A$2:$A$50))*10+MAX(0,(MIN(NOW(),INT(NOW())+18/24)-(INT(NOW())+8/24)))*24*NETWORKDAYS.INTL(NOW(),NOW(),1,FERIADOS!$A$2:$A$50)))</f>
        <v/>
      </c>
      <c r="P941" s="1" t="str">
        <f t="shared" si="100"/>
        <v/>
      </c>
      <c r="Q941" s="1" t="str">
        <f t="shared" si="101"/>
        <v/>
      </c>
      <c r="R941" s="1" t="str">
        <f t="shared" si="102"/>
        <v/>
      </c>
      <c r="S941" s="1" t="str">
        <f>IF($A941="","",COUNTIF($N$2:N941,$N941))</f>
        <v/>
      </c>
      <c r="T941" s="1" t="str">
        <f t="shared" si="103"/>
        <v/>
      </c>
      <c r="U941" s="1" t="str">
        <f t="shared" si="104"/>
        <v/>
      </c>
      <c r="V941"/>
    </row>
    <row r="942" spans="13:22" x14ac:dyDescent="0.3">
      <c r="M942" s="1" t="str">
        <f t="shared" si="98"/>
        <v/>
      </c>
      <c r="N942" s="1" t="str">
        <f t="shared" si="99"/>
        <v/>
      </c>
      <c r="O942" s="1" t="str">
        <f ca="1">IF(F942="","",IF(INT(F942)=INT(NOW()),IF(NETWORKDAYS.INTL(F942,F942,1,FERIADOS!$A$2:$A$50)=0,0,MAX(0,(MIN(NOW(),INT(NOW())+18/24)-MAX(F942,INT(F942)+8/24)))*24),MAX(0,(INT(F942)+18/24-MAX(F942,INT(F942)+8/24)))*24*NETWORKDAYS.INTL(F942,F942,1,FERIADOS!$A$2:$A$50)+MAX(0,NETWORKDAYS.INTL(F942+1,NOW()-1,1,FERIADOS!$A$2:$A$50))*10+MAX(0,(MIN(NOW(),INT(NOW())+18/24)-(INT(NOW())+8/24)))*24*NETWORKDAYS.INTL(NOW(),NOW(),1,FERIADOS!$A$2:$A$50)))</f>
        <v/>
      </c>
      <c r="P942" s="1" t="str">
        <f t="shared" si="100"/>
        <v/>
      </c>
      <c r="Q942" s="1" t="str">
        <f t="shared" si="101"/>
        <v/>
      </c>
      <c r="R942" s="1" t="str">
        <f t="shared" si="102"/>
        <v/>
      </c>
      <c r="S942" s="1" t="str">
        <f>IF($A942="","",COUNTIF($N$2:N942,$N942))</f>
        <v/>
      </c>
      <c r="T942" s="1" t="str">
        <f t="shared" si="103"/>
        <v/>
      </c>
      <c r="U942" s="1" t="str">
        <f t="shared" si="104"/>
        <v/>
      </c>
      <c r="V942"/>
    </row>
    <row r="943" spans="13:22" x14ac:dyDescent="0.3">
      <c r="M943" s="1" t="str">
        <f t="shared" si="98"/>
        <v/>
      </c>
      <c r="N943" s="1" t="str">
        <f t="shared" si="99"/>
        <v/>
      </c>
      <c r="O943" s="1" t="str">
        <f ca="1">IF(F943="","",IF(INT(F943)=INT(NOW()),IF(NETWORKDAYS.INTL(F943,F943,1,FERIADOS!$A$2:$A$50)=0,0,MAX(0,(MIN(NOW(),INT(NOW())+18/24)-MAX(F943,INT(F943)+8/24)))*24),MAX(0,(INT(F943)+18/24-MAX(F943,INT(F943)+8/24)))*24*NETWORKDAYS.INTL(F943,F943,1,FERIADOS!$A$2:$A$50)+MAX(0,NETWORKDAYS.INTL(F943+1,NOW()-1,1,FERIADOS!$A$2:$A$50))*10+MAX(0,(MIN(NOW(),INT(NOW())+18/24)-(INT(NOW())+8/24)))*24*NETWORKDAYS.INTL(NOW(),NOW(),1,FERIADOS!$A$2:$A$50)))</f>
        <v/>
      </c>
      <c r="P943" s="1" t="str">
        <f t="shared" si="100"/>
        <v/>
      </c>
      <c r="Q943" s="1" t="str">
        <f t="shared" si="101"/>
        <v/>
      </c>
      <c r="R943" s="1" t="str">
        <f t="shared" si="102"/>
        <v/>
      </c>
      <c r="S943" s="1" t="str">
        <f>IF($A943="","",COUNTIF($N$2:N943,$N943))</f>
        <v/>
      </c>
      <c r="T943" s="1" t="str">
        <f t="shared" si="103"/>
        <v/>
      </c>
      <c r="U943" s="1" t="str">
        <f t="shared" si="104"/>
        <v/>
      </c>
      <c r="V943"/>
    </row>
    <row r="944" spans="13:22" x14ac:dyDescent="0.3">
      <c r="M944" s="1" t="str">
        <f t="shared" si="98"/>
        <v/>
      </c>
      <c r="N944" s="1" t="str">
        <f t="shared" si="99"/>
        <v/>
      </c>
      <c r="O944" s="1" t="str">
        <f ca="1">IF(F944="","",IF(INT(F944)=INT(NOW()),IF(NETWORKDAYS.INTL(F944,F944,1,FERIADOS!$A$2:$A$50)=0,0,MAX(0,(MIN(NOW(),INT(NOW())+18/24)-MAX(F944,INT(F944)+8/24)))*24),MAX(0,(INT(F944)+18/24-MAX(F944,INT(F944)+8/24)))*24*NETWORKDAYS.INTL(F944,F944,1,FERIADOS!$A$2:$A$50)+MAX(0,NETWORKDAYS.INTL(F944+1,NOW()-1,1,FERIADOS!$A$2:$A$50))*10+MAX(0,(MIN(NOW(),INT(NOW())+18/24)-(INT(NOW())+8/24)))*24*NETWORKDAYS.INTL(NOW(),NOW(),1,FERIADOS!$A$2:$A$50)))</f>
        <v/>
      </c>
      <c r="P944" s="1" t="str">
        <f t="shared" si="100"/>
        <v/>
      </c>
      <c r="Q944" s="1" t="str">
        <f t="shared" si="101"/>
        <v/>
      </c>
      <c r="R944" s="1" t="str">
        <f t="shared" si="102"/>
        <v/>
      </c>
      <c r="S944" s="1" t="str">
        <f>IF($A944="","",COUNTIF($N$2:N944,$N944))</f>
        <v/>
      </c>
      <c r="T944" s="1" t="str">
        <f t="shared" si="103"/>
        <v/>
      </c>
      <c r="U944" s="1" t="str">
        <f t="shared" si="104"/>
        <v/>
      </c>
      <c r="V944"/>
    </row>
    <row r="945" spans="13:22" x14ac:dyDescent="0.3">
      <c r="M945" s="1" t="str">
        <f t="shared" si="98"/>
        <v/>
      </c>
      <c r="N945" s="1" t="str">
        <f t="shared" si="99"/>
        <v/>
      </c>
      <c r="O945" s="1" t="str">
        <f ca="1">IF(F945="","",IF(INT(F945)=INT(NOW()),IF(NETWORKDAYS.INTL(F945,F945,1,FERIADOS!$A$2:$A$50)=0,0,MAX(0,(MIN(NOW(),INT(NOW())+18/24)-MAX(F945,INT(F945)+8/24)))*24),MAX(0,(INT(F945)+18/24-MAX(F945,INT(F945)+8/24)))*24*NETWORKDAYS.INTL(F945,F945,1,FERIADOS!$A$2:$A$50)+MAX(0,NETWORKDAYS.INTL(F945+1,NOW()-1,1,FERIADOS!$A$2:$A$50))*10+MAX(0,(MIN(NOW(),INT(NOW())+18/24)-(INT(NOW())+8/24)))*24*NETWORKDAYS.INTL(NOW(),NOW(),1,FERIADOS!$A$2:$A$50)))</f>
        <v/>
      </c>
      <c r="P945" s="1" t="str">
        <f t="shared" si="100"/>
        <v/>
      </c>
      <c r="Q945" s="1" t="str">
        <f t="shared" si="101"/>
        <v/>
      </c>
      <c r="R945" s="1" t="str">
        <f t="shared" si="102"/>
        <v/>
      </c>
      <c r="S945" s="1" t="str">
        <f>IF($A945="","",COUNTIF($N$2:N945,$N945))</f>
        <v/>
      </c>
      <c r="T945" s="1" t="str">
        <f t="shared" si="103"/>
        <v/>
      </c>
      <c r="U945" s="1" t="str">
        <f t="shared" si="104"/>
        <v/>
      </c>
      <c r="V945"/>
    </row>
    <row r="946" spans="13:22" x14ac:dyDescent="0.3">
      <c r="M946" s="1" t="str">
        <f t="shared" si="98"/>
        <v/>
      </c>
      <c r="N946" s="1" t="str">
        <f t="shared" si="99"/>
        <v/>
      </c>
      <c r="O946" s="1" t="str">
        <f ca="1">IF(F946="","",IF(INT(F946)=INT(NOW()),IF(NETWORKDAYS.INTL(F946,F946,1,FERIADOS!$A$2:$A$50)=0,0,MAX(0,(MIN(NOW(),INT(NOW())+18/24)-MAX(F946,INT(F946)+8/24)))*24),MAX(0,(INT(F946)+18/24-MAX(F946,INT(F946)+8/24)))*24*NETWORKDAYS.INTL(F946,F946,1,FERIADOS!$A$2:$A$50)+MAX(0,NETWORKDAYS.INTL(F946+1,NOW()-1,1,FERIADOS!$A$2:$A$50))*10+MAX(0,(MIN(NOW(),INT(NOW())+18/24)-(INT(NOW())+8/24)))*24*NETWORKDAYS.INTL(NOW(),NOW(),1,FERIADOS!$A$2:$A$50)))</f>
        <v/>
      </c>
      <c r="P946" s="1" t="str">
        <f t="shared" si="100"/>
        <v/>
      </c>
      <c r="Q946" s="1" t="str">
        <f t="shared" si="101"/>
        <v/>
      </c>
      <c r="R946" s="1" t="str">
        <f t="shared" si="102"/>
        <v/>
      </c>
      <c r="S946" s="1" t="str">
        <f>IF($A946="","",COUNTIF($N$2:N946,$N946))</f>
        <v/>
      </c>
      <c r="T946" s="1" t="str">
        <f t="shared" si="103"/>
        <v/>
      </c>
      <c r="U946" s="1" t="str">
        <f t="shared" si="104"/>
        <v/>
      </c>
      <c r="V946"/>
    </row>
    <row r="947" spans="13:22" x14ac:dyDescent="0.3">
      <c r="M947" s="1" t="str">
        <f t="shared" si="98"/>
        <v/>
      </c>
      <c r="N947" s="1" t="str">
        <f t="shared" si="99"/>
        <v/>
      </c>
      <c r="O947" s="1" t="str">
        <f ca="1">IF(F947="","",IF(INT(F947)=INT(NOW()),IF(NETWORKDAYS.INTL(F947,F947,1,FERIADOS!$A$2:$A$50)=0,0,MAX(0,(MIN(NOW(),INT(NOW())+18/24)-MAX(F947,INT(F947)+8/24)))*24),MAX(0,(INT(F947)+18/24-MAX(F947,INT(F947)+8/24)))*24*NETWORKDAYS.INTL(F947,F947,1,FERIADOS!$A$2:$A$50)+MAX(0,NETWORKDAYS.INTL(F947+1,NOW()-1,1,FERIADOS!$A$2:$A$50))*10+MAX(0,(MIN(NOW(),INT(NOW())+18/24)-(INT(NOW())+8/24)))*24*NETWORKDAYS.INTL(NOW(),NOW(),1,FERIADOS!$A$2:$A$50)))</f>
        <v/>
      </c>
      <c r="P947" s="1" t="str">
        <f t="shared" si="100"/>
        <v/>
      </c>
      <c r="Q947" s="1" t="str">
        <f t="shared" si="101"/>
        <v/>
      </c>
      <c r="R947" s="1" t="str">
        <f t="shared" si="102"/>
        <v/>
      </c>
      <c r="S947" s="1" t="str">
        <f>IF($A947="","",COUNTIF($N$2:N947,$N947))</f>
        <v/>
      </c>
      <c r="T947" s="1" t="str">
        <f t="shared" si="103"/>
        <v/>
      </c>
      <c r="U947" s="1" t="str">
        <f t="shared" si="104"/>
        <v/>
      </c>
      <c r="V947"/>
    </row>
    <row r="948" spans="13:22" x14ac:dyDescent="0.3">
      <c r="M948" s="1" t="str">
        <f t="shared" si="98"/>
        <v/>
      </c>
      <c r="N948" s="1" t="str">
        <f t="shared" si="99"/>
        <v/>
      </c>
      <c r="O948" s="1" t="str">
        <f ca="1">IF(F948="","",IF(INT(F948)=INT(NOW()),IF(NETWORKDAYS.INTL(F948,F948,1,FERIADOS!$A$2:$A$50)=0,0,MAX(0,(MIN(NOW(),INT(NOW())+18/24)-MAX(F948,INT(F948)+8/24)))*24),MAX(0,(INT(F948)+18/24-MAX(F948,INT(F948)+8/24)))*24*NETWORKDAYS.INTL(F948,F948,1,FERIADOS!$A$2:$A$50)+MAX(0,NETWORKDAYS.INTL(F948+1,NOW()-1,1,FERIADOS!$A$2:$A$50))*10+MAX(0,(MIN(NOW(),INT(NOW())+18/24)-(INT(NOW())+8/24)))*24*NETWORKDAYS.INTL(NOW(),NOW(),1,FERIADOS!$A$2:$A$50)))</f>
        <v/>
      </c>
      <c r="P948" s="1" t="str">
        <f t="shared" si="100"/>
        <v/>
      </c>
      <c r="Q948" s="1" t="str">
        <f t="shared" si="101"/>
        <v/>
      </c>
      <c r="R948" s="1" t="str">
        <f t="shared" si="102"/>
        <v/>
      </c>
      <c r="S948" s="1" t="str">
        <f>IF($A948="","",COUNTIF($N$2:N948,$N948))</f>
        <v/>
      </c>
      <c r="T948" s="1" t="str">
        <f t="shared" si="103"/>
        <v/>
      </c>
      <c r="U948" s="1" t="str">
        <f t="shared" si="104"/>
        <v/>
      </c>
      <c r="V948"/>
    </row>
    <row r="949" spans="13:22" x14ac:dyDescent="0.3">
      <c r="M949" s="1" t="str">
        <f t="shared" si="98"/>
        <v/>
      </c>
      <c r="N949" s="1" t="str">
        <f t="shared" si="99"/>
        <v/>
      </c>
      <c r="O949" s="1" t="str">
        <f ca="1">IF(F949="","",IF(INT(F949)=INT(NOW()),IF(NETWORKDAYS.INTL(F949,F949,1,FERIADOS!$A$2:$A$50)=0,0,MAX(0,(MIN(NOW(),INT(NOW())+18/24)-MAX(F949,INT(F949)+8/24)))*24),MAX(0,(INT(F949)+18/24-MAX(F949,INT(F949)+8/24)))*24*NETWORKDAYS.INTL(F949,F949,1,FERIADOS!$A$2:$A$50)+MAX(0,NETWORKDAYS.INTL(F949+1,NOW()-1,1,FERIADOS!$A$2:$A$50))*10+MAX(0,(MIN(NOW(),INT(NOW())+18/24)-(INT(NOW())+8/24)))*24*NETWORKDAYS.INTL(NOW(),NOW(),1,FERIADOS!$A$2:$A$50)))</f>
        <v/>
      </c>
      <c r="P949" s="1" t="str">
        <f t="shared" si="100"/>
        <v/>
      </c>
      <c r="Q949" s="1" t="str">
        <f t="shared" si="101"/>
        <v/>
      </c>
      <c r="R949" s="1" t="str">
        <f t="shared" si="102"/>
        <v/>
      </c>
      <c r="S949" s="1" t="str">
        <f>IF($A949="","",COUNTIF($N$2:N949,$N949))</f>
        <v/>
      </c>
      <c r="T949" s="1" t="str">
        <f t="shared" si="103"/>
        <v/>
      </c>
      <c r="U949" s="1" t="str">
        <f t="shared" si="104"/>
        <v/>
      </c>
      <c r="V949"/>
    </row>
    <row r="950" spans="13:22" x14ac:dyDescent="0.3">
      <c r="M950" s="1" t="str">
        <f t="shared" si="98"/>
        <v/>
      </c>
      <c r="N950" s="1" t="str">
        <f t="shared" si="99"/>
        <v/>
      </c>
      <c r="O950" s="1" t="str">
        <f ca="1">IF(F950="","",IF(INT(F950)=INT(NOW()),IF(NETWORKDAYS.INTL(F950,F950,1,FERIADOS!$A$2:$A$50)=0,0,MAX(0,(MIN(NOW(),INT(NOW())+18/24)-MAX(F950,INT(F950)+8/24)))*24),MAX(0,(INT(F950)+18/24-MAX(F950,INT(F950)+8/24)))*24*NETWORKDAYS.INTL(F950,F950,1,FERIADOS!$A$2:$A$50)+MAX(0,NETWORKDAYS.INTL(F950+1,NOW()-1,1,FERIADOS!$A$2:$A$50))*10+MAX(0,(MIN(NOW(),INT(NOW())+18/24)-(INT(NOW())+8/24)))*24*NETWORKDAYS.INTL(NOW(),NOW(),1,FERIADOS!$A$2:$A$50)))</f>
        <v/>
      </c>
      <c r="P950" s="1" t="str">
        <f t="shared" si="100"/>
        <v/>
      </c>
      <c r="Q950" s="1" t="str">
        <f t="shared" si="101"/>
        <v/>
      </c>
      <c r="R950" s="1" t="str">
        <f t="shared" si="102"/>
        <v/>
      </c>
      <c r="S950" s="1" t="str">
        <f>IF($A950="","",COUNTIF($N$2:N950,$N950))</f>
        <v/>
      </c>
      <c r="T950" s="1" t="str">
        <f t="shared" si="103"/>
        <v/>
      </c>
      <c r="U950" s="1" t="str">
        <f t="shared" si="104"/>
        <v/>
      </c>
      <c r="V950"/>
    </row>
    <row r="951" spans="13:22" x14ac:dyDescent="0.3">
      <c r="M951" s="1" t="str">
        <f t="shared" si="98"/>
        <v/>
      </c>
      <c r="N951" s="1" t="str">
        <f t="shared" si="99"/>
        <v/>
      </c>
      <c r="O951" s="1" t="str">
        <f ca="1">IF(F951="","",IF(INT(F951)=INT(NOW()),IF(NETWORKDAYS.INTL(F951,F951,1,FERIADOS!$A$2:$A$50)=0,0,MAX(0,(MIN(NOW(),INT(NOW())+18/24)-MAX(F951,INT(F951)+8/24)))*24),MAX(0,(INT(F951)+18/24-MAX(F951,INT(F951)+8/24)))*24*NETWORKDAYS.INTL(F951,F951,1,FERIADOS!$A$2:$A$50)+MAX(0,NETWORKDAYS.INTL(F951+1,NOW()-1,1,FERIADOS!$A$2:$A$50))*10+MAX(0,(MIN(NOW(),INT(NOW())+18/24)-(INT(NOW())+8/24)))*24*NETWORKDAYS.INTL(NOW(),NOW(),1,FERIADOS!$A$2:$A$50)))</f>
        <v/>
      </c>
      <c r="P951" s="1" t="str">
        <f t="shared" si="100"/>
        <v/>
      </c>
      <c r="Q951" s="1" t="str">
        <f t="shared" si="101"/>
        <v/>
      </c>
      <c r="R951" s="1" t="str">
        <f t="shared" si="102"/>
        <v/>
      </c>
      <c r="S951" s="1" t="str">
        <f>IF($A951="","",COUNTIF($N$2:N951,$N951))</f>
        <v/>
      </c>
      <c r="T951" s="1" t="str">
        <f t="shared" si="103"/>
        <v/>
      </c>
      <c r="U951" s="1" t="str">
        <f t="shared" si="104"/>
        <v/>
      </c>
      <c r="V951"/>
    </row>
    <row r="952" spans="13:22" x14ac:dyDescent="0.3">
      <c r="M952" s="1" t="str">
        <f t="shared" si="98"/>
        <v/>
      </c>
      <c r="N952" s="1" t="str">
        <f t="shared" si="99"/>
        <v/>
      </c>
      <c r="O952" s="1" t="str">
        <f ca="1">IF(F952="","",IF(INT(F952)=INT(NOW()),IF(NETWORKDAYS.INTL(F952,F952,1,FERIADOS!$A$2:$A$50)=0,0,MAX(0,(MIN(NOW(),INT(NOW())+18/24)-MAX(F952,INT(F952)+8/24)))*24),MAX(0,(INT(F952)+18/24-MAX(F952,INT(F952)+8/24)))*24*NETWORKDAYS.INTL(F952,F952,1,FERIADOS!$A$2:$A$50)+MAX(0,NETWORKDAYS.INTL(F952+1,NOW()-1,1,FERIADOS!$A$2:$A$50))*10+MAX(0,(MIN(NOW(),INT(NOW())+18/24)-(INT(NOW())+8/24)))*24*NETWORKDAYS.INTL(NOW(),NOW(),1,FERIADOS!$A$2:$A$50)))</f>
        <v/>
      </c>
      <c r="P952" s="1" t="str">
        <f t="shared" si="100"/>
        <v/>
      </c>
      <c r="Q952" s="1" t="str">
        <f t="shared" si="101"/>
        <v/>
      </c>
      <c r="R952" s="1" t="str">
        <f t="shared" si="102"/>
        <v/>
      </c>
      <c r="S952" s="1" t="str">
        <f>IF($A952="","",COUNTIF($N$2:N952,$N952))</f>
        <v/>
      </c>
      <c r="T952" s="1" t="str">
        <f t="shared" si="103"/>
        <v/>
      </c>
      <c r="U952" s="1" t="str">
        <f t="shared" si="104"/>
        <v/>
      </c>
      <c r="V952"/>
    </row>
    <row r="953" spans="13:22" x14ac:dyDescent="0.3">
      <c r="M953" s="1" t="str">
        <f t="shared" si="98"/>
        <v/>
      </c>
      <c r="N953" s="1" t="str">
        <f t="shared" si="99"/>
        <v/>
      </c>
      <c r="O953" s="1" t="str">
        <f ca="1">IF(F953="","",IF(INT(F953)=INT(NOW()),IF(NETWORKDAYS.INTL(F953,F953,1,FERIADOS!$A$2:$A$50)=0,0,MAX(0,(MIN(NOW(),INT(NOW())+18/24)-MAX(F953,INT(F953)+8/24)))*24),MAX(0,(INT(F953)+18/24-MAX(F953,INT(F953)+8/24)))*24*NETWORKDAYS.INTL(F953,F953,1,FERIADOS!$A$2:$A$50)+MAX(0,NETWORKDAYS.INTL(F953+1,NOW()-1,1,FERIADOS!$A$2:$A$50))*10+MAX(0,(MIN(NOW(),INT(NOW())+18/24)-(INT(NOW())+8/24)))*24*NETWORKDAYS.INTL(NOW(),NOW(),1,FERIADOS!$A$2:$A$50)))</f>
        <v/>
      </c>
      <c r="P953" s="1" t="str">
        <f t="shared" si="100"/>
        <v/>
      </c>
      <c r="Q953" s="1" t="str">
        <f t="shared" si="101"/>
        <v/>
      </c>
      <c r="R953" s="1" t="str">
        <f t="shared" si="102"/>
        <v/>
      </c>
      <c r="S953" s="1" t="str">
        <f>IF($A953="","",COUNTIF($N$2:N953,$N953))</f>
        <v/>
      </c>
      <c r="T953" s="1" t="str">
        <f t="shared" si="103"/>
        <v/>
      </c>
      <c r="U953" s="1" t="str">
        <f t="shared" si="104"/>
        <v/>
      </c>
      <c r="V953"/>
    </row>
    <row r="954" spans="13:22" x14ac:dyDescent="0.3">
      <c r="M954" s="1" t="str">
        <f t="shared" si="98"/>
        <v/>
      </c>
      <c r="N954" s="1" t="str">
        <f t="shared" si="99"/>
        <v/>
      </c>
      <c r="O954" s="1" t="str">
        <f ca="1">IF(F954="","",IF(INT(F954)=INT(NOW()),IF(NETWORKDAYS.INTL(F954,F954,1,FERIADOS!$A$2:$A$50)=0,0,MAX(0,(MIN(NOW(),INT(NOW())+18/24)-MAX(F954,INT(F954)+8/24)))*24),MAX(0,(INT(F954)+18/24-MAX(F954,INT(F954)+8/24)))*24*NETWORKDAYS.INTL(F954,F954,1,FERIADOS!$A$2:$A$50)+MAX(0,NETWORKDAYS.INTL(F954+1,NOW()-1,1,FERIADOS!$A$2:$A$50))*10+MAX(0,(MIN(NOW(),INT(NOW())+18/24)-(INT(NOW())+8/24)))*24*NETWORKDAYS.INTL(NOW(),NOW(),1,FERIADOS!$A$2:$A$50)))</f>
        <v/>
      </c>
      <c r="P954" s="1" t="str">
        <f t="shared" si="100"/>
        <v/>
      </c>
      <c r="Q954" s="1" t="str">
        <f t="shared" si="101"/>
        <v/>
      </c>
      <c r="R954" s="1" t="str">
        <f t="shared" si="102"/>
        <v/>
      </c>
      <c r="S954" s="1" t="str">
        <f>IF($A954="","",COUNTIF($N$2:N954,$N954))</f>
        <v/>
      </c>
      <c r="T954" s="1" t="str">
        <f t="shared" si="103"/>
        <v/>
      </c>
      <c r="U954" s="1" t="str">
        <f t="shared" si="104"/>
        <v/>
      </c>
      <c r="V954"/>
    </row>
    <row r="955" spans="13:22" x14ac:dyDescent="0.3">
      <c r="M955" s="1" t="str">
        <f t="shared" si="98"/>
        <v/>
      </c>
      <c r="N955" s="1" t="str">
        <f t="shared" si="99"/>
        <v/>
      </c>
      <c r="O955" s="1" t="str">
        <f ca="1">IF(F955="","",IF(INT(F955)=INT(NOW()),IF(NETWORKDAYS.INTL(F955,F955,1,FERIADOS!$A$2:$A$50)=0,0,MAX(0,(MIN(NOW(),INT(NOW())+18/24)-MAX(F955,INT(F955)+8/24)))*24),MAX(0,(INT(F955)+18/24-MAX(F955,INT(F955)+8/24)))*24*NETWORKDAYS.INTL(F955,F955,1,FERIADOS!$A$2:$A$50)+MAX(0,NETWORKDAYS.INTL(F955+1,NOW()-1,1,FERIADOS!$A$2:$A$50))*10+MAX(0,(MIN(NOW(),INT(NOW())+18/24)-(INT(NOW())+8/24)))*24*NETWORKDAYS.INTL(NOW(),NOW(),1,FERIADOS!$A$2:$A$50)))</f>
        <v/>
      </c>
      <c r="P955" s="1" t="str">
        <f t="shared" si="100"/>
        <v/>
      </c>
      <c r="Q955" s="1" t="str">
        <f t="shared" si="101"/>
        <v/>
      </c>
      <c r="R955" s="1" t="str">
        <f t="shared" si="102"/>
        <v/>
      </c>
      <c r="S955" s="1" t="str">
        <f>IF($A955="","",COUNTIF($N$2:N955,$N955))</f>
        <v/>
      </c>
      <c r="T955" s="1" t="str">
        <f t="shared" si="103"/>
        <v/>
      </c>
      <c r="U955" s="1" t="str">
        <f t="shared" si="104"/>
        <v/>
      </c>
      <c r="V955"/>
    </row>
    <row r="956" spans="13:22" x14ac:dyDescent="0.3">
      <c r="M956" s="1" t="str">
        <f t="shared" si="98"/>
        <v/>
      </c>
      <c r="N956" s="1" t="str">
        <f t="shared" si="99"/>
        <v/>
      </c>
      <c r="O956" s="1" t="str">
        <f ca="1">IF(F956="","",IF(INT(F956)=INT(NOW()),IF(NETWORKDAYS.INTL(F956,F956,1,FERIADOS!$A$2:$A$50)=0,0,MAX(0,(MIN(NOW(),INT(NOW())+18/24)-MAX(F956,INT(F956)+8/24)))*24),MAX(0,(INT(F956)+18/24-MAX(F956,INT(F956)+8/24)))*24*NETWORKDAYS.INTL(F956,F956,1,FERIADOS!$A$2:$A$50)+MAX(0,NETWORKDAYS.INTL(F956+1,NOW()-1,1,FERIADOS!$A$2:$A$50))*10+MAX(0,(MIN(NOW(),INT(NOW())+18/24)-(INT(NOW())+8/24)))*24*NETWORKDAYS.INTL(NOW(),NOW(),1,FERIADOS!$A$2:$A$50)))</f>
        <v/>
      </c>
      <c r="P956" s="1" t="str">
        <f t="shared" si="100"/>
        <v/>
      </c>
      <c r="Q956" s="1" t="str">
        <f t="shared" si="101"/>
        <v/>
      </c>
      <c r="R956" s="1" t="str">
        <f t="shared" si="102"/>
        <v/>
      </c>
      <c r="S956" s="1" t="str">
        <f>IF($A956="","",COUNTIF($N$2:N956,$N956))</f>
        <v/>
      </c>
      <c r="T956" s="1" t="str">
        <f t="shared" si="103"/>
        <v/>
      </c>
      <c r="U956" s="1" t="str">
        <f t="shared" si="104"/>
        <v/>
      </c>
      <c r="V956"/>
    </row>
    <row r="957" spans="13:22" x14ac:dyDescent="0.3">
      <c r="M957" s="1" t="str">
        <f t="shared" si="98"/>
        <v/>
      </c>
      <c r="N957" s="1" t="str">
        <f t="shared" si="99"/>
        <v/>
      </c>
      <c r="O957" s="1" t="str">
        <f ca="1">IF(F957="","",IF(INT(F957)=INT(NOW()),IF(NETWORKDAYS.INTL(F957,F957,1,FERIADOS!$A$2:$A$50)=0,0,MAX(0,(MIN(NOW(),INT(NOW())+18/24)-MAX(F957,INT(F957)+8/24)))*24),MAX(0,(INT(F957)+18/24-MAX(F957,INT(F957)+8/24)))*24*NETWORKDAYS.INTL(F957,F957,1,FERIADOS!$A$2:$A$50)+MAX(0,NETWORKDAYS.INTL(F957+1,NOW()-1,1,FERIADOS!$A$2:$A$50))*10+MAX(0,(MIN(NOW(),INT(NOW())+18/24)-(INT(NOW())+8/24)))*24*NETWORKDAYS.INTL(NOW(),NOW(),1,FERIADOS!$A$2:$A$50)))</f>
        <v/>
      </c>
      <c r="P957" s="1" t="str">
        <f t="shared" si="100"/>
        <v/>
      </c>
      <c r="Q957" s="1" t="str">
        <f t="shared" si="101"/>
        <v/>
      </c>
      <c r="R957" s="1" t="str">
        <f t="shared" si="102"/>
        <v/>
      </c>
      <c r="S957" s="1" t="str">
        <f>IF($A957="","",COUNTIF($N$2:N957,$N957))</f>
        <v/>
      </c>
      <c r="T957" s="1" t="str">
        <f t="shared" si="103"/>
        <v/>
      </c>
      <c r="U957" s="1" t="str">
        <f t="shared" si="104"/>
        <v/>
      </c>
      <c r="V957"/>
    </row>
    <row r="958" spans="13:22" x14ac:dyDescent="0.3">
      <c r="M958" s="1" t="str">
        <f t="shared" si="98"/>
        <v/>
      </c>
      <c r="N958" s="1" t="str">
        <f t="shared" si="99"/>
        <v/>
      </c>
      <c r="O958" s="1" t="str">
        <f ca="1">IF(F958="","",IF(INT(F958)=INT(NOW()),IF(NETWORKDAYS.INTL(F958,F958,1,FERIADOS!$A$2:$A$50)=0,0,MAX(0,(MIN(NOW(),INT(NOW())+18/24)-MAX(F958,INT(F958)+8/24)))*24),MAX(0,(INT(F958)+18/24-MAX(F958,INT(F958)+8/24)))*24*NETWORKDAYS.INTL(F958,F958,1,FERIADOS!$A$2:$A$50)+MAX(0,NETWORKDAYS.INTL(F958+1,NOW()-1,1,FERIADOS!$A$2:$A$50))*10+MAX(0,(MIN(NOW(),INT(NOW())+18/24)-(INT(NOW())+8/24)))*24*NETWORKDAYS.INTL(NOW(),NOW(),1,FERIADOS!$A$2:$A$50)))</f>
        <v/>
      </c>
      <c r="P958" s="1" t="str">
        <f t="shared" si="100"/>
        <v/>
      </c>
      <c r="Q958" s="1" t="str">
        <f t="shared" si="101"/>
        <v/>
      </c>
      <c r="R958" s="1" t="str">
        <f t="shared" si="102"/>
        <v/>
      </c>
      <c r="S958" s="1" t="str">
        <f>IF($A958="","",COUNTIF($N$2:N958,$N958))</f>
        <v/>
      </c>
      <c r="T958" s="1" t="str">
        <f t="shared" si="103"/>
        <v/>
      </c>
      <c r="U958" s="1" t="str">
        <f t="shared" si="104"/>
        <v/>
      </c>
      <c r="V958"/>
    </row>
    <row r="959" spans="13:22" x14ac:dyDescent="0.3">
      <c r="M959" s="1" t="str">
        <f t="shared" si="98"/>
        <v/>
      </c>
      <c r="N959" s="1" t="str">
        <f t="shared" si="99"/>
        <v/>
      </c>
      <c r="O959" s="1" t="str">
        <f ca="1">IF(F959="","",IF(INT(F959)=INT(NOW()),IF(NETWORKDAYS.INTL(F959,F959,1,FERIADOS!$A$2:$A$50)=0,0,MAX(0,(MIN(NOW(),INT(NOW())+18/24)-MAX(F959,INT(F959)+8/24)))*24),MAX(0,(INT(F959)+18/24-MAX(F959,INT(F959)+8/24)))*24*NETWORKDAYS.INTL(F959,F959,1,FERIADOS!$A$2:$A$50)+MAX(0,NETWORKDAYS.INTL(F959+1,NOW()-1,1,FERIADOS!$A$2:$A$50))*10+MAX(0,(MIN(NOW(),INT(NOW())+18/24)-(INT(NOW())+8/24)))*24*NETWORKDAYS.INTL(NOW(),NOW(),1,FERIADOS!$A$2:$A$50)))</f>
        <v/>
      </c>
      <c r="P959" s="1" t="str">
        <f t="shared" si="100"/>
        <v/>
      </c>
      <c r="Q959" s="1" t="str">
        <f t="shared" si="101"/>
        <v/>
      </c>
      <c r="R959" s="1" t="str">
        <f t="shared" si="102"/>
        <v/>
      </c>
      <c r="S959" s="1" t="str">
        <f>IF($A959="","",COUNTIF($N$2:N959,$N959))</f>
        <v/>
      </c>
      <c r="T959" s="1" t="str">
        <f t="shared" si="103"/>
        <v/>
      </c>
      <c r="U959" s="1" t="str">
        <f t="shared" si="104"/>
        <v/>
      </c>
      <c r="V959"/>
    </row>
    <row r="960" spans="13:22" x14ac:dyDescent="0.3">
      <c r="M960" s="1" t="str">
        <f t="shared" si="98"/>
        <v/>
      </c>
      <c r="N960" s="1" t="str">
        <f t="shared" si="99"/>
        <v/>
      </c>
      <c r="O960" s="1" t="str">
        <f ca="1">IF(F960="","",IF(INT(F960)=INT(NOW()),IF(NETWORKDAYS.INTL(F960,F960,1,FERIADOS!$A$2:$A$50)=0,0,MAX(0,(MIN(NOW(),INT(NOW())+18/24)-MAX(F960,INT(F960)+8/24)))*24),MAX(0,(INT(F960)+18/24-MAX(F960,INT(F960)+8/24)))*24*NETWORKDAYS.INTL(F960,F960,1,FERIADOS!$A$2:$A$50)+MAX(0,NETWORKDAYS.INTL(F960+1,NOW()-1,1,FERIADOS!$A$2:$A$50))*10+MAX(0,(MIN(NOW(),INT(NOW())+18/24)-(INT(NOW())+8/24)))*24*NETWORKDAYS.INTL(NOW(),NOW(),1,FERIADOS!$A$2:$A$50)))</f>
        <v/>
      </c>
      <c r="P960" s="1" t="str">
        <f t="shared" si="100"/>
        <v/>
      </c>
      <c r="Q960" s="1" t="str">
        <f t="shared" si="101"/>
        <v/>
      </c>
      <c r="R960" s="1" t="str">
        <f t="shared" si="102"/>
        <v/>
      </c>
      <c r="S960" s="1" t="str">
        <f>IF($A960="","",COUNTIF($N$2:N960,$N960))</f>
        <v/>
      </c>
      <c r="T960" s="1" t="str">
        <f t="shared" si="103"/>
        <v/>
      </c>
      <c r="U960" s="1" t="str">
        <f t="shared" si="104"/>
        <v/>
      </c>
      <c r="V960"/>
    </row>
    <row r="961" spans="13:22" x14ac:dyDescent="0.3">
      <c r="M961" s="1" t="str">
        <f t="shared" si="98"/>
        <v/>
      </c>
      <c r="N961" s="1" t="str">
        <f t="shared" si="99"/>
        <v/>
      </c>
      <c r="O961" s="1" t="str">
        <f ca="1">IF(F961="","",IF(INT(F961)=INT(NOW()),IF(NETWORKDAYS.INTL(F961,F961,1,FERIADOS!$A$2:$A$50)=0,0,MAX(0,(MIN(NOW(),INT(NOW())+18/24)-MAX(F961,INT(F961)+8/24)))*24),MAX(0,(INT(F961)+18/24-MAX(F961,INT(F961)+8/24)))*24*NETWORKDAYS.INTL(F961,F961,1,FERIADOS!$A$2:$A$50)+MAX(0,NETWORKDAYS.INTL(F961+1,NOW()-1,1,FERIADOS!$A$2:$A$50))*10+MAX(0,(MIN(NOW(),INT(NOW())+18/24)-(INT(NOW())+8/24)))*24*NETWORKDAYS.INTL(NOW(),NOW(),1,FERIADOS!$A$2:$A$50)))</f>
        <v/>
      </c>
      <c r="P961" s="1" t="str">
        <f t="shared" si="100"/>
        <v/>
      </c>
      <c r="Q961" s="1" t="str">
        <f t="shared" si="101"/>
        <v/>
      </c>
      <c r="R961" s="1" t="str">
        <f t="shared" si="102"/>
        <v/>
      </c>
      <c r="S961" s="1" t="str">
        <f>IF($A961="","",COUNTIF($N$2:N961,$N961))</f>
        <v/>
      </c>
      <c r="T961" s="1" t="str">
        <f t="shared" si="103"/>
        <v/>
      </c>
      <c r="U961" s="1" t="str">
        <f t="shared" si="104"/>
        <v/>
      </c>
      <c r="V961"/>
    </row>
    <row r="962" spans="13:22" x14ac:dyDescent="0.3">
      <c r="M962" s="1" t="str">
        <f t="shared" ref="M962:M995" si="105">IF($A962="","",IF($L962="MA",IF(OR(UPPER($K962)="SAO LUIS",UPPER($K962)="SÃO LUIS",UPPER($K962)="PACO DO LUMIAR",UPPER($K962)="PAÇO DO LUMIAR",UPPER($K962)="SAO JOSE DE RIBAMAR",UPPER($K962)="SÃO JOSÉ DE RIBAMAR"),"MA CAP","MA INT"),IF($L962="PA",IF(OR(UPPER($K962)="BELEM",UPPER($K962)="BELÉM",UPPER($K962)="ANANINDEUA"),"PA CAP","PA INT"),IF($L962="PI",IF(UPPER($K962)="TERESINA","PI CAP","PI INT"),IF($L962="AM","AM INT",IF($L962="AP","AP","OUTROS"))))))</f>
        <v/>
      </c>
      <c r="N962" s="1" t="str">
        <f t="shared" ref="N962:N995" si="106">IF($A962="","",IF($M962="PI CAP","GIGA+ PI",IF($M962="PI INT","GIGA+ PI",IF($M962="MA CAP","SLN MA",IF($M962="MA INT","GIGA+ MA",IF($M962="PA CAP","SLN PA",IF($M962="PA INT","SLN PA",IF($M962="AM INT","ADX",IF($M962="AP","ADX","OUTROS")))))))))</f>
        <v/>
      </c>
      <c r="O962" s="1" t="str">
        <f ca="1">IF(F962="","",IF(INT(F962)=INT(NOW()),IF(NETWORKDAYS.INTL(F962,F962,1,FERIADOS!$A$2:$A$50)=0,0,MAX(0,(MIN(NOW(),INT(NOW())+18/24)-MAX(F962,INT(F962)+8/24)))*24),MAX(0,(INT(F962)+18/24-MAX(F962,INT(F962)+8/24)))*24*NETWORKDAYS.INTL(F962,F962,1,FERIADOS!$A$2:$A$50)+MAX(0,NETWORKDAYS.INTL(F962+1,NOW()-1,1,FERIADOS!$A$2:$A$50))*10+MAX(0,(MIN(NOW(),INT(NOW())+18/24)-(INT(NOW())+8/24)))*24*NETWORKDAYS.INTL(NOW(),NOW(),1,FERIADOS!$A$2:$A$50)))</f>
        <v/>
      </c>
      <c r="P962" s="1" t="str">
        <f t="shared" ref="P962:P995" si="107">IF($A962="","",IF(OR(O962="",O962=0),"00h 00m",TEXT(INT(O962),"00") &amp; "h " &amp; TEXT(INT((O962-INT(O962))*60),"00") &amp; "m"))</f>
        <v/>
      </c>
      <c r="Q962" s="1" t="str">
        <f t="shared" ref="Q962:Q995" si="108">IF($A962="","",IF(OR(O962="",O962&lt;=4),"🔵 Até 4h",IF(O962&lt;=8,"🟢 Entre 4h e 8h",IF(O962&lt;=12,"🟡 Entre 8h e 12h",IF(O962&lt;=24,"🟠 Entre 12h e 24h","🔴 Maior que 24h")))))</f>
        <v/>
      </c>
      <c r="R962" s="1" t="str">
        <f t="shared" ref="R962:R995" si="109">IF($A962="","",IF(OR(O962="",O962&lt;=8),"NO PRAZO","FORA DO PRAZO"))</f>
        <v/>
      </c>
      <c r="S962" s="1" t="str">
        <f>IF($A962="","",COUNTIF($N$2:N962,$N962))</f>
        <v/>
      </c>
      <c r="T962" s="1" t="str">
        <f t="shared" ref="T962:T995" si="110">IF($A962="","",IF($N962="SLN MA",1,IF($N962="GIGA+ MA",2,IF($N962="GIGA+ PI",3,IF($N962="SLN PA",4,IF($N962="ADX",5,6))))))</f>
        <v/>
      </c>
      <c r="U962" s="1" t="str">
        <f t="shared" ref="U962:U995" si="111">IF($A962="","",$T962*10000+$S962)</f>
        <v/>
      </c>
      <c r="V962"/>
    </row>
    <row r="963" spans="13:22" x14ac:dyDescent="0.3">
      <c r="M963" s="1" t="str">
        <f t="shared" si="105"/>
        <v/>
      </c>
      <c r="N963" s="1" t="str">
        <f t="shared" si="106"/>
        <v/>
      </c>
      <c r="O963" s="1" t="str">
        <f ca="1">IF(F963="","",IF(INT(F963)=INT(NOW()),IF(NETWORKDAYS.INTL(F963,F963,1,FERIADOS!$A$2:$A$50)=0,0,MAX(0,(MIN(NOW(),INT(NOW())+18/24)-MAX(F963,INT(F963)+8/24)))*24),MAX(0,(INT(F963)+18/24-MAX(F963,INT(F963)+8/24)))*24*NETWORKDAYS.INTL(F963,F963,1,FERIADOS!$A$2:$A$50)+MAX(0,NETWORKDAYS.INTL(F963+1,NOW()-1,1,FERIADOS!$A$2:$A$50))*10+MAX(0,(MIN(NOW(),INT(NOW())+18/24)-(INT(NOW())+8/24)))*24*NETWORKDAYS.INTL(NOW(),NOW(),1,FERIADOS!$A$2:$A$50)))</f>
        <v/>
      </c>
      <c r="P963" s="1" t="str">
        <f t="shared" si="107"/>
        <v/>
      </c>
      <c r="Q963" s="1" t="str">
        <f t="shared" si="108"/>
        <v/>
      </c>
      <c r="R963" s="1" t="str">
        <f t="shared" si="109"/>
        <v/>
      </c>
      <c r="S963" s="1" t="str">
        <f>IF($A963="","",COUNTIF($N$2:N963,$N963))</f>
        <v/>
      </c>
      <c r="T963" s="1" t="str">
        <f t="shared" si="110"/>
        <v/>
      </c>
      <c r="U963" s="1" t="str">
        <f t="shared" si="111"/>
        <v/>
      </c>
      <c r="V963"/>
    </row>
    <row r="964" spans="13:22" x14ac:dyDescent="0.3">
      <c r="M964" s="1" t="str">
        <f t="shared" si="105"/>
        <v/>
      </c>
      <c r="N964" s="1" t="str">
        <f t="shared" si="106"/>
        <v/>
      </c>
      <c r="O964" s="1" t="str">
        <f ca="1">IF(F964="","",IF(INT(F964)=INT(NOW()),IF(NETWORKDAYS.INTL(F964,F964,1,FERIADOS!$A$2:$A$50)=0,0,MAX(0,(MIN(NOW(),INT(NOW())+18/24)-MAX(F964,INT(F964)+8/24)))*24),MAX(0,(INT(F964)+18/24-MAX(F964,INT(F964)+8/24)))*24*NETWORKDAYS.INTL(F964,F964,1,FERIADOS!$A$2:$A$50)+MAX(0,NETWORKDAYS.INTL(F964+1,NOW()-1,1,FERIADOS!$A$2:$A$50))*10+MAX(0,(MIN(NOW(),INT(NOW())+18/24)-(INT(NOW())+8/24)))*24*NETWORKDAYS.INTL(NOW(),NOW(),1,FERIADOS!$A$2:$A$50)))</f>
        <v/>
      </c>
      <c r="P964" s="1" t="str">
        <f t="shared" si="107"/>
        <v/>
      </c>
      <c r="Q964" s="1" t="str">
        <f t="shared" si="108"/>
        <v/>
      </c>
      <c r="R964" s="1" t="str">
        <f t="shared" si="109"/>
        <v/>
      </c>
      <c r="S964" s="1" t="str">
        <f>IF($A964="","",COUNTIF($N$2:N964,$N964))</f>
        <v/>
      </c>
      <c r="T964" s="1" t="str">
        <f t="shared" si="110"/>
        <v/>
      </c>
      <c r="U964" s="1" t="str">
        <f t="shared" si="111"/>
        <v/>
      </c>
      <c r="V964"/>
    </row>
    <row r="965" spans="13:22" x14ac:dyDescent="0.3">
      <c r="M965" s="1" t="str">
        <f t="shared" si="105"/>
        <v/>
      </c>
      <c r="N965" s="1" t="str">
        <f t="shared" si="106"/>
        <v/>
      </c>
      <c r="O965" s="1" t="str">
        <f ca="1">IF(F965="","",IF(INT(F965)=INT(NOW()),IF(NETWORKDAYS.INTL(F965,F965,1,FERIADOS!$A$2:$A$50)=0,0,MAX(0,(MIN(NOW(),INT(NOW())+18/24)-MAX(F965,INT(F965)+8/24)))*24),MAX(0,(INT(F965)+18/24-MAX(F965,INT(F965)+8/24)))*24*NETWORKDAYS.INTL(F965,F965,1,FERIADOS!$A$2:$A$50)+MAX(0,NETWORKDAYS.INTL(F965+1,NOW()-1,1,FERIADOS!$A$2:$A$50))*10+MAX(0,(MIN(NOW(),INT(NOW())+18/24)-(INT(NOW())+8/24)))*24*NETWORKDAYS.INTL(NOW(),NOW(),1,FERIADOS!$A$2:$A$50)))</f>
        <v/>
      </c>
      <c r="P965" s="1" t="str">
        <f t="shared" si="107"/>
        <v/>
      </c>
      <c r="Q965" s="1" t="str">
        <f t="shared" si="108"/>
        <v/>
      </c>
      <c r="R965" s="1" t="str">
        <f t="shared" si="109"/>
        <v/>
      </c>
      <c r="S965" s="1" t="str">
        <f>IF($A965="","",COUNTIF($N$2:N965,$N965))</f>
        <v/>
      </c>
      <c r="T965" s="1" t="str">
        <f t="shared" si="110"/>
        <v/>
      </c>
      <c r="U965" s="1" t="str">
        <f t="shared" si="111"/>
        <v/>
      </c>
      <c r="V965"/>
    </row>
    <row r="966" spans="13:22" x14ac:dyDescent="0.3">
      <c r="M966" s="1" t="str">
        <f t="shared" si="105"/>
        <v/>
      </c>
      <c r="N966" s="1" t="str">
        <f t="shared" si="106"/>
        <v/>
      </c>
      <c r="O966" s="1" t="str">
        <f ca="1">IF(F966="","",IF(INT(F966)=INT(NOW()),IF(NETWORKDAYS.INTL(F966,F966,1,FERIADOS!$A$2:$A$50)=0,0,MAX(0,(MIN(NOW(),INT(NOW())+18/24)-MAX(F966,INT(F966)+8/24)))*24),MAX(0,(INT(F966)+18/24-MAX(F966,INT(F966)+8/24)))*24*NETWORKDAYS.INTL(F966,F966,1,FERIADOS!$A$2:$A$50)+MAX(0,NETWORKDAYS.INTL(F966+1,NOW()-1,1,FERIADOS!$A$2:$A$50))*10+MAX(0,(MIN(NOW(),INT(NOW())+18/24)-(INT(NOW())+8/24)))*24*NETWORKDAYS.INTL(NOW(),NOW(),1,FERIADOS!$A$2:$A$50)))</f>
        <v/>
      </c>
      <c r="P966" s="1" t="str">
        <f t="shared" si="107"/>
        <v/>
      </c>
      <c r="Q966" s="1" t="str">
        <f t="shared" si="108"/>
        <v/>
      </c>
      <c r="R966" s="1" t="str">
        <f t="shared" si="109"/>
        <v/>
      </c>
      <c r="S966" s="1" t="str">
        <f>IF($A966="","",COUNTIF($N$2:N966,$N966))</f>
        <v/>
      </c>
      <c r="T966" s="1" t="str">
        <f t="shared" si="110"/>
        <v/>
      </c>
      <c r="U966" s="1" t="str">
        <f t="shared" si="111"/>
        <v/>
      </c>
      <c r="V966"/>
    </row>
    <row r="967" spans="13:22" x14ac:dyDescent="0.3">
      <c r="M967" s="1" t="str">
        <f t="shared" si="105"/>
        <v/>
      </c>
      <c r="N967" s="1" t="str">
        <f t="shared" si="106"/>
        <v/>
      </c>
      <c r="O967" s="1" t="str">
        <f ca="1">IF(F967="","",IF(INT(F967)=INT(NOW()),IF(NETWORKDAYS.INTL(F967,F967,1,FERIADOS!$A$2:$A$50)=0,0,MAX(0,(MIN(NOW(),INT(NOW())+18/24)-MAX(F967,INT(F967)+8/24)))*24),MAX(0,(INT(F967)+18/24-MAX(F967,INT(F967)+8/24)))*24*NETWORKDAYS.INTL(F967,F967,1,FERIADOS!$A$2:$A$50)+MAX(0,NETWORKDAYS.INTL(F967+1,NOW()-1,1,FERIADOS!$A$2:$A$50))*10+MAX(0,(MIN(NOW(),INT(NOW())+18/24)-(INT(NOW())+8/24)))*24*NETWORKDAYS.INTL(NOW(),NOW(),1,FERIADOS!$A$2:$A$50)))</f>
        <v/>
      </c>
      <c r="P967" s="1" t="str">
        <f t="shared" si="107"/>
        <v/>
      </c>
      <c r="Q967" s="1" t="str">
        <f t="shared" si="108"/>
        <v/>
      </c>
      <c r="R967" s="1" t="str">
        <f t="shared" si="109"/>
        <v/>
      </c>
      <c r="S967" s="1" t="str">
        <f>IF($A967="","",COUNTIF($N$2:N967,$N967))</f>
        <v/>
      </c>
      <c r="T967" s="1" t="str">
        <f t="shared" si="110"/>
        <v/>
      </c>
      <c r="U967" s="1" t="str">
        <f t="shared" si="111"/>
        <v/>
      </c>
      <c r="V967"/>
    </row>
    <row r="968" spans="13:22" x14ac:dyDescent="0.3">
      <c r="M968" s="1" t="str">
        <f t="shared" si="105"/>
        <v/>
      </c>
      <c r="N968" s="1" t="str">
        <f t="shared" si="106"/>
        <v/>
      </c>
      <c r="O968" s="1" t="str">
        <f ca="1">IF(F968="","",IF(INT(F968)=INT(NOW()),IF(NETWORKDAYS.INTL(F968,F968,1,FERIADOS!$A$2:$A$50)=0,0,MAX(0,(MIN(NOW(),INT(NOW())+18/24)-MAX(F968,INT(F968)+8/24)))*24),MAX(0,(INT(F968)+18/24-MAX(F968,INT(F968)+8/24)))*24*NETWORKDAYS.INTL(F968,F968,1,FERIADOS!$A$2:$A$50)+MAX(0,NETWORKDAYS.INTL(F968+1,NOW()-1,1,FERIADOS!$A$2:$A$50))*10+MAX(0,(MIN(NOW(),INT(NOW())+18/24)-(INT(NOW())+8/24)))*24*NETWORKDAYS.INTL(NOW(),NOW(),1,FERIADOS!$A$2:$A$50)))</f>
        <v/>
      </c>
      <c r="P968" s="1" t="str">
        <f t="shared" si="107"/>
        <v/>
      </c>
      <c r="Q968" s="1" t="str">
        <f t="shared" si="108"/>
        <v/>
      </c>
      <c r="R968" s="1" t="str">
        <f t="shared" si="109"/>
        <v/>
      </c>
      <c r="S968" s="1" t="str">
        <f>IF($A968="","",COUNTIF($N$2:N968,$N968))</f>
        <v/>
      </c>
      <c r="T968" s="1" t="str">
        <f t="shared" si="110"/>
        <v/>
      </c>
      <c r="U968" s="1" t="str">
        <f t="shared" si="111"/>
        <v/>
      </c>
      <c r="V968"/>
    </row>
    <row r="969" spans="13:22" x14ac:dyDescent="0.3">
      <c r="M969" s="1" t="str">
        <f t="shared" si="105"/>
        <v/>
      </c>
      <c r="N969" s="1" t="str">
        <f t="shared" si="106"/>
        <v/>
      </c>
      <c r="O969" s="1" t="str">
        <f ca="1">IF(F969="","",IF(INT(F969)=INT(NOW()),IF(NETWORKDAYS.INTL(F969,F969,1,FERIADOS!$A$2:$A$50)=0,0,MAX(0,(MIN(NOW(),INT(NOW())+18/24)-MAX(F969,INT(F969)+8/24)))*24),MAX(0,(INT(F969)+18/24-MAX(F969,INT(F969)+8/24)))*24*NETWORKDAYS.INTL(F969,F969,1,FERIADOS!$A$2:$A$50)+MAX(0,NETWORKDAYS.INTL(F969+1,NOW()-1,1,FERIADOS!$A$2:$A$50))*10+MAX(0,(MIN(NOW(),INT(NOW())+18/24)-(INT(NOW())+8/24)))*24*NETWORKDAYS.INTL(NOW(),NOW(),1,FERIADOS!$A$2:$A$50)))</f>
        <v/>
      </c>
      <c r="P969" s="1" t="str">
        <f t="shared" si="107"/>
        <v/>
      </c>
      <c r="Q969" s="1" t="str">
        <f t="shared" si="108"/>
        <v/>
      </c>
      <c r="R969" s="1" t="str">
        <f t="shared" si="109"/>
        <v/>
      </c>
      <c r="S969" s="1" t="str">
        <f>IF($A969="","",COUNTIF($N$2:N969,$N969))</f>
        <v/>
      </c>
      <c r="T969" s="1" t="str">
        <f t="shared" si="110"/>
        <v/>
      </c>
      <c r="U969" s="1" t="str">
        <f t="shared" si="111"/>
        <v/>
      </c>
      <c r="V969"/>
    </row>
    <row r="970" spans="13:22" x14ac:dyDescent="0.3">
      <c r="M970" s="1" t="str">
        <f t="shared" si="105"/>
        <v/>
      </c>
      <c r="N970" s="1" t="str">
        <f t="shared" si="106"/>
        <v/>
      </c>
      <c r="O970" s="1" t="str">
        <f ca="1">IF(F970="","",IF(INT(F970)=INT(NOW()),IF(NETWORKDAYS.INTL(F970,F970,1,FERIADOS!$A$2:$A$50)=0,0,MAX(0,(MIN(NOW(),INT(NOW())+18/24)-MAX(F970,INT(F970)+8/24)))*24),MAX(0,(INT(F970)+18/24-MAX(F970,INT(F970)+8/24)))*24*NETWORKDAYS.INTL(F970,F970,1,FERIADOS!$A$2:$A$50)+MAX(0,NETWORKDAYS.INTL(F970+1,NOW()-1,1,FERIADOS!$A$2:$A$50))*10+MAX(0,(MIN(NOW(),INT(NOW())+18/24)-(INT(NOW())+8/24)))*24*NETWORKDAYS.INTL(NOW(),NOW(),1,FERIADOS!$A$2:$A$50)))</f>
        <v/>
      </c>
      <c r="P970" s="1" t="str">
        <f t="shared" si="107"/>
        <v/>
      </c>
      <c r="Q970" s="1" t="str">
        <f t="shared" si="108"/>
        <v/>
      </c>
      <c r="R970" s="1" t="str">
        <f t="shared" si="109"/>
        <v/>
      </c>
      <c r="S970" s="1" t="str">
        <f>IF($A970="","",COUNTIF($N$2:N970,$N970))</f>
        <v/>
      </c>
      <c r="T970" s="1" t="str">
        <f t="shared" si="110"/>
        <v/>
      </c>
      <c r="U970" s="1" t="str">
        <f t="shared" si="111"/>
        <v/>
      </c>
      <c r="V970"/>
    </row>
    <row r="971" spans="13:22" x14ac:dyDescent="0.3">
      <c r="M971" s="1" t="str">
        <f t="shared" si="105"/>
        <v/>
      </c>
      <c r="N971" s="1" t="str">
        <f t="shared" si="106"/>
        <v/>
      </c>
      <c r="O971" s="1" t="str">
        <f ca="1">IF(F971="","",IF(INT(F971)=INT(NOW()),IF(NETWORKDAYS.INTL(F971,F971,1,FERIADOS!$A$2:$A$50)=0,0,MAX(0,(MIN(NOW(),INT(NOW())+18/24)-MAX(F971,INT(F971)+8/24)))*24),MAX(0,(INT(F971)+18/24-MAX(F971,INT(F971)+8/24)))*24*NETWORKDAYS.INTL(F971,F971,1,FERIADOS!$A$2:$A$50)+MAX(0,NETWORKDAYS.INTL(F971+1,NOW()-1,1,FERIADOS!$A$2:$A$50))*10+MAX(0,(MIN(NOW(),INT(NOW())+18/24)-(INT(NOW())+8/24)))*24*NETWORKDAYS.INTL(NOW(),NOW(),1,FERIADOS!$A$2:$A$50)))</f>
        <v/>
      </c>
      <c r="P971" s="1" t="str">
        <f t="shared" si="107"/>
        <v/>
      </c>
      <c r="Q971" s="1" t="str">
        <f t="shared" si="108"/>
        <v/>
      </c>
      <c r="R971" s="1" t="str">
        <f t="shared" si="109"/>
        <v/>
      </c>
      <c r="S971" s="1" t="str">
        <f>IF($A971="","",COUNTIF($N$2:N971,$N971))</f>
        <v/>
      </c>
      <c r="T971" s="1" t="str">
        <f t="shared" si="110"/>
        <v/>
      </c>
      <c r="U971" s="1" t="str">
        <f t="shared" si="111"/>
        <v/>
      </c>
      <c r="V971"/>
    </row>
    <row r="972" spans="13:22" x14ac:dyDescent="0.3">
      <c r="M972" s="1" t="str">
        <f t="shared" si="105"/>
        <v/>
      </c>
      <c r="N972" s="1" t="str">
        <f t="shared" si="106"/>
        <v/>
      </c>
      <c r="O972" s="1" t="str">
        <f ca="1">IF(F972="","",IF(INT(F972)=INT(NOW()),IF(NETWORKDAYS.INTL(F972,F972,1,FERIADOS!$A$2:$A$50)=0,0,MAX(0,(MIN(NOW(),INT(NOW())+18/24)-MAX(F972,INT(F972)+8/24)))*24),MAX(0,(INT(F972)+18/24-MAX(F972,INT(F972)+8/24)))*24*NETWORKDAYS.INTL(F972,F972,1,FERIADOS!$A$2:$A$50)+MAX(0,NETWORKDAYS.INTL(F972+1,NOW()-1,1,FERIADOS!$A$2:$A$50))*10+MAX(0,(MIN(NOW(),INT(NOW())+18/24)-(INT(NOW())+8/24)))*24*NETWORKDAYS.INTL(NOW(),NOW(),1,FERIADOS!$A$2:$A$50)))</f>
        <v/>
      </c>
      <c r="P972" s="1" t="str">
        <f t="shared" si="107"/>
        <v/>
      </c>
      <c r="Q972" s="1" t="str">
        <f t="shared" si="108"/>
        <v/>
      </c>
      <c r="R972" s="1" t="str">
        <f t="shared" si="109"/>
        <v/>
      </c>
      <c r="S972" s="1" t="str">
        <f>IF($A972="","",COUNTIF($N$2:N972,$N972))</f>
        <v/>
      </c>
      <c r="T972" s="1" t="str">
        <f t="shared" si="110"/>
        <v/>
      </c>
      <c r="U972" s="1" t="str">
        <f t="shared" si="111"/>
        <v/>
      </c>
      <c r="V972"/>
    </row>
    <row r="973" spans="13:22" x14ac:dyDescent="0.3">
      <c r="M973" s="1" t="str">
        <f t="shared" si="105"/>
        <v/>
      </c>
      <c r="N973" s="1" t="str">
        <f t="shared" si="106"/>
        <v/>
      </c>
      <c r="O973" s="1" t="str">
        <f ca="1">IF(F973="","",IF(INT(F973)=INT(NOW()),IF(NETWORKDAYS.INTL(F973,F973,1,FERIADOS!$A$2:$A$50)=0,0,MAX(0,(MIN(NOW(),INT(NOW())+18/24)-MAX(F973,INT(F973)+8/24)))*24),MAX(0,(INT(F973)+18/24-MAX(F973,INT(F973)+8/24)))*24*NETWORKDAYS.INTL(F973,F973,1,FERIADOS!$A$2:$A$50)+MAX(0,NETWORKDAYS.INTL(F973+1,NOW()-1,1,FERIADOS!$A$2:$A$50))*10+MAX(0,(MIN(NOW(),INT(NOW())+18/24)-(INT(NOW())+8/24)))*24*NETWORKDAYS.INTL(NOW(),NOW(),1,FERIADOS!$A$2:$A$50)))</f>
        <v/>
      </c>
      <c r="P973" s="1" t="str">
        <f t="shared" si="107"/>
        <v/>
      </c>
      <c r="Q973" s="1" t="str">
        <f t="shared" si="108"/>
        <v/>
      </c>
      <c r="R973" s="1" t="str">
        <f t="shared" si="109"/>
        <v/>
      </c>
      <c r="S973" s="1" t="str">
        <f>IF($A973="","",COUNTIF($N$2:N973,$N973))</f>
        <v/>
      </c>
      <c r="T973" s="1" t="str">
        <f t="shared" si="110"/>
        <v/>
      </c>
      <c r="U973" s="1" t="str">
        <f t="shared" si="111"/>
        <v/>
      </c>
      <c r="V973"/>
    </row>
    <row r="974" spans="13:22" x14ac:dyDescent="0.3">
      <c r="M974" s="1" t="str">
        <f t="shared" si="105"/>
        <v/>
      </c>
      <c r="N974" s="1" t="str">
        <f t="shared" si="106"/>
        <v/>
      </c>
      <c r="O974" s="1" t="str">
        <f ca="1">IF(F974="","",IF(INT(F974)=INT(NOW()),IF(NETWORKDAYS.INTL(F974,F974,1,FERIADOS!$A$2:$A$50)=0,0,MAX(0,(MIN(NOW(),INT(NOW())+18/24)-MAX(F974,INT(F974)+8/24)))*24),MAX(0,(INT(F974)+18/24-MAX(F974,INT(F974)+8/24)))*24*NETWORKDAYS.INTL(F974,F974,1,FERIADOS!$A$2:$A$50)+MAX(0,NETWORKDAYS.INTL(F974+1,NOW()-1,1,FERIADOS!$A$2:$A$50))*10+MAX(0,(MIN(NOW(),INT(NOW())+18/24)-(INT(NOW())+8/24)))*24*NETWORKDAYS.INTL(NOW(),NOW(),1,FERIADOS!$A$2:$A$50)))</f>
        <v/>
      </c>
      <c r="P974" s="1" t="str">
        <f t="shared" si="107"/>
        <v/>
      </c>
      <c r="Q974" s="1" t="str">
        <f t="shared" si="108"/>
        <v/>
      </c>
      <c r="R974" s="1" t="str">
        <f t="shared" si="109"/>
        <v/>
      </c>
      <c r="S974" s="1" t="str">
        <f>IF($A974="","",COUNTIF($N$2:N974,$N974))</f>
        <v/>
      </c>
      <c r="T974" s="1" t="str">
        <f t="shared" si="110"/>
        <v/>
      </c>
      <c r="U974" s="1" t="str">
        <f t="shared" si="111"/>
        <v/>
      </c>
      <c r="V974"/>
    </row>
    <row r="975" spans="13:22" x14ac:dyDescent="0.3">
      <c r="M975" s="1" t="str">
        <f t="shared" si="105"/>
        <v/>
      </c>
      <c r="N975" s="1" t="str">
        <f t="shared" si="106"/>
        <v/>
      </c>
      <c r="O975" s="1" t="str">
        <f ca="1">IF(F975="","",IF(INT(F975)=INT(NOW()),IF(NETWORKDAYS.INTL(F975,F975,1,FERIADOS!$A$2:$A$50)=0,0,MAX(0,(MIN(NOW(),INT(NOW())+18/24)-MAX(F975,INT(F975)+8/24)))*24),MAX(0,(INT(F975)+18/24-MAX(F975,INT(F975)+8/24)))*24*NETWORKDAYS.INTL(F975,F975,1,FERIADOS!$A$2:$A$50)+MAX(0,NETWORKDAYS.INTL(F975+1,NOW()-1,1,FERIADOS!$A$2:$A$50))*10+MAX(0,(MIN(NOW(),INT(NOW())+18/24)-(INT(NOW())+8/24)))*24*NETWORKDAYS.INTL(NOW(),NOW(),1,FERIADOS!$A$2:$A$50)))</f>
        <v/>
      </c>
      <c r="P975" s="1" t="str">
        <f t="shared" si="107"/>
        <v/>
      </c>
      <c r="Q975" s="1" t="str">
        <f t="shared" si="108"/>
        <v/>
      </c>
      <c r="R975" s="1" t="str">
        <f t="shared" si="109"/>
        <v/>
      </c>
      <c r="S975" s="1" t="str">
        <f>IF($A975="","",COUNTIF($N$2:N975,$N975))</f>
        <v/>
      </c>
      <c r="T975" s="1" t="str">
        <f t="shared" si="110"/>
        <v/>
      </c>
      <c r="U975" s="1" t="str">
        <f t="shared" si="111"/>
        <v/>
      </c>
      <c r="V975"/>
    </row>
    <row r="976" spans="13:22" x14ac:dyDescent="0.3">
      <c r="M976" s="1" t="str">
        <f t="shared" si="105"/>
        <v/>
      </c>
      <c r="N976" s="1" t="str">
        <f t="shared" si="106"/>
        <v/>
      </c>
      <c r="O976" s="1" t="str">
        <f ca="1">IF(F976="","",IF(INT(F976)=INT(NOW()),IF(NETWORKDAYS.INTL(F976,F976,1,FERIADOS!$A$2:$A$50)=0,0,MAX(0,(MIN(NOW(),INT(NOW())+18/24)-MAX(F976,INT(F976)+8/24)))*24),MAX(0,(INT(F976)+18/24-MAX(F976,INT(F976)+8/24)))*24*NETWORKDAYS.INTL(F976,F976,1,FERIADOS!$A$2:$A$50)+MAX(0,NETWORKDAYS.INTL(F976+1,NOW()-1,1,FERIADOS!$A$2:$A$50))*10+MAX(0,(MIN(NOW(),INT(NOW())+18/24)-(INT(NOW())+8/24)))*24*NETWORKDAYS.INTL(NOW(),NOW(),1,FERIADOS!$A$2:$A$50)))</f>
        <v/>
      </c>
      <c r="P976" s="1" t="str">
        <f t="shared" si="107"/>
        <v/>
      </c>
      <c r="Q976" s="1" t="str">
        <f t="shared" si="108"/>
        <v/>
      </c>
      <c r="R976" s="1" t="str">
        <f t="shared" si="109"/>
        <v/>
      </c>
      <c r="S976" s="1" t="str">
        <f>IF($A976="","",COUNTIF($N$2:N976,$N976))</f>
        <v/>
      </c>
      <c r="T976" s="1" t="str">
        <f t="shared" si="110"/>
        <v/>
      </c>
      <c r="U976" s="1" t="str">
        <f t="shared" si="111"/>
        <v/>
      </c>
      <c r="V976"/>
    </row>
    <row r="977" spans="13:22" x14ac:dyDescent="0.3">
      <c r="M977" s="1" t="str">
        <f t="shared" si="105"/>
        <v/>
      </c>
      <c r="N977" s="1" t="str">
        <f t="shared" si="106"/>
        <v/>
      </c>
      <c r="O977" s="1" t="str">
        <f ca="1">IF(F977="","",IF(INT(F977)=INT(NOW()),IF(NETWORKDAYS.INTL(F977,F977,1,FERIADOS!$A$2:$A$50)=0,0,MAX(0,(MIN(NOW(),INT(NOW())+18/24)-MAX(F977,INT(F977)+8/24)))*24),MAX(0,(INT(F977)+18/24-MAX(F977,INT(F977)+8/24)))*24*NETWORKDAYS.INTL(F977,F977,1,FERIADOS!$A$2:$A$50)+MAX(0,NETWORKDAYS.INTL(F977+1,NOW()-1,1,FERIADOS!$A$2:$A$50))*10+MAX(0,(MIN(NOW(),INT(NOW())+18/24)-(INT(NOW())+8/24)))*24*NETWORKDAYS.INTL(NOW(),NOW(),1,FERIADOS!$A$2:$A$50)))</f>
        <v/>
      </c>
      <c r="P977" s="1" t="str">
        <f t="shared" si="107"/>
        <v/>
      </c>
      <c r="Q977" s="1" t="str">
        <f t="shared" si="108"/>
        <v/>
      </c>
      <c r="R977" s="1" t="str">
        <f t="shared" si="109"/>
        <v/>
      </c>
      <c r="S977" s="1" t="str">
        <f>IF($A977="","",COUNTIF($N$2:N977,$N977))</f>
        <v/>
      </c>
      <c r="T977" s="1" t="str">
        <f t="shared" si="110"/>
        <v/>
      </c>
      <c r="U977" s="1" t="str">
        <f t="shared" si="111"/>
        <v/>
      </c>
      <c r="V977"/>
    </row>
    <row r="978" spans="13:22" x14ac:dyDescent="0.3">
      <c r="M978" s="1" t="str">
        <f t="shared" si="105"/>
        <v/>
      </c>
      <c r="N978" s="1" t="str">
        <f t="shared" si="106"/>
        <v/>
      </c>
      <c r="O978" s="1" t="str">
        <f ca="1">IF(F978="","",IF(INT(F978)=INT(NOW()),IF(NETWORKDAYS.INTL(F978,F978,1,FERIADOS!$A$2:$A$50)=0,0,MAX(0,(MIN(NOW(),INT(NOW())+18/24)-MAX(F978,INT(F978)+8/24)))*24),MAX(0,(INT(F978)+18/24-MAX(F978,INT(F978)+8/24)))*24*NETWORKDAYS.INTL(F978,F978,1,FERIADOS!$A$2:$A$50)+MAX(0,NETWORKDAYS.INTL(F978+1,NOW()-1,1,FERIADOS!$A$2:$A$50))*10+MAX(0,(MIN(NOW(),INT(NOW())+18/24)-(INT(NOW())+8/24)))*24*NETWORKDAYS.INTL(NOW(),NOW(),1,FERIADOS!$A$2:$A$50)))</f>
        <v/>
      </c>
      <c r="P978" s="1" t="str">
        <f t="shared" si="107"/>
        <v/>
      </c>
      <c r="Q978" s="1" t="str">
        <f t="shared" si="108"/>
        <v/>
      </c>
      <c r="R978" s="1" t="str">
        <f t="shared" si="109"/>
        <v/>
      </c>
      <c r="S978" s="1" t="str">
        <f>IF($A978="","",COUNTIF($N$2:N978,$N978))</f>
        <v/>
      </c>
      <c r="T978" s="1" t="str">
        <f t="shared" si="110"/>
        <v/>
      </c>
      <c r="U978" s="1" t="str">
        <f t="shared" si="111"/>
        <v/>
      </c>
      <c r="V978"/>
    </row>
    <row r="979" spans="13:22" x14ac:dyDescent="0.3">
      <c r="M979" s="1" t="str">
        <f t="shared" si="105"/>
        <v/>
      </c>
      <c r="N979" s="1" t="str">
        <f t="shared" si="106"/>
        <v/>
      </c>
      <c r="O979" s="1" t="str">
        <f ca="1">IF(F979="","",IF(INT(F979)=INT(NOW()),IF(NETWORKDAYS.INTL(F979,F979,1,FERIADOS!$A$2:$A$50)=0,0,MAX(0,(MIN(NOW(),INT(NOW())+18/24)-MAX(F979,INT(F979)+8/24)))*24),MAX(0,(INT(F979)+18/24-MAX(F979,INT(F979)+8/24)))*24*NETWORKDAYS.INTL(F979,F979,1,FERIADOS!$A$2:$A$50)+MAX(0,NETWORKDAYS.INTL(F979+1,NOW()-1,1,FERIADOS!$A$2:$A$50))*10+MAX(0,(MIN(NOW(),INT(NOW())+18/24)-(INT(NOW())+8/24)))*24*NETWORKDAYS.INTL(NOW(),NOW(),1,FERIADOS!$A$2:$A$50)))</f>
        <v/>
      </c>
      <c r="P979" s="1" t="str">
        <f t="shared" si="107"/>
        <v/>
      </c>
      <c r="Q979" s="1" t="str">
        <f t="shared" si="108"/>
        <v/>
      </c>
      <c r="R979" s="1" t="str">
        <f t="shared" si="109"/>
        <v/>
      </c>
      <c r="S979" s="1" t="str">
        <f>IF($A979="","",COUNTIF($N$2:N979,$N979))</f>
        <v/>
      </c>
      <c r="T979" s="1" t="str">
        <f t="shared" si="110"/>
        <v/>
      </c>
      <c r="U979" s="1" t="str">
        <f t="shared" si="111"/>
        <v/>
      </c>
      <c r="V979"/>
    </row>
    <row r="980" spans="13:22" x14ac:dyDescent="0.3">
      <c r="M980" s="1" t="str">
        <f t="shared" si="105"/>
        <v/>
      </c>
      <c r="N980" s="1" t="str">
        <f t="shared" si="106"/>
        <v/>
      </c>
      <c r="O980" s="1" t="str">
        <f ca="1">IF(F980="","",IF(INT(F980)=INT(NOW()),IF(NETWORKDAYS.INTL(F980,F980,1,FERIADOS!$A$2:$A$50)=0,0,MAX(0,(MIN(NOW(),INT(NOW())+18/24)-MAX(F980,INT(F980)+8/24)))*24),MAX(0,(INT(F980)+18/24-MAX(F980,INT(F980)+8/24)))*24*NETWORKDAYS.INTL(F980,F980,1,FERIADOS!$A$2:$A$50)+MAX(0,NETWORKDAYS.INTL(F980+1,NOW()-1,1,FERIADOS!$A$2:$A$50))*10+MAX(0,(MIN(NOW(),INT(NOW())+18/24)-(INT(NOW())+8/24)))*24*NETWORKDAYS.INTL(NOW(),NOW(),1,FERIADOS!$A$2:$A$50)))</f>
        <v/>
      </c>
      <c r="P980" s="1" t="str">
        <f t="shared" si="107"/>
        <v/>
      </c>
      <c r="Q980" s="1" t="str">
        <f t="shared" si="108"/>
        <v/>
      </c>
      <c r="R980" s="1" t="str">
        <f t="shared" si="109"/>
        <v/>
      </c>
      <c r="S980" s="1" t="str">
        <f>IF($A980="","",COUNTIF($N$2:N980,$N980))</f>
        <v/>
      </c>
      <c r="T980" s="1" t="str">
        <f t="shared" si="110"/>
        <v/>
      </c>
      <c r="U980" s="1" t="str">
        <f t="shared" si="111"/>
        <v/>
      </c>
      <c r="V980"/>
    </row>
    <row r="981" spans="13:22" x14ac:dyDescent="0.3">
      <c r="M981" s="1" t="str">
        <f t="shared" si="105"/>
        <v/>
      </c>
      <c r="N981" s="1" t="str">
        <f t="shared" si="106"/>
        <v/>
      </c>
      <c r="O981" s="1" t="str">
        <f ca="1">IF(F981="","",IF(INT(F981)=INT(NOW()),IF(NETWORKDAYS.INTL(F981,F981,1,FERIADOS!$A$2:$A$50)=0,0,MAX(0,(MIN(NOW(),INT(NOW())+18/24)-MAX(F981,INT(F981)+8/24)))*24),MAX(0,(INT(F981)+18/24-MAX(F981,INT(F981)+8/24)))*24*NETWORKDAYS.INTL(F981,F981,1,FERIADOS!$A$2:$A$50)+MAX(0,NETWORKDAYS.INTL(F981+1,NOW()-1,1,FERIADOS!$A$2:$A$50))*10+MAX(0,(MIN(NOW(),INT(NOW())+18/24)-(INT(NOW())+8/24)))*24*NETWORKDAYS.INTL(NOW(),NOW(),1,FERIADOS!$A$2:$A$50)))</f>
        <v/>
      </c>
      <c r="P981" s="1" t="str">
        <f t="shared" si="107"/>
        <v/>
      </c>
      <c r="Q981" s="1" t="str">
        <f t="shared" si="108"/>
        <v/>
      </c>
      <c r="R981" s="1" t="str">
        <f t="shared" si="109"/>
        <v/>
      </c>
      <c r="S981" s="1" t="str">
        <f>IF($A981="","",COUNTIF($N$2:N981,$N981))</f>
        <v/>
      </c>
      <c r="T981" s="1" t="str">
        <f t="shared" si="110"/>
        <v/>
      </c>
      <c r="U981" s="1" t="str">
        <f t="shared" si="111"/>
        <v/>
      </c>
      <c r="V981"/>
    </row>
    <row r="982" spans="13:22" x14ac:dyDescent="0.3">
      <c r="M982" s="1" t="str">
        <f t="shared" si="105"/>
        <v/>
      </c>
      <c r="N982" s="1" t="str">
        <f t="shared" si="106"/>
        <v/>
      </c>
      <c r="O982" s="1" t="str">
        <f ca="1">IF(F982="","",IF(INT(F982)=INT(NOW()),IF(NETWORKDAYS.INTL(F982,F982,1,FERIADOS!$A$2:$A$50)=0,0,MAX(0,(MIN(NOW(),INT(NOW())+18/24)-MAX(F982,INT(F982)+8/24)))*24),MAX(0,(INT(F982)+18/24-MAX(F982,INT(F982)+8/24)))*24*NETWORKDAYS.INTL(F982,F982,1,FERIADOS!$A$2:$A$50)+MAX(0,NETWORKDAYS.INTL(F982+1,NOW()-1,1,FERIADOS!$A$2:$A$50))*10+MAX(0,(MIN(NOW(),INT(NOW())+18/24)-(INT(NOW())+8/24)))*24*NETWORKDAYS.INTL(NOW(),NOW(),1,FERIADOS!$A$2:$A$50)))</f>
        <v/>
      </c>
      <c r="P982" s="1" t="str">
        <f t="shared" si="107"/>
        <v/>
      </c>
      <c r="Q982" s="1" t="str">
        <f t="shared" si="108"/>
        <v/>
      </c>
      <c r="R982" s="1" t="str">
        <f t="shared" si="109"/>
        <v/>
      </c>
      <c r="S982" s="1" t="str">
        <f>IF($A982="","",COUNTIF($N$2:N982,$N982))</f>
        <v/>
      </c>
      <c r="T982" s="1" t="str">
        <f t="shared" si="110"/>
        <v/>
      </c>
      <c r="U982" s="1" t="str">
        <f t="shared" si="111"/>
        <v/>
      </c>
      <c r="V982"/>
    </row>
    <row r="983" spans="13:22" x14ac:dyDescent="0.3">
      <c r="M983" s="1" t="str">
        <f t="shared" si="105"/>
        <v/>
      </c>
      <c r="N983" s="1" t="str">
        <f t="shared" si="106"/>
        <v/>
      </c>
      <c r="O983" s="1" t="str">
        <f ca="1">IF(F983="","",IF(INT(F983)=INT(NOW()),IF(NETWORKDAYS.INTL(F983,F983,1,FERIADOS!$A$2:$A$50)=0,0,MAX(0,(MIN(NOW(),INT(NOW())+18/24)-MAX(F983,INT(F983)+8/24)))*24),MAX(0,(INT(F983)+18/24-MAX(F983,INT(F983)+8/24)))*24*NETWORKDAYS.INTL(F983,F983,1,FERIADOS!$A$2:$A$50)+MAX(0,NETWORKDAYS.INTL(F983+1,NOW()-1,1,FERIADOS!$A$2:$A$50))*10+MAX(0,(MIN(NOW(),INT(NOW())+18/24)-(INT(NOW())+8/24)))*24*NETWORKDAYS.INTL(NOW(),NOW(),1,FERIADOS!$A$2:$A$50)))</f>
        <v/>
      </c>
      <c r="P983" s="1" t="str">
        <f t="shared" si="107"/>
        <v/>
      </c>
      <c r="Q983" s="1" t="str">
        <f t="shared" si="108"/>
        <v/>
      </c>
      <c r="R983" s="1" t="str">
        <f t="shared" si="109"/>
        <v/>
      </c>
      <c r="S983" s="1" t="str">
        <f>IF($A983="","",COUNTIF($N$2:N983,$N983))</f>
        <v/>
      </c>
      <c r="T983" s="1" t="str">
        <f t="shared" si="110"/>
        <v/>
      </c>
      <c r="U983" s="1" t="str">
        <f t="shared" si="111"/>
        <v/>
      </c>
      <c r="V983"/>
    </row>
    <row r="984" spans="13:22" x14ac:dyDescent="0.3">
      <c r="M984" s="1" t="str">
        <f t="shared" si="105"/>
        <v/>
      </c>
      <c r="N984" s="1" t="str">
        <f t="shared" si="106"/>
        <v/>
      </c>
      <c r="O984" s="1" t="str">
        <f ca="1">IF(F984="","",IF(INT(F984)=INT(NOW()),IF(NETWORKDAYS.INTL(F984,F984,1,FERIADOS!$A$2:$A$50)=0,0,MAX(0,(MIN(NOW(),INT(NOW())+18/24)-MAX(F984,INT(F984)+8/24)))*24),MAX(0,(INT(F984)+18/24-MAX(F984,INT(F984)+8/24)))*24*NETWORKDAYS.INTL(F984,F984,1,FERIADOS!$A$2:$A$50)+MAX(0,NETWORKDAYS.INTL(F984+1,NOW()-1,1,FERIADOS!$A$2:$A$50))*10+MAX(0,(MIN(NOW(),INT(NOW())+18/24)-(INT(NOW())+8/24)))*24*NETWORKDAYS.INTL(NOW(),NOW(),1,FERIADOS!$A$2:$A$50)))</f>
        <v/>
      </c>
      <c r="P984" s="1" t="str">
        <f t="shared" si="107"/>
        <v/>
      </c>
      <c r="Q984" s="1" t="str">
        <f t="shared" si="108"/>
        <v/>
      </c>
      <c r="R984" s="1" t="str">
        <f t="shared" si="109"/>
        <v/>
      </c>
      <c r="S984" s="1" t="str">
        <f>IF($A984="","",COUNTIF($N$2:N984,$N984))</f>
        <v/>
      </c>
      <c r="T984" s="1" t="str">
        <f t="shared" si="110"/>
        <v/>
      </c>
      <c r="U984" s="1" t="str">
        <f t="shared" si="111"/>
        <v/>
      </c>
      <c r="V984"/>
    </row>
    <row r="985" spans="13:22" x14ac:dyDescent="0.3">
      <c r="M985" s="1" t="str">
        <f t="shared" si="105"/>
        <v/>
      </c>
      <c r="N985" s="1" t="str">
        <f t="shared" si="106"/>
        <v/>
      </c>
      <c r="O985" s="1" t="str">
        <f ca="1">IF(F985="","",IF(INT(F985)=INT(NOW()),IF(NETWORKDAYS.INTL(F985,F985,1,FERIADOS!$A$2:$A$50)=0,0,MAX(0,(MIN(NOW(),INT(NOW())+18/24)-MAX(F985,INT(F985)+8/24)))*24),MAX(0,(INT(F985)+18/24-MAX(F985,INT(F985)+8/24)))*24*NETWORKDAYS.INTL(F985,F985,1,FERIADOS!$A$2:$A$50)+MAX(0,NETWORKDAYS.INTL(F985+1,NOW()-1,1,FERIADOS!$A$2:$A$50))*10+MAX(0,(MIN(NOW(),INT(NOW())+18/24)-(INT(NOW())+8/24)))*24*NETWORKDAYS.INTL(NOW(),NOW(),1,FERIADOS!$A$2:$A$50)))</f>
        <v/>
      </c>
      <c r="P985" s="1" t="str">
        <f t="shared" si="107"/>
        <v/>
      </c>
      <c r="Q985" s="1" t="str">
        <f t="shared" si="108"/>
        <v/>
      </c>
      <c r="R985" s="1" t="str">
        <f t="shared" si="109"/>
        <v/>
      </c>
      <c r="S985" s="1" t="str">
        <f>IF($A985="","",COUNTIF($N$2:N985,$N985))</f>
        <v/>
      </c>
      <c r="T985" s="1" t="str">
        <f t="shared" si="110"/>
        <v/>
      </c>
      <c r="U985" s="1" t="str">
        <f t="shared" si="111"/>
        <v/>
      </c>
      <c r="V985"/>
    </row>
    <row r="986" spans="13:22" x14ac:dyDescent="0.3">
      <c r="M986" s="1" t="str">
        <f t="shared" si="105"/>
        <v/>
      </c>
      <c r="N986" s="1" t="str">
        <f t="shared" si="106"/>
        <v/>
      </c>
      <c r="O986" s="1" t="str">
        <f ca="1">IF(F986="","",IF(INT(F986)=INT(NOW()),IF(NETWORKDAYS.INTL(F986,F986,1,FERIADOS!$A$2:$A$50)=0,0,MAX(0,(MIN(NOW(),INT(NOW())+18/24)-MAX(F986,INT(F986)+8/24)))*24),MAX(0,(INT(F986)+18/24-MAX(F986,INT(F986)+8/24)))*24*NETWORKDAYS.INTL(F986,F986,1,FERIADOS!$A$2:$A$50)+MAX(0,NETWORKDAYS.INTL(F986+1,NOW()-1,1,FERIADOS!$A$2:$A$50))*10+MAX(0,(MIN(NOW(),INT(NOW())+18/24)-(INT(NOW())+8/24)))*24*NETWORKDAYS.INTL(NOW(),NOW(),1,FERIADOS!$A$2:$A$50)))</f>
        <v/>
      </c>
      <c r="P986" s="1" t="str">
        <f t="shared" si="107"/>
        <v/>
      </c>
      <c r="Q986" s="1" t="str">
        <f t="shared" si="108"/>
        <v/>
      </c>
      <c r="R986" s="1" t="str">
        <f t="shared" si="109"/>
        <v/>
      </c>
      <c r="S986" s="1" t="str">
        <f>IF($A986="","",COUNTIF($N$2:N986,$N986))</f>
        <v/>
      </c>
      <c r="T986" s="1" t="str">
        <f t="shared" si="110"/>
        <v/>
      </c>
      <c r="U986" s="1" t="str">
        <f t="shared" si="111"/>
        <v/>
      </c>
      <c r="V986"/>
    </row>
    <row r="987" spans="13:22" x14ac:dyDescent="0.3">
      <c r="M987" s="1" t="str">
        <f t="shared" si="105"/>
        <v/>
      </c>
      <c r="N987" s="1" t="str">
        <f t="shared" si="106"/>
        <v/>
      </c>
      <c r="O987" s="1" t="str">
        <f ca="1">IF(F987="","",IF(INT(F987)=INT(NOW()),IF(NETWORKDAYS.INTL(F987,F987,1,FERIADOS!$A$2:$A$50)=0,0,MAX(0,(MIN(NOW(),INT(NOW())+18/24)-MAX(F987,INT(F987)+8/24)))*24),MAX(0,(INT(F987)+18/24-MAX(F987,INT(F987)+8/24)))*24*NETWORKDAYS.INTL(F987,F987,1,FERIADOS!$A$2:$A$50)+MAX(0,NETWORKDAYS.INTL(F987+1,NOW()-1,1,FERIADOS!$A$2:$A$50))*10+MAX(0,(MIN(NOW(),INT(NOW())+18/24)-(INT(NOW())+8/24)))*24*NETWORKDAYS.INTL(NOW(),NOW(),1,FERIADOS!$A$2:$A$50)))</f>
        <v/>
      </c>
      <c r="P987" s="1" t="str">
        <f t="shared" si="107"/>
        <v/>
      </c>
      <c r="Q987" s="1" t="str">
        <f t="shared" si="108"/>
        <v/>
      </c>
      <c r="R987" s="1" t="str">
        <f t="shared" si="109"/>
        <v/>
      </c>
      <c r="S987" s="1" t="str">
        <f>IF($A987="","",COUNTIF($N$2:N987,$N987))</f>
        <v/>
      </c>
      <c r="T987" s="1" t="str">
        <f t="shared" si="110"/>
        <v/>
      </c>
      <c r="U987" s="1" t="str">
        <f t="shared" si="111"/>
        <v/>
      </c>
      <c r="V987"/>
    </row>
    <row r="988" spans="13:22" x14ac:dyDescent="0.3">
      <c r="M988" s="1" t="str">
        <f t="shared" si="105"/>
        <v/>
      </c>
      <c r="N988" s="1" t="str">
        <f t="shared" si="106"/>
        <v/>
      </c>
      <c r="O988" s="1" t="str">
        <f ca="1">IF(F988="","",IF(INT(F988)=INT(NOW()),IF(NETWORKDAYS.INTL(F988,F988,1,FERIADOS!$A$2:$A$50)=0,0,MAX(0,(MIN(NOW(),INT(NOW())+18/24)-MAX(F988,INT(F988)+8/24)))*24),MAX(0,(INT(F988)+18/24-MAX(F988,INT(F988)+8/24)))*24*NETWORKDAYS.INTL(F988,F988,1,FERIADOS!$A$2:$A$50)+MAX(0,NETWORKDAYS.INTL(F988+1,NOW()-1,1,FERIADOS!$A$2:$A$50))*10+MAX(0,(MIN(NOW(),INT(NOW())+18/24)-(INT(NOW())+8/24)))*24*NETWORKDAYS.INTL(NOW(),NOW(),1,FERIADOS!$A$2:$A$50)))</f>
        <v/>
      </c>
      <c r="P988" s="1" t="str">
        <f t="shared" si="107"/>
        <v/>
      </c>
      <c r="Q988" s="1" t="str">
        <f t="shared" si="108"/>
        <v/>
      </c>
      <c r="R988" s="1" t="str">
        <f t="shared" si="109"/>
        <v/>
      </c>
      <c r="S988" s="1" t="str">
        <f>IF($A988="","",COUNTIF($N$2:N988,$N988))</f>
        <v/>
      </c>
      <c r="T988" s="1" t="str">
        <f t="shared" si="110"/>
        <v/>
      </c>
      <c r="U988" s="1" t="str">
        <f t="shared" si="111"/>
        <v/>
      </c>
      <c r="V988"/>
    </row>
    <row r="989" spans="13:22" x14ac:dyDescent="0.3">
      <c r="M989" s="1" t="str">
        <f t="shared" si="105"/>
        <v/>
      </c>
      <c r="N989" s="1" t="str">
        <f t="shared" si="106"/>
        <v/>
      </c>
      <c r="O989" s="1" t="str">
        <f ca="1">IF(F989="","",IF(INT(F989)=INT(NOW()),IF(NETWORKDAYS.INTL(F989,F989,1,FERIADOS!$A$2:$A$50)=0,0,MAX(0,(MIN(NOW(),INT(NOW())+18/24)-MAX(F989,INT(F989)+8/24)))*24),MAX(0,(INT(F989)+18/24-MAX(F989,INT(F989)+8/24)))*24*NETWORKDAYS.INTL(F989,F989,1,FERIADOS!$A$2:$A$50)+MAX(0,NETWORKDAYS.INTL(F989+1,NOW()-1,1,FERIADOS!$A$2:$A$50))*10+MAX(0,(MIN(NOW(),INT(NOW())+18/24)-(INT(NOW())+8/24)))*24*NETWORKDAYS.INTL(NOW(),NOW(),1,FERIADOS!$A$2:$A$50)))</f>
        <v/>
      </c>
      <c r="P989" s="1" t="str">
        <f t="shared" si="107"/>
        <v/>
      </c>
      <c r="Q989" s="1" t="str">
        <f t="shared" si="108"/>
        <v/>
      </c>
      <c r="R989" s="1" t="str">
        <f t="shared" si="109"/>
        <v/>
      </c>
      <c r="S989" s="1" t="str">
        <f>IF($A989="","",COUNTIF($N$2:N989,$N989))</f>
        <v/>
      </c>
      <c r="T989" s="1" t="str">
        <f t="shared" si="110"/>
        <v/>
      </c>
      <c r="U989" s="1" t="str">
        <f t="shared" si="111"/>
        <v/>
      </c>
      <c r="V989"/>
    </row>
    <row r="990" spans="13:22" x14ac:dyDescent="0.3">
      <c r="M990" s="1" t="str">
        <f t="shared" si="105"/>
        <v/>
      </c>
      <c r="N990" s="1" t="str">
        <f t="shared" si="106"/>
        <v/>
      </c>
      <c r="O990" s="1" t="str">
        <f ca="1">IF(F990="","",IF(INT(F990)=INT(NOW()),IF(NETWORKDAYS.INTL(F990,F990,1,FERIADOS!$A$2:$A$50)=0,0,MAX(0,(MIN(NOW(),INT(NOW())+18/24)-MAX(F990,INT(F990)+8/24)))*24),MAX(0,(INT(F990)+18/24-MAX(F990,INT(F990)+8/24)))*24*NETWORKDAYS.INTL(F990,F990,1,FERIADOS!$A$2:$A$50)+MAX(0,NETWORKDAYS.INTL(F990+1,NOW()-1,1,FERIADOS!$A$2:$A$50))*10+MAX(0,(MIN(NOW(),INT(NOW())+18/24)-(INT(NOW())+8/24)))*24*NETWORKDAYS.INTL(NOW(),NOW(),1,FERIADOS!$A$2:$A$50)))</f>
        <v/>
      </c>
      <c r="P990" s="1" t="str">
        <f t="shared" si="107"/>
        <v/>
      </c>
      <c r="Q990" s="1" t="str">
        <f t="shared" si="108"/>
        <v/>
      </c>
      <c r="R990" s="1" t="str">
        <f t="shared" si="109"/>
        <v/>
      </c>
      <c r="S990" s="1" t="str">
        <f>IF($A990="","",COUNTIF($N$2:N990,$N990))</f>
        <v/>
      </c>
      <c r="T990" s="1" t="str">
        <f t="shared" si="110"/>
        <v/>
      </c>
      <c r="U990" s="1" t="str">
        <f t="shared" si="111"/>
        <v/>
      </c>
      <c r="V990"/>
    </row>
    <row r="991" spans="13:22" x14ac:dyDescent="0.3">
      <c r="M991" s="1" t="str">
        <f t="shared" si="105"/>
        <v/>
      </c>
      <c r="N991" s="1" t="str">
        <f t="shared" si="106"/>
        <v/>
      </c>
      <c r="O991" s="1" t="str">
        <f ca="1">IF(F991="","",IF(INT(F991)=INT(NOW()),IF(NETWORKDAYS.INTL(F991,F991,1,FERIADOS!$A$2:$A$50)=0,0,MAX(0,(MIN(NOW(),INT(NOW())+18/24)-MAX(F991,INT(F991)+8/24)))*24),MAX(0,(INT(F991)+18/24-MAX(F991,INT(F991)+8/24)))*24*NETWORKDAYS.INTL(F991,F991,1,FERIADOS!$A$2:$A$50)+MAX(0,NETWORKDAYS.INTL(F991+1,NOW()-1,1,FERIADOS!$A$2:$A$50))*10+MAX(0,(MIN(NOW(),INT(NOW())+18/24)-(INT(NOW())+8/24)))*24*NETWORKDAYS.INTL(NOW(),NOW(),1,FERIADOS!$A$2:$A$50)))</f>
        <v/>
      </c>
      <c r="P991" s="1" t="str">
        <f t="shared" si="107"/>
        <v/>
      </c>
      <c r="Q991" s="1" t="str">
        <f t="shared" si="108"/>
        <v/>
      </c>
      <c r="R991" s="1" t="str">
        <f t="shared" si="109"/>
        <v/>
      </c>
      <c r="S991" s="1" t="str">
        <f>IF($A991="","",COUNTIF($N$2:N991,$N991))</f>
        <v/>
      </c>
      <c r="T991" s="1" t="str">
        <f t="shared" si="110"/>
        <v/>
      </c>
      <c r="U991" s="1" t="str">
        <f t="shared" si="111"/>
        <v/>
      </c>
      <c r="V991"/>
    </row>
    <row r="992" spans="13:22" x14ac:dyDescent="0.3">
      <c r="M992" s="1" t="str">
        <f t="shared" si="105"/>
        <v/>
      </c>
      <c r="N992" s="1" t="str">
        <f t="shared" si="106"/>
        <v/>
      </c>
      <c r="O992" s="1" t="str">
        <f ca="1">IF(F992="","",IF(INT(F992)=INT(NOW()),IF(NETWORKDAYS.INTL(F992,F992,1,FERIADOS!$A$2:$A$50)=0,0,MAX(0,(MIN(NOW(),INT(NOW())+18/24)-MAX(F992,INT(F992)+8/24)))*24),MAX(0,(INT(F992)+18/24-MAX(F992,INT(F992)+8/24)))*24*NETWORKDAYS.INTL(F992,F992,1,FERIADOS!$A$2:$A$50)+MAX(0,NETWORKDAYS.INTL(F992+1,NOW()-1,1,FERIADOS!$A$2:$A$50))*10+MAX(0,(MIN(NOW(),INT(NOW())+18/24)-(INT(NOW())+8/24)))*24*NETWORKDAYS.INTL(NOW(),NOW(),1,FERIADOS!$A$2:$A$50)))</f>
        <v/>
      </c>
      <c r="P992" s="1" t="str">
        <f t="shared" si="107"/>
        <v/>
      </c>
      <c r="Q992" s="1" t="str">
        <f t="shared" si="108"/>
        <v/>
      </c>
      <c r="R992" s="1" t="str">
        <f t="shared" si="109"/>
        <v/>
      </c>
      <c r="S992" s="1" t="str">
        <f>IF($A992="","",COUNTIF($N$2:N992,$N992))</f>
        <v/>
      </c>
      <c r="T992" s="1" t="str">
        <f t="shared" si="110"/>
        <v/>
      </c>
      <c r="U992" s="1" t="str">
        <f t="shared" si="111"/>
        <v/>
      </c>
      <c r="V992"/>
    </row>
    <row r="993" spans="13:22" x14ac:dyDescent="0.3">
      <c r="M993" s="1" t="str">
        <f t="shared" si="105"/>
        <v/>
      </c>
      <c r="N993" s="1" t="str">
        <f t="shared" si="106"/>
        <v/>
      </c>
      <c r="O993" s="1" t="str">
        <f ca="1">IF(F993="","",IF(INT(F993)=INT(NOW()),IF(NETWORKDAYS.INTL(F993,F993,1,FERIADOS!$A$2:$A$50)=0,0,MAX(0,(MIN(NOW(),INT(NOW())+18/24)-MAX(F993,INT(F993)+8/24)))*24),MAX(0,(INT(F993)+18/24-MAX(F993,INT(F993)+8/24)))*24*NETWORKDAYS.INTL(F993,F993,1,FERIADOS!$A$2:$A$50)+MAX(0,NETWORKDAYS.INTL(F993+1,NOW()-1,1,FERIADOS!$A$2:$A$50))*10+MAX(0,(MIN(NOW(),INT(NOW())+18/24)-(INT(NOW())+8/24)))*24*NETWORKDAYS.INTL(NOW(),NOW(),1,FERIADOS!$A$2:$A$50)))</f>
        <v/>
      </c>
      <c r="P993" s="1" t="str">
        <f t="shared" si="107"/>
        <v/>
      </c>
      <c r="Q993" s="1" t="str">
        <f t="shared" si="108"/>
        <v/>
      </c>
      <c r="R993" s="1" t="str">
        <f t="shared" si="109"/>
        <v/>
      </c>
      <c r="S993" s="1" t="str">
        <f>IF($A993="","",COUNTIF($N$2:N993,$N993))</f>
        <v/>
      </c>
      <c r="T993" s="1" t="str">
        <f t="shared" si="110"/>
        <v/>
      </c>
      <c r="U993" s="1" t="str">
        <f t="shared" si="111"/>
        <v/>
      </c>
      <c r="V993"/>
    </row>
    <row r="994" spans="13:22" x14ac:dyDescent="0.3">
      <c r="M994" s="1" t="str">
        <f t="shared" si="105"/>
        <v/>
      </c>
      <c r="N994" s="1" t="str">
        <f t="shared" si="106"/>
        <v/>
      </c>
      <c r="O994" s="1" t="str">
        <f ca="1">IF(F994="","",IF(INT(F994)=INT(NOW()),IF(NETWORKDAYS.INTL(F994,F994,1,FERIADOS!$A$2:$A$50)=0,0,MAX(0,(MIN(NOW(),INT(NOW())+18/24)-MAX(F994,INT(F994)+8/24)))*24),MAX(0,(INT(F994)+18/24-MAX(F994,INT(F994)+8/24)))*24*NETWORKDAYS.INTL(F994,F994,1,FERIADOS!$A$2:$A$50)+MAX(0,NETWORKDAYS.INTL(F994+1,NOW()-1,1,FERIADOS!$A$2:$A$50))*10+MAX(0,(MIN(NOW(),INT(NOW())+18/24)-(INT(NOW())+8/24)))*24*NETWORKDAYS.INTL(NOW(),NOW(),1,FERIADOS!$A$2:$A$50)))</f>
        <v/>
      </c>
      <c r="P994" s="1" t="str">
        <f t="shared" si="107"/>
        <v/>
      </c>
      <c r="Q994" s="1" t="str">
        <f t="shared" si="108"/>
        <v/>
      </c>
      <c r="R994" s="1" t="str">
        <f t="shared" si="109"/>
        <v/>
      </c>
      <c r="S994" s="1" t="str">
        <f>IF($A994="","",COUNTIF($N$2:N994,$N994))</f>
        <v/>
      </c>
      <c r="T994" s="1" t="str">
        <f t="shared" si="110"/>
        <v/>
      </c>
      <c r="U994" s="1" t="str">
        <f t="shared" si="111"/>
        <v/>
      </c>
      <c r="V994"/>
    </row>
    <row r="995" spans="13:22" x14ac:dyDescent="0.3">
      <c r="M995" s="1" t="str">
        <f t="shared" si="105"/>
        <v/>
      </c>
      <c r="N995" s="1" t="str">
        <f t="shared" si="106"/>
        <v/>
      </c>
      <c r="O995" s="1" t="str">
        <f ca="1">IF(F995="","",IF(INT(F995)=INT(NOW()),IF(NETWORKDAYS.INTL(F995,F995,1,FERIADOS!$A$2:$A$50)=0,0,MAX(0,(MIN(NOW(),INT(NOW())+18/24)-MAX(F995,INT(F995)+8/24)))*24),MAX(0,(INT(F995)+18/24-MAX(F995,INT(F995)+8/24)))*24*NETWORKDAYS.INTL(F995,F995,1,FERIADOS!$A$2:$A$50)+MAX(0,NETWORKDAYS.INTL(F995+1,NOW()-1,1,FERIADOS!$A$2:$A$50))*10+MAX(0,(MIN(NOW(),INT(NOW())+18/24)-(INT(NOW())+8/24)))*24*NETWORKDAYS.INTL(NOW(),NOW(),1,FERIADOS!$A$2:$A$50)))</f>
        <v/>
      </c>
      <c r="P995" s="1" t="str">
        <f t="shared" si="107"/>
        <v/>
      </c>
      <c r="Q995" s="1" t="str">
        <f t="shared" si="108"/>
        <v/>
      </c>
      <c r="R995" s="1" t="str">
        <f t="shared" si="109"/>
        <v/>
      </c>
      <c r="S995" s="1" t="str">
        <f>IF($A995="","",COUNTIF($N$2:N995,$N995))</f>
        <v/>
      </c>
      <c r="T995" s="1" t="str">
        <f t="shared" si="110"/>
        <v/>
      </c>
      <c r="U995" s="1" t="str">
        <f t="shared" si="111"/>
        <v/>
      </c>
      <c r="V995"/>
    </row>
  </sheetData>
  <autoFilter ref="A1:V995" xr:uid="{00000000-0009-0000-0000-000000000000}"/>
  <conditionalFormatting sqref="Q2:Q31">
    <cfRule type="expression" dxfId="6" priority="2">
      <formula>ISNUMBER(SEARCH("Maior que 24h",Q2))</formula>
    </cfRule>
    <cfRule type="expression" dxfId="5" priority="3">
      <formula>ISNUMBER(SEARCH("12h e 24h",Q2))</formula>
    </cfRule>
    <cfRule type="expression" dxfId="4" priority="4">
      <formula>ISNUMBER(SEARCH("8h e 12h",Q2))</formula>
    </cfRule>
    <cfRule type="expression" dxfId="3" priority="5">
      <formula>ISNUMBER(SEARCH("4h e 8h",Q2))</formula>
    </cfRule>
    <cfRule type="expression" dxfId="2" priority="6">
      <formula>ISNUMBER(SEARCH("Até 4h",Q2))</formula>
    </cfRule>
  </conditionalFormatting>
  <conditionalFormatting sqref="R2:R31">
    <cfRule type="expression" dxfId="1" priority="7">
      <formula>R2="FORA DO PRAZO"</formula>
    </cfRule>
    <cfRule type="expression" dxfId="0" priority="8">
      <formula>R2="NO PRAZO"</formula>
    </cfRule>
  </conditionalFormatting>
  <hyperlinks>
    <hyperlink ref="A11" r:id="rId1" location="/app/ticket/5988561" display="https://atrix.mobtelecom.com.br/controle/addonmodules.php?module=helpdesk - /app/ticket/5988561" xr:uid="{DF7758DC-859B-4F59-8769-DE414600CA09}"/>
    <hyperlink ref="A12" r:id="rId2" location="/app/ticket/5988513" display="https://atrix.mobtelecom.com.br/controle/addonmodules.php?module=helpdesk - /app/ticket/5988513" xr:uid="{68077F4C-BA6D-42A4-BE36-049F8B254FA0}"/>
    <hyperlink ref="A13" r:id="rId3" location="/app/ticket/5988469" display="https://atrix.mobtelecom.com.br/controle/addonmodules.php?module=helpdesk - /app/ticket/5988469" xr:uid="{AB062E86-7003-488A-BFC0-1CDF0E336030}"/>
    <hyperlink ref="A14" r:id="rId4" location="/app/ticket/5988289" display="https://atrix.mobtelecom.com.br/controle/addonmodules.php?module=helpdesk - /app/ticket/5988289" xr:uid="{B85EA671-3331-4DF1-9010-586EBA94B75D}"/>
    <hyperlink ref="A15" r:id="rId5" location="/app/ticket/5988277" display="https://atrix.mobtelecom.com.br/controle/addonmodules.php?module=helpdesk - /app/ticket/5988277" xr:uid="{C07190BB-1D4F-4796-92B8-3F3A91470CD3}"/>
    <hyperlink ref="A16" r:id="rId6" location="/app/ticket/5988219" display="https://atrix.mobtelecom.com.br/controle/addonmodules.php?module=helpdesk - /app/ticket/5988219" xr:uid="{0A18CA69-15D2-4D4F-9FE3-644FBB4DAE15}"/>
    <hyperlink ref="A17" r:id="rId7" location="/app/ticket/5987677" display="https://atrix.mobtelecom.com.br/controle/addonmodules.php?module=helpdesk - /app/ticket/5987677" xr:uid="{76C3CE79-4F8E-429C-83F2-721E25A5D04C}"/>
    <hyperlink ref="A18" r:id="rId8" location="/app/ticket/5987263" display="https://atrix.mobtelecom.com.br/controle/addonmodules.php?module=helpdesk - /app/ticket/5987263" xr:uid="{3FC5792C-AFDF-42D5-B72F-EDF72203E071}"/>
    <hyperlink ref="A19" r:id="rId9" location="/app/ticket/5987047" display="https://atrix.mobtelecom.com.br/controle/addonmodules.php?module=helpdesk - /app/ticket/5987047" xr:uid="{44B47C1B-3A49-4E30-9172-13DBB129F978}"/>
    <hyperlink ref="A7" r:id="rId10" location="/app/ticket/5986769" display="https://atrix.mobtelecom.com.br/controle/addonmodules.php?module=helpdesk - /app/ticket/5986769" xr:uid="{4E350CFD-B388-4514-9D11-1D64B83F1A69}"/>
    <hyperlink ref="A8" r:id="rId11" location="/app/ticket/5986419" display="https://atrix.mobtelecom.com.br/controle/addonmodules.php?module=helpdesk - /app/ticket/5986419" xr:uid="{ABA6A43C-9D8A-4506-A6CB-EF9538F695E1}"/>
    <hyperlink ref="A9" r:id="rId12" location="/app/ticket/5986417" display="https://atrix.mobtelecom.com.br/controle/addonmodules.php?module=helpdesk - /app/ticket/5986417" xr:uid="{867EE232-A7AA-41A9-8A78-4C46E3CCFF85}"/>
    <hyperlink ref="A10" r:id="rId13" location="/app/ticket/5986415" display="https://atrix.mobtelecom.com.br/controle/addonmodules.php?module=helpdesk - /app/ticket/5986415" xr:uid="{82821B8A-6EBC-4EF0-8AE7-0F9443E0F1BC}"/>
    <hyperlink ref="A6" r:id="rId14" location="/app/ticket/5986031" display="https://atrix.mobtelecom.com.br/controle/addonmodules.php?module=helpdesk - /app/ticket/5986031" xr:uid="{162CCEF6-B379-4852-91FE-E22F52252A52}"/>
    <hyperlink ref="A5" r:id="rId15" location="/app/ticket/5984989" display="https://atrix.mobtelecom.com.br/controle/addonmodules.php?module=helpdesk - /app/ticket/5984989" xr:uid="{11A7700C-11C5-4B51-B0E5-540E863604EF}"/>
    <hyperlink ref="A4" r:id="rId16" location="/app/ticket/5983433" display="https://atrix.mobtelecom.com.br/controle/addonmodules.php?module=helpdesk - /app/ticket/5983433" xr:uid="{3606FD6F-86F6-4C7B-8F84-CB10BAAA0703}"/>
    <hyperlink ref="A3" r:id="rId17" location="/app/ticket/5982149" display="https://atrix.mobtelecom.com.br/controle/addonmodules.php?module=helpdesk - /app/ticket/5982149" xr:uid="{7A1D2DBB-0DA5-4861-8747-A0AE7E570096}"/>
    <hyperlink ref="A2" r:id="rId18" location="/app/ticket/5963393" display="https://atrix.mobtelecom.com.br/controle/addonmodules.php?module=helpdesk - /app/ticket/5963393" xr:uid="{7854C281-509C-4E91-8999-3197FA6C5E2C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27"/>
  <sheetViews>
    <sheetView showGridLines="0" topLeftCell="A8" zoomScaleNormal="100" workbookViewId="0">
      <selection activeCell="E34" sqref="E34"/>
    </sheetView>
  </sheetViews>
  <sheetFormatPr defaultColWidth="8.6640625" defaultRowHeight="14.4" x14ac:dyDescent="0.3"/>
  <cols>
    <col min="1" max="1" width="2" customWidth="1"/>
    <col min="2" max="2" width="24" customWidth="1"/>
    <col min="3" max="3" width="12" customWidth="1"/>
    <col min="4" max="4" width="2" customWidth="1"/>
    <col min="5" max="5" width="24" customWidth="1"/>
    <col min="6" max="6" width="12" customWidth="1"/>
    <col min="7" max="7" width="2" customWidth="1"/>
    <col min="8" max="8" width="24" customWidth="1"/>
    <col min="9" max="9" width="12" customWidth="1"/>
    <col min="10" max="10" width="2" customWidth="1"/>
    <col min="11" max="11" width="24" customWidth="1"/>
    <col min="12" max="12" width="12" customWidth="1"/>
    <col min="13" max="13" width="2" customWidth="1"/>
  </cols>
  <sheetData>
    <row r="2" spans="2:12" ht="36" customHeight="1" x14ac:dyDescent="0.3">
      <c r="B2" s="86" t="s">
        <v>83</v>
      </c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2:12" ht="18" customHeight="1" x14ac:dyDescent="0.3">
      <c r="B3" s="80" t="str">
        <f ca="1">TEXT(NOW(),"dd/mm/AAAA hh:mm") &amp; "  •  Atualizado automaticamente"</f>
        <v>03/06/Wednesday 05:36  •  Atualizado automaticamente</v>
      </c>
      <c r="C3" s="76"/>
      <c r="D3" s="76"/>
      <c r="E3" s="76"/>
      <c r="F3" s="76"/>
      <c r="G3" s="76"/>
      <c r="H3" s="76"/>
      <c r="I3" s="76"/>
      <c r="J3" s="76"/>
      <c r="K3" s="76"/>
      <c r="L3" s="76"/>
    </row>
    <row r="5" spans="2:12" ht="9.75" customHeight="1" x14ac:dyDescent="0.3"/>
    <row r="6" spans="2:12" ht="18" customHeight="1" x14ac:dyDescent="0.3">
      <c r="B6" s="83" t="s">
        <v>84</v>
      </c>
      <c r="C6" s="84"/>
      <c r="E6" s="83" t="s">
        <v>85</v>
      </c>
      <c r="F6" s="84"/>
      <c r="H6" s="83" t="s">
        <v>86</v>
      </c>
      <c r="I6" s="84"/>
      <c r="K6" s="83" t="s">
        <v>87</v>
      </c>
      <c r="L6" s="84"/>
    </row>
    <row r="7" spans="2:12" ht="42" customHeight="1" x14ac:dyDescent="0.3">
      <c r="B7" s="77">
        <f>COUNTA(BASE!A2:A995)</f>
        <v>18</v>
      </c>
      <c r="C7" s="78"/>
      <c r="E7" s="98">
        <f ca="1">COUNTIF(BASE!R2:R995,"FORA DO PRAZO")</f>
        <v>18</v>
      </c>
      <c r="F7" s="99"/>
      <c r="H7" s="92" t="str">
        <f ca="1">IFERROR(TEXT(INT(AVERAGE(BASE!O2:O995)),"00") &amp; "h " &amp; TEXT(INT((AVERAGE(BASE!O2:O995)-INT(AVERAGE(BASE!O2:O995)))*60),"00") &amp; "m","00h 00m")</f>
        <v>24h 14m</v>
      </c>
      <c r="I7" s="93"/>
      <c r="K7" s="96" t="str">
        <f ca="1">IFERROR(TEXT(INT(MAX(BASE!O2:O995)),"00") &amp; "h " &amp; TEXT(INT((MAX(BASE!O2:O995)-INT(MAX(BASE!O2:O995)))*60),"00") &amp; "m","00h 00m")</f>
        <v>120h 00m</v>
      </c>
      <c r="L7" s="97"/>
    </row>
    <row r="8" spans="2:12" ht="21.75" customHeight="1" x14ac:dyDescent="0.3"/>
    <row r="10" spans="2:12" ht="24" customHeight="1" x14ac:dyDescent="0.3">
      <c r="B10" s="94" t="s">
        <v>88</v>
      </c>
      <c r="C10" s="76"/>
      <c r="D10" s="76"/>
      <c r="E10" s="76"/>
      <c r="F10" s="76"/>
      <c r="G10" s="76"/>
      <c r="H10" s="76"/>
      <c r="I10" s="76"/>
      <c r="J10" s="76"/>
      <c r="K10" s="76"/>
      <c r="L10" s="76"/>
    </row>
    <row r="11" spans="2:12" ht="24" customHeight="1" x14ac:dyDescent="0.3">
      <c r="B11" s="85" t="s">
        <v>89</v>
      </c>
      <c r="C11" s="76"/>
      <c r="D11" s="76"/>
      <c r="E11" s="76"/>
      <c r="F11" s="76"/>
      <c r="G11" s="81" t="str">
        <f ca="1">REPT("█",COUNTIF(BASE!Q2:Q995,"🔴 Maior que 24h"))</f>
        <v>███</v>
      </c>
      <c r="H11" s="76"/>
      <c r="I11" s="76"/>
      <c r="J11" s="76"/>
      <c r="K11" s="76"/>
      <c r="L11" s="9">
        <f ca="1">COUNTIF(BASE!Q2:Q995,"🔴 Maior que 24h")</f>
        <v>3</v>
      </c>
    </row>
    <row r="12" spans="2:12" ht="24" customHeight="1" x14ac:dyDescent="0.3">
      <c r="B12" s="82" t="s">
        <v>90</v>
      </c>
      <c r="C12" s="76"/>
      <c r="D12" s="76"/>
      <c r="E12" s="76"/>
      <c r="F12" s="76"/>
      <c r="G12" s="79" t="str">
        <f ca="1">REPT("█",COUNTIF(BASE!Q2:Q995,"🟠 Entre 12h e 24h"))</f>
        <v>█████████</v>
      </c>
      <c r="H12" s="76"/>
      <c r="I12" s="76"/>
      <c r="J12" s="76"/>
      <c r="K12" s="76"/>
      <c r="L12" s="10">
        <f ca="1">COUNTIF(BASE!Q2:Q995,"🟠 Entre 12h e 24h")</f>
        <v>9</v>
      </c>
    </row>
    <row r="13" spans="2:12" ht="24" customHeight="1" x14ac:dyDescent="0.3">
      <c r="B13" s="90" t="s">
        <v>91</v>
      </c>
      <c r="C13" s="76"/>
      <c r="D13" s="76"/>
      <c r="E13" s="76"/>
      <c r="F13" s="76"/>
      <c r="G13" s="87" t="str">
        <f ca="1">REPT("█",COUNTIF(BASE!Q2:Q995,"🟡 Entre 8h e 12h"))</f>
        <v>██████</v>
      </c>
      <c r="H13" s="76"/>
      <c r="I13" s="76"/>
      <c r="J13" s="76"/>
      <c r="K13" s="76"/>
      <c r="L13" s="11">
        <f ca="1">COUNTIF(BASE!Q2:Q995,"🟡 Entre 8h e 12h")</f>
        <v>6</v>
      </c>
    </row>
    <row r="14" spans="2:12" ht="24" customHeight="1" x14ac:dyDescent="0.3">
      <c r="B14" s="88" t="s">
        <v>92</v>
      </c>
      <c r="C14" s="76"/>
      <c r="D14" s="76"/>
      <c r="E14" s="76"/>
      <c r="F14" s="76"/>
      <c r="G14" s="95" t="str">
        <f ca="1">REPT("█",COUNTIF(BASE!Q2:Q995,"🟢 Entre 4h e 8h"))</f>
        <v/>
      </c>
      <c r="H14" s="76"/>
      <c r="I14" s="76"/>
      <c r="J14" s="76"/>
      <c r="K14" s="76"/>
      <c r="L14" s="12">
        <f ca="1">COUNTIF(BASE!Q2:Q995,"🟢 Entre 4h e 8h")</f>
        <v>0</v>
      </c>
    </row>
    <row r="15" spans="2:12" ht="24" customHeight="1" x14ac:dyDescent="0.3">
      <c r="B15" s="100" t="s">
        <v>93</v>
      </c>
      <c r="C15" s="76"/>
      <c r="D15" s="76"/>
      <c r="E15" s="76"/>
      <c r="F15" s="76"/>
      <c r="G15" s="91" t="str">
        <f ca="1">REPT("█",COUNTIF(BASE!Q2:Q995,"🔵 Até 4h"))</f>
        <v/>
      </c>
      <c r="H15" s="76"/>
      <c r="I15" s="76"/>
      <c r="J15" s="76"/>
      <c r="K15" s="76"/>
      <c r="L15" s="13">
        <f ca="1">COUNTIF(BASE!Q2:Q995,"🔵 Até 4h")</f>
        <v>0</v>
      </c>
    </row>
    <row r="17" spans="2:12" ht="27.75" customHeight="1" x14ac:dyDescent="0.3">
      <c r="B17" s="89" t="str">
        <f ca="1">"FORA DO PRAZO: " &amp; COUNTIF(BASE!R2:R995,"FORA DO PRAZO") &amp; " (" &amp; IFERROR(TEXT(COUNTIF(BASE!R2:R995,"FORA DO PRAZO")/COUNTA(BASE!A2:A995),"0%"),"0%") &amp; ")"</f>
        <v>FORA DO PRAZO: 18 (100%)</v>
      </c>
      <c r="C17" s="76"/>
      <c r="D17" s="76"/>
      <c r="E17" s="76"/>
      <c r="F17" s="76"/>
      <c r="G17" s="101" t="str">
        <f ca="1">"NO PRAZO: " &amp; COUNTIF(BASE!R2:R995,"NO PRAZO") &amp; " (" &amp; IFERROR(TEXT(COUNTIF(BASE!R2:R995,"NO PRAZO")/COUNTA(BASE!A2:A995),"0%"),"0%") &amp; ")"</f>
        <v>NO PRAZO: 0 (0%)</v>
      </c>
      <c r="H17" s="76"/>
      <c r="I17" s="76"/>
      <c r="J17" s="76"/>
      <c r="K17" s="76"/>
      <c r="L17" s="76"/>
    </row>
    <row r="19" spans="2:12" ht="24" customHeight="1" x14ac:dyDescent="0.3">
      <c r="B19" s="94" t="s">
        <v>94</v>
      </c>
      <c r="C19" s="76"/>
      <c r="D19" s="76"/>
      <c r="E19" s="76"/>
      <c r="F19" s="76"/>
      <c r="H19" s="94" t="s">
        <v>95</v>
      </c>
      <c r="I19" s="76"/>
      <c r="J19" s="76"/>
      <c r="K19" s="76"/>
      <c r="L19" s="76"/>
    </row>
    <row r="20" spans="2:12" ht="21.75" customHeight="1" x14ac:dyDescent="0.3">
      <c r="B20" s="75" t="s">
        <v>64</v>
      </c>
      <c r="C20" s="76"/>
      <c r="D20" s="76"/>
      <c r="E20" s="76"/>
      <c r="F20" s="14">
        <f>COUNTIF(BASE!I2:I995,"PENDENTE AGENDAMENTO")</f>
        <v>13</v>
      </c>
      <c r="H20" s="75" t="s">
        <v>96</v>
      </c>
      <c r="I20" s="76"/>
      <c r="J20" s="76"/>
      <c r="K20" s="76"/>
      <c r="L20" s="14">
        <f>COUNTIF(BASE!M2:M995,"MA CAP")</f>
        <v>14</v>
      </c>
    </row>
    <row r="21" spans="2:12" ht="21.75" customHeight="1" x14ac:dyDescent="0.3">
      <c r="B21" s="75" t="s">
        <v>67</v>
      </c>
      <c r="C21" s="76"/>
      <c r="D21" s="76"/>
      <c r="E21" s="76"/>
      <c r="F21" s="14">
        <f>COUNTIF(BASE!I2:I995,"PENDENTE CLIENTE")</f>
        <v>0</v>
      </c>
      <c r="H21" s="75" t="s">
        <v>97</v>
      </c>
      <c r="I21" s="76"/>
      <c r="J21" s="76"/>
      <c r="K21" s="76"/>
      <c r="L21" s="14">
        <f>COUNTIF(BASE!M2:M995,"MA INT")</f>
        <v>2</v>
      </c>
    </row>
    <row r="22" spans="2:12" ht="21.75" customHeight="1" x14ac:dyDescent="0.3">
      <c r="B22" s="75" t="s">
        <v>52</v>
      </c>
      <c r="C22" s="76"/>
      <c r="D22" s="76"/>
      <c r="E22" s="76"/>
      <c r="F22" s="14">
        <f>COUNTIF(BASE!I2:I995,"AGUARDANDO LIBERAÇÃO DE ACESSO")</f>
        <v>1</v>
      </c>
      <c r="H22" s="75" t="s">
        <v>98</v>
      </c>
      <c r="I22" s="76"/>
      <c r="J22" s="76"/>
      <c r="K22" s="76"/>
      <c r="L22" s="14">
        <f>COUNTIF(BASE!M2:M995,"PA CAP")</f>
        <v>0</v>
      </c>
    </row>
    <row r="23" spans="2:12" ht="21.75" customHeight="1" x14ac:dyDescent="0.3">
      <c r="H23" s="75" t="s">
        <v>99</v>
      </c>
      <c r="I23" s="76"/>
      <c r="J23" s="76"/>
      <c r="K23" s="76"/>
      <c r="L23" s="14">
        <f>COUNTIF(BASE!M2:M995,"PA INT")</f>
        <v>1</v>
      </c>
    </row>
    <row r="24" spans="2:12" ht="21.75" customHeight="1" x14ac:dyDescent="0.3">
      <c r="H24" s="75" t="s">
        <v>100</v>
      </c>
      <c r="I24" s="76"/>
      <c r="J24" s="76"/>
      <c r="K24" s="76"/>
      <c r="L24" s="14">
        <f>COUNTIF(BASE!M2:M995,"PI CAP")</f>
        <v>0</v>
      </c>
    </row>
    <row r="25" spans="2:12" ht="21.75" customHeight="1" x14ac:dyDescent="0.3">
      <c r="H25" s="75" t="s">
        <v>101</v>
      </c>
      <c r="I25" s="76"/>
      <c r="J25" s="76"/>
      <c r="K25" s="76"/>
      <c r="L25" s="14">
        <f>COUNTIF(BASE!M2:M995,"PI INT")</f>
        <v>1</v>
      </c>
    </row>
    <row r="26" spans="2:12" x14ac:dyDescent="0.3">
      <c r="H26" s="75" t="s">
        <v>102</v>
      </c>
      <c r="I26" s="76"/>
      <c r="J26" s="76"/>
      <c r="K26" s="76"/>
      <c r="L26" s="14">
        <f>COUNTIF(BASE!M2:M995,"AM INT")</f>
        <v>0</v>
      </c>
    </row>
    <row r="27" spans="2:12" x14ac:dyDescent="0.3">
      <c r="H27" s="75" t="s">
        <v>103</v>
      </c>
      <c r="I27" s="76"/>
      <c r="J27" s="76"/>
      <c r="K27" s="76"/>
      <c r="L27" s="14">
        <f>COUNTIF(BASE!M2:M995,"AP")</f>
        <v>0</v>
      </c>
    </row>
  </sheetData>
  <mergeCells count="36">
    <mergeCell ref="H21:K21"/>
    <mergeCell ref="H19:L19"/>
    <mergeCell ref="B6:C6"/>
    <mergeCell ref="K7:L7"/>
    <mergeCell ref="E7:F7"/>
    <mergeCell ref="B15:F15"/>
    <mergeCell ref="G17:L17"/>
    <mergeCell ref="K6:L6"/>
    <mergeCell ref="B2:L2"/>
    <mergeCell ref="H20:K20"/>
    <mergeCell ref="G13:K13"/>
    <mergeCell ref="B14:F14"/>
    <mergeCell ref="B17:F17"/>
    <mergeCell ref="B13:F13"/>
    <mergeCell ref="E6:F6"/>
    <mergeCell ref="G15:K15"/>
    <mergeCell ref="H7:I7"/>
    <mergeCell ref="B19:F19"/>
    <mergeCell ref="G14:K14"/>
    <mergeCell ref="B10:L10"/>
    <mergeCell ref="H22:K22"/>
    <mergeCell ref="B7:C7"/>
    <mergeCell ref="H27:K27"/>
    <mergeCell ref="G12:K12"/>
    <mergeCell ref="B3:L3"/>
    <mergeCell ref="G11:K11"/>
    <mergeCell ref="H24:K24"/>
    <mergeCell ref="B20:E20"/>
    <mergeCell ref="H23:K23"/>
    <mergeCell ref="B12:F12"/>
    <mergeCell ref="H6:I6"/>
    <mergeCell ref="H26:K26"/>
    <mergeCell ref="B11:F11"/>
    <mergeCell ref="B22:E22"/>
    <mergeCell ref="H25:K25"/>
    <mergeCell ref="B21:E2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2:G18"/>
  <sheetViews>
    <sheetView showGridLines="0" zoomScaleNormal="100" workbookViewId="0">
      <selection activeCell="F18" sqref="B4:F18"/>
    </sheetView>
  </sheetViews>
  <sheetFormatPr defaultColWidth="8.6640625" defaultRowHeight="14.4" x14ac:dyDescent="0.3"/>
  <cols>
    <col min="1" max="1" width="2" customWidth="1"/>
    <col min="2" max="2" width="32.5546875" customWidth="1"/>
    <col min="3" max="5" width="8" customWidth="1"/>
    <col min="6" max="6" width="12" customWidth="1"/>
  </cols>
  <sheetData>
    <row r="2" spans="2:7" ht="30" customHeight="1" x14ac:dyDescent="0.3">
      <c r="B2" s="102" t="s">
        <v>104</v>
      </c>
      <c r="C2" s="76"/>
      <c r="D2" s="76"/>
      <c r="E2" s="76"/>
      <c r="F2" s="76"/>
      <c r="G2" s="76"/>
    </row>
    <row r="4" spans="2:7" x14ac:dyDescent="0.3">
      <c r="B4" s="15" t="s">
        <v>105</v>
      </c>
      <c r="C4" s="16" t="s">
        <v>37</v>
      </c>
      <c r="D4" s="16" t="s">
        <v>45</v>
      </c>
      <c r="E4" s="16" t="s">
        <v>53</v>
      </c>
      <c r="F4" s="17" t="s">
        <v>106</v>
      </c>
    </row>
    <row r="5" spans="2:7" x14ac:dyDescent="0.3">
      <c r="B5" s="18" t="s">
        <v>64</v>
      </c>
      <c r="C5" s="19">
        <f>IF(COUNTIFS(BASE!$I$2:$I$995,"PENDENTE AGENDAMENTO",BASE!$L$2:$L$995,"MA")=0,"",COUNTIFS(BASE!$I$2:$I$995,"PENDENTE AGENDAMENTO",BASE!$L$2:$L$995,"MA"))</f>
        <v>13</v>
      </c>
      <c r="D5" s="19" t="str">
        <f>IF(COUNTIFS(BASE!$I$2:$I$995,"PENDENTE AGENDAMENTO",BASE!$L$2:$L$995,"PA")=0,"",COUNTIFS(BASE!$I$2:$I$995,"PENDENTE AGENDAMENTO",BASE!$L$2:$L$995,"PA"))</f>
        <v/>
      </c>
      <c r="E5" s="19" t="str">
        <f>IF(COUNTIFS(BASE!$I$2:$I$995,"PENDENTE AGENDAMENTO",BASE!$L$2:$L$995,"PI")=0,"",COUNTIFS(BASE!$I$2:$I$995,"PENDENTE AGENDAMENTO",BASE!$L$2:$L$995,"PI"))</f>
        <v/>
      </c>
      <c r="F5" s="16">
        <f>COUNTIF(BASE!$I$2:$I$995,"PENDENTE AGENDAMENTO")</f>
        <v>13</v>
      </c>
    </row>
    <row r="6" spans="2:7" x14ac:dyDescent="0.3">
      <c r="B6" s="20" t="s">
        <v>107</v>
      </c>
      <c r="C6" s="21">
        <f>IFERROR(IF(COUNTIFS(BASE!$I$2:$I$995,"PENDENTE AGENDAMENTO",BASE!$N$2:$N$995,"GIGA+ MA",BASE!$L$2:$L$995,"MA")=0,"",COUNTIFS(BASE!$I$2:$I$995,"PENDENTE AGENDAMENTO",BASE!$N$2:$N$995,"GIGA+ MA",BASE!$L$2:$L$995,"MA")),"")</f>
        <v>1</v>
      </c>
      <c r="D6" s="21" t="str">
        <f>IFERROR(IF(COUNTIFS(BASE!$I$2:$I$995,"PENDENTE AGENDAMENTO",BASE!$N$2:$N$995,"GIGA+ MA",BASE!$L$2:$L$995,"PA")=0,"",COUNTIFS(BASE!$I$2:$I$995,"PENDENTE AGENDAMENTO",BASE!$N$2:$N$995,"GIGA+ MA",BASE!$L$2:$L$995,"PA")),"")</f>
        <v/>
      </c>
      <c r="E6" s="21" t="str">
        <f>IFERROR(IF(COUNTIFS(BASE!$I$2:$I$995,"PENDENTE AGENDAMENTO",BASE!$N$2:$N$995,"GIGA+ MA",BASE!$L$2:$L$995,"PI")=0,"",COUNTIFS(BASE!$I$2:$I$995,"PENDENTE AGENDAMENTO",BASE!$N$2:$N$995,"GIGA+ MA",BASE!$L$2:$L$995,"PI")),"")</f>
        <v/>
      </c>
      <c r="F6" s="22">
        <f>COUNTIFS(BASE!$I$2:$I$995,"PENDENTE AGENDAMENTO",BASE!$N$2:$N$995,"GIGA+ MA")</f>
        <v>1</v>
      </c>
    </row>
    <row r="7" spans="2:7" x14ac:dyDescent="0.3">
      <c r="B7" s="20" t="s">
        <v>108</v>
      </c>
      <c r="C7" s="21">
        <f>IFERROR(IF(COUNTIFS(BASE!$I$2:$I$995,"PENDENTE AGENDAMENTO",BASE!$N$2:$N$995,"SLN MA",BASE!$L$2:$L$995,"MA")=0,"",COUNTIFS(BASE!$I$2:$I$995,"PENDENTE AGENDAMENTO",BASE!$N$2:$N$995,"SLN MA",BASE!$L$2:$L$995,"MA")),"")</f>
        <v>12</v>
      </c>
      <c r="D7" s="21" t="str">
        <f>IFERROR(IF(COUNTIFS(BASE!$I$2:$I$995,"PENDENTE AGENDAMENTO",BASE!$N$2:$N$995,"SLN MA",BASE!$L$2:$L$995,"PA")=0,"",COUNTIFS(BASE!$I$2:$I$995,"PENDENTE AGENDAMENTO",BASE!$N$2:$N$995,"SLN MA",BASE!$L$2:$L$995,"PA")),"")</f>
        <v/>
      </c>
      <c r="E7" s="21" t="str">
        <f>IFERROR(IF(COUNTIFS(BASE!$I$2:$I$995,"PENDENTE AGENDAMENTO",BASE!$N$2:$N$995,"SLN MA",BASE!$L$2:$L$995,"PI")=0,"",COUNTIFS(BASE!$I$2:$I$995,"PENDENTE AGENDAMENTO",BASE!$N$2:$N$995,"SLN MA",BASE!$L$2:$L$995,"PI")),"")</f>
        <v/>
      </c>
      <c r="F7" s="22">
        <f>COUNTIFS(BASE!$I$2:$I$995,"PENDENTE AGENDAMENTO",BASE!$N$2:$N$995,"SLN MA")</f>
        <v>12</v>
      </c>
    </row>
    <row r="8" spans="2:7" hidden="1" x14ac:dyDescent="0.3">
      <c r="B8" s="20" t="s">
        <v>109</v>
      </c>
      <c r="C8" s="21" t="str">
        <f>IFERROR(IF(COUNTIFS(BASE!$I$2:$I$995,"PENDENTE AGENDAMENTO",BASE!$N$2:$N$995,"SLN PA",BASE!$L$2:$L$995,"MA")=0,"",COUNTIFS(BASE!$I$2:$I$995,"PENDENTE AGENDAMENTO",BASE!$N$2:$N$995,"SLN PA",BASE!$L$2:$L$995,"MA")),"")</f>
        <v/>
      </c>
      <c r="D8" s="21" t="str">
        <f>IFERROR(IF(COUNTIFS(BASE!$I$2:$I$995,"PENDENTE AGENDAMENTO",BASE!$N$2:$N$995,"SLN PA",BASE!$L$2:$L$995,"PA")=0,"",COUNTIFS(BASE!$I$2:$I$995,"PENDENTE AGENDAMENTO",BASE!$N$2:$N$995,"SLN PA",BASE!$L$2:$L$995,"PA")),"")</f>
        <v/>
      </c>
      <c r="E8" s="21" t="str">
        <f>IFERROR(IF(COUNTIFS(BASE!$I$2:$I$995,"PENDENTE AGENDAMENTO",BASE!$N$2:$N$995,"SLN PA",BASE!$L$2:$L$995,"PI")=0,"",COUNTIFS(BASE!$I$2:$I$995,"PENDENTE AGENDAMENTO",BASE!$N$2:$N$995,"SLN PA",BASE!$L$2:$L$995,"PI")),"")</f>
        <v/>
      </c>
      <c r="F8" s="22">
        <f>COUNTIFS(BASE!$I$2:$I$995,"PENDENTE AGENDAMENTO",BASE!$N$2:$N$995,"SLN PA")</f>
        <v>0</v>
      </c>
    </row>
    <row r="9" spans="2:7" hidden="1" x14ac:dyDescent="0.3">
      <c r="B9" s="18" t="s">
        <v>67</v>
      </c>
      <c r="C9" s="19" t="str">
        <f>IF(COUNTIFS(BASE!$I$2:$I$995,"PENDENTE CLIENTE",BASE!$L$2:$L$995,"MA")=0,"",COUNTIFS(BASE!$I$2:$I$995,"PENDENTE CLIENTE",BASE!$L$2:$L$995,"MA"))</f>
        <v/>
      </c>
      <c r="D9" s="19" t="str">
        <f>IF(COUNTIFS(BASE!$I$2:$I$995,"PENDENTE CLIENTE",BASE!$L$2:$L$995,"PA")=0,"",COUNTIFS(BASE!$I$2:$I$995,"PENDENTE CLIENTE",BASE!$L$2:$L$995,"PA"))</f>
        <v/>
      </c>
      <c r="E9" s="19" t="str">
        <f>IF(COUNTIFS(BASE!$I$2:$I$995,"PENDENTE CLIENTE",BASE!$L$2:$L$995,"PI")=0,"",COUNTIFS(BASE!$I$2:$I$995,"PENDENTE CLIENTE",BASE!$L$2:$L$995,"PI"))</f>
        <v/>
      </c>
      <c r="F9" s="16">
        <f>COUNTIF(BASE!$I$2:$I$995,"PENDENTE CLIENTE")</f>
        <v>0</v>
      </c>
    </row>
    <row r="10" spans="2:7" hidden="1" x14ac:dyDescent="0.3">
      <c r="B10" s="20" t="s">
        <v>107</v>
      </c>
      <c r="C10" s="21" t="str">
        <f>IFERROR(IF(COUNTIFS(BASE!$I$2:$I$995,"PENDENTE CLIENTE",BASE!$N$2:$N$995,"GIGA+ MA",BASE!$L$2:$L$995,"MA")=0,"",COUNTIFS(BASE!$I$2:$I$995,"PENDENTE CLIENTE",BASE!$N$2:$N$995,"GIGA+ MA",BASE!$L$2:$L$995,"MA")),"")</f>
        <v/>
      </c>
      <c r="D10" s="21" t="str">
        <f>IFERROR(IF(COUNTIFS(BASE!$I$2:$I$995,"PENDENTE CLIENTE",BASE!$N$2:$N$995,"GIGA+ MA",BASE!$L$2:$L$995,"PA")=0,"",COUNTIFS(BASE!$I$2:$I$995,"PENDENTE CLIENTE",BASE!$N$2:$N$995,"GIGA+ MA",BASE!$L$2:$L$995,"PA")),"")</f>
        <v/>
      </c>
      <c r="E10" s="21" t="str">
        <f>IFERROR(IF(COUNTIFS(BASE!$I$2:$I$995,"PENDENTE CLIENTE",BASE!$N$2:$N$995,"GIGA+ MA",BASE!$L$2:$L$995,"PI")=0,"",COUNTIFS(BASE!$I$2:$I$995,"PENDENTE CLIENTE",BASE!$N$2:$N$995,"GIGA+ MA",BASE!$L$2:$L$995,"PI")),"")</f>
        <v/>
      </c>
      <c r="F10" s="22">
        <f>COUNTIFS(BASE!$I$2:$I$995,"PENDENTE CLIENTE",BASE!$N$2:$N$995,"GIGA+ MA")</f>
        <v>0</v>
      </c>
    </row>
    <row r="11" spans="2:7" hidden="1" x14ac:dyDescent="0.3">
      <c r="B11" s="20" t="s">
        <v>108</v>
      </c>
      <c r="C11" s="21" t="str">
        <f>IFERROR(IF(COUNTIFS(BASE!$I$2:$I$995,"PENDENTE CLIENTE",BASE!$N$2:$N$995,"SLN MA",BASE!$L$2:$L$995,"MA")=0,"",COUNTIFS(BASE!$I$2:$I$995,"PENDENTE CLIENTE",BASE!$N$2:$N$995,"SLN MA",BASE!$L$2:$L$995,"MA")),"")</f>
        <v/>
      </c>
      <c r="D11" s="21" t="str">
        <f>IFERROR(IF(COUNTIFS(BASE!$I$2:$I$995,"PENDENTE CLIENTE",BASE!$N$2:$N$995,"SLN MA",BASE!$L$2:$L$995,"PA")=0,"",COUNTIFS(BASE!$I$2:$I$995,"PENDENTE CLIENTE",BASE!$N$2:$N$995,"SLN MA",BASE!$L$2:$L$995,"PA")),"")</f>
        <v/>
      </c>
      <c r="E11" s="21" t="str">
        <f>IFERROR(IF(COUNTIFS(BASE!$I$2:$I$995,"PENDENTE CLIENTE",BASE!$N$2:$N$995,"SLN MA",BASE!$L$2:$L$995,"PI")=0,"",COUNTIFS(BASE!$I$2:$I$995,"PENDENTE CLIENTE",BASE!$N$2:$N$995,"SLN MA",BASE!$L$2:$L$995,"PI")),"")</f>
        <v/>
      </c>
      <c r="F11" s="22">
        <f>COUNTIFS(BASE!$I$2:$I$995,"PENDENTE CLIENTE",BASE!$N$2:$N$995,"SLN MA")</f>
        <v>0</v>
      </c>
    </row>
    <row r="12" spans="2:7" hidden="1" x14ac:dyDescent="0.3">
      <c r="B12" s="20" t="s">
        <v>109</v>
      </c>
      <c r="C12" s="21" t="str">
        <f>IFERROR(IF(COUNTIFS(BASE!$I$2:$I$995,"PENDENTE CLIENTE",BASE!$N$2:$N$995,"SLN PA",BASE!$L$2:$L$995,"MA")=0,"",COUNTIFS(BASE!$I$2:$I$995,"PENDENTE CLIENTE",BASE!$N$2:$N$995,"SLN PA",BASE!$L$2:$L$995,"MA")),"")</f>
        <v/>
      </c>
      <c r="D12" s="21" t="str">
        <f>IFERROR(IF(COUNTIFS(BASE!$I$2:$I$995,"PENDENTE CLIENTE",BASE!$N$2:$N$995,"SLN PA",BASE!$L$2:$L$995,"PA")=0,"",COUNTIFS(BASE!$I$2:$I$995,"PENDENTE CLIENTE",BASE!$N$2:$N$995,"SLN PA",BASE!$L$2:$L$995,"PA")),"")</f>
        <v/>
      </c>
      <c r="E12" s="21" t="str">
        <f>IFERROR(IF(COUNTIFS(BASE!$I$2:$I$995,"PENDENTE CLIENTE",BASE!$N$2:$N$995,"SLN PA",BASE!$L$2:$L$995,"PI")=0,"",COUNTIFS(BASE!$I$2:$I$995,"PENDENTE CLIENTE",BASE!$N$2:$N$995,"SLN PA",BASE!$L$2:$L$995,"PI")),"")</f>
        <v/>
      </c>
      <c r="F12" s="22">
        <f>COUNTIFS(BASE!$I$2:$I$995,"PENDENTE CLIENTE",BASE!$N$2:$N$995,"SLN PA")</f>
        <v>0</v>
      </c>
    </row>
    <row r="13" spans="2:7" x14ac:dyDescent="0.3">
      <c r="B13" s="18" t="s">
        <v>52</v>
      </c>
      <c r="C13" s="19" t="str">
        <f>IF(COUNTIFS(BASE!$I$2:$I$995,"AGUARDANDO LIBERAÇÃO DE ACESSO",BASE!$L$2:$L$995,"MA")=0,"",COUNTIFS(BASE!$I$2:$I$995,"AGUARDANDO LIBERAÇÃO DE ACESSO",BASE!$L$2:$L$995,"MA"))</f>
        <v/>
      </c>
      <c r="D13" s="19" t="str">
        <f>IF(COUNTIFS(BASE!$I$2:$I$995,"AGUARDANDO LIBERAÇÃO DE ACESSO",BASE!$L$2:$L$995,"PA")=0,"",COUNTIFS(BASE!$I$2:$I$995,"AGUARDANDO LIBERAÇÃO DE ACESSO",BASE!$L$2:$L$995,"PA"))</f>
        <v/>
      </c>
      <c r="E13" s="19">
        <f>IF(COUNTIFS(BASE!$I$2:$I$995,"AGUARDANDO LIBERAÇÃO DE ACESSO",BASE!$L$2:$L$995,"PI")=0,"",COUNTIFS(BASE!$I$2:$I$995,"AGUARDANDO LIBERAÇÃO DE ACESSO",BASE!$L$2:$L$995,"PI"))</f>
        <v>1</v>
      </c>
      <c r="F13" s="16">
        <f>COUNTIF(BASE!$I$2:$I$995,"AGUARDANDO LIBERAÇÃO DE ACESSO")</f>
        <v>1</v>
      </c>
    </row>
    <row r="14" spans="2:7" hidden="1" x14ac:dyDescent="0.3">
      <c r="B14" s="20" t="s">
        <v>109</v>
      </c>
      <c r="C14" s="21" t="str">
        <f>IFERROR(IF(COUNTIFS(BASE!$I$2:$I$995,"AGUARDANDO LIBERAÇÃO DE ACESSO",BASE!$N$2:$N$995,"SLN PA",BASE!$L$2:$L$995,"MA")=0,"",COUNTIFS(BASE!$I$2:$I$995,"AGUARDANDO LIBERAÇÃO DE ACESSO",BASE!$N$2:$N$995,"SLN PA",BASE!$L$2:$L$995,"MA")),"")</f>
        <v/>
      </c>
      <c r="D14" s="21" t="str">
        <f>IFERROR(IF(COUNTIFS(BASE!$I$2:$I$995,"AGUARDANDO LIBERAÇÃO DE ACESSO",BASE!$N$2:$N$995,"SLN PA",BASE!$L$2:$L$995,"PA")=0,"",COUNTIFS(BASE!$I$2:$I$995,"AGUARDANDO LIBERAÇÃO DE ACESSO",BASE!$N$2:$N$995,"SLN PA",BASE!$L$2:$L$995,"PA")),"")</f>
        <v/>
      </c>
      <c r="E14" s="21" t="str">
        <f>IFERROR(IF(COUNTIFS(BASE!$I$2:$I$995,"AGUARDANDO LIBERAÇÃO DE ACESSO",BASE!$N$2:$N$995,"SLN PA",BASE!$L$2:$L$995,"PI")=0,"",COUNTIFS(BASE!$I$2:$I$995,"AGUARDANDO LIBERAÇÃO DE ACESSO",BASE!$N$2:$N$995,"SLN PA",BASE!$L$2:$L$995,"PI")),"")</f>
        <v/>
      </c>
      <c r="F14" s="22">
        <f>COUNTIFS(BASE!$I$2:$I$995,"AGUARDANDO LIBERAÇÃO DE ACESSO",BASE!$N$2:$N$995,"SLN PA")</f>
        <v>0</v>
      </c>
    </row>
    <row r="15" spans="2:7" hidden="1" x14ac:dyDescent="0.3">
      <c r="B15" s="20" t="s">
        <v>108</v>
      </c>
      <c r="C15" s="21" t="str">
        <f>IFERROR(IF(COUNTIFS(BASE!$I$2:$I$995,"AGUARDANDO LIBERAÇÃO DE ACESSO",BASE!$N$2:$N$995,"SLN MA",BASE!$L$2:$L$995,"MA")=0,"",COUNTIFS(BASE!$I$2:$I$995,"AGUARDANDO LIBERAÇÃO DE ACESSO",BASE!$N$2:$N$995,"SLN MA",BASE!$L$2:$L$995,"MA")),"")</f>
        <v/>
      </c>
      <c r="D15" s="21" t="str">
        <f>IFERROR(IF(COUNTIFS(BASE!$I$2:$I$995,"AGUARDANDO LIBERAÇÃO DE ACESSO",BASE!$N$2:$N$995,"SLN MA",BASE!$L$2:$L$995,"PA")=0,"",COUNTIFS(BASE!$I$2:$I$995,"AGUARDANDO LIBERAÇÃO DE ACESSO",BASE!$N$2:$N$995,"SLN MA",BASE!$L$2:$L$995,"PA")),"")</f>
        <v/>
      </c>
      <c r="E15" s="21" t="str">
        <f>IFERROR(IF(COUNTIFS(BASE!$I$2:$I$995,"AGUARDANDO LIBERAÇÃO DE ACESSO",BASE!$N$2:$N$995,"SLN MA",BASE!$L$2:$L$995,"PI")=0,"",COUNTIFS(BASE!$I$2:$I$995,"AGUARDANDO LIBERAÇÃO DE ACESSO",BASE!$N$2:$N$995,"SLN MA",BASE!$L$2:$L$995,"PI")),"")</f>
        <v/>
      </c>
      <c r="F15" s="22">
        <f>COUNTIFS(BASE!$I$2:$I$995,"AGUARDANDO LIBERAÇÃO DE ACESSO",BASE!$N$2:$N$995,"SLN MA")</f>
        <v>0</v>
      </c>
    </row>
    <row r="16" spans="2:7" hidden="1" x14ac:dyDescent="0.3">
      <c r="B16" s="20" t="s">
        <v>107</v>
      </c>
      <c r="C16" s="21" t="str">
        <f>IFERROR(IF(COUNTIFS(BASE!$I$2:$I$995,"AGUARDANDO LIBERAÇÃO DE ACESSO",BASE!$N$2:$N$995,"GIGA+ MA",BASE!$L$2:$L$995,"MA")=0,"",COUNTIFS(BASE!$I$2:$I$995,"AGUARDANDO LIBERAÇÃO DE ACESSO",BASE!$N$2:$N$995,"GIGA+ MA",BASE!$L$2:$L$995,"MA")),"")</f>
        <v/>
      </c>
      <c r="D16" s="21" t="str">
        <f>IFERROR(IF(COUNTIFS(BASE!$I$2:$I$995,"AGUARDANDO LIBERAÇÃO DE ACESSO",BASE!$N$2:$N$995,"GIGA+ MA",BASE!$L$2:$L$995,"PA")=0,"",COUNTIFS(BASE!$I$2:$I$995,"AGUARDANDO LIBERAÇÃO DE ACESSO",BASE!$N$2:$N$995,"GIGA+ MA",BASE!$L$2:$L$995,"PA")),"")</f>
        <v/>
      </c>
      <c r="E16" s="21" t="str">
        <f>IFERROR(IF(COUNTIFS(BASE!$I$2:$I$995,"AGUARDANDO LIBERAÇÃO DE ACESSO",BASE!$N$2:$N$995,"GIGA+ MA",BASE!$L$2:$L$995,"PI")=0,"",COUNTIFS(BASE!$I$2:$I$995,"AGUARDANDO LIBERAÇÃO DE ACESSO",BASE!$N$2:$N$995,"GIGA+ MA",BASE!$L$2:$L$995,"PI")),"")</f>
        <v/>
      </c>
      <c r="F16" s="22">
        <f>COUNTIFS(BASE!$I$2:$I$995,"AGUARDANDO LIBERAÇÃO DE ACESSO",BASE!$N$2:$N$995,"GIGA+ MA")</f>
        <v>0</v>
      </c>
    </row>
    <row r="17" spans="2:6" hidden="1" x14ac:dyDescent="0.3">
      <c r="B17" s="20" t="s">
        <v>110</v>
      </c>
      <c r="C17" s="21" t="str">
        <f>IFERROR(IF(COUNTIFS(BASE!$I$2:$I$995,"AGUARDANDO LIBERAÇÃO DE ACESSO",BASE!$N$2:$N$995,"ADX",BASE!$L$2:$L$995,"MA")=0,"",COUNTIFS(BASE!$I$2:$I$995,"AGUARDANDO LIBERAÇÃO DE ACESSO",BASE!$N$2:$N$995,"ADX",BASE!$L$2:$L$995,"MA")),"")</f>
        <v/>
      </c>
      <c r="D17" s="21" t="str">
        <f>IFERROR(IF(COUNTIFS(BASE!$I$2:$I$995,"AGUARDANDO LIBERAÇÃO DE ACESSO",BASE!$N$2:$N$995,"ADX",BASE!$L$2:$L$995,"PA")=0,"",COUNTIFS(BASE!$I$2:$I$995,"AGUARDANDO LIBERAÇÃO DE ACESSO",BASE!$N$2:$N$995,"ADX",BASE!$L$2:$L$995,"PA")),"")</f>
        <v/>
      </c>
      <c r="E17" s="21" t="str">
        <f>IFERROR(IF(COUNTIFS(BASE!$I$2:$I$995,"AGUARDANDO LIBERAÇÃO DE ACESSO",BASE!$N$2:$N$995,"ADX",BASE!$L$2:$L$995,"PI")=0,"",COUNTIFS(BASE!$I$2:$I$995,"AGUARDANDO LIBERAÇÃO DE ACESSO",BASE!$N$2:$N$995,"ADX",BASE!$L$2:$L$995,"PI")),"")</f>
        <v/>
      </c>
      <c r="F17" s="22">
        <f>COUNTIFS(BASE!$I$2:$I$995,"AGUARDANDO LIBERAÇÃO DE ACESSO",BASE!$N$2:$N$995,"ADX")</f>
        <v>0</v>
      </c>
    </row>
    <row r="18" spans="2:6" x14ac:dyDescent="0.3">
      <c r="B18" s="23" t="s">
        <v>111</v>
      </c>
      <c r="C18" s="24">
        <f>COUNTIF(BASE!$L$2:$L$995,"MA")</f>
        <v>16</v>
      </c>
      <c r="D18" s="24">
        <f>COUNTIF(BASE!$L$2:$L$995,"PA")</f>
        <v>1</v>
      </c>
      <c r="E18" s="24">
        <f>COUNTIF(BASE!$L$2:$L$995,"PI")</f>
        <v>1</v>
      </c>
      <c r="F18" s="24">
        <f>COUNTA(BASE!$A$2:$A$995)</f>
        <v>18</v>
      </c>
    </row>
  </sheetData>
  <autoFilter ref="B4:F18" xr:uid="{00000000-0009-0000-0000-000002000000}">
    <filterColumn colId="4">
      <filters>
        <filter val="1"/>
        <filter val="12"/>
        <filter val="13"/>
        <filter val="18"/>
      </filters>
    </filterColumn>
  </autoFilter>
  <mergeCells count="1">
    <mergeCell ref="B2:G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85"/>
  <sheetViews>
    <sheetView showGridLines="0" zoomScale="70" zoomScaleNormal="70" workbookViewId="0">
      <pane ySplit="3" topLeftCell="A17" activePane="bottomLeft" state="frozen"/>
      <selection pane="bottomLeft" activeCell="A28" sqref="A28:XFD31"/>
    </sheetView>
  </sheetViews>
  <sheetFormatPr defaultColWidth="8.6640625" defaultRowHeight="14.4" x14ac:dyDescent="0.3"/>
  <cols>
    <col min="1" max="1" width="2" customWidth="1"/>
    <col min="2" max="2" width="36" customWidth="1"/>
    <col min="3" max="3" width="19" customWidth="1"/>
    <col min="4" max="4" width="55" customWidth="1"/>
    <col min="5" max="5" width="22" customWidth="1"/>
    <col min="6" max="6" width="12" customWidth="1"/>
    <col min="7" max="7" width="18" style="47" customWidth="1"/>
    <col min="8" max="8" width="22" customWidth="1"/>
    <col min="9" max="9" width="8" customWidth="1"/>
    <col min="10" max="10" width="36" customWidth="1"/>
    <col min="11" max="11" width="99.44140625" bestFit="1" customWidth="1"/>
  </cols>
  <sheetData>
    <row r="2" spans="2:11" ht="23.4" x14ac:dyDescent="0.3">
      <c r="B2" s="107" t="s">
        <v>0</v>
      </c>
      <c r="C2" s="76"/>
      <c r="D2" s="76"/>
      <c r="E2" s="76"/>
      <c r="F2" s="76"/>
      <c r="G2" s="76"/>
      <c r="H2" s="76"/>
      <c r="I2" s="76"/>
      <c r="J2" s="76"/>
    </row>
    <row r="3" spans="2:11" x14ac:dyDescent="0.3">
      <c r="B3" s="109" t="str">
        <f ca="1">"Atualizado em: " &amp; TEXT(NOW(),"dd/mm/aaaa hh:mm") &amp; "  •  Total em aberto: " &amp; COUNTA(BASE!$A$2:$A$995) &amp; " chamados"</f>
        <v>Atualizado em: 03/06/Wednesday 05:36  •  Total em aberto: 18 chamados</v>
      </c>
      <c r="C3" s="110"/>
      <c r="D3" s="110"/>
      <c r="E3" s="110"/>
      <c r="F3" s="110"/>
      <c r="G3" s="110"/>
      <c r="H3" s="110"/>
      <c r="I3" s="110"/>
      <c r="J3" s="110"/>
    </row>
    <row r="5" spans="2:11" ht="15.6" x14ac:dyDescent="0.3">
      <c r="B5" s="68" t="str">
        <f>"   🔵   SLN MA     ·     " &amp; COUNTIF(BASE!$N$2:$N$995,"SLN MA") &amp; IF(COUNTIF(BASE!$N$2:$N$995,"SLN MA")=1," chamado"," chamados")</f>
        <v xml:space="preserve">   🔵   SLN MA     ·     14 chamados</v>
      </c>
      <c r="C5" s="68"/>
      <c r="D5" s="68"/>
      <c r="E5" s="68"/>
      <c r="F5" s="68"/>
      <c r="G5" s="68"/>
      <c r="H5" s="68"/>
      <c r="I5" s="68"/>
      <c r="J5" s="68"/>
      <c r="K5" s="68"/>
    </row>
    <row r="6" spans="2:11" ht="15.6" x14ac:dyDescent="0.3">
      <c r="B6" s="25" t="s">
        <v>1</v>
      </c>
      <c r="C6" s="25" t="s">
        <v>2</v>
      </c>
      <c r="D6" s="25" t="s">
        <v>3</v>
      </c>
      <c r="E6" s="25" t="s">
        <v>4</v>
      </c>
      <c r="F6" s="26" t="s">
        <v>5</v>
      </c>
      <c r="G6" s="25" t="s">
        <v>6</v>
      </c>
      <c r="H6" s="25" t="s">
        <v>7</v>
      </c>
      <c r="I6" s="26" t="s">
        <v>8</v>
      </c>
      <c r="J6" s="25" t="s">
        <v>9</v>
      </c>
      <c r="K6" s="68" t="s">
        <v>129</v>
      </c>
    </row>
    <row r="7" spans="2:11" ht="27.6" x14ac:dyDescent="0.3">
      <c r="B7" s="27" t="str">
        <f>IFERROR(IF(INDEX(BASE!$B$2:$B$995,MATCH(9994+ROW(),BASE!$U$2:$U$995,0))="","",INDEX(BASE!$B$2:$B$995,MATCH(9994+ROW(),BASE!$U$2:$U$995,0))),"")</f>
        <v>SERVICO SOCIAL DO TRANSPORTE SEST SAO LUIS</v>
      </c>
      <c r="C7" s="48" t="str">
        <f>IFERROR(IF(INDEX(BASE!$A$2:$A$995,MATCH(9994+ROW(),BASE!$U$2:$U$995,0))="","",HYPERLINK(INDEX(BASE!$V$2:$V$995,MATCH(9994+ROW(),BASE!$U$2:$U$995,0)),INDEX(BASE!$A$2:$A$995,MATCH(9994+ROW(),BASE!$U$2:$U$995,0)))),"")</f>
        <v>  28052026-26217</v>
      </c>
      <c r="D7" s="49" t="str">
        <f>IFERROR(IF(INDEX(BASE!$E$2:$E$995,MATCH(9994+ROW(),BASE!$U$2:$U$995,0))="","",INDEX(BASE!$E$2:$E$995,MATCH(9994+ROW(),BASE!$U$2:$U$995,0))),"")</f>
        <v>#25052026-72931 - SERVICO SOCIAL DO TRANSPORTE SEST SAO LUIS | PERFORMACE | SLS/IPD/227969/1</v>
      </c>
      <c r="E7" s="27" t="str">
        <f>IFERROR(IF(INDEX(BASE!$C$2:$C$995,MATCH(9994+ROW(),BASE!$U$2:$U$995,0))="","",INDEX(BASE!$C$2:$C$995,MATCH(9994+ROW(),BASE!$U$2:$U$995,0))),"")</f>
        <v>CMO - Reparo</v>
      </c>
      <c r="F7" s="28" t="str">
        <f ca="1">IFERROR(IF(INDEX(BASE!$P$2:$P$995,MATCH(9994+ROW(),BASE!$U$2:$U$995,0))="","",INDEX(BASE!$P$2:$P$995,MATCH(9994+ROW(),BASE!$U$2:$U$995,0))),"")</f>
        <v>33h 18m</v>
      </c>
      <c r="G7" s="49" t="str">
        <f ca="1">IFERROR(IF(INDEX(BASE!$Q$2:$Q$995,MATCH(9994+ROW(),BASE!$U$2:$U$995,0))="","",INDEX(BASE!$Q$2:$Q$995,MATCH(9994+ROW(),BASE!$U$2:$U$995,0))),"")</f>
        <v>🔴 Maior que 24h</v>
      </c>
      <c r="H7" s="27" t="str">
        <f>IFERROR(IF(INDEX(BASE!$K$2:$K$995,MATCH(9994+ROW(),BASE!$U$2:$U$995,0))="","",INDEX(BASE!$K$2:$K$995,MATCH(9994+ROW(),BASE!$U$2:$U$995,0))),"")</f>
        <v>SAO LUIS</v>
      </c>
      <c r="I7" s="29" t="str">
        <f>IFERROR(IF(INDEX(BASE!$L$2:$L$995,MATCH(9994+ROW(),BASE!$U$2:$U$995,0))="","",INDEX(BASE!$L$2:$L$995,MATCH(9994+ROW(),BASE!$U$2:$U$995,0))),"")</f>
        <v>MA</v>
      </c>
      <c r="J7" s="27" t="str">
        <f>IFERROR(IF(INDEX(BASE!$I$2:$I$995,MATCH(9994+ROW(),BASE!$U$2:$U$995,0))="","",INDEX(BASE!$I$2:$I$995,MATCH(9994+ROW(),BASE!$U$2:$U$995,0))),"")</f>
        <v>PENDENTE AGENDAMENTO</v>
      </c>
    </row>
    <row r="8" spans="2:11" ht="27.6" x14ac:dyDescent="0.3">
      <c r="B8" s="30" t="str">
        <f>IFERROR(IF(INDEX(BASE!$B$2:$B$995,MATCH(9994+ROW(),BASE!$U$2:$U$995,0))="","",INDEX(BASE!$B$2:$B$995,MATCH(9994+ROW(),BASE!$U$2:$U$995,0))),"")</f>
        <v>MUNICIPIO DE SAO LUIS</v>
      </c>
      <c r="C8" s="48" t="str">
        <f>IFERROR(IF(INDEX(BASE!$A$2:$A$995,MATCH(9994+ROW(),BASE!$U$2:$U$995,0))="","",HYPERLINK(INDEX(BASE!$V$2:$V$995,MATCH(9994+ROW(),BASE!$U$2:$U$995,0)),INDEX(BASE!$A$2:$A$995,MATCH(9994+ROW(),BASE!$U$2:$U$995,0)))),"")</f>
        <v>  29052026-25755</v>
      </c>
      <c r="D8" s="50" t="str">
        <f>IFERROR(IF(INDEX(BASE!$E$2:$E$995,MATCH(9994+ROW(),BASE!$U$2:$U$995,0))="","",INDEX(BASE!$E$2:$E$995,MATCH(9994+ROW(),BASE!$U$2:$U$995,0))),"")</f>
        <v>Atendimento para: RESIDENCIA INCLUSIVA - VLAN-3784 SLS-216233-00144</v>
      </c>
      <c r="E8" s="30" t="str">
        <f>IFERROR(IF(INDEX(BASE!$C$2:$C$995,MATCH(9994+ROW(),BASE!$U$2:$U$995,0))="","",INDEX(BASE!$C$2:$C$995,MATCH(9994+ROW(),BASE!$U$2:$U$995,0))),"")</f>
        <v>CMO - Reparo</v>
      </c>
      <c r="F8" s="31" t="str">
        <f ca="1">IFERROR(IF(INDEX(BASE!$P$2:$P$995,MATCH(9994+ROW(),BASE!$U$2:$U$995,0))="","",INDEX(BASE!$P$2:$P$995,MATCH(9994+ROW(),BASE!$U$2:$U$995,0))),"")</f>
        <v>23h 39m</v>
      </c>
      <c r="G8" s="50" t="str">
        <f ca="1">IFERROR(IF(INDEX(BASE!$Q$2:$Q$995,MATCH(9994+ROW(),BASE!$U$2:$U$995,0))="","",INDEX(BASE!$Q$2:$Q$995,MATCH(9994+ROW(),BASE!$U$2:$U$995,0))),"")</f>
        <v>🟠 Entre 12h e 24h</v>
      </c>
      <c r="H8" s="30" t="str">
        <f>IFERROR(IF(INDEX(BASE!$K$2:$K$995,MATCH(9994+ROW(),BASE!$U$2:$U$995,0))="","",INDEX(BASE!$K$2:$K$995,MATCH(9994+ROW(),BASE!$U$2:$U$995,0))),"")</f>
        <v>SAO LUIS</v>
      </c>
      <c r="I8" s="32" t="str">
        <f>IFERROR(IF(INDEX(BASE!$L$2:$L$995,MATCH(9994+ROW(),BASE!$U$2:$U$995,0))="","",INDEX(BASE!$L$2:$L$995,MATCH(9994+ROW(),BASE!$U$2:$U$995,0))),"")</f>
        <v>MA</v>
      </c>
      <c r="J8" s="30" t="str">
        <f>IFERROR(IF(INDEX(BASE!$I$2:$I$995,MATCH(9994+ROW(),BASE!$U$2:$U$995,0))="","",INDEX(BASE!$I$2:$I$995,MATCH(9994+ROW(),BASE!$U$2:$U$995,0))),"")</f>
        <v>PENDENTE AGENDAMENTO</v>
      </c>
    </row>
    <row r="9" spans="2:11" ht="27.6" x14ac:dyDescent="0.3">
      <c r="B9" s="27" t="str">
        <f>IFERROR(IF(INDEX(BASE!$B$2:$B$995,MATCH(9994+ROW(),BASE!$U$2:$U$995,0))="","",INDEX(BASE!$B$2:$B$995,MATCH(9994+ROW(),BASE!$U$2:$U$995,0))),"")</f>
        <v>TRIBUNAL REGIONAL DO TRABALHO DA 16 REGIAO</v>
      </c>
      <c r="C9" s="48" t="str">
        <f>IFERROR(IF(INDEX(BASE!$A$2:$A$995,MATCH(9994+ROW(),BASE!$U$2:$U$995,0))="","",HYPERLINK(INDEX(BASE!$V$2:$V$995,MATCH(9994+ROW(),BASE!$U$2:$U$995,0)),INDEX(BASE!$A$2:$A$995,MATCH(9994+ROW(),BASE!$U$2:$U$995,0)))),"")</f>
        <v>  30052026-59919</v>
      </c>
      <c r="D9" s="49" t="str">
        <f>IFERROR(IF(INDEX(BASE!$E$2:$E$995,MATCH(9994+ROW(),BASE!$U$2:$U$995,0))="","",INDEX(BASE!$E$2:$E$995,MATCH(9994+ROW(),BASE!$U$2:$U$995,0))),"")</f>
        <v>ALERTA: CLI | TRT16.SLS.SAO.LUIS.SLAVE.RB.IPD.202555.39 - FALHA</v>
      </c>
      <c r="E9" s="27" t="str">
        <f>IFERROR(IF(INDEX(BASE!$C$2:$C$995,MATCH(9994+ROW(),BASE!$U$2:$U$995,0))="","",INDEX(BASE!$C$2:$C$995,MATCH(9994+ROW(),BASE!$U$2:$U$995,0))),"")</f>
        <v>CMO - Reparo</v>
      </c>
      <c r="F9" s="28" t="str">
        <f ca="1">IFERROR(IF(INDEX(BASE!$P$2:$P$995,MATCH(9994+ROW(),BASE!$U$2:$U$995,0))="","",INDEX(BASE!$P$2:$P$995,MATCH(9994+ROW(),BASE!$U$2:$U$995,0))),"")</f>
        <v>20h 00m</v>
      </c>
      <c r="G9" s="49" t="str">
        <f ca="1">IFERROR(IF(INDEX(BASE!$Q$2:$Q$995,MATCH(9994+ROW(),BASE!$U$2:$U$995,0))="","",INDEX(BASE!$Q$2:$Q$995,MATCH(9994+ROW(),BASE!$U$2:$U$995,0))),"")</f>
        <v>🟠 Entre 12h e 24h</v>
      </c>
      <c r="H9" s="27" t="str">
        <f>IFERROR(IF(INDEX(BASE!$K$2:$K$995,MATCH(9994+ROW(),BASE!$U$2:$U$995,0))="","",INDEX(BASE!$K$2:$K$995,MATCH(9994+ROW(),BASE!$U$2:$U$995,0))),"")</f>
        <v>SAO LUIS</v>
      </c>
      <c r="I9" s="29" t="str">
        <f>IFERROR(IF(INDEX(BASE!$L$2:$L$995,MATCH(9994+ROW(),BASE!$U$2:$U$995,0))="","",INDEX(BASE!$L$2:$L$995,MATCH(9994+ROW(),BASE!$U$2:$U$995,0))),"")</f>
        <v>MA</v>
      </c>
      <c r="J9" s="27" t="str">
        <f>IFERROR(IF(INDEX(BASE!$I$2:$I$995,MATCH(9994+ROW(),BASE!$U$2:$U$995,0))="","",INDEX(BASE!$I$2:$I$995,MATCH(9994+ROW(),BASE!$U$2:$U$995,0))),"")</f>
        <v>PENDENTE AGENDAMENTO</v>
      </c>
    </row>
    <row r="10" spans="2:11" ht="27.6" x14ac:dyDescent="0.3">
      <c r="B10" s="30" t="str">
        <f>IFERROR(IF(INDEX(BASE!$B$2:$B$995,MATCH(9994+ROW(),BASE!$U$2:$U$995,0))="","",INDEX(BASE!$B$2:$B$995,MATCH(9994+ROW(),BASE!$U$2:$U$995,0))),"")</f>
        <v>MUNICIPIO DE SAO LUIS</v>
      </c>
      <c r="C10" s="48" t="str">
        <f>IFERROR(IF(INDEX(BASE!$A$2:$A$995,MATCH(9994+ROW(),BASE!$U$2:$U$995,0))="","",HYPERLINK(INDEX(BASE!$V$2:$V$995,MATCH(9994+ROW(),BASE!$U$2:$U$995,0)),INDEX(BASE!$A$2:$A$995,MATCH(9994+ROW(),BASE!$U$2:$U$995,0)))),"")</f>
        <v>  31052026-18085</v>
      </c>
      <c r="D10" s="50" t="str">
        <f>IFERROR(IF(INDEX(BASE!$E$2:$E$995,MATCH(9994+ROW(),BASE!$U$2:$U$995,0))="","",INDEX(BASE!$E$2:$E$995,MATCH(9994+ROW(),BASE!$U$2:$U$995,0))),"")</f>
        <v>Atendimento para: UEB ENS FUND JOSEFINA SERRAO - SLS-218787-00361</v>
      </c>
      <c r="E10" s="30" t="str">
        <f>IFERROR(IF(INDEX(BASE!$C$2:$C$995,MATCH(9994+ROW(),BASE!$U$2:$U$995,0))="","",INDEX(BASE!$C$2:$C$995,MATCH(9994+ROW(),BASE!$U$2:$U$995,0))),"")</f>
        <v>CMO - Reparo</v>
      </c>
      <c r="F10" s="31" t="str">
        <f ca="1">IFERROR(IF(INDEX(BASE!$P$2:$P$995,MATCH(9994+ROW(),BASE!$U$2:$U$995,0))="","",INDEX(BASE!$P$2:$P$995,MATCH(9994+ROW(),BASE!$U$2:$U$995,0))),"")</f>
        <v>20h 00m</v>
      </c>
      <c r="G10" s="50" t="str">
        <f ca="1">IFERROR(IF(INDEX(BASE!$Q$2:$Q$995,MATCH(9994+ROW(),BASE!$U$2:$U$995,0))="","",INDEX(BASE!$Q$2:$Q$995,MATCH(9994+ROW(),BASE!$U$2:$U$995,0))),"")</f>
        <v>🟠 Entre 12h e 24h</v>
      </c>
      <c r="H10" s="30" t="str">
        <f>IFERROR(IF(INDEX(BASE!$K$2:$K$995,MATCH(9994+ROW(),BASE!$U$2:$U$995,0))="","",INDEX(BASE!$K$2:$K$995,MATCH(9994+ROW(),BASE!$U$2:$U$995,0))),"")</f>
        <v>SAO LUIS</v>
      </c>
      <c r="I10" s="32" t="str">
        <f>IFERROR(IF(INDEX(BASE!$L$2:$L$995,MATCH(9994+ROW(),BASE!$U$2:$U$995,0))="","",INDEX(BASE!$L$2:$L$995,MATCH(9994+ROW(),BASE!$U$2:$U$995,0))),"")</f>
        <v>MA</v>
      </c>
      <c r="J10" s="30" t="str">
        <f>IFERROR(IF(INDEX(BASE!$I$2:$I$995,MATCH(9994+ROW(),BASE!$U$2:$U$995,0))="","",INDEX(BASE!$I$2:$I$995,MATCH(9994+ROW(),BASE!$U$2:$U$995,0))),"")</f>
        <v>PENDENTE AGENDAMENTO</v>
      </c>
    </row>
    <row r="11" spans="2:11" ht="27.6" x14ac:dyDescent="0.3">
      <c r="B11" s="30" t="str">
        <f>IFERROR(IF(INDEX(BASE!$B$2:$B$995,MATCH(9994+ROW(),BASE!$U$2:$U$995,0))="","",INDEX(BASE!$B$2:$B$995,MATCH(9994+ROW(),BASE!$U$2:$U$995,0))),"")</f>
        <v>MUNICIPIO DE SAO LUIS</v>
      </c>
      <c r="C11" s="48" t="str">
        <f>IFERROR(IF(INDEX(BASE!$A$2:$A$995,MATCH(9994+ROW(),BASE!$U$2:$U$995,0))="","",HYPERLINK(INDEX(BASE!$V$2:$V$995,MATCH(9994+ROW(),BASE!$U$2:$U$995,0)),INDEX(BASE!$A$2:$A$995,MATCH(9994+ROW(),BASE!$U$2:$U$995,0)))),"")</f>
        <v>  31052026-18776</v>
      </c>
      <c r="D11" s="50" t="str">
        <f>IFERROR(IF(INDEX(BASE!$E$2:$E$995,MATCH(9994+ROW(),BASE!$U$2:$U$995,0))="","",INDEX(BASE!$E$2:$E$995,MATCH(9994+ROW(),BASE!$U$2:$U$995,0))),"")</f>
        <v>Atendimento para: CREAS COROADINHO - VLAN 3737 SLS-216233-00150</v>
      </c>
      <c r="E11" s="30" t="str">
        <f>IFERROR(IF(INDEX(BASE!$C$2:$C$995,MATCH(9994+ROW(),BASE!$U$2:$U$995,0))="","",INDEX(BASE!$C$2:$C$995,MATCH(9994+ROW(),BASE!$U$2:$U$995,0))),"")</f>
        <v>CMO - Reparo</v>
      </c>
      <c r="F11" s="31" t="str">
        <f ca="1">IFERROR(IF(INDEX(BASE!$P$2:$P$995,MATCH(9994+ROW(),BASE!$U$2:$U$995,0))="","",INDEX(BASE!$P$2:$P$995,MATCH(9994+ROW(),BASE!$U$2:$U$995,0))),"")</f>
        <v>20h 00m</v>
      </c>
      <c r="G11" s="50" t="str">
        <f ca="1">IFERROR(IF(INDEX(BASE!$Q$2:$Q$995,MATCH(9994+ROW(),BASE!$U$2:$U$995,0))="","",INDEX(BASE!$Q$2:$Q$995,MATCH(9994+ROW(),BASE!$U$2:$U$995,0))),"")</f>
        <v>🟠 Entre 12h e 24h</v>
      </c>
      <c r="H11" s="30" t="str">
        <f>IFERROR(IF(INDEX(BASE!$K$2:$K$995,MATCH(9994+ROW(),BASE!$U$2:$U$995,0))="","",INDEX(BASE!$K$2:$K$995,MATCH(9994+ROW(),BASE!$U$2:$U$995,0))),"")</f>
        <v>SAO LUIS</v>
      </c>
      <c r="I11" s="32" t="str">
        <f>IFERROR(IF(INDEX(BASE!$L$2:$L$995,MATCH(9994+ROW(),BASE!$U$2:$U$995,0))="","",INDEX(BASE!$L$2:$L$995,MATCH(9994+ROW(),BASE!$U$2:$U$995,0))),"")</f>
        <v>MA</v>
      </c>
      <c r="J11" s="30" t="str">
        <f>IFERROR(IF(INDEX(BASE!$I$2:$I$995,MATCH(9994+ROW(),BASE!$U$2:$U$995,0))="","",INDEX(BASE!$I$2:$I$995,MATCH(9994+ROW(),BASE!$U$2:$U$995,0))),"")</f>
        <v>PENDENTE VALIDAÇÃO</v>
      </c>
    </row>
    <row r="12" spans="2:11" ht="27.6" x14ac:dyDescent="0.3">
      <c r="B12" s="27" t="str">
        <f>IFERROR(IF(INDEX(BASE!$B$2:$B$995,MATCH(9994+ROW(),BASE!$U$2:$U$995,0))="","",INDEX(BASE!$B$2:$B$995,MATCH(9994+ROW(),BASE!$U$2:$U$995,0))),"")</f>
        <v>MUNICIPIO DE SAO LUIS</v>
      </c>
      <c r="C12" s="48" t="str">
        <f>IFERROR(IF(INDEX(BASE!$A$2:$A$995,MATCH(9994+ROW(),BASE!$U$2:$U$995,0))="","",HYPERLINK(INDEX(BASE!$V$2:$V$995,MATCH(9994+ROW(),BASE!$U$2:$U$995,0)),INDEX(BASE!$A$2:$A$995,MATCH(9994+ROW(),BASE!$U$2:$U$995,0)))),"")</f>
        <v>  31052026-98262</v>
      </c>
      <c r="D12" s="49" t="str">
        <f>IFERROR(IF(INDEX(BASE!$E$2:$E$995,MATCH(9994+ROW(),BASE!$U$2:$U$995,0))="","",INDEX(BASE!$E$2:$E$995,MATCH(9994+ROW(),BASE!$U$2:$U$995,0))),"")</f>
        <v>Atendimento para: CRAS COROADINHO - VLAN 3736 SLS-216233-00392</v>
      </c>
      <c r="E12" s="27" t="str">
        <f>IFERROR(IF(INDEX(BASE!$C$2:$C$995,MATCH(9994+ROW(),BASE!$U$2:$U$995,0))="","",INDEX(BASE!$C$2:$C$995,MATCH(9994+ROW(),BASE!$U$2:$U$995,0))),"")</f>
        <v>CMO - Reparo</v>
      </c>
      <c r="F12" s="28" t="str">
        <f ca="1">IFERROR(IF(INDEX(BASE!$P$2:$P$995,MATCH(9994+ROW(),BASE!$U$2:$U$995,0))="","",INDEX(BASE!$P$2:$P$995,MATCH(9994+ROW(),BASE!$U$2:$U$995,0))),"")</f>
        <v>20h 00m</v>
      </c>
      <c r="G12" s="49" t="str">
        <f ca="1">IFERROR(IF(INDEX(BASE!$Q$2:$Q$995,MATCH(9994+ROW(),BASE!$U$2:$U$995,0))="","",INDEX(BASE!$Q$2:$Q$995,MATCH(9994+ROW(),BASE!$U$2:$U$995,0))),"")</f>
        <v>🟠 Entre 12h e 24h</v>
      </c>
      <c r="H12" s="27" t="str">
        <f>IFERROR(IF(INDEX(BASE!$K$2:$K$995,MATCH(9994+ROW(),BASE!$U$2:$U$995,0))="","",INDEX(BASE!$K$2:$K$995,MATCH(9994+ROW(),BASE!$U$2:$U$995,0))),"")</f>
        <v>SAO LUIS</v>
      </c>
      <c r="I12" s="29" t="str">
        <f>IFERROR(IF(INDEX(BASE!$L$2:$L$995,MATCH(9994+ROW(),BASE!$U$2:$U$995,0))="","",INDEX(BASE!$L$2:$L$995,MATCH(9994+ROW(),BASE!$U$2:$U$995,0))),"")</f>
        <v>MA</v>
      </c>
      <c r="J12" s="27" t="str">
        <f>IFERROR(IF(INDEX(BASE!$I$2:$I$995,MATCH(9994+ROW(),BASE!$U$2:$U$995,0))="","",INDEX(BASE!$I$2:$I$995,MATCH(9994+ROW(),BASE!$U$2:$U$995,0))),"")</f>
        <v>PENDENTE AGENDAMENTO</v>
      </c>
    </row>
    <row r="13" spans="2:11" ht="27.6" x14ac:dyDescent="0.3">
      <c r="B13" s="27" t="str">
        <f>IFERROR(IF(INDEX(BASE!$B$2:$B$995,MATCH(9994+ROW(),BASE!$U$2:$U$995,0))="","",INDEX(BASE!$B$2:$B$995,MATCH(9994+ROW(),BASE!$U$2:$U$995,0))),"")</f>
        <v>FUNDO MUNICIPAL DE SAUDE DE SAO LUIS MARANHAO</v>
      </c>
      <c r="C13" s="48" t="str">
        <f>IFERROR(IF(INDEX(BASE!$A$2:$A$995,MATCH(9994+ROW(),BASE!$U$2:$U$995,0))="","",HYPERLINK(INDEX(BASE!$V$2:$V$995,MATCH(9994+ROW(),BASE!$U$2:$U$995,0)),INDEX(BASE!$A$2:$A$995,MATCH(9994+ROW(),BASE!$U$2:$U$995,0)))),"")</f>
        <v>  31052026-95072</v>
      </c>
      <c r="D13" s="49" t="str">
        <f>IFERROR(IF(INDEX(BASE!$E$2:$E$995,MATCH(9994+ROW(),BASE!$U$2:$U$995,0))="","",INDEX(BASE!$E$2:$E$995,MATCH(9994+ROW(),BASE!$U$2:$U$995,0))),"")</f>
        <v>Atendimento para: CS Dr. ANTONIO GUANARE - VLAN 3622 SLS-216233-00120</v>
      </c>
      <c r="E13" s="27" t="str">
        <f>IFERROR(IF(INDEX(BASE!$C$2:$C$995,MATCH(9994+ROW(),BASE!$U$2:$U$995,0))="","",INDEX(BASE!$C$2:$C$995,MATCH(9994+ROW(),BASE!$U$2:$U$995,0))),"")</f>
        <v>CMO - Reparo</v>
      </c>
      <c r="F13" s="28" t="str">
        <f ca="1">IFERROR(IF(INDEX(BASE!$P$2:$P$995,MATCH(9994+ROW(),BASE!$U$2:$U$995,0))="","",INDEX(BASE!$P$2:$P$995,MATCH(9994+ROW(),BASE!$U$2:$U$995,0))),"")</f>
        <v>20h 00m</v>
      </c>
      <c r="G13" s="49" t="str">
        <f ca="1">IFERROR(IF(INDEX(BASE!$Q$2:$Q$995,MATCH(9994+ROW(),BASE!$U$2:$U$995,0))="","",INDEX(BASE!$Q$2:$Q$995,MATCH(9994+ROW(),BASE!$U$2:$U$995,0))),"")</f>
        <v>🟠 Entre 12h e 24h</v>
      </c>
      <c r="H13" s="27" t="str">
        <f>IFERROR(IF(INDEX(BASE!$K$2:$K$995,MATCH(9994+ROW(),BASE!$U$2:$U$995,0))="","",INDEX(BASE!$K$2:$K$995,MATCH(9994+ROW(),BASE!$U$2:$U$995,0))),"")</f>
        <v>SAO LUIS</v>
      </c>
      <c r="I13" s="29" t="str">
        <f>IFERROR(IF(INDEX(BASE!$L$2:$L$995,MATCH(9994+ROW(),BASE!$U$2:$U$995,0))="","",INDEX(BASE!$L$2:$L$995,MATCH(9994+ROW(),BASE!$U$2:$U$995,0))),"")</f>
        <v>MA</v>
      </c>
      <c r="J13" s="27" t="str">
        <f>IFERROR(IF(INDEX(BASE!$I$2:$I$995,MATCH(9994+ROW(),BASE!$U$2:$U$995,0))="","",INDEX(BASE!$I$2:$I$995,MATCH(9994+ROW(),BASE!$U$2:$U$995,0))),"")</f>
        <v>PENDENTE VALIDAÇÃO</v>
      </c>
    </row>
    <row r="14" spans="2:11" ht="15.6" x14ac:dyDescent="0.3">
      <c r="B14" s="30" t="str">
        <f>IFERROR(IF(INDEX(BASE!$B$2:$B$995,MATCH(9994+ROW(),BASE!$U$2:$U$995,0))="","",INDEX(BASE!$B$2:$B$995,MATCH(9994+ROW(),BASE!$U$2:$U$995,0))),"")</f>
        <v>MUNICIPIO DE SAO LUIS</v>
      </c>
      <c r="C14" s="48" t="str">
        <f>IFERROR(IF(INDEX(BASE!$A$2:$A$995,MATCH(9994+ROW(),BASE!$U$2:$U$995,0))="","",HYPERLINK(INDEX(BASE!$V$2:$V$995,MATCH(9994+ROW(),BASE!$U$2:$U$995,0)),INDEX(BASE!$A$2:$A$995,MATCH(9994+ROW(),BASE!$U$2:$U$995,0)))),"")</f>
        <v>  01062026-79927</v>
      </c>
      <c r="D14" s="50" t="str">
        <f>IFERROR(IF(INDEX(BASE!$E$2:$E$995,MATCH(9994+ROW(),BASE!$U$2:$U$995,0))="","",INDEX(BASE!$E$2:$E$995,MATCH(9994+ROW(),BASE!$U$2:$U$995,0))),"")</f>
        <v>Atendimento para: SEMFAZ CENTRO - SLS-216233-00020</v>
      </c>
      <c r="E14" s="30" t="str">
        <f>IFERROR(IF(INDEX(BASE!$C$2:$C$995,MATCH(9994+ROW(),BASE!$U$2:$U$995,0))="","",INDEX(BASE!$C$2:$C$995,MATCH(9994+ROW(),BASE!$U$2:$U$995,0))),"")</f>
        <v>CMO - Reparo</v>
      </c>
      <c r="F14" s="31" t="str">
        <f ca="1">IFERROR(IF(INDEX(BASE!$P$2:$P$995,MATCH(9994+ROW(),BASE!$U$2:$U$995,0))="","",INDEX(BASE!$P$2:$P$995,MATCH(9994+ROW(),BASE!$U$2:$U$995,0))),"")</f>
        <v>10h 00m</v>
      </c>
      <c r="G14" s="50" t="str">
        <f ca="1">IFERROR(IF(INDEX(BASE!$Q$2:$Q$995,MATCH(9994+ROW(),BASE!$U$2:$U$995,0))="","",INDEX(BASE!$Q$2:$Q$995,MATCH(9994+ROW(),BASE!$U$2:$U$995,0))),"")</f>
        <v>🟡 Entre 8h e 12h</v>
      </c>
      <c r="H14" s="30" t="str">
        <f>IFERROR(IF(INDEX(BASE!$K$2:$K$995,MATCH(9994+ROW(),BASE!$U$2:$U$995,0))="","",INDEX(BASE!$K$2:$K$995,MATCH(9994+ROW(),BASE!$U$2:$U$995,0))),"")</f>
        <v>SAO LUIS</v>
      </c>
      <c r="I14" s="32" t="str">
        <f>IFERROR(IF(INDEX(BASE!$L$2:$L$995,MATCH(9994+ROW(),BASE!$U$2:$U$995,0))="","",INDEX(BASE!$L$2:$L$995,MATCH(9994+ROW(),BASE!$U$2:$U$995,0))),"")</f>
        <v>MA</v>
      </c>
      <c r="J14" s="30" t="str">
        <f>IFERROR(IF(INDEX(BASE!$I$2:$I$995,MATCH(9994+ROW(),BASE!$U$2:$U$995,0))="","",INDEX(BASE!$I$2:$I$995,MATCH(9994+ROW(),BASE!$U$2:$U$995,0))),"")</f>
        <v>PENDENTE AGENDAMENTO</v>
      </c>
    </row>
    <row r="15" spans="2:11" ht="27.6" x14ac:dyDescent="0.3">
      <c r="B15" s="27" t="str">
        <f>IFERROR(IF(INDEX(BASE!$B$2:$B$995,MATCH(9994+ROW(),BASE!$U$2:$U$995,0))="","",INDEX(BASE!$B$2:$B$995,MATCH(9994+ROW(),BASE!$U$2:$U$995,0))),"")</f>
        <v>SERVIS ELETRONICA DEFENSE LTDA MA</v>
      </c>
      <c r="C15" s="48" t="str">
        <f>IFERROR(IF(INDEX(BASE!$A$2:$A$995,MATCH(9994+ROW(),BASE!$U$2:$U$995,0))="","",HYPERLINK(INDEX(BASE!$V$2:$V$995,MATCH(9994+ROW(),BASE!$U$2:$U$995,0)),INDEX(BASE!$A$2:$A$995,MATCH(9994+ROW(),BASE!$U$2:$U$995,0)))),"")</f>
        <v>  01062026-23199</v>
      </c>
      <c r="D15" s="49" t="str">
        <f>IFERROR(IF(INDEX(BASE!$E$2:$E$995,MATCH(9994+ROW(),BASE!$U$2:$U$995,0))="","",INDEX(BASE!$E$2:$E$995,MATCH(9994+ROW(),BASE!$U$2:$U$995,0))),"")</f>
        <v>SERVIS ELETRONICA DEFENSE LTDA MA GRUPO SERVIS | 218497/765 | OSCILAÇÂO</v>
      </c>
      <c r="E15" s="27" t="str">
        <f>IFERROR(IF(INDEX(BASE!$C$2:$C$995,MATCH(9994+ROW(),BASE!$U$2:$U$995,0))="","",INDEX(BASE!$C$2:$C$995,MATCH(9994+ROW(),BASE!$U$2:$U$995,0))),"")</f>
        <v>CMO - Reparo</v>
      </c>
      <c r="F15" s="28" t="str">
        <f ca="1">IFERROR(IF(INDEX(BASE!$P$2:$P$995,MATCH(9994+ROW(),BASE!$U$2:$U$995,0))="","",INDEX(BASE!$P$2:$P$995,MATCH(9994+ROW(),BASE!$U$2:$U$995,0))),"")</f>
        <v>10h 00m</v>
      </c>
      <c r="G15" s="49" t="str">
        <f ca="1">IFERROR(IF(INDEX(BASE!$Q$2:$Q$995,MATCH(9994+ROW(),BASE!$U$2:$U$995,0))="","",INDEX(BASE!$Q$2:$Q$995,MATCH(9994+ROW(),BASE!$U$2:$U$995,0))),"")</f>
        <v>🟡 Entre 8h e 12h</v>
      </c>
      <c r="H15" s="27" t="str">
        <f>IFERROR(IF(INDEX(BASE!$K$2:$K$995,MATCH(9994+ROW(),BASE!$U$2:$U$995,0))="","",INDEX(BASE!$K$2:$K$995,MATCH(9994+ROW(),BASE!$U$2:$U$995,0))),"")</f>
        <v>SAO LUIS</v>
      </c>
      <c r="I15" s="29" t="str">
        <f>IFERROR(IF(INDEX(BASE!$L$2:$L$995,MATCH(9994+ROW(),BASE!$U$2:$U$995,0))="","",INDEX(BASE!$L$2:$L$995,MATCH(9994+ROW(),BASE!$U$2:$U$995,0))),"")</f>
        <v>MA</v>
      </c>
      <c r="J15" s="27" t="str">
        <f>IFERROR(IF(INDEX(BASE!$I$2:$I$995,MATCH(9994+ROW(),BASE!$U$2:$U$995,0))="","",INDEX(BASE!$I$2:$I$995,MATCH(9994+ROW(),BASE!$U$2:$U$995,0))),"")</f>
        <v>PENDENTE AGENDAMENTO</v>
      </c>
    </row>
    <row r="16" spans="2:11" ht="27.6" x14ac:dyDescent="0.3">
      <c r="B16" s="30" t="str">
        <f>IFERROR(IF(INDEX(BASE!$B$2:$B$995,MATCH(9994+ROW(),BASE!$U$2:$U$995,0))="","",INDEX(BASE!$B$2:$B$995,MATCH(9994+ROW(),BASE!$U$2:$U$995,0))),"")</f>
        <v>MUNICIPIO DE SAO LUIS</v>
      </c>
      <c r="C16" s="48" t="str">
        <f>IFERROR(IF(INDEX(BASE!$A$2:$A$995,MATCH(9994+ROW(),BASE!$U$2:$U$995,0))="","",HYPERLINK(INDEX(BASE!$V$2:$V$995,MATCH(9994+ROW(),BASE!$U$2:$U$995,0)),INDEX(BASE!$A$2:$A$995,MATCH(9994+ROW(),BASE!$U$2:$U$995,0)))),"")</f>
        <v>  01062026-69651</v>
      </c>
      <c r="D16" s="50" t="str">
        <f>IFERROR(IF(INDEX(BASE!$E$2:$E$995,MATCH(9994+ROW(),BASE!$U$2:$U$995,0))="","",INDEX(BASE!$E$2:$E$995,MATCH(9994+ROW(),BASE!$U$2:$U$995,0))),"")</f>
        <v>Atendimento para: CRAS CIDADE OLIMPICA - VLAN 3834 SLS-216233-00102</v>
      </c>
      <c r="E16" s="30" t="str">
        <f>IFERROR(IF(INDEX(BASE!$C$2:$C$995,MATCH(9994+ROW(),BASE!$U$2:$U$995,0))="","",INDEX(BASE!$C$2:$C$995,MATCH(9994+ROW(),BASE!$U$2:$U$995,0))),"")</f>
        <v>CMO - Reparo</v>
      </c>
      <c r="F16" s="31" t="str">
        <f ca="1">IFERROR(IF(INDEX(BASE!$P$2:$P$995,MATCH(9994+ROW(),BASE!$U$2:$U$995,0))="","",INDEX(BASE!$P$2:$P$995,MATCH(9994+ROW(),BASE!$U$2:$U$995,0))),"")</f>
        <v>10h 58m</v>
      </c>
      <c r="G16" s="50" t="str">
        <f ca="1">IFERROR(IF(INDEX(BASE!$Q$2:$Q$995,MATCH(9994+ROW(),BASE!$U$2:$U$995,0))="","",INDEX(BASE!$Q$2:$Q$995,MATCH(9994+ROW(),BASE!$U$2:$U$995,0))),"")</f>
        <v>🟡 Entre 8h e 12h</v>
      </c>
      <c r="H16" s="30" t="str">
        <f>IFERROR(IF(INDEX(BASE!$K$2:$K$995,MATCH(9994+ROW(),BASE!$U$2:$U$995,0))="","",INDEX(BASE!$K$2:$K$995,MATCH(9994+ROW(),BASE!$U$2:$U$995,0))),"")</f>
        <v>SAO LUIS</v>
      </c>
      <c r="I16" s="32" t="str">
        <f>IFERROR(IF(INDEX(BASE!$L$2:$L$995,MATCH(9994+ROW(),BASE!$U$2:$U$995,0))="","",INDEX(BASE!$L$2:$L$995,MATCH(9994+ROW(),BASE!$U$2:$U$995,0))),"")</f>
        <v>MA</v>
      </c>
      <c r="J16" s="30" t="str">
        <f>IFERROR(IF(INDEX(BASE!$I$2:$I$995,MATCH(9994+ROW(),BASE!$U$2:$U$995,0))="","",INDEX(BASE!$I$2:$I$995,MATCH(9994+ROW(),BASE!$U$2:$U$995,0))),"")</f>
        <v>PENDENTE AGENDAMENTO</v>
      </c>
    </row>
    <row r="17" spans="2:10" ht="27.6" x14ac:dyDescent="0.3">
      <c r="B17" s="27" t="str">
        <f>IFERROR(IF(INDEX(BASE!$B$2:$B$995,MATCH(9994+ROW(),BASE!$U$2:$U$995,0))="","",INDEX(BASE!$B$2:$B$995,MATCH(9994+ROW(),BASE!$U$2:$U$995,0))),"")</f>
        <v>MUNICIPIO DE SAO LUIS</v>
      </c>
      <c r="C17" s="48" t="str">
        <f>IFERROR(IF(INDEX(BASE!$A$2:$A$995,MATCH(9994+ROW(),BASE!$U$2:$U$995,0))="","",HYPERLINK(INDEX(BASE!$V$2:$V$995,MATCH(9994+ROW(),BASE!$U$2:$U$995,0)),INDEX(BASE!$A$2:$A$995,MATCH(9994+ROW(),BASE!$U$2:$U$995,0)))),"")</f>
        <v>  01062026-46968</v>
      </c>
      <c r="D17" s="49" t="str">
        <f>IFERROR(IF(INDEX(BASE!$E$2:$E$995,MATCH(9994+ROW(),BASE!$U$2:$U$995,0))="","",INDEX(BASE!$E$2:$E$995,MATCH(9994+ROW(),BASE!$U$2:$U$995,0))),"")</f>
        <v>Atendimento para: C.T. SAO CRISTOVAO - SAO RAIMUNDO - VLAN-3838 SLS-216233-00017</v>
      </c>
      <c r="E17" s="27" t="str">
        <f>IFERROR(IF(INDEX(BASE!$C$2:$C$995,MATCH(9994+ROW(),BASE!$U$2:$U$995,0))="","",INDEX(BASE!$C$2:$C$995,MATCH(9994+ROW(),BASE!$U$2:$U$995,0))),"")</f>
        <v>CMO - Reparo</v>
      </c>
      <c r="F17" s="28" t="str">
        <f ca="1">IFERROR(IF(INDEX(BASE!$P$2:$P$995,MATCH(9994+ROW(),BASE!$U$2:$U$995,0))="","",INDEX(BASE!$P$2:$P$995,MATCH(9994+ROW(),BASE!$U$2:$U$995,0))),"")</f>
        <v>11h 09m</v>
      </c>
      <c r="G17" s="49" t="str">
        <f ca="1">IFERROR(IF(INDEX(BASE!$Q$2:$Q$995,MATCH(9994+ROW(),BASE!$U$2:$U$995,0))="","",INDEX(BASE!$Q$2:$Q$995,MATCH(9994+ROW(),BASE!$U$2:$U$995,0))),"")</f>
        <v>🟡 Entre 8h e 12h</v>
      </c>
      <c r="H17" s="27" t="str">
        <f>IFERROR(IF(INDEX(BASE!$K$2:$K$995,MATCH(9994+ROW(),BASE!$U$2:$U$995,0))="","",INDEX(BASE!$K$2:$K$995,MATCH(9994+ROW(),BASE!$U$2:$U$995,0))),"")</f>
        <v>SAO LUIS</v>
      </c>
      <c r="I17" s="29" t="str">
        <f>IFERROR(IF(INDEX(BASE!$L$2:$L$995,MATCH(9994+ROW(),BASE!$U$2:$U$995,0))="","",INDEX(BASE!$L$2:$L$995,MATCH(9994+ROW(),BASE!$U$2:$U$995,0))),"")</f>
        <v>MA</v>
      </c>
      <c r="J17" s="27" t="str">
        <f>IFERROR(IF(INDEX(BASE!$I$2:$I$995,MATCH(9994+ROW(),BASE!$U$2:$U$995,0))="","",INDEX(BASE!$I$2:$I$995,MATCH(9994+ROW(),BASE!$U$2:$U$995,0))),"")</f>
        <v>PENDENTE AGENDAMENTO</v>
      </c>
    </row>
    <row r="18" spans="2:10" ht="27.6" x14ac:dyDescent="0.3">
      <c r="B18" s="30" t="str">
        <f>IFERROR(IF(INDEX(BASE!$B$2:$B$995,MATCH(9994+ROW(),BASE!$U$2:$U$995,0))="","",INDEX(BASE!$B$2:$B$995,MATCH(9994+ROW(),BASE!$U$2:$U$995,0))),"")</f>
        <v>MUNICIPIO DE SAO LUIS</v>
      </c>
      <c r="C18" s="48" t="str">
        <f>IFERROR(IF(INDEX(BASE!$A$2:$A$995,MATCH(9994+ROW(),BASE!$U$2:$U$995,0))="","",HYPERLINK(INDEX(BASE!$V$2:$V$995,MATCH(9994+ROW(),BASE!$U$2:$U$995,0)),INDEX(BASE!$A$2:$A$995,MATCH(9994+ROW(),BASE!$U$2:$U$995,0)))),"")</f>
        <v>  01062026-33369</v>
      </c>
      <c r="D18" s="50" t="str">
        <f>IFERROR(IF(INDEX(BASE!$E$2:$E$995,MATCH(9994+ROW(),BASE!$U$2:$U$995,0))="","",INDEX(BASE!$E$2:$E$995,MATCH(9994+ROW(),BASE!$U$2:$U$995,0))),"")</f>
        <v>Atendimento para: C.T. SAO CRISTOVAO - SAO RAIMUNDO - VLAN-3838 SLS-216233-00017</v>
      </c>
      <c r="E18" s="30" t="str">
        <f>IFERROR(IF(INDEX(BASE!$C$2:$C$995,MATCH(9994+ROW(),BASE!$U$2:$U$995,0))="","",INDEX(BASE!$C$2:$C$995,MATCH(9994+ROW(),BASE!$U$2:$U$995,0))),"")</f>
        <v>CMO - Reparo</v>
      </c>
      <c r="F18" s="31" t="str">
        <f ca="1">IFERROR(IF(INDEX(BASE!$P$2:$P$995,MATCH(9994+ROW(),BASE!$U$2:$U$995,0))="","",INDEX(BASE!$P$2:$P$995,MATCH(9994+ROW(),BASE!$U$2:$U$995,0))),"")</f>
        <v>11h 39m</v>
      </c>
      <c r="G18" s="50" t="str">
        <f ca="1">IFERROR(IF(INDEX(BASE!$Q$2:$Q$995,MATCH(9994+ROW(),BASE!$U$2:$U$995,0))="","",INDEX(BASE!$Q$2:$Q$995,MATCH(9994+ROW(),BASE!$U$2:$U$995,0))),"")</f>
        <v>🟡 Entre 8h e 12h</v>
      </c>
      <c r="H18" s="30" t="str">
        <f>IFERROR(IF(INDEX(BASE!$K$2:$K$995,MATCH(9994+ROW(),BASE!$U$2:$U$995,0))="","",INDEX(BASE!$K$2:$K$995,MATCH(9994+ROW(),BASE!$U$2:$U$995,0))),"")</f>
        <v>SAO LUIS</v>
      </c>
      <c r="I18" s="32" t="str">
        <f>IFERROR(IF(INDEX(BASE!$L$2:$L$995,MATCH(9994+ROW(),BASE!$U$2:$U$995,0))="","",INDEX(BASE!$L$2:$L$995,MATCH(9994+ROW(),BASE!$U$2:$U$995,0))),"")</f>
        <v>MA</v>
      </c>
      <c r="J18" s="30" t="str">
        <f>IFERROR(IF(INDEX(BASE!$I$2:$I$995,MATCH(9994+ROW(),BASE!$U$2:$U$995,0))="","",INDEX(BASE!$I$2:$I$995,MATCH(9994+ROW(),BASE!$U$2:$U$995,0))),"")</f>
        <v>PENDENTE AGENDAMENTO</v>
      </c>
    </row>
    <row r="19" spans="2:10" ht="27.6" x14ac:dyDescent="0.3">
      <c r="B19" s="27" t="str">
        <f>IFERROR(IF(INDEX(BASE!$B$2:$B$995,MATCH(9994+ROW(),BASE!$U$2:$U$995,0))="","",INDEX(BASE!$B$2:$B$995,MATCH(9994+ROW(),BASE!$U$2:$U$995,0))),"")</f>
        <v>FUNDO MUNICIPAL DE SAUDE DE SAO LUIS MARANHAO</v>
      </c>
      <c r="C19" s="48" t="str">
        <f>IFERROR(IF(INDEX(BASE!$A$2:$A$995,MATCH(9994+ROW(),BASE!$U$2:$U$995,0))="","",HYPERLINK(INDEX(BASE!$V$2:$V$995,MATCH(9994+ROW(),BASE!$U$2:$U$995,0)),INDEX(BASE!$A$2:$A$995,MATCH(9994+ROW(),BASE!$U$2:$U$995,0)))),"")</f>
        <v>  01062026-68538</v>
      </c>
      <c r="D19" s="49" t="str">
        <f>IFERROR(IF(INDEX(BASE!$E$2:$E$995,MATCH(9994+ROW(),BASE!$U$2:$U$995,0))="","",INDEX(BASE!$E$2:$E$995,MATCH(9994+ROW(),BASE!$U$2:$U$995,0))),"")</f>
        <v>Atendimento para: HOSPITAL DA CRIANCA LINK 03 - LINK PRINCIPAL - SLS-IPD-218791-525</v>
      </c>
      <c r="E19" s="27" t="str">
        <f>IFERROR(IF(INDEX(BASE!$C$2:$C$995,MATCH(9994+ROW(),BASE!$U$2:$U$995,0))="","",INDEX(BASE!$C$2:$C$995,MATCH(9994+ROW(),BASE!$U$2:$U$995,0))),"")</f>
        <v>CMO - Reparo</v>
      </c>
      <c r="F19" s="28" t="str">
        <f ca="1">IFERROR(IF(INDEX(BASE!$P$2:$P$995,MATCH(9994+ROW(),BASE!$U$2:$U$995,0))="","",INDEX(BASE!$P$2:$P$995,MATCH(9994+ROW(),BASE!$U$2:$U$995,0))),"")</f>
        <v>15h 59m</v>
      </c>
      <c r="G19" s="49" t="str">
        <f ca="1">IFERROR(IF(INDEX(BASE!$Q$2:$Q$995,MATCH(9994+ROW(),BASE!$U$2:$U$995,0))="","",INDEX(BASE!$Q$2:$Q$995,MATCH(9994+ROW(),BASE!$U$2:$U$995,0))),"")</f>
        <v>🟠 Entre 12h e 24h</v>
      </c>
      <c r="H19" s="27" t="str">
        <f>IFERROR(IF(INDEX(BASE!$K$2:$K$995,MATCH(9994+ROW(),BASE!$U$2:$U$995,0))="","",INDEX(BASE!$K$2:$K$995,MATCH(9994+ROW(),BASE!$U$2:$U$995,0))),"")</f>
        <v>SAO LUIS</v>
      </c>
      <c r="I19" s="29" t="str">
        <f>IFERROR(IF(INDEX(BASE!$L$2:$L$995,MATCH(9994+ROW(),BASE!$U$2:$U$995,0))="","",INDEX(BASE!$L$2:$L$995,MATCH(9994+ROW(),BASE!$U$2:$U$995,0))),"")</f>
        <v>MA</v>
      </c>
      <c r="J19" s="27" t="str">
        <f>IFERROR(IF(INDEX(BASE!$I$2:$I$995,MATCH(9994+ROW(),BASE!$U$2:$U$995,0))="","",INDEX(BASE!$I$2:$I$995,MATCH(9994+ROW(),BASE!$U$2:$U$995,0))),"")</f>
        <v>PENDENTE AGENDAMENTO</v>
      </c>
    </row>
    <row r="20" spans="2:10" ht="27.6" x14ac:dyDescent="0.3">
      <c r="B20" s="30" t="str">
        <f>IFERROR(IF(INDEX(BASE!$B$2:$B$995,MATCH(9994+ROW(),BASE!$U$2:$U$995,0))="","",INDEX(BASE!$B$2:$B$995,MATCH(9994+ROW(),BASE!$U$2:$U$995,0))),"")</f>
        <v>RCR LOCACAO LTDA</v>
      </c>
      <c r="C20" s="48" t="str">
        <f>IFERROR(IF(INDEX(BASE!$A$2:$A$995,MATCH(9994+ROW(),BASE!$U$2:$U$995,0))="","",HYPERLINK(INDEX(BASE!$V$2:$V$995,MATCH(9994+ROW(),BASE!$U$2:$U$995,0)),INDEX(BASE!$A$2:$A$995,MATCH(9994+ROW(),BASE!$U$2:$U$995,0)))),"")</f>
        <v>  01062026-25089</v>
      </c>
      <c r="D20" s="50" t="str">
        <f>IFERROR(IF(INDEX(BASE!$E$2:$E$995,MATCH(9994+ROW(),BASE!$U$2:$U$995,0))="","",INDEX(BASE!$E$2:$E$995,MATCH(9994+ROW(),BASE!$U$2:$U$995,0))),"")</f>
        <v>RCR LOCACAO LTDA | Indisponibilidade | SLS/IPD/226111/1 - IP 177.200.80.221</v>
      </c>
      <c r="E20" s="30" t="str">
        <f>IFERROR(IF(INDEX(BASE!$C$2:$C$995,MATCH(9994+ROW(),BASE!$U$2:$U$995,0))="","",INDEX(BASE!$C$2:$C$995,MATCH(9994+ROW(),BASE!$U$2:$U$995,0))),"")</f>
        <v>CMO - Reparo</v>
      </c>
      <c r="F20" s="31" t="str">
        <f ca="1">IFERROR(IF(INDEX(BASE!$P$2:$P$995,MATCH(9994+ROW(),BASE!$U$2:$U$995,0))="","",INDEX(BASE!$P$2:$P$995,MATCH(9994+ROW(),BASE!$U$2:$U$995,0))),"")</f>
        <v>18h 22m</v>
      </c>
      <c r="G20" s="50" t="str">
        <f ca="1">IFERROR(IF(INDEX(BASE!$Q$2:$Q$995,MATCH(9994+ROW(),BASE!$U$2:$U$995,0))="","",INDEX(BASE!$Q$2:$Q$995,MATCH(9994+ROW(),BASE!$U$2:$U$995,0))),"")</f>
        <v>🟠 Entre 12h e 24h</v>
      </c>
      <c r="H20" s="30" t="str">
        <f>IFERROR(IF(INDEX(BASE!$K$2:$K$995,MATCH(9994+ROW(),BASE!$U$2:$U$995,0))="","",INDEX(BASE!$K$2:$K$995,MATCH(9994+ROW(),BASE!$U$2:$U$995,0))),"")</f>
        <v>SAO LUIS</v>
      </c>
      <c r="I20" s="32" t="str">
        <f>IFERROR(IF(INDEX(BASE!$L$2:$L$995,MATCH(9994+ROW(),BASE!$U$2:$U$995,0))="","",INDEX(BASE!$L$2:$L$995,MATCH(9994+ROW(),BASE!$U$2:$U$995,0))),"")</f>
        <v>MA</v>
      </c>
      <c r="J20" s="30" t="str">
        <f>IFERROR(IF(INDEX(BASE!$I$2:$I$995,MATCH(9994+ROW(),BASE!$U$2:$U$995,0))="","",INDEX(BASE!$I$2:$I$995,MATCH(9994+ROW(),BASE!$U$2:$U$995,0))),"")</f>
        <v>PENDENTE AGENDAMENTO</v>
      </c>
    </row>
    <row r="21" spans="2:10" ht="15.6" x14ac:dyDescent="0.3">
      <c r="B21" s="27" t="str">
        <f>IFERROR(IF(INDEX(BASE!$B$2:$B$995,MATCH(9994+ROW(),BASE!$U$2:$U$995,0))="","",INDEX(BASE!$B$2:$B$995,MATCH(9994+ROW(),BASE!$U$2:$U$995,0))),"")</f>
        <v/>
      </c>
      <c r="C21" s="48" t="str">
        <f>IFERROR(IF(INDEX(BASE!$A$2:$A$995,MATCH(9994+ROW(),BASE!$U$2:$U$995,0))="","",HYPERLINK(INDEX(BASE!$V$2:$V$995,MATCH(9994+ROW(),BASE!$U$2:$U$995,0)),INDEX(BASE!$A$2:$A$995,MATCH(9994+ROW(),BASE!$U$2:$U$995,0)))),"")</f>
        <v/>
      </c>
      <c r="D21" s="49" t="str">
        <f>IFERROR(IF(INDEX(BASE!$E$2:$E$995,MATCH(9994+ROW(),BASE!$U$2:$U$995,0))="","",INDEX(BASE!$E$2:$E$995,MATCH(9994+ROW(),BASE!$U$2:$U$995,0))),"")</f>
        <v/>
      </c>
      <c r="E21" s="27" t="str">
        <f>IFERROR(IF(INDEX(BASE!$C$2:$C$995,MATCH(9994+ROW(),BASE!$U$2:$U$995,0))="","",INDEX(BASE!$C$2:$C$995,MATCH(9994+ROW(),BASE!$U$2:$U$995,0))),"")</f>
        <v/>
      </c>
      <c r="F21" s="28" t="str">
        <f>IFERROR(IF(INDEX(BASE!$P$2:$P$995,MATCH(9994+ROW(),BASE!$U$2:$U$995,0))="","",INDEX(BASE!$P$2:$P$995,MATCH(9994+ROW(),BASE!$U$2:$U$995,0))),"")</f>
        <v/>
      </c>
      <c r="G21" s="49" t="str">
        <f>IFERROR(IF(INDEX(BASE!$Q$2:$Q$995,MATCH(9994+ROW(),BASE!$U$2:$U$995,0))="","",INDEX(BASE!$Q$2:$Q$995,MATCH(9994+ROW(),BASE!$U$2:$U$995,0))),"")</f>
        <v/>
      </c>
      <c r="H21" s="27" t="str">
        <f>IFERROR(IF(INDEX(BASE!$K$2:$K$995,MATCH(9994+ROW(),BASE!$U$2:$U$995,0))="","",INDEX(BASE!$K$2:$K$995,MATCH(9994+ROW(),BASE!$U$2:$U$995,0))),"")</f>
        <v/>
      </c>
      <c r="I21" s="29" t="str">
        <f>IFERROR(IF(INDEX(BASE!$L$2:$L$995,MATCH(9994+ROW(),BASE!$U$2:$U$995,0))="","",INDEX(BASE!$L$2:$L$995,MATCH(9994+ROW(),BASE!$U$2:$U$995,0))),"")</f>
        <v/>
      </c>
      <c r="J21" s="27" t="str">
        <f>IFERROR(IF(INDEX(BASE!$I$2:$I$995,MATCH(9994+ROW(),BASE!$U$2:$U$995,0))="","",INDEX(BASE!$I$2:$I$995,MATCH(9994+ROW(),BASE!$U$2:$U$995,0))),"")</f>
        <v/>
      </c>
    </row>
    <row r="22" spans="2:10" ht="15.6" x14ac:dyDescent="0.3">
      <c r="B22" s="30" t="str">
        <f>IFERROR(IF(INDEX(BASE!$B$2:$B$995,MATCH(9994+ROW(),BASE!$U$2:$U$995,0))="","",INDEX(BASE!$B$2:$B$995,MATCH(9994+ROW(),BASE!$U$2:$U$995,0))),"")</f>
        <v/>
      </c>
      <c r="C22" s="48" t="str">
        <f>IFERROR(IF(INDEX(BASE!$A$2:$A$995,MATCH(9994+ROW(),BASE!$U$2:$U$995,0))="","",HYPERLINK(INDEX(BASE!$V$2:$V$995,MATCH(9994+ROW(),BASE!$U$2:$U$995,0)),INDEX(BASE!$A$2:$A$995,MATCH(9994+ROW(),BASE!$U$2:$U$995,0)))),"")</f>
        <v/>
      </c>
      <c r="D22" s="50" t="str">
        <f>IFERROR(IF(INDEX(BASE!$E$2:$E$995,MATCH(9994+ROW(),BASE!$U$2:$U$995,0))="","",INDEX(BASE!$E$2:$E$995,MATCH(9994+ROW(),BASE!$U$2:$U$995,0))),"")</f>
        <v/>
      </c>
      <c r="E22" s="30" t="str">
        <f>IFERROR(IF(INDEX(BASE!$C$2:$C$995,MATCH(9994+ROW(),BASE!$U$2:$U$995,0))="","",INDEX(BASE!$C$2:$C$995,MATCH(9994+ROW(),BASE!$U$2:$U$995,0))),"")</f>
        <v/>
      </c>
      <c r="F22" s="31" t="str">
        <f>IFERROR(IF(INDEX(BASE!$P$2:$P$995,MATCH(9994+ROW(),BASE!$U$2:$U$995,0))="","",INDEX(BASE!$P$2:$P$995,MATCH(9994+ROW(),BASE!$U$2:$U$995,0))),"")</f>
        <v/>
      </c>
      <c r="G22" s="50" t="str">
        <f>IFERROR(IF(INDEX(BASE!$Q$2:$Q$995,MATCH(9994+ROW(),BASE!$U$2:$U$995,0))="","",INDEX(BASE!$Q$2:$Q$995,MATCH(9994+ROW(),BASE!$U$2:$U$995,0))),"")</f>
        <v/>
      </c>
      <c r="H22" s="30" t="str">
        <f>IFERROR(IF(INDEX(BASE!$K$2:$K$995,MATCH(9994+ROW(),BASE!$U$2:$U$995,0))="","",INDEX(BASE!$K$2:$K$995,MATCH(9994+ROW(),BASE!$U$2:$U$995,0))),"")</f>
        <v/>
      </c>
      <c r="I22" s="32" t="str">
        <f>IFERROR(IF(INDEX(BASE!$L$2:$L$995,MATCH(9994+ROW(),BASE!$U$2:$U$995,0))="","",INDEX(BASE!$L$2:$L$995,MATCH(9994+ROW(),BASE!$U$2:$U$995,0))),"")</f>
        <v/>
      </c>
      <c r="J22" s="30" t="str">
        <f>IFERROR(IF(INDEX(BASE!$I$2:$I$995,MATCH(9994+ROW(),BASE!$U$2:$U$995,0))="","",INDEX(BASE!$I$2:$I$995,MATCH(9994+ROW(),BASE!$U$2:$U$995,0))),"")</f>
        <v/>
      </c>
    </row>
    <row r="23" spans="2:10" ht="15.6" x14ac:dyDescent="0.3">
      <c r="B23" s="27" t="str">
        <f>IFERROR(IF(INDEX(BASE!$B$2:$B$995,MATCH(9994+ROW(),BASE!$U$2:$U$995,0))="","",INDEX(BASE!$B$2:$B$995,MATCH(9994+ROW(),BASE!$U$2:$U$995,0))),"")</f>
        <v/>
      </c>
      <c r="C23" s="48" t="str">
        <f>IFERROR(IF(INDEX(BASE!$A$2:$A$995,MATCH(9994+ROW(),BASE!$U$2:$U$995,0))="","",HYPERLINK(INDEX(BASE!$V$2:$V$995,MATCH(9994+ROW(),BASE!$U$2:$U$995,0)),INDEX(BASE!$A$2:$A$995,MATCH(9994+ROW(),BASE!$U$2:$U$995,0)))),"")</f>
        <v/>
      </c>
      <c r="D23" s="49" t="str">
        <f>IFERROR(IF(INDEX(BASE!$E$2:$E$995,MATCH(9994+ROW(),BASE!$U$2:$U$995,0))="","",INDEX(BASE!$E$2:$E$995,MATCH(9994+ROW(),BASE!$U$2:$U$995,0))),"")</f>
        <v/>
      </c>
      <c r="E23" s="27" t="str">
        <f>IFERROR(IF(INDEX(BASE!$C$2:$C$995,MATCH(9994+ROW(),BASE!$U$2:$U$995,0))="","",INDEX(BASE!$C$2:$C$995,MATCH(9994+ROW(),BASE!$U$2:$U$995,0))),"")</f>
        <v/>
      </c>
      <c r="F23" s="28" t="str">
        <f>IFERROR(IF(INDEX(BASE!$P$2:$P$995,MATCH(9994+ROW(),BASE!$U$2:$U$995,0))="","",INDEX(BASE!$P$2:$P$995,MATCH(9994+ROW(),BASE!$U$2:$U$995,0))),"")</f>
        <v/>
      </c>
      <c r="G23" s="49" t="str">
        <f>IFERROR(IF(INDEX(BASE!$Q$2:$Q$995,MATCH(9994+ROW(),BASE!$U$2:$U$995,0))="","",INDEX(BASE!$Q$2:$Q$995,MATCH(9994+ROW(),BASE!$U$2:$U$995,0))),"")</f>
        <v/>
      </c>
      <c r="H23" s="27" t="str">
        <f>IFERROR(IF(INDEX(BASE!$K$2:$K$995,MATCH(9994+ROW(),BASE!$U$2:$U$995,0))="","",INDEX(BASE!$K$2:$K$995,MATCH(9994+ROW(),BASE!$U$2:$U$995,0))),"")</f>
        <v/>
      </c>
      <c r="I23" s="29" t="str">
        <f>IFERROR(IF(INDEX(BASE!$L$2:$L$995,MATCH(9994+ROW(),BASE!$U$2:$U$995,0))="","",INDEX(BASE!$L$2:$L$995,MATCH(9994+ROW(),BASE!$U$2:$U$995,0))),"")</f>
        <v/>
      </c>
      <c r="J23" s="27" t="str">
        <f>IFERROR(IF(INDEX(BASE!$I$2:$I$995,MATCH(9994+ROW(),BASE!$U$2:$U$995,0))="","",INDEX(BASE!$I$2:$I$995,MATCH(9994+ROW(),BASE!$U$2:$U$995,0))),"")</f>
        <v/>
      </c>
    </row>
    <row r="24" spans="2:10" ht="15.6" x14ac:dyDescent="0.3">
      <c r="B24" s="30" t="str">
        <f>IFERROR(IF(INDEX(BASE!$B$2:$B$995,MATCH(9994+ROW(),BASE!$U$2:$U$995,0))="","",INDEX(BASE!$B$2:$B$995,MATCH(9994+ROW(),BASE!$U$2:$U$995,0))),"")</f>
        <v/>
      </c>
      <c r="C24" s="48" t="str">
        <f>IFERROR(IF(INDEX(BASE!$A$2:$A$995,MATCH(9994+ROW(),BASE!$U$2:$U$995,0))="","",HYPERLINK(INDEX(BASE!$V$2:$V$995,MATCH(9994+ROW(),BASE!$U$2:$U$995,0)),INDEX(BASE!$A$2:$A$995,MATCH(9994+ROW(),BASE!$U$2:$U$995,0)))),"")</f>
        <v/>
      </c>
      <c r="D24" s="50" t="str">
        <f>IFERROR(IF(INDEX(BASE!$E$2:$E$995,MATCH(9994+ROW(),BASE!$U$2:$U$995,0))="","",INDEX(BASE!$E$2:$E$995,MATCH(9994+ROW(),BASE!$U$2:$U$995,0))),"")</f>
        <v/>
      </c>
      <c r="E24" s="30" t="str">
        <f>IFERROR(IF(INDEX(BASE!$C$2:$C$995,MATCH(9994+ROW(),BASE!$U$2:$U$995,0))="","",INDEX(BASE!$C$2:$C$995,MATCH(9994+ROW(),BASE!$U$2:$U$995,0))),"")</f>
        <v/>
      </c>
      <c r="F24" s="31" t="str">
        <f>IFERROR(IF(INDEX(BASE!$P$2:$P$995,MATCH(9994+ROW(),BASE!$U$2:$U$995,0))="","",INDEX(BASE!$P$2:$P$995,MATCH(9994+ROW(),BASE!$U$2:$U$995,0))),"")</f>
        <v/>
      </c>
      <c r="G24" s="50" t="str">
        <f>IFERROR(IF(INDEX(BASE!$Q$2:$Q$995,MATCH(9994+ROW(),BASE!$U$2:$U$995,0))="","",INDEX(BASE!$Q$2:$Q$995,MATCH(9994+ROW(),BASE!$U$2:$U$995,0))),"")</f>
        <v/>
      </c>
      <c r="H24" s="30" t="str">
        <f>IFERROR(IF(INDEX(BASE!$K$2:$K$995,MATCH(9994+ROW(),BASE!$U$2:$U$995,0))="","",INDEX(BASE!$K$2:$K$995,MATCH(9994+ROW(),BASE!$U$2:$U$995,0))),"")</f>
        <v/>
      </c>
      <c r="I24" s="32" t="str">
        <f>IFERROR(IF(INDEX(BASE!$L$2:$L$995,MATCH(9994+ROW(),BASE!$U$2:$U$995,0))="","",INDEX(BASE!$L$2:$L$995,MATCH(9994+ROW(),BASE!$U$2:$U$995,0))),"")</f>
        <v/>
      </c>
      <c r="J24" s="30" t="str">
        <f>IFERROR(IF(INDEX(BASE!$I$2:$I$995,MATCH(9994+ROW(),BASE!$U$2:$U$995,0))="","",INDEX(BASE!$I$2:$I$995,MATCH(9994+ROW(),BASE!$U$2:$U$995,0))),"")</f>
        <v/>
      </c>
    </row>
    <row r="25" spans="2:10" ht="15.6" x14ac:dyDescent="0.3">
      <c r="B25" s="27" t="str">
        <f>IFERROR(IF(INDEX(BASE!$B$2:$B$995,MATCH(9994+ROW(),BASE!$U$2:$U$995,0))="","",INDEX(BASE!$B$2:$B$995,MATCH(9994+ROW(),BASE!$U$2:$U$995,0))),"")</f>
        <v/>
      </c>
      <c r="C25" s="48" t="str">
        <f>IFERROR(IF(INDEX(BASE!$A$2:$A$995,MATCH(9994+ROW(),BASE!$U$2:$U$995,0))="","",HYPERLINK(INDEX(BASE!$V$2:$V$995,MATCH(9994+ROW(),BASE!$U$2:$U$995,0)),INDEX(BASE!$A$2:$A$995,MATCH(9994+ROW(),BASE!$U$2:$U$995,0)))),"")</f>
        <v/>
      </c>
      <c r="D25" s="49" t="str">
        <f>IFERROR(IF(INDEX(BASE!$E$2:$E$995,MATCH(9994+ROW(),BASE!$U$2:$U$995,0))="","",INDEX(BASE!$E$2:$E$995,MATCH(9994+ROW(),BASE!$U$2:$U$995,0))),"")</f>
        <v/>
      </c>
      <c r="E25" s="27" t="str">
        <f>IFERROR(IF(INDEX(BASE!$C$2:$C$995,MATCH(9994+ROW(),BASE!$U$2:$U$995,0))="","",INDEX(BASE!$C$2:$C$995,MATCH(9994+ROW(),BASE!$U$2:$U$995,0))),"")</f>
        <v/>
      </c>
      <c r="F25" s="28" t="str">
        <f>IFERROR(IF(INDEX(BASE!$P$2:$P$995,MATCH(9994+ROW(),BASE!$U$2:$U$995,0))="","",INDEX(BASE!$P$2:$P$995,MATCH(9994+ROW(),BASE!$U$2:$U$995,0))),"")</f>
        <v/>
      </c>
      <c r="G25" s="49" t="str">
        <f>IFERROR(IF(INDEX(BASE!$Q$2:$Q$995,MATCH(9994+ROW(),BASE!$U$2:$U$995,0))="","",INDEX(BASE!$Q$2:$Q$995,MATCH(9994+ROW(),BASE!$U$2:$U$995,0))),"")</f>
        <v/>
      </c>
      <c r="H25" s="27" t="str">
        <f>IFERROR(IF(INDEX(BASE!$K$2:$K$995,MATCH(9994+ROW(),BASE!$U$2:$U$995,0))="","",INDEX(BASE!$K$2:$K$995,MATCH(9994+ROW(),BASE!$U$2:$U$995,0))),"")</f>
        <v/>
      </c>
      <c r="I25" s="29" t="str">
        <f>IFERROR(IF(INDEX(BASE!$L$2:$L$995,MATCH(9994+ROW(),BASE!$U$2:$U$995,0))="","",INDEX(BASE!$L$2:$L$995,MATCH(9994+ROW(),BASE!$U$2:$U$995,0))),"")</f>
        <v/>
      </c>
      <c r="J25" s="27" t="str">
        <f>IFERROR(IF(INDEX(BASE!$I$2:$I$995,MATCH(9994+ROW(),BASE!$U$2:$U$995,0))="","",INDEX(BASE!$I$2:$I$995,MATCH(9994+ROW(),BASE!$U$2:$U$995,0))),"")</f>
        <v/>
      </c>
    </row>
    <row r="26" spans="2:10" ht="15.6" x14ac:dyDescent="0.3">
      <c r="B26" s="30" t="str">
        <f>IFERROR(IF(INDEX(BASE!$B$2:$B$995,MATCH(9994+ROW(),BASE!$U$2:$U$995,0))="","",INDEX(BASE!$B$2:$B$995,MATCH(9994+ROW(),BASE!$U$2:$U$995,0))),"")</f>
        <v/>
      </c>
      <c r="C26" s="48" t="str">
        <f>IFERROR(IF(INDEX(BASE!$A$2:$A$995,MATCH(9994+ROW(),BASE!$U$2:$U$995,0))="","",HYPERLINK(INDEX(BASE!$V$2:$V$995,MATCH(9994+ROW(),BASE!$U$2:$U$995,0)),INDEX(BASE!$A$2:$A$995,MATCH(9994+ROW(),BASE!$U$2:$U$995,0)))),"")</f>
        <v/>
      </c>
      <c r="D26" s="50" t="str">
        <f>IFERROR(IF(INDEX(BASE!$E$2:$E$995,MATCH(9994+ROW(),BASE!$U$2:$U$995,0))="","",INDEX(BASE!$E$2:$E$995,MATCH(9994+ROW(),BASE!$U$2:$U$995,0))),"")</f>
        <v/>
      </c>
      <c r="E26" s="30" t="str">
        <f>IFERROR(IF(INDEX(BASE!$C$2:$C$995,MATCH(9994+ROW(),BASE!$U$2:$U$995,0))="","",INDEX(BASE!$C$2:$C$995,MATCH(9994+ROW(),BASE!$U$2:$U$995,0))),"")</f>
        <v/>
      </c>
      <c r="F26" s="31" t="str">
        <f>IFERROR(IF(INDEX(BASE!$P$2:$P$995,MATCH(9994+ROW(),BASE!$U$2:$U$995,0))="","",INDEX(BASE!$P$2:$P$995,MATCH(9994+ROW(),BASE!$U$2:$U$995,0))),"")</f>
        <v/>
      </c>
      <c r="G26" s="50" t="str">
        <f>IFERROR(IF(INDEX(BASE!$Q$2:$Q$995,MATCH(9994+ROW(),BASE!$U$2:$U$995,0))="","",INDEX(BASE!$Q$2:$Q$995,MATCH(9994+ROW(),BASE!$U$2:$U$995,0))),"")</f>
        <v/>
      </c>
      <c r="H26" s="30" t="str">
        <f>IFERROR(IF(INDEX(BASE!$K$2:$K$995,MATCH(9994+ROW(),BASE!$U$2:$U$995,0))="","",INDEX(BASE!$K$2:$K$995,MATCH(9994+ROW(),BASE!$U$2:$U$995,0))),"")</f>
        <v/>
      </c>
      <c r="I26" s="32" t="str">
        <f>IFERROR(IF(INDEX(BASE!$L$2:$L$995,MATCH(9994+ROW(),BASE!$U$2:$U$995,0))="","",INDEX(BASE!$L$2:$L$995,MATCH(9994+ROW(),BASE!$U$2:$U$995,0))),"")</f>
        <v/>
      </c>
      <c r="J26" s="30" t="str">
        <f>IFERROR(IF(INDEX(BASE!$I$2:$I$995,MATCH(9994+ROW(),BASE!$U$2:$U$995,0))="","",INDEX(BASE!$I$2:$I$995,MATCH(9994+ROW(),BASE!$U$2:$U$995,0))),"")</f>
        <v/>
      </c>
    </row>
    <row r="28" spans="2:10" ht="33" customHeight="1" x14ac:dyDescent="0.3">
      <c r="B28" s="103" t="str">
        <f>"   🟢   GIGA+ MA     ·     " &amp; COUNTIF(BASE!$N$2:$N$995,"GIGA+ MA") &amp; IF(COUNTIF(BASE!$N$2:$N$995,"GIGA+ MA")=1," chamado"," chamados")</f>
        <v xml:space="preserve">   🟢   GIGA+ MA     ·     2 chamados</v>
      </c>
      <c r="C28" s="76"/>
      <c r="D28" s="76"/>
      <c r="E28" s="76"/>
      <c r="F28" s="76"/>
      <c r="G28" s="76"/>
      <c r="H28" s="76"/>
      <c r="I28" s="76"/>
      <c r="J28" s="76"/>
    </row>
    <row r="29" spans="2:10" ht="33" customHeight="1" x14ac:dyDescent="0.3">
      <c r="B29" s="25" t="s">
        <v>1</v>
      </c>
      <c r="C29" s="25" t="s">
        <v>2</v>
      </c>
      <c r="D29" s="25" t="s">
        <v>3</v>
      </c>
      <c r="E29" s="25" t="s">
        <v>4</v>
      </c>
      <c r="F29" s="26" t="s">
        <v>5</v>
      </c>
      <c r="G29" s="25" t="s">
        <v>6</v>
      </c>
      <c r="H29" s="25" t="s">
        <v>7</v>
      </c>
      <c r="I29" s="26" t="s">
        <v>8</v>
      </c>
      <c r="J29" s="25" t="s">
        <v>9</v>
      </c>
    </row>
    <row r="30" spans="2:10" ht="33" customHeight="1" x14ac:dyDescent="0.3">
      <c r="B30" s="27" t="str">
        <f>IFERROR(IF(INDEX(BASE!$B$2:$B$995,MATCH(19971+ROW(),BASE!$U$2:$U$995,0))="","",INDEX(BASE!$B$2:$B$995,MATCH(19971+ROW(),BASE!$U$2:$U$995,0))),"")</f>
        <v>SERVICO NACIONAL DE APRENDIZAGEM COMERCIAL SENAC</v>
      </c>
      <c r="C30" s="48" t="str">
        <f>IFERROR(IF(INDEX(BASE!$A$2:$A$995,MATCH(19971+ROW(),BASE!$U$2:$U$995,0))="","",HYPERLINK(INDEX(BASE!$V$2:$V$995,MATCH(19971+ROW(),BASE!$U$2:$U$995,0)),INDEX(BASE!$A$2:$A$995,MATCH(19971+ROW(),BASE!$U$2:$U$995,0)))),"")</f>
        <v>  27052026-71809</v>
      </c>
      <c r="D30" s="49" t="str">
        <f>IFERROR(IF(INDEX(BASE!$E$2:$E$995,MATCH(19971+ROW(),BASE!$U$2:$U$995,0))="","",INDEX(BASE!$E$2:$E$995,MATCH(19971+ROW(),BASE!$U$2:$U$995,0))),"")</f>
        <v>SERVICO NACIONAL DE APRENDIZAGEM COMERCIAL | INDISPONIBILIDADE | CXS/IPD/201697/7</v>
      </c>
      <c r="E30" s="27" t="str">
        <f>IFERROR(IF(INDEX(BASE!$C$2:$C$995,MATCH(19971+ROW(),BASE!$U$2:$U$995,0))="","",INDEX(BASE!$C$2:$C$995,MATCH(19971+ROW(),BASE!$U$2:$U$995,0))),"")</f>
        <v>CMO - Reparo</v>
      </c>
      <c r="F30" s="28" t="str">
        <f ca="1">IFERROR(IF(INDEX(BASE!$P$2:$P$995,MATCH(19971+ROW(),BASE!$U$2:$U$995,0))="","",INDEX(BASE!$P$2:$P$995,MATCH(19971+ROW(),BASE!$U$2:$U$995,0))),"")</f>
        <v>41h 41m</v>
      </c>
      <c r="G30" s="49" t="str">
        <f ca="1">IFERROR(IF(INDEX(BASE!$Q$2:$Q$995,MATCH(19971+ROW(),BASE!$U$2:$U$995,0))="","",INDEX(BASE!$Q$2:$Q$995,MATCH(19971+ROW(),BASE!$U$2:$U$995,0))),"")</f>
        <v>🔴 Maior que 24h</v>
      </c>
      <c r="H30" s="27" t="str">
        <f>IFERROR(IF(INDEX(BASE!$K$2:$K$995,MATCH(19971+ROW(),BASE!$U$2:$U$995,0))="","",INDEX(BASE!$K$2:$K$995,MATCH(19971+ROW(),BASE!$U$2:$U$995,0))),"")</f>
        <v>CAXIAS</v>
      </c>
      <c r="I30" s="29" t="str">
        <f>IFERROR(IF(INDEX(BASE!$L$2:$L$995,MATCH(19971+ROW(),BASE!$U$2:$U$995,0))="","",INDEX(BASE!$L$2:$L$995,MATCH(19971+ROW(),BASE!$U$2:$U$995,0))),"")</f>
        <v>MA</v>
      </c>
      <c r="J30" s="27" t="str">
        <f>IFERROR(IF(INDEX(BASE!$I$2:$I$995,MATCH(19971+ROW(),BASE!$U$2:$U$995,0))="","",INDEX(BASE!$I$2:$I$995,MATCH(19971+ROW(),BASE!$U$2:$U$995,0))),"")</f>
        <v>PENDENTE AGENDAMENTO</v>
      </c>
    </row>
    <row r="31" spans="2:10" ht="33" customHeight="1" x14ac:dyDescent="0.3">
      <c r="B31" s="30" t="str">
        <f>IFERROR(IF(INDEX(BASE!$B$2:$B$995,MATCH(19971+ROW(),BASE!$U$2:$U$995,0))="","",INDEX(BASE!$B$2:$B$995,MATCH(19971+ROW(),BASE!$U$2:$U$995,0))),"")</f>
        <v>TECFIBRA ISP LTDA</v>
      </c>
      <c r="C31" s="48" t="str">
        <f>IFERROR(IF(INDEX(BASE!$A$2:$A$995,MATCH(19971+ROW(),BASE!$U$2:$U$995,0))="","",HYPERLINK(INDEX(BASE!$V$2:$V$995,MATCH(19971+ROW(),BASE!$U$2:$U$995,0)),INDEX(BASE!$A$2:$A$995,MATCH(19971+ROW(),BASE!$U$2:$U$995,0)))),"")</f>
        <v>  01062026-53277</v>
      </c>
      <c r="D31" s="50" t="str">
        <f>IFERROR(IF(INDEX(BASE!$E$2:$E$995,MATCH(19971+ROW(),BASE!$U$2:$U$995,0))="","",INDEX(BASE!$E$2:$E$995,MATCH(19971+ROW(),BASE!$U$2:$U$995,0))),"")</f>
        <v>TECFIBRA ISP LTDA TECFIBRA | PERFORMACE | ETO/IPT/229109/4</v>
      </c>
      <c r="E31" s="30" t="str">
        <f>IFERROR(IF(INDEX(BASE!$C$2:$C$995,MATCH(19971+ROW(),BASE!$U$2:$U$995,0))="","",INDEX(BASE!$C$2:$C$995,MATCH(19971+ROW(),BASE!$U$2:$U$995,0))),"")</f>
        <v>CMO - Reparo</v>
      </c>
      <c r="F31" s="31" t="str">
        <f ca="1">IFERROR(IF(INDEX(BASE!$P$2:$P$995,MATCH(19971+ROW(),BASE!$U$2:$U$995,0))="","",INDEX(BASE!$P$2:$P$995,MATCH(19971+ROW(),BASE!$U$2:$U$995,0))),"")</f>
        <v>10h 00m</v>
      </c>
      <c r="G31" s="50" t="str">
        <f ca="1">IFERROR(IF(INDEX(BASE!$Q$2:$Q$995,MATCH(19971+ROW(),BASE!$U$2:$U$995,0))="","",INDEX(BASE!$Q$2:$Q$995,MATCH(19971+ROW(),BASE!$U$2:$U$995,0))),"")</f>
        <v>🟡 Entre 8h e 12h</v>
      </c>
      <c r="H31" s="30" t="str">
        <f>IFERROR(IF(INDEX(BASE!$K$2:$K$995,MATCH(19971+ROW(),BASE!$U$2:$U$995,0))="","",INDEX(BASE!$K$2:$K$995,MATCH(19971+ROW(),BASE!$U$2:$U$995,0))),"")</f>
        <v>ESTREITO</v>
      </c>
      <c r="I31" s="32" t="str">
        <f>IFERROR(IF(INDEX(BASE!$L$2:$L$995,MATCH(19971+ROW(),BASE!$U$2:$U$995,0))="","",INDEX(BASE!$L$2:$L$995,MATCH(19971+ROW(),BASE!$U$2:$U$995,0))),"")</f>
        <v>MA</v>
      </c>
      <c r="J31" s="30" t="str">
        <f>IFERROR(IF(INDEX(BASE!$I$2:$I$995,MATCH(19971+ROW(),BASE!$U$2:$U$995,0))="","",INDEX(BASE!$I$2:$I$995,MATCH(19971+ROW(),BASE!$U$2:$U$995,0))),"")</f>
        <v>AGUARDANDO DISPONIBILIDADE TECNICA</v>
      </c>
    </row>
    <row r="32" spans="2:10" ht="15.6" x14ac:dyDescent="0.3">
      <c r="B32" s="27" t="str">
        <f>IFERROR(IF(INDEX(BASE!$B$2:$B$995,MATCH(19971+ROW(),BASE!$U$2:$U$995,0))="","",INDEX(BASE!$B$2:$B$995,MATCH(19971+ROW(),BASE!$U$2:$U$995,0))),"")</f>
        <v/>
      </c>
      <c r="C32" s="48" t="str">
        <f>IFERROR(IF(INDEX(BASE!$A$2:$A$995,MATCH(19971+ROW(),BASE!$U$2:$U$995,0))="","",HYPERLINK(INDEX(BASE!$V$2:$V$995,MATCH(19971+ROW(),BASE!$U$2:$U$995,0)),INDEX(BASE!$A$2:$A$995,MATCH(19971+ROW(),BASE!$U$2:$U$995,0)))),"")</f>
        <v/>
      </c>
      <c r="D32" s="49" t="str">
        <f>IFERROR(IF(INDEX(BASE!$E$2:$E$995,MATCH(19971+ROW(),BASE!$U$2:$U$995,0))="","",INDEX(BASE!$E$2:$E$995,MATCH(19971+ROW(),BASE!$U$2:$U$995,0))),"")</f>
        <v/>
      </c>
      <c r="E32" s="27" t="str">
        <f>IFERROR(IF(INDEX(BASE!$C$2:$C$995,MATCH(19971+ROW(),BASE!$U$2:$U$995,0))="","",INDEX(BASE!$C$2:$C$995,MATCH(19971+ROW(),BASE!$U$2:$U$995,0))),"")</f>
        <v/>
      </c>
      <c r="F32" s="28" t="str">
        <f>IFERROR(IF(INDEX(BASE!$P$2:$P$995,MATCH(19971+ROW(),BASE!$U$2:$U$995,0))="","",INDEX(BASE!$P$2:$P$995,MATCH(19971+ROW(),BASE!$U$2:$U$995,0))),"")</f>
        <v/>
      </c>
      <c r="G32" s="49" t="str">
        <f>IFERROR(IF(INDEX(BASE!$Q$2:$Q$995,MATCH(19971+ROW(),BASE!$U$2:$U$995,0))="","",INDEX(BASE!$Q$2:$Q$995,MATCH(19971+ROW(),BASE!$U$2:$U$995,0))),"")</f>
        <v/>
      </c>
      <c r="H32" s="27" t="str">
        <f>IFERROR(IF(INDEX(BASE!$K$2:$K$995,MATCH(19971+ROW(),BASE!$U$2:$U$995,0))="","",INDEX(BASE!$K$2:$K$995,MATCH(19971+ROW(),BASE!$U$2:$U$995,0))),"")</f>
        <v/>
      </c>
      <c r="I32" s="29" t="str">
        <f>IFERROR(IF(INDEX(BASE!$L$2:$L$995,MATCH(19971+ROW(),BASE!$U$2:$U$995,0))="","",INDEX(BASE!$L$2:$L$995,MATCH(19971+ROW(),BASE!$U$2:$U$995,0))),"")</f>
        <v/>
      </c>
      <c r="J32" s="27" t="str">
        <f>IFERROR(IF(INDEX(BASE!$I$2:$I$995,MATCH(19971+ROW(),BASE!$U$2:$U$995,0))="","",INDEX(BASE!$I$2:$I$995,MATCH(19971+ROW(),BASE!$U$2:$U$995,0))),"")</f>
        <v/>
      </c>
    </row>
    <row r="33" spans="2:10" ht="15.6" x14ac:dyDescent="0.3">
      <c r="B33" s="30" t="str">
        <f>IFERROR(IF(INDEX(BASE!$B$2:$B$995,MATCH(19971+ROW(),BASE!$U$2:$U$995,0))="","",INDEX(BASE!$B$2:$B$995,MATCH(19971+ROW(),BASE!$U$2:$U$995,0))),"")</f>
        <v/>
      </c>
      <c r="C33" s="48" t="str">
        <f>IFERROR(IF(INDEX(BASE!$A$2:$A$995,MATCH(19971+ROW(),BASE!$U$2:$U$995,0))="","",HYPERLINK(INDEX(BASE!$V$2:$V$995,MATCH(19971+ROW(),BASE!$U$2:$U$995,0)),INDEX(BASE!$A$2:$A$995,MATCH(19971+ROW(),BASE!$U$2:$U$995,0)))),"")</f>
        <v/>
      </c>
      <c r="D33" s="50" t="str">
        <f>IFERROR(IF(INDEX(BASE!$E$2:$E$995,MATCH(19971+ROW(),BASE!$U$2:$U$995,0))="","",INDEX(BASE!$E$2:$E$995,MATCH(19971+ROW(),BASE!$U$2:$U$995,0))),"")</f>
        <v/>
      </c>
      <c r="E33" s="30" t="str">
        <f>IFERROR(IF(INDEX(BASE!$C$2:$C$995,MATCH(19971+ROW(),BASE!$U$2:$U$995,0))="","",INDEX(BASE!$C$2:$C$995,MATCH(19971+ROW(),BASE!$U$2:$U$995,0))),"")</f>
        <v/>
      </c>
      <c r="F33" s="31" t="str">
        <f>IFERROR(IF(INDEX(BASE!$P$2:$P$995,MATCH(19971+ROW(),BASE!$U$2:$U$995,0))="","",INDEX(BASE!$P$2:$P$995,MATCH(19971+ROW(),BASE!$U$2:$U$995,0))),"")</f>
        <v/>
      </c>
      <c r="G33" s="50" t="str">
        <f>IFERROR(IF(INDEX(BASE!$Q$2:$Q$995,MATCH(19971+ROW(),BASE!$U$2:$U$995,0))="","",INDEX(BASE!$Q$2:$Q$995,MATCH(19971+ROW(),BASE!$U$2:$U$995,0))),"")</f>
        <v/>
      </c>
      <c r="H33" s="30" t="str">
        <f>IFERROR(IF(INDEX(BASE!$K$2:$K$995,MATCH(19971+ROW(),BASE!$U$2:$U$995,0))="","",INDEX(BASE!$K$2:$K$995,MATCH(19971+ROW(),BASE!$U$2:$U$995,0))),"")</f>
        <v/>
      </c>
      <c r="I33" s="32" t="str">
        <f>IFERROR(IF(INDEX(BASE!$L$2:$L$995,MATCH(19971+ROW(),BASE!$U$2:$U$995,0))="","",INDEX(BASE!$L$2:$L$995,MATCH(19971+ROW(),BASE!$U$2:$U$995,0))),"")</f>
        <v/>
      </c>
      <c r="J33" s="30" t="str">
        <f>IFERROR(IF(INDEX(BASE!$I$2:$I$995,MATCH(19971+ROW(),BASE!$U$2:$U$995,0))="","",INDEX(BASE!$I$2:$I$995,MATCH(19971+ROW(),BASE!$U$2:$U$995,0))),"")</f>
        <v/>
      </c>
    </row>
    <row r="34" spans="2:10" ht="15.6" x14ac:dyDescent="0.3">
      <c r="B34" s="27" t="str">
        <f>IFERROR(IF(INDEX(BASE!$B$2:$B$995,MATCH(19971+ROW(),BASE!$U$2:$U$995,0))="","",INDEX(BASE!$B$2:$B$995,MATCH(19971+ROW(),BASE!$U$2:$U$995,0))),"")</f>
        <v/>
      </c>
      <c r="C34" s="48" t="str">
        <f>IFERROR(IF(INDEX(BASE!$A$2:$A$995,MATCH(19971+ROW(),BASE!$U$2:$U$995,0))="","",HYPERLINK(INDEX(BASE!$V$2:$V$995,MATCH(19971+ROW(),BASE!$U$2:$U$995,0)),INDEX(BASE!$A$2:$A$995,MATCH(19971+ROW(),BASE!$U$2:$U$995,0)))),"")</f>
        <v/>
      </c>
      <c r="D34" s="49" t="str">
        <f>IFERROR(IF(INDEX(BASE!$E$2:$E$995,MATCH(19971+ROW(),BASE!$U$2:$U$995,0))="","",INDEX(BASE!$E$2:$E$995,MATCH(19971+ROW(),BASE!$U$2:$U$995,0))),"")</f>
        <v/>
      </c>
      <c r="E34" s="27" t="str">
        <f>IFERROR(IF(INDEX(BASE!$C$2:$C$995,MATCH(19971+ROW(),BASE!$U$2:$U$995,0))="","",INDEX(BASE!$C$2:$C$995,MATCH(19971+ROW(),BASE!$U$2:$U$995,0))),"")</f>
        <v/>
      </c>
      <c r="F34" s="28" t="str">
        <f>IFERROR(IF(INDEX(BASE!$P$2:$P$995,MATCH(19971+ROW(),BASE!$U$2:$U$995,0))="","",INDEX(BASE!$P$2:$P$995,MATCH(19971+ROW(),BASE!$U$2:$U$995,0))),"")</f>
        <v/>
      </c>
      <c r="G34" s="49" t="str">
        <f>IFERROR(IF(INDEX(BASE!$Q$2:$Q$995,MATCH(19971+ROW(),BASE!$U$2:$U$995,0))="","",INDEX(BASE!$Q$2:$Q$995,MATCH(19971+ROW(),BASE!$U$2:$U$995,0))),"")</f>
        <v/>
      </c>
      <c r="H34" s="27" t="str">
        <f>IFERROR(IF(INDEX(BASE!$K$2:$K$995,MATCH(19971+ROW(),BASE!$U$2:$U$995,0))="","",INDEX(BASE!$K$2:$K$995,MATCH(19971+ROW(),BASE!$U$2:$U$995,0))),"")</f>
        <v/>
      </c>
      <c r="I34" s="29" t="str">
        <f>IFERROR(IF(INDEX(BASE!$L$2:$L$995,MATCH(19971+ROW(),BASE!$U$2:$U$995,0))="","",INDEX(BASE!$L$2:$L$995,MATCH(19971+ROW(),BASE!$U$2:$U$995,0))),"")</f>
        <v/>
      </c>
      <c r="J34" s="27" t="str">
        <f>IFERROR(IF(INDEX(BASE!$I$2:$I$995,MATCH(19971+ROW(),BASE!$U$2:$U$995,0))="","",INDEX(BASE!$I$2:$I$995,MATCH(19971+ROW(),BASE!$U$2:$U$995,0))),"")</f>
        <v/>
      </c>
    </row>
    <row r="35" spans="2:10" ht="15.6" x14ac:dyDescent="0.3">
      <c r="B35" s="30" t="str">
        <f>IFERROR(IF(INDEX(BASE!$B$2:$B$995,MATCH(19971+ROW(),BASE!$U$2:$U$995,0))="","",INDEX(BASE!$B$2:$B$995,MATCH(19971+ROW(),BASE!$U$2:$U$995,0))),"")</f>
        <v/>
      </c>
      <c r="C35" s="48" t="str">
        <f>IFERROR(IF(INDEX(BASE!$A$2:$A$995,MATCH(19971+ROW(),BASE!$U$2:$U$995,0))="","",HYPERLINK(INDEX(BASE!$V$2:$V$995,MATCH(19971+ROW(),BASE!$U$2:$U$995,0)),INDEX(BASE!$A$2:$A$995,MATCH(19971+ROW(),BASE!$U$2:$U$995,0)))),"")</f>
        <v/>
      </c>
      <c r="D35" s="50" t="str">
        <f>IFERROR(IF(INDEX(BASE!$E$2:$E$995,MATCH(19971+ROW(),BASE!$U$2:$U$995,0))="","",INDEX(BASE!$E$2:$E$995,MATCH(19971+ROW(),BASE!$U$2:$U$995,0))),"")</f>
        <v/>
      </c>
      <c r="E35" s="30" t="str">
        <f>IFERROR(IF(INDEX(BASE!$C$2:$C$995,MATCH(19971+ROW(),BASE!$U$2:$U$995,0))="","",INDEX(BASE!$C$2:$C$995,MATCH(19971+ROW(),BASE!$U$2:$U$995,0))),"")</f>
        <v/>
      </c>
      <c r="F35" s="31" t="str">
        <f>IFERROR(IF(INDEX(BASE!$P$2:$P$995,MATCH(19971+ROW(),BASE!$U$2:$U$995,0))="","",INDEX(BASE!$P$2:$P$995,MATCH(19971+ROW(),BASE!$U$2:$U$995,0))),"")</f>
        <v/>
      </c>
      <c r="G35" s="50" t="str">
        <f>IFERROR(IF(INDEX(BASE!$Q$2:$Q$995,MATCH(19971+ROW(),BASE!$U$2:$U$995,0))="","",INDEX(BASE!$Q$2:$Q$995,MATCH(19971+ROW(),BASE!$U$2:$U$995,0))),"")</f>
        <v/>
      </c>
      <c r="H35" s="30" t="str">
        <f>IFERROR(IF(INDEX(BASE!$K$2:$K$995,MATCH(19971+ROW(),BASE!$U$2:$U$995,0))="","",INDEX(BASE!$K$2:$K$995,MATCH(19971+ROW(),BASE!$U$2:$U$995,0))),"")</f>
        <v/>
      </c>
      <c r="I35" s="32" t="str">
        <f>IFERROR(IF(INDEX(BASE!$L$2:$L$995,MATCH(19971+ROW(),BASE!$U$2:$U$995,0))="","",INDEX(BASE!$L$2:$L$995,MATCH(19971+ROW(),BASE!$U$2:$U$995,0))),"")</f>
        <v/>
      </c>
      <c r="J35" s="30" t="str">
        <f>IFERROR(IF(INDEX(BASE!$I$2:$I$995,MATCH(19971+ROW(),BASE!$U$2:$U$995,0))="","",INDEX(BASE!$I$2:$I$995,MATCH(19971+ROW(),BASE!$U$2:$U$995,0))),"")</f>
        <v/>
      </c>
    </row>
    <row r="36" spans="2:10" ht="15.6" x14ac:dyDescent="0.3">
      <c r="B36" s="27" t="str">
        <f>IFERROR(IF(INDEX(BASE!$B$2:$B$995,MATCH(19971+ROW(),BASE!$U$2:$U$995,0))="","",INDEX(BASE!$B$2:$B$995,MATCH(19971+ROW(),BASE!$U$2:$U$995,0))),"")</f>
        <v/>
      </c>
      <c r="C36" s="48" t="str">
        <f>IFERROR(IF(INDEX(BASE!$A$2:$A$995,MATCH(19971+ROW(),BASE!$U$2:$U$995,0))="","",HYPERLINK(INDEX(BASE!$V$2:$V$995,MATCH(19971+ROW(),BASE!$U$2:$U$995,0)),INDEX(BASE!$A$2:$A$995,MATCH(19971+ROW(),BASE!$U$2:$U$995,0)))),"")</f>
        <v/>
      </c>
      <c r="D36" s="49" t="str">
        <f>IFERROR(IF(INDEX(BASE!$E$2:$E$995,MATCH(19971+ROW(),BASE!$U$2:$U$995,0))="","",INDEX(BASE!$E$2:$E$995,MATCH(19971+ROW(),BASE!$U$2:$U$995,0))),"")</f>
        <v/>
      </c>
      <c r="E36" s="27" t="str">
        <f>IFERROR(IF(INDEX(BASE!$C$2:$C$995,MATCH(19971+ROW(),BASE!$U$2:$U$995,0))="","",INDEX(BASE!$C$2:$C$995,MATCH(19971+ROW(),BASE!$U$2:$U$995,0))),"")</f>
        <v/>
      </c>
      <c r="F36" s="28" t="str">
        <f>IFERROR(IF(INDEX(BASE!$P$2:$P$995,MATCH(19971+ROW(),BASE!$U$2:$U$995,0))="","",INDEX(BASE!$P$2:$P$995,MATCH(19971+ROW(),BASE!$U$2:$U$995,0))),"")</f>
        <v/>
      </c>
      <c r="G36" s="49" t="str">
        <f>IFERROR(IF(INDEX(BASE!$Q$2:$Q$995,MATCH(19971+ROW(),BASE!$U$2:$U$995,0))="","",INDEX(BASE!$Q$2:$Q$995,MATCH(19971+ROW(),BASE!$U$2:$U$995,0))),"")</f>
        <v/>
      </c>
      <c r="H36" s="27" t="str">
        <f>IFERROR(IF(INDEX(BASE!$K$2:$K$995,MATCH(19971+ROW(),BASE!$U$2:$U$995,0))="","",INDEX(BASE!$K$2:$K$995,MATCH(19971+ROW(),BASE!$U$2:$U$995,0))),"")</f>
        <v/>
      </c>
      <c r="I36" s="29" t="str">
        <f>IFERROR(IF(INDEX(BASE!$L$2:$L$995,MATCH(19971+ROW(),BASE!$U$2:$U$995,0))="","",INDEX(BASE!$L$2:$L$995,MATCH(19971+ROW(),BASE!$U$2:$U$995,0))),"")</f>
        <v/>
      </c>
      <c r="J36" s="27" t="str">
        <f>IFERROR(IF(INDEX(BASE!$I$2:$I$995,MATCH(19971+ROW(),BASE!$U$2:$U$995,0))="","",INDEX(BASE!$I$2:$I$995,MATCH(19971+ROW(),BASE!$U$2:$U$995,0))),"")</f>
        <v/>
      </c>
    </row>
    <row r="37" spans="2:10" ht="15.6" x14ac:dyDescent="0.3">
      <c r="B37" s="30" t="str">
        <f>IFERROR(IF(INDEX(BASE!$B$2:$B$995,MATCH(19971+ROW(),BASE!$U$2:$U$995,0))="","",INDEX(BASE!$B$2:$B$995,MATCH(19971+ROW(),BASE!$U$2:$U$995,0))),"")</f>
        <v/>
      </c>
      <c r="C37" s="48" t="str">
        <f>IFERROR(IF(INDEX(BASE!$A$2:$A$995,MATCH(19971+ROW(),BASE!$U$2:$U$995,0))="","",HYPERLINK(INDEX(BASE!$V$2:$V$995,MATCH(19971+ROW(),BASE!$U$2:$U$995,0)),INDEX(BASE!$A$2:$A$995,MATCH(19971+ROW(),BASE!$U$2:$U$995,0)))),"")</f>
        <v/>
      </c>
      <c r="D37" s="50" t="str">
        <f>IFERROR(IF(INDEX(BASE!$E$2:$E$995,MATCH(19971+ROW(),BASE!$U$2:$U$995,0))="","",INDEX(BASE!$E$2:$E$995,MATCH(19971+ROW(),BASE!$U$2:$U$995,0))),"")</f>
        <v/>
      </c>
      <c r="E37" s="30" t="str">
        <f>IFERROR(IF(INDEX(BASE!$C$2:$C$995,MATCH(19971+ROW(),BASE!$U$2:$U$995,0))="","",INDEX(BASE!$C$2:$C$995,MATCH(19971+ROW(),BASE!$U$2:$U$995,0))),"")</f>
        <v/>
      </c>
      <c r="F37" s="31" t="str">
        <f>IFERROR(IF(INDEX(BASE!$P$2:$P$995,MATCH(19971+ROW(),BASE!$U$2:$U$995,0))="","",INDEX(BASE!$P$2:$P$995,MATCH(19971+ROW(),BASE!$U$2:$U$995,0))),"")</f>
        <v/>
      </c>
      <c r="G37" s="50" t="str">
        <f>IFERROR(IF(INDEX(BASE!$Q$2:$Q$995,MATCH(19971+ROW(),BASE!$U$2:$U$995,0))="","",INDEX(BASE!$Q$2:$Q$995,MATCH(19971+ROW(),BASE!$U$2:$U$995,0))),"")</f>
        <v/>
      </c>
      <c r="H37" s="30" t="str">
        <f>IFERROR(IF(INDEX(BASE!$K$2:$K$995,MATCH(19971+ROW(),BASE!$U$2:$U$995,0))="","",INDEX(BASE!$K$2:$K$995,MATCH(19971+ROW(),BASE!$U$2:$U$995,0))),"")</f>
        <v/>
      </c>
      <c r="I37" s="32" t="str">
        <f>IFERROR(IF(INDEX(BASE!$L$2:$L$995,MATCH(19971+ROW(),BASE!$U$2:$U$995,0))="","",INDEX(BASE!$L$2:$L$995,MATCH(19971+ROW(),BASE!$U$2:$U$995,0))),"")</f>
        <v/>
      </c>
      <c r="J37" s="30" t="str">
        <f>IFERROR(IF(INDEX(BASE!$I$2:$I$995,MATCH(19971+ROW(),BASE!$U$2:$U$995,0))="","",INDEX(BASE!$I$2:$I$995,MATCH(19971+ROW(),BASE!$U$2:$U$995,0))),"")</f>
        <v/>
      </c>
    </row>
    <row r="38" spans="2:10" ht="15.6" x14ac:dyDescent="0.3">
      <c r="B38" s="27" t="str">
        <f>IFERROR(IF(INDEX(BASE!$B$2:$B$995,MATCH(19971+ROW(),BASE!$U$2:$U$995,0))="","",INDEX(BASE!$B$2:$B$995,MATCH(19971+ROW(),BASE!$U$2:$U$995,0))),"")</f>
        <v/>
      </c>
      <c r="C38" s="48" t="str">
        <f>IFERROR(IF(INDEX(BASE!$A$2:$A$995,MATCH(19971+ROW(),BASE!$U$2:$U$995,0))="","",HYPERLINK(INDEX(BASE!$V$2:$V$995,MATCH(19971+ROW(),BASE!$U$2:$U$995,0)),INDEX(BASE!$A$2:$A$995,MATCH(19971+ROW(),BASE!$U$2:$U$995,0)))),"")</f>
        <v/>
      </c>
      <c r="D38" s="49" t="str">
        <f>IFERROR(IF(INDEX(BASE!$E$2:$E$995,MATCH(19971+ROW(),BASE!$U$2:$U$995,0))="","",INDEX(BASE!$E$2:$E$995,MATCH(19971+ROW(),BASE!$U$2:$U$995,0))),"")</f>
        <v/>
      </c>
      <c r="E38" s="27" t="str">
        <f>IFERROR(IF(INDEX(BASE!$C$2:$C$995,MATCH(19971+ROW(),BASE!$U$2:$U$995,0))="","",INDEX(BASE!$C$2:$C$995,MATCH(19971+ROW(),BASE!$U$2:$U$995,0))),"")</f>
        <v/>
      </c>
      <c r="F38" s="28" t="str">
        <f>IFERROR(IF(INDEX(BASE!$P$2:$P$995,MATCH(19971+ROW(),BASE!$U$2:$U$995,0))="","",INDEX(BASE!$P$2:$P$995,MATCH(19971+ROW(),BASE!$U$2:$U$995,0))),"")</f>
        <v/>
      </c>
      <c r="G38" s="49" t="str">
        <f>IFERROR(IF(INDEX(BASE!$Q$2:$Q$995,MATCH(19971+ROW(),BASE!$U$2:$U$995,0))="","",INDEX(BASE!$Q$2:$Q$995,MATCH(19971+ROW(),BASE!$U$2:$U$995,0))),"")</f>
        <v/>
      </c>
      <c r="H38" s="27" t="str">
        <f>IFERROR(IF(INDEX(BASE!$K$2:$K$995,MATCH(19971+ROW(),BASE!$U$2:$U$995,0))="","",INDEX(BASE!$K$2:$K$995,MATCH(19971+ROW(),BASE!$U$2:$U$995,0))),"")</f>
        <v/>
      </c>
      <c r="I38" s="29" t="str">
        <f>IFERROR(IF(INDEX(BASE!$L$2:$L$995,MATCH(19971+ROW(),BASE!$U$2:$U$995,0))="","",INDEX(BASE!$L$2:$L$995,MATCH(19971+ROW(),BASE!$U$2:$U$995,0))),"")</f>
        <v/>
      </c>
      <c r="J38" s="27" t="str">
        <f>IFERROR(IF(INDEX(BASE!$I$2:$I$995,MATCH(19971+ROW(),BASE!$U$2:$U$995,0))="","",INDEX(BASE!$I$2:$I$995,MATCH(19971+ROW(),BASE!$U$2:$U$995,0))),"")</f>
        <v/>
      </c>
    </row>
    <row r="39" spans="2:10" ht="15.6" x14ac:dyDescent="0.3">
      <c r="B39" s="30" t="str">
        <f>IFERROR(IF(INDEX(BASE!$B$2:$B$995,MATCH(19971+ROW(),BASE!$U$2:$U$995,0))="","",INDEX(BASE!$B$2:$B$995,MATCH(19971+ROW(),BASE!$U$2:$U$995,0))),"")</f>
        <v/>
      </c>
      <c r="C39" s="48" t="str">
        <f>IFERROR(IF(INDEX(BASE!$A$2:$A$995,MATCH(19971+ROW(),BASE!$U$2:$U$995,0))="","",HYPERLINK(INDEX(BASE!$V$2:$V$995,MATCH(19971+ROW(),BASE!$U$2:$U$995,0)),INDEX(BASE!$A$2:$A$995,MATCH(19971+ROW(),BASE!$U$2:$U$995,0)))),"")</f>
        <v/>
      </c>
      <c r="D39" s="50" t="str">
        <f>IFERROR(IF(INDEX(BASE!$E$2:$E$995,MATCH(19971+ROW(),BASE!$U$2:$U$995,0))="","",INDEX(BASE!$E$2:$E$995,MATCH(19971+ROW(),BASE!$U$2:$U$995,0))),"")</f>
        <v/>
      </c>
      <c r="E39" s="30" t="str">
        <f>IFERROR(IF(INDEX(BASE!$C$2:$C$995,MATCH(19971+ROW(),BASE!$U$2:$U$995,0))="","",INDEX(BASE!$C$2:$C$995,MATCH(19971+ROW(),BASE!$U$2:$U$995,0))),"")</f>
        <v/>
      </c>
      <c r="F39" s="31" t="str">
        <f>IFERROR(IF(INDEX(BASE!$P$2:$P$995,MATCH(19971+ROW(),BASE!$U$2:$U$995,0))="","",INDEX(BASE!$P$2:$P$995,MATCH(19971+ROW(),BASE!$U$2:$U$995,0))),"")</f>
        <v/>
      </c>
      <c r="G39" s="50" t="str">
        <f>IFERROR(IF(INDEX(BASE!$Q$2:$Q$995,MATCH(19971+ROW(),BASE!$U$2:$U$995,0))="","",INDEX(BASE!$Q$2:$Q$995,MATCH(19971+ROW(),BASE!$U$2:$U$995,0))),"")</f>
        <v/>
      </c>
      <c r="H39" s="30" t="str">
        <f>IFERROR(IF(INDEX(BASE!$K$2:$K$995,MATCH(19971+ROW(),BASE!$U$2:$U$995,0))="","",INDEX(BASE!$K$2:$K$995,MATCH(19971+ROW(),BASE!$U$2:$U$995,0))),"")</f>
        <v/>
      </c>
      <c r="I39" s="32" t="str">
        <f>IFERROR(IF(INDEX(BASE!$L$2:$L$995,MATCH(19971+ROW(),BASE!$U$2:$U$995,0))="","",INDEX(BASE!$L$2:$L$995,MATCH(19971+ROW(),BASE!$U$2:$U$995,0))),"")</f>
        <v/>
      </c>
      <c r="J39" s="30" t="str">
        <f>IFERROR(IF(INDEX(BASE!$I$2:$I$995,MATCH(19971+ROW(),BASE!$U$2:$U$995,0))="","",INDEX(BASE!$I$2:$I$995,MATCH(19971+ROW(),BASE!$U$2:$U$995,0))),"")</f>
        <v/>
      </c>
    </row>
    <row r="41" spans="2:10" ht="15.6" x14ac:dyDescent="0.3">
      <c r="B41" s="103" t="str">
        <f>"   🟡   GIGA+ PI     ·     " &amp; COUNTIF(BASE!$N$2:$N$995,"GIGA+ PI") &amp; IF(COUNTIF(BASE!$N$2:$N$995,"GIGA+ PI")=1," chamado"," chamados")</f>
        <v xml:space="preserve">   🟡   GIGA+ PI     ·     1 chamado</v>
      </c>
      <c r="C41" s="76"/>
      <c r="D41" s="76"/>
      <c r="E41" s="76"/>
      <c r="F41" s="76"/>
      <c r="G41" s="76"/>
      <c r="H41" s="76"/>
      <c r="I41" s="76"/>
      <c r="J41" s="76"/>
    </row>
    <row r="42" spans="2:10" x14ac:dyDescent="0.3">
      <c r="B42" s="25" t="s">
        <v>1</v>
      </c>
      <c r="C42" s="25" t="s">
        <v>2</v>
      </c>
      <c r="D42" s="25" t="s">
        <v>3</v>
      </c>
      <c r="E42" s="25" t="s">
        <v>4</v>
      </c>
      <c r="F42" s="26" t="s">
        <v>5</v>
      </c>
      <c r="G42" s="25" t="s">
        <v>6</v>
      </c>
      <c r="H42" s="25" t="s">
        <v>7</v>
      </c>
      <c r="I42" s="26" t="s">
        <v>8</v>
      </c>
      <c r="J42" s="25" t="s">
        <v>9</v>
      </c>
    </row>
    <row r="43" spans="2:10" ht="27.6" x14ac:dyDescent="0.3">
      <c r="B43" s="27" t="str">
        <f>IFERROR(IF(INDEX(BASE!$B$2:$B$995,MATCH(29958+ROW(),BASE!$U$2:$U$995,0))="","",INDEX(BASE!$B$2:$B$995,MATCH(29958+ROW(),BASE!$U$2:$U$995,0))),"")</f>
        <v>VENTOS DE SANTO ONOFRE</v>
      </c>
      <c r="C43" s="48" t="str">
        <f>IFERROR(IF(INDEX(BASE!$A$2:$A$995,MATCH(29958+ROW(),BASE!$U$2:$U$995,0))="","",HYPERLINK(INDEX(BASE!$V$2:$V$995,MATCH(29958+ROW(),BASE!$U$2:$U$995,0)),INDEX(BASE!$A$2:$A$995,MATCH(29958+ROW(),BASE!$U$2:$U$995,0)))),"")</f>
        <v>  15052026-24054</v>
      </c>
      <c r="D43" s="49" t="str">
        <f>IFERROR(IF(INDEX(BASE!$E$2:$E$995,MATCH(29958+ROW(),BASE!$U$2:$U$995,0))="","",INDEX(BASE!$E$2:$E$995,MATCH(29958+ROW(),BASE!$U$2:$U$995,0))),"")</f>
        <v>VENTOS DE SANTO ONOFRE ENERGIAS RENOVAVEIS S A | INDISPONIBILIDADE | SYS/IPD/209717/1</v>
      </c>
      <c r="E43" s="27" t="str">
        <f>IFERROR(IF(INDEX(BASE!$C$2:$C$995,MATCH(29958+ROW(),BASE!$U$2:$U$995,0))="","",INDEX(BASE!$C$2:$C$995,MATCH(29958+ROW(),BASE!$U$2:$U$995,0))),"")</f>
        <v>CMO - Reparo</v>
      </c>
      <c r="F43" s="28" t="str">
        <f ca="1">IFERROR(IF(INDEX(BASE!$P$2:$P$995,MATCH(29958+ROW(),BASE!$U$2:$U$995,0))="","",INDEX(BASE!$P$2:$P$995,MATCH(29958+ROW(),BASE!$U$2:$U$995,0))),"")</f>
        <v>120h 00m</v>
      </c>
      <c r="G43" s="49" t="str">
        <f ca="1">IFERROR(IF(INDEX(BASE!$Q$2:$Q$995,MATCH(29958+ROW(),BASE!$U$2:$U$995,0))="","",INDEX(BASE!$Q$2:$Q$995,MATCH(29958+ROW(),BASE!$U$2:$U$995,0))),"")</f>
        <v>🔴 Maior que 24h</v>
      </c>
      <c r="H43" s="27" t="str">
        <f>IFERROR(IF(INDEX(BASE!$K$2:$K$995,MATCH(29958+ROW(),BASE!$U$2:$U$995,0))="","",INDEX(BASE!$K$2:$K$995,MATCH(29958+ROW(),BASE!$U$2:$U$995,0))),"")</f>
        <v>SIMOES</v>
      </c>
      <c r="I43" s="29" t="str">
        <f>IFERROR(IF(INDEX(BASE!$L$2:$L$995,MATCH(29958+ROW(),BASE!$U$2:$U$995,0))="","",INDEX(BASE!$L$2:$L$995,MATCH(29958+ROW(),BASE!$U$2:$U$995,0))),"")</f>
        <v>PI</v>
      </c>
      <c r="J43" s="27" t="str">
        <f>IFERROR(IF(INDEX(BASE!$I$2:$I$995,MATCH(29958+ROW(),BASE!$U$2:$U$995,0))="","",INDEX(BASE!$I$2:$I$995,MATCH(29958+ROW(),BASE!$U$2:$U$995,0))),"")</f>
        <v>AGUARDANDO LIBERAÇÃO DE ACESSO</v>
      </c>
    </row>
    <row r="44" spans="2:10" ht="15.6" x14ac:dyDescent="0.3">
      <c r="B44" s="30" t="str">
        <f>IFERROR(IF(INDEX(BASE!$B$2:$B$995,MATCH(29958+ROW(),BASE!$U$2:$U$995,0))="","",INDEX(BASE!$B$2:$B$995,MATCH(29958+ROW(),BASE!$U$2:$U$995,0))),"")</f>
        <v/>
      </c>
      <c r="C44" s="48" t="str">
        <f>IFERROR(IF(INDEX(BASE!$A$2:$A$995,MATCH(29958+ROW(),BASE!$U$2:$U$995,0))="","",HYPERLINK(INDEX(BASE!$V$2:$V$995,MATCH(29958+ROW(),BASE!$U$2:$U$995,0)),INDEX(BASE!$A$2:$A$995,MATCH(29958+ROW(),BASE!$U$2:$U$995,0)))),"")</f>
        <v/>
      </c>
      <c r="D44" s="50" t="str">
        <f>IFERROR(IF(INDEX(BASE!$E$2:$E$995,MATCH(29958+ROW(),BASE!$U$2:$U$995,0))="","",INDEX(BASE!$E$2:$E$995,MATCH(29958+ROW(),BASE!$U$2:$U$995,0))),"")</f>
        <v/>
      </c>
      <c r="E44" s="30" t="str">
        <f>IFERROR(IF(INDEX(BASE!$C$2:$C$995,MATCH(29958+ROW(),BASE!$U$2:$U$995,0))="","",INDEX(BASE!$C$2:$C$995,MATCH(29958+ROW(),BASE!$U$2:$U$995,0))),"")</f>
        <v/>
      </c>
      <c r="F44" s="31" t="str">
        <f>IFERROR(IF(INDEX(BASE!$P$2:$P$995,MATCH(29958+ROW(),BASE!$U$2:$U$995,0))="","",INDEX(BASE!$P$2:$P$995,MATCH(29958+ROW(),BASE!$U$2:$U$995,0))),"")</f>
        <v/>
      </c>
      <c r="G44" s="50" t="str">
        <f>IFERROR(IF(INDEX(BASE!$Q$2:$Q$995,MATCH(29958+ROW(),BASE!$U$2:$U$995,0))="","",INDEX(BASE!$Q$2:$Q$995,MATCH(29958+ROW(),BASE!$U$2:$U$995,0))),"")</f>
        <v/>
      </c>
      <c r="H44" s="30" t="str">
        <f>IFERROR(IF(INDEX(BASE!$K$2:$K$995,MATCH(29958+ROW(),BASE!$U$2:$U$995,0))="","",INDEX(BASE!$K$2:$K$995,MATCH(29958+ROW(),BASE!$U$2:$U$995,0))),"")</f>
        <v/>
      </c>
      <c r="I44" s="32" t="str">
        <f>IFERROR(IF(INDEX(BASE!$L$2:$L$995,MATCH(29958+ROW(),BASE!$U$2:$U$995,0))="","",INDEX(BASE!$L$2:$L$995,MATCH(29958+ROW(),BASE!$U$2:$U$995,0))),"")</f>
        <v/>
      </c>
      <c r="J44" s="30" t="str">
        <f>IFERROR(IF(INDEX(BASE!$I$2:$I$995,MATCH(29958+ROW(),BASE!$U$2:$U$995,0))="","",INDEX(BASE!$I$2:$I$995,MATCH(29958+ROW(),BASE!$U$2:$U$995,0))),"")</f>
        <v/>
      </c>
    </row>
    <row r="45" spans="2:10" ht="15.6" x14ac:dyDescent="0.3">
      <c r="B45" s="27" t="str">
        <f>IFERROR(IF(INDEX(BASE!$B$2:$B$995,MATCH(29958+ROW(),BASE!$U$2:$U$995,0))="","",INDEX(BASE!$B$2:$B$995,MATCH(29958+ROW(),BASE!$U$2:$U$995,0))),"")</f>
        <v/>
      </c>
      <c r="C45" s="48" t="str">
        <f>IFERROR(IF(INDEX(BASE!$A$2:$A$995,MATCH(29958+ROW(),BASE!$U$2:$U$995,0))="","",HYPERLINK(INDEX(BASE!$V$2:$V$995,MATCH(29958+ROW(),BASE!$U$2:$U$995,0)),INDEX(BASE!$A$2:$A$995,MATCH(29958+ROW(),BASE!$U$2:$U$995,0)))),"")</f>
        <v/>
      </c>
      <c r="D45" s="49" t="str">
        <f>IFERROR(IF(INDEX(BASE!$E$2:$E$995,MATCH(29958+ROW(),BASE!$U$2:$U$995,0))="","",INDEX(BASE!$E$2:$E$995,MATCH(29958+ROW(),BASE!$U$2:$U$995,0))),"")</f>
        <v/>
      </c>
      <c r="E45" s="27" t="str">
        <f>IFERROR(IF(INDEX(BASE!$C$2:$C$995,MATCH(29958+ROW(),BASE!$U$2:$U$995,0))="","",INDEX(BASE!$C$2:$C$995,MATCH(29958+ROW(),BASE!$U$2:$U$995,0))),"")</f>
        <v/>
      </c>
      <c r="F45" s="28" t="str">
        <f>IFERROR(IF(INDEX(BASE!$P$2:$P$995,MATCH(29958+ROW(),BASE!$U$2:$U$995,0))="","",INDEX(BASE!$P$2:$P$995,MATCH(29958+ROW(),BASE!$U$2:$U$995,0))),"")</f>
        <v/>
      </c>
      <c r="G45" s="49" t="str">
        <f>IFERROR(IF(INDEX(BASE!$Q$2:$Q$995,MATCH(29958+ROW(),BASE!$U$2:$U$995,0))="","",INDEX(BASE!$Q$2:$Q$995,MATCH(29958+ROW(),BASE!$U$2:$U$995,0))),"")</f>
        <v/>
      </c>
      <c r="H45" s="27" t="str">
        <f>IFERROR(IF(INDEX(BASE!$K$2:$K$995,MATCH(29958+ROW(),BASE!$U$2:$U$995,0))="","",INDEX(BASE!$K$2:$K$995,MATCH(29958+ROW(),BASE!$U$2:$U$995,0))),"")</f>
        <v/>
      </c>
      <c r="I45" s="29" t="str">
        <f>IFERROR(IF(INDEX(BASE!$L$2:$L$995,MATCH(29958+ROW(),BASE!$U$2:$U$995,0))="","",INDEX(BASE!$L$2:$L$995,MATCH(29958+ROW(),BASE!$U$2:$U$995,0))),"")</f>
        <v/>
      </c>
      <c r="J45" s="27" t="str">
        <f>IFERROR(IF(INDEX(BASE!$I$2:$I$995,MATCH(29958+ROW(),BASE!$U$2:$U$995,0))="","",INDEX(BASE!$I$2:$I$995,MATCH(29958+ROW(),BASE!$U$2:$U$995,0))),"")</f>
        <v/>
      </c>
    </row>
    <row r="46" spans="2:10" ht="15.6" x14ac:dyDescent="0.3">
      <c r="B46" s="30" t="str">
        <f>IFERROR(IF(INDEX(BASE!$B$2:$B$995,MATCH(29958+ROW(),BASE!$U$2:$U$995,0))="","",INDEX(BASE!$B$2:$B$995,MATCH(29958+ROW(),BASE!$U$2:$U$995,0))),"")</f>
        <v/>
      </c>
      <c r="C46" s="48" t="str">
        <f>IFERROR(IF(INDEX(BASE!$A$2:$A$995,MATCH(29958+ROW(),BASE!$U$2:$U$995,0))="","",HYPERLINK(INDEX(BASE!$V$2:$V$995,MATCH(29958+ROW(),BASE!$U$2:$U$995,0)),INDEX(BASE!$A$2:$A$995,MATCH(29958+ROW(),BASE!$U$2:$U$995,0)))),"")</f>
        <v/>
      </c>
      <c r="D46" s="50" t="str">
        <f>IFERROR(IF(INDEX(BASE!$E$2:$E$995,MATCH(29958+ROW(),BASE!$U$2:$U$995,0))="","",INDEX(BASE!$E$2:$E$995,MATCH(29958+ROW(),BASE!$U$2:$U$995,0))),"")</f>
        <v/>
      </c>
      <c r="E46" s="30" t="str">
        <f>IFERROR(IF(INDEX(BASE!$C$2:$C$995,MATCH(29958+ROW(),BASE!$U$2:$U$995,0))="","",INDEX(BASE!$C$2:$C$995,MATCH(29958+ROW(),BASE!$U$2:$U$995,0))),"")</f>
        <v/>
      </c>
      <c r="F46" s="31" t="str">
        <f>IFERROR(IF(INDEX(BASE!$P$2:$P$995,MATCH(29958+ROW(),BASE!$U$2:$U$995,0))="","",INDEX(BASE!$P$2:$P$995,MATCH(29958+ROW(),BASE!$U$2:$U$995,0))),"")</f>
        <v/>
      </c>
      <c r="G46" s="50" t="str">
        <f>IFERROR(IF(INDEX(BASE!$Q$2:$Q$995,MATCH(29958+ROW(),BASE!$U$2:$U$995,0))="","",INDEX(BASE!$Q$2:$Q$995,MATCH(29958+ROW(),BASE!$U$2:$U$995,0))),"")</f>
        <v/>
      </c>
      <c r="H46" s="30" t="str">
        <f>IFERROR(IF(INDEX(BASE!$K$2:$K$995,MATCH(29958+ROW(),BASE!$U$2:$U$995,0))="","",INDEX(BASE!$K$2:$K$995,MATCH(29958+ROW(),BASE!$U$2:$U$995,0))),"")</f>
        <v/>
      </c>
      <c r="I46" s="32" t="str">
        <f>IFERROR(IF(INDEX(BASE!$L$2:$L$995,MATCH(29958+ROW(),BASE!$U$2:$U$995,0))="","",INDEX(BASE!$L$2:$L$995,MATCH(29958+ROW(),BASE!$U$2:$U$995,0))),"")</f>
        <v/>
      </c>
      <c r="J46" s="30" t="str">
        <f>IFERROR(IF(INDEX(BASE!$I$2:$I$995,MATCH(29958+ROW(),BASE!$U$2:$U$995,0))="","",INDEX(BASE!$I$2:$I$995,MATCH(29958+ROW(),BASE!$U$2:$U$995,0))),"")</f>
        <v/>
      </c>
    </row>
    <row r="47" spans="2:10" ht="15.6" x14ac:dyDescent="0.3">
      <c r="B47" s="27" t="str">
        <f>IFERROR(IF(INDEX(BASE!$B$2:$B$995,MATCH(29958+ROW(),BASE!$U$2:$U$995,0))="","",INDEX(BASE!$B$2:$B$995,MATCH(29958+ROW(),BASE!$U$2:$U$995,0))),"")</f>
        <v/>
      </c>
      <c r="C47" s="48" t="str">
        <f>IFERROR(IF(INDEX(BASE!$A$2:$A$995,MATCH(29958+ROW(),BASE!$U$2:$U$995,0))="","",HYPERLINK(INDEX(BASE!$V$2:$V$995,MATCH(29958+ROW(),BASE!$U$2:$U$995,0)),INDEX(BASE!$A$2:$A$995,MATCH(29958+ROW(),BASE!$U$2:$U$995,0)))),"")</f>
        <v/>
      </c>
      <c r="D47" s="49" t="str">
        <f>IFERROR(IF(INDEX(BASE!$E$2:$E$995,MATCH(29958+ROW(),BASE!$U$2:$U$995,0))="","",INDEX(BASE!$E$2:$E$995,MATCH(29958+ROW(),BASE!$U$2:$U$995,0))),"")</f>
        <v/>
      </c>
      <c r="E47" s="27" t="str">
        <f>IFERROR(IF(INDEX(BASE!$C$2:$C$995,MATCH(29958+ROW(),BASE!$U$2:$U$995,0))="","",INDEX(BASE!$C$2:$C$995,MATCH(29958+ROW(),BASE!$U$2:$U$995,0))),"")</f>
        <v/>
      </c>
      <c r="F47" s="28" t="str">
        <f>IFERROR(IF(INDEX(BASE!$P$2:$P$995,MATCH(29958+ROW(),BASE!$U$2:$U$995,0))="","",INDEX(BASE!$P$2:$P$995,MATCH(29958+ROW(),BASE!$U$2:$U$995,0))),"")</f>
        <v/>
      </c>
      <c r="G47" s="49" t="str">
        <f>IFERROR(IF(INDEX(BASE!$Q$2:$Q$995,MATCH(29958+ROW(),BASE!$U$2:$U$995,0))="","",INDEX(BASE!$Q$2:$Q$995,MATCH(29958+ROW(),BASE!$U$2:$U$995,0))),"")</f>
        <v/>
      </c>
      <c r="H47" s="27" t="str">
        <f>IFERROR(IF(INDEX(BASE!$K$2:$K$995,MATCH(29958+ROW(),BASE!$U$2:$U$995,0))="","",INDEX(BASE!$K$2:$K$995,MATCH(29958+ROW(),BASE!$U$2:$U$995,0))),"")</f>
        <v/>
      </c>
      <c r="I47" s="29" t="str">
        <f>IFERROR(IF(INDEX(BASE!$L$2:$L$995,MATCH(29958+ROW(),BASE!$U$2:$U$995,0))="","",INDEX(BASE!$L$2:$L$995,MATCH(29958+ROW(),BASE!$U$2:$U$995,0))),"")</f>
        <v/>
      </c>
      <c r="J47" s="27" t="str">
        <f>IFERROR(IF(INDEX(BASE!$I$2:$I$995,MATCH(29958+ROW(),BASE!$U$2:$U$995,0))="","",INDEX(BASE!$I$2:$I$995,MATCH(29958+ROW(),BASE!$U$2:$U$995,0))),"")</f>
        <v/>
      </c>
    </row>
    <row r="48" spans="2:10" ht="15.6" x14ac:dyDescent="0.3">
      <c r="B48" s="30" t="str">
        <f>IFERROR(IF(INDEX(BASE!$B$2:$B$995,MATCH(29958+ROW(),BASE!$U$2:$U$995,0))="","",INDEX(BASE!$B$2:$B$995,MATCH(29958+ROW(),BASE!$U$2:$U$995,0))),"")</f>
        <v/>
      </c>
      <c r="C48" s="48" t="str">
        <f>IFERROR(IF(INDEX(BASE!$A$2:$A$995,MATCH(29958+ROW(),BASE!$U$2:$U$995,0))="","",HYPERLINK(INDEX(BASE!$V$2:$V$995,MATCH(29958+ROW(),BASE!$U$2:$U$995,0)),INDEX(BASE!$A$2:$A$995,MATCH(29958+ROW(),BASE!$U$2:$U$995,0)))),"")</f>
        <v/>
      </c>
      <c r="D48" s="50" t="str">
        <f>IFERROR(IF(INDEX(BASE!$E$2:$E$995,MATCH(29958+ROW(),BASE!$U$2:$U$995,0))="","",INDEX(BASE!$E$2:$E$995,MATCH(29958+ROW(),BASE!$U$2:$U$995,0))),"")</f>
        <v/>
      </c>
      <c r="E48" s="30" t="str">
        <f>IFERROR(IF(INDEX(BASE!$C$2:$C$995,MATCH(29958+ROW(),BASE!$U$2:$U$995,0))="","",INDEX(BASE!$C$2:$C$995,MATCH(29958+ROW(),BASE!$U$2:$U$995,0))),"")</f>
        <v/>
      </c>
      <c r="F48" s="31" t="str">
        <f>IFERROR(IF(INDEX(BASE!$P$2:$P$995,MATCH(29958+ROW(),BASE!$U$2:$U$995,0))="","",INDEX(BASE!$P$2:$P$995,MATCH(29958+ROW(),BASE!$U$2:$U$995,0))),"")</f>
        <v/>
      </c>
      <c r="G48" s="50" t="str">
        <f>IFERROR(IF(INDEX(BASE!$Q$2:$Q$995,MATCH(29958+ROW(),BASE!$U$2:$U$995,0))="","",INDEX(BASE!$Q$2:$Q$995,MATCH(29958+ROW(),BASE!$U$2:$U$995,0))),"")</f>
        <v/>
      </c>
      <c r="H48" s="30" t="str">
        <f>IFERROR(IF(INDEX(BASE!$K$2:$K$995,MATCH(29958+ROW(),BASE!$U$2:$U$995,0))="","",INDEX(BASE!$K$2:$K$995,MATCH(29958+ROW(),BASE!$U$2:$U$995,0))),"")</f>
        <v/>
      </c>
      <c r="I48" s="32" t="str">
        <f>IFERROR(IF(INDEX(BASE!$L$2:$L$995,MATCH(29958+ROW(),BASE!$U$2:$U$995,0))="","",INDEX(BASE!$L$2:$L$995,MATCH(29958+ROW(),BASE!$U$2:$U$995,0))),"")</f>
        <v/>
      </c>
      <c r="J48" s="30" t="str">
        <f>IFERROR(IF(INDEX(BASE!$I$2:$I$995,MATCH(29958+ROW(),BASE!$U$2:$U$995,0))="","",INDEX(BASE!$I$2:$I$995,MATCH(29958+ROW(),BASE!$U$2:$U$995,0))),"")</f>
        <v/>
      </c>
    </row>
    <row r="49" spans="2:10" ht="15.6" x14ac:dyDescent="0.3">
      <c r="B49" s="27" t="str">
        <f>IFERROR(IF(INDEX(BASE!$B$2:$B$995,MATCH(29958+ROW(),BASE!$U$2:$U$995,0))="","",INDEX(BASE!$B$2:$B$995,MATCH(29958+ROW(),BASE!$U$2:$U$995,0))),"")</f>
        <v/>
      </c>
      <c r="C49" s="48" t="str">
        <f>IFERROR(IF(INDEX(BASE!$A$2:$A$995,MATCH(29958+ROW(),BASE!$U$2:$U$995,0))="","",HYPERLINK(INDEX(BASE!$V$2:$V$995,MATCH(29958+ROW(),BASE!$U$2:$U$995,0)),INDEX(BASE!$A$2:$A$995,MATCH(29958+ROW(),BASE!$U$2:$U$995,0)))),"")</f>
        <v/>
      </c>
      <c r="D49" s="49" t="str">
        <f>IFERROR(IF(INDEX(BASE!$E$2:$E$995,MATCH(29958+ROW(),BASE!$U$2:$U$995,0))="","",INDEX(BASE!$E$2:$E$995,MATCH(29958+ROW(),BASE!$U$2:$U$995,0))),"")</f>
        <v/>
      </c>
      <c r="E49" s="27" t="str">
        <f>IFERROR(IF(INDEX(BASE!$C$2:$C$995,MATCH(29958+ROW(),BASE!$U$2:$U$995,0))="","",INDEX(BASE!$C$2:$C$995,MATCH(29958+ROW(),BASE!$U$2:$U$995,0))),"")</f>
        <v/>
      </c>
      <c r="F49" s="28" t="str">
        <f>IFERROR(IF(INDEX(BASE!$P$2:$P$995,MATCH(29958+ROW(),BASE!$U$2:$U$995,0))="","",INDEX(BASE!$P$2:$P$995,MATCH(29958+ROW(),BASE!$U$2:$U$995,0))),"")</f>
        <v/>
      </c>
      <c r="G49" s="49" t="str">
        <f>IFERROR(IF(INDEX(BASE!$Q$2:$Q$995,MATCH(29958+ROW(),BASE!$U$2:$U$995,0))="","",INDEX(BASE!$Q$2:$Q$995,MATCH(29958+ROW(),BASE!$U$2:$U$995,0))),"")</f>
        <v/>
      </c>
      <c r="H49" s="27" t="str">
        <f>IFERROR(IF(INDEX(BASE!$K$2:$K$995,MATCH(29958+ROW(),BASE!$U$2:$U$995,0))="","",INDEX(BASE!$K$2:$K$995,MATCH(29958+ROW(),BASE!$U$2:$U$995,0))),"")</f>
        <v/>
      </c>
      <c r="I49" s="29" t="str">
        <f>IFERROR(IF(INDEX(BASE!$L$2:$L$995,MATCH(29958+ROW(),BASE!$U$2:$U$995,0))="","",INDEX(BASE!$L$2:$L$995,MATCH(29958+ROW(),BASE!$U$2:$U$995,0))),"")</f>
        <v/>
      </c>
      <c r="J49" s="27" t="str">
        <f>IFERROR(IF(INDEX(BASE!$I$2:$I$995,MATCH(29958+ROW(),BASE!$U$2:$U$995,0))="","",INDEX(BASE!$I$2:$I$995,MATCH(29958+ROW(),BASE!$U$2:$U$995,0))),"")</f>
        <v/>
      </c>
    </row>
    <row r="50" spans="2:10" ht="15.6" x14ac:dyDescent="0.3">
      <c r="B50" s="30" t="str">
        <f>IFERROR(IF(INDEX(BASE!$B$2:$B$995,MATCH(29958+ROW(),BASE!$U$2:$U$995,0))="","",INDEX(BASE!$B$2:$B$995,MATCH(29958+ROW(),BASE!$U$2:$U$995,0))),"")</f>
        <v/>
      </c>
      <c r="C50" s="48" t="str">
        <f>IFERROR(IF(INDEX(BASE!$A$2:$A$995,MATCH(29958+ROW(),BASE!$U$2:$U$995,0))="","",HYPERLINK(INDEX(BASE!$V$2:$V$995,MATCH(29958+ROW(),BASE!$U$2:$U$995,0)),INDEX(BASE!$A$2:$A$995,MATCH(29958+ROW(),BASE!$U$2:$U$995,0)))),"")</f>
        <v/>
      </c>
      <c r="D50" s="50" t="str">
        <f>IFERROR(IF(INDEX(BASE!$E$2:$E$995,MATCH(29958+ROW(),BASE!$U$2:$U$995,0))="","",INDEX(BASE!$E$2:$E$995,MATCH(29958+ROW(),BASE!$U$2:$U$995,0))),"")</f>
        <v/>
      </c>
      <c r="E50" s="30" t="str">
        <f>IFERROR(IF(INDEX(BASE!$C$2:$C$995,MATCH(29958+ROW(),BASE!$U$2:$U$995,0))="","",INDEX(BASE!$C$2:$C$995,MATCH(29958+ROW(),BASE!$U$2:$U$995,0))),"")</f>
        <v/>
      </c>
      <c r="F50" s="31" t="str">
        <f>IFERROR(IF(INDEX(BASE!$P$2:$P$995,MATCH(29958+ROW(),BASE!$U$2:$U$995,0))="","",INDEX(BASE!$P$2:$P$995,MATCH(29958+ROW(),BASE!$U$2:$U$995,0))),"")</f>
        <v/>
      </c>
      <c r="G50" s="50" t="str">
        <f>IFERROR(IF(INDEX(BASE!$Q$2:$Q$995,MATCH(29958+ROW(),BASE!$U$2:$U$995,0))="","",INDEX(BASE!$Q$2:$Q$995,MATCH(29958+ROW(),BASE!$U$2:$U$995,0))),"")</f>
        <v/>
      </c>
      <c r="H50" s="30" t="str">
        <f>IFERROR(IF(INDEX(BASE!$K$2:$K$995,MATCH(29958+ROW(),BASE!$U$2:$U$995,0))="","",INDEX(BASE!$K$2:$K$995,MATCH(29958+ROW(),BASE!$U$2:$U$995,0))),"")</f>
        <v/>
      </c>
      <c r="I50" s="32" t="str">
        <f>IFERROR(IF(INDEX(BASE!$L$2:$L$995,MATCH(29958+ROW(),BASE!$U$2:$U$995,0))="","",INDEX(BASE!$L$2:$L$995,MATCH(29958+ROW(),BASE!$U$2:$U$995,0))),"")</f>
        <v/>
      </c>
      <c r="J50" s="30" t="str">
        <f>IFERROR(IF(INDEX(BASE!$I$2:$I$995,MATCH(29958+ROW(),BASE!$U$2:$U$995,0))="","",INDEX(BASE!$I$2:$I$995,MATCH(29958+ROW(),BASE!$U$2:$U$995,0))),"")</f>
        <v/>
      </c>
    </row>
    <row r="51" spans="2:10" ht="15.6" x14ac:dyDescent="0.3">
      <c r="B51" s="27" t="str">
        <f>IFERROR(IF(INDEX(BASE!$B$2:$B$995,MATCH(29958+ROW(),BASE!$U$2:$U$995,0))="","",INDEX(BASE!$B$2:$B$995,MATCH(29958+ROW(),BASE!$U$2:$U$995,0))),"")</f>
        <v/>
      </c>
      <c r="C51" s="48" t="str">
        <f>IFERROR(IF(INDEX(BASE!$A$2:$A$995,MATCH(29958+ROW(),BASE!$U$2:$U$995,0))="","",HYPERLINK(INDEX(BASE!$V$2:$V$995,MATCH(29958+ROW(),BASE!$U$2:$U$995,0)),INDEX(BASE!$A$2:$A$995,MATCH(29958+ROW(),BASE!$U$2:$U$995,0)))),"")</f>
        <v/>
      </c>
      <c r="D51" s="49" t="str">
        <f>IFERROR(IF(INDEX(BASE!$E$2:$E$995,MATCH(29958+ROW(),BASE!$U$2:$U$995,0))="","",INDEX(BASE!$E$2:$E$995,MATCH(29958+ROW(),BASE!$U$2:$U$995,0))),"")</f>
        <v/>
      </c>
      <c r="E51" s="27" t="str">
        <f>IFERROR(IF(INDEX(BASE!$C$2:$C$995,MATCH(29958+ROW(),BASE!$U$2:$U$995,0))="","",INDEX(BASE!$C$2:$C$995,MATCH(29958+ROW(),BASE!$U$2:$U$995,0))),"")</f>
        <v/>
      </c>
      <c r="F51" s="28" t="str">
        <f>IFERROR(IF(INDEX(BASE!$P$2:$P$995,MATCH(29958+ROW(),BASE!$U$2:$U$995,0))="","",INDEX(BASE!$P$2:$P$995,MATCH(29958+ROW(),BASE!$U$2:$U$995,0))),"")</f>
        <v/>
      </c>
      <c r="G51" s="49" t="str">
        <f>IFERROR(IF(INDEX(BASE!$Q$2:$Q$995,MATCH(29958+ROW(),BASE!$U$2:$U$995,0))="","",INDEX(BASE!$Q$2:$Q$995,MATCH(29958+ROW(),BASE!$U$2:$U$995,0))),"")</f>
        <v/>
      </c>
      <c r="H51" s="27" t="str">
        <f>IFERROR(IF(INDEX(BASE!$K$2:$K$995,MATCH(29958+ROW(),BASE!$U$2:$U$995,0))="","",INDEX(BASE!$K$2:$K$995,MATCH(29958+ROW(),BASE!$U$2:$U$995,0))),"")</f>
        <v/>
      </c>
      <c r="I51" s="29" t="str">
        <f>IFERROR(IF(INDEX(BASE!$L$2:$L$995,MATCH(29958+ROW(),BASE!$U$2:$U$995,0))="","",INDEX(BASE!$L$2:$L$995,MATCH(29958+ROW(),BASE!$U$2:$U$995,0))),"")</f>
        <v/>
      </c>
      <c r="J51" s="27" t="str">
        <f>IFERROR(IF(INDEX(BASE!$I$2:$I$995,MATCH(29958+ROW(),BASE!$U$2:$U$995,0))="","",INDEX(BASE!$I$2:$I$995,MATCH(29958+ROW(),BASE!$U$2:$U$995,0))),"")</f>
        <v/>
      </c>
    </row>
    <row r="52" spans="2:10" ht="15.6" x14ac:dyDescent="0.3">
      <c r="B52" s="30" t="str">
        <f>IFERROR(IF(INDEX(BASE!$B$2:$B$995,MATCH(29958+ROW(),BASE!$U$2:$U$995,0))="","",INDEX(BASE!$B$2:$B$995,MATCH(29958+ROW(),BASE!$U$2:$U$995,0))),"")</f>
        <v/>
      </c>
      <c r="C52" s="48" t="str">
        <f>IFERROR(IF(INDEX(BASE!$A$2:$A$995,MATCH(29958+ROW(),BASE!$U$2:$U$995,0))="","",HYPERLINK(INDEX(BASE!$V$2:$V$995,MATCH(29958+ROW(),BASE!$U$2:$U$995,0)),INDEX(BASE!$A$2:$A$995,MATCH(29958+ROW(),BASE!$U$2:$U$995,0)))),"")</f>
        <v/>
      </c>
      <c r="D52" s="50" t="str">
        <f>IFERROR(IF(INDEX(BASE!$E$2:$E$995,MATCH(29958+ROW(),BASE!$U$2:$U$995,0))="","",INDEX(BASE!$E$2:$E$995,MATCH(29958+ROW(),BASE!$U$2:$U$995,0))),"")</f>
        <v/>
      </c>
      <c r="E52" s="30" t="str">
        <f>IFERROR(IF(INDEX(BASE!$C$2:$C$995,MATCH(29958+ROW(),BASE!$U$2:$U$995,0))="","",INDEX(BASE!$C$2:$C$995,MATCH(29958+ROW(),BASE!$U$2:$U$995,0))),"")</f>
        <v/>
      </c>
      <c r="F52" s="31" t="str">
        <f>IFERROR(IF(INDEX(BASE!$P$2:$P$995,MATCH(29958+ROW(),BASE!$U$2:$U$995,0))="","",INDEX(BASE!$P$2:$P$995,MATCH(29958+ROW(),BASE!$U$2:$U$995,0))),"")</f>
        <v/>
      </c>
      <c r="G52" s="50" t="str">
        <f>IFERROR(IF(INDEX(BASE!$Q$2:$Q$995,MATCH(29958+ROW(),BASE!$U$2:$U$995,0))="","",INDEX(BASE!$Q$2:$Q$995,MATCH(29958+ROW(),BASE!$U$2:$U$995,0))),"")</f>
        <v/>
      </c>
      <c r="H52" s="30" t="str">
        <f>IFERROR(IF(INDEX(BASE!$K$2:$K$995,MATCH(29958+ROW(),BASE!$U$2:$U$995,0))="","",INDEX(BASE!$K$2:$K$995,MATCH(29958+ROW(),BASE!$U$2:$U$995,0))),"")</f>
        <v/>
      </c>
      <c r="I52" s="32" t="str">
        <f>IFERROR(IF(INDEX(BASE!$L$2:$L$995,MATCH(29958+ROW(),BASE!$U$2:$U$995,0))="","",INDEX(BASE!$L$2:$L$995,MATCH(29958+ROW(),BASE!$U$2:$U$995,0))),"")</f>
        <v/>
      </c>
      <c r="J52" s="30" t="str">
        <f>IFERROR(IF(INDEX(BASE!$I$2:$I$995,MATCH(29958+ROW(),BASE!$U$2:$U$995,0))="","",INDEX(BASE!$I$2:$I$995,MATCH(29958+ROW(),BASE!$U$2:$U$995,0))),"")</f>
        <v/>
      </c>
    </row>
    <row r="54" spans="2:10" ht="15.6" x14ac:dyDescent="0.3">
      <c r="B54" s="103" t="str">
        <f>"   🟣   SLN PA     ·     " &amp; COUNTIF(BASE!$N$2:$N$995,"SLN PA") &amp; IF(COUNTIF(BASE!$N$2:$N$995,"SLN PA")=1," chamado"," chamados")</f>
        <v xml:space="preserve">   🟣   SLN PA     ·     1 chamado</v>
      </c>
      <c r="C54" s="76"/>
      <c r="D54" s="76"/>
      <c r="E54" s="76"/>
      <c r="F54" s="76"/>
      <c r="G54" s="76"/>
      <c r="H54" s="76"/>
      <c r="I54" s="76"/>
      <c r="J54" s="76"/>
    </row>
    <row r="55" spans="2:10" x14ac:dyDescent="0.3">
      <c r="B55" s="25" t="s">
        <v>1</v>
      </c>
      <c r="C55" s="25" t="s">
        <v>2</v>
      </c>
      <c r="D55" s="25" t="s">
        <v>3</v>
      </c>
      <c r="E55" s="25" t="s">
        <v>4</v>
      </c>
      <c r="F55" s="26" t="s">
        <v>5</v>
      </c>
      <c r="G55" s="25" t="s">
        <v>6</v>
      </c>
      <c r="H55" s="25" t="s">
        <v>7</v>
      </c>
      <c r="I55" s="26" t="s">
        <v>8</v>
      </c>
      <c r="J55" s="25" t="s">
        <v>9</v>
      </c>
    </row>
    <row r="56" spans="2:10" ht="27.6" x14ac:dyDescent="0.3">
      <c r="B56" s="27" t="str">
        <f>IFERROR(IF(INDEX(BASE!$B$2:$B$995,MATCH(39945+ROW(),BASE!$U$2:$U$995,0))="","",INDEX(BASE!$B$2:$B$995,MATCH(39945+ROW(),BASE!$U$2:$U$995,0))),"")</f>
        <v>COMPUSERVICE EMPREENDIMENTOS LTDA</v>
      </c>
      <c r="C56" s="48" t="str">
        <f>IFERROR(IF(INDEX(BASE!$A$2:$A$995,MATCH(39945+ROW(),BASE!$U$2:$U$995,0))="","",HYPERLINK(INDEX(BASE!$V$2:$V$995,MATCH(39945+ROW(),BASE!$U$2:$U$995,0)),INDEX(BASE!$A$2:$A$995,MATCH(39945+ROW(),BASE!$U$2:$U$995,0)))),"")</f>
        <v>  01062026-48590</v>
      </c>
      <c r="D56" s="49" t="str">
        <f>IFERROR(IF(INDEX(BASE!$E$2:$E$995,MATCH(39945+ROW(),BASE!$U$2:$U$995,0))="","",INDEX(BASE!$E$2:$E$995,MATCH(39945+ROW(),BASE!$U$2:$U$995,0))),"")</f>
        <v>COMPUSERVICE EMPREENDIMENTOS LTDA | Indisponibilidade | FLA/IPD/117133/4</v>
      </c>
      <c r="E56" s="27" t="str">
        <f>IFERROR(IF(INDEX(BASE!$C$2:$C$995,MATCH(39945+ROW(),BASE!$U$2:$U$995,0))="","",INDEX(BASE!$C$2:$C$995,MATCH(39945+ROW(),BASE!$U$2:$U$995,0))),"")</f>
        <v>CMO - Reparo</v>
      </c>
      <c r="F56" s="28" t="str">
        <f ca="1">IFERROR(IF(INDEX(BASE!$P$2:$P$995,MATCH(39945+ROW(),BASE!$U$2:$U$995,0))="","",INDEX(BASE!$P$2:$P$995,MATCH(39945+ROW(),BASE!$U$2:$U$995,0))),"")</f>
        <v>19h 30m</v>
      </c>
      <c r="G56" s="49" t="str">
        <f ca="1">IFERROR(IF(INDEX(BASE!$Q$2:$Q$995,MATCH(39945+ROW(),BASE!$U$2:$U$995,0))="","",INDEX(BASE!$Q$2:$Q$995,MATCH(39945+ROW(),BASE!$U$2:$U$995,0))),"")</f>
        <v>🟠 Entre 12h e 24h</v>
      </c>
      <c r="H56" s="27" t="str">
        <f>IFERROR(IF(INDEX(BASE!$K$2:$K$995,MATCH(39945+ROW(),BASE!$U$2:$U$995,0))="","",INDEX(BASE!$K$2:$K$995,MATCH(39945+ROW(),BASE!$U$2:$U$995,0))),"")</f>
        <v>ALMERIM</v>
      </c>
      <c r="I56" s="29" t="str">
        <f>IFERROR(IF(INDEX(BASE!$L$2:$L$995,MATCH(39945+ROW(),BASE!$U$2:$U$995,0))="","",INDEX(BASE!$L$2:$L$995,MATCH(39945+ROW(),BASE!$U$2:$U$995,0))),"")</f>
        <v>PA</v>
      </c>
      <c r="J56" s="27" t="str">
        <f>IFERROR(IF(INDEX(BASE!$I$2:$I$995,MATCH(39945+ROW(),BASE!$U$2:$U$995,0))="","",INDEX(BASE!$I$2:$I$995,MATCH(39945+ROW(),BASE!$U$2:$U$995,0))),"")</f>
        <v>AGUARDANDO DISPONIBILIDADE TECNICA</v>
      </c>
    </row>
    <row r="57" spans="2:10" ht="15.6" x14ac:dyDescent="0.3">
      <c r="B57" s="30" t="str">
        <f>IFERROR(IF(INDEX(BASE!$B$2:$B$995,MATCH(39945+ROW(),BASE!$U$2:$U$995,0))="","",INDEX(BASE!$B$2:$B$995,MATCH(39945+ROW(),BASE!$U$2:$U$995,0))),"")</f>
        <v/>
      </c>
      <c r="C57" s="48" t="str">
        <f>IFERROR(IF(INDEX(BASE!$A$2:$A$995,MATCH(39945+ROW(),BASE!$U$2:$U$995,0))="","",HYPERLINK(INDEX(BASE!$V$2:$V$995,MATCH(39945+ROW(),BASE!$U$2:$U$995,0)),INDEX(BASE!$A$2:$A$995,MATCH(39945+ROW(),BASE!$U$2:$U$995,0)))),"")</f>
        <v/>
      </c>
      <c r="D57" s="50" t="str">
        <f>IFERROR(IF(INDEX(BASE!$E$2:$E$995,MATCH(39945+ROW(),BASE!$U$2:$U$995,0))="","",INDEX(BASE!$E$2:$E$995,MATCH(39945+ROW(),BASE!$U$2:$U$995,0))),"")</f>
        <v/>
      </c>
      <c r="E57" s="30" t="str">
        <f>IFERROR(IF(INDEX(BASE!$C$2:$C$995,MATCH(39945+ROW(),BASE!$U$2:$U$995,0))="","",INDEX(BASE!$C$2:$C$995,MATCH(39945+ROW(),BASE!$U$2:$U$995,0))),"")</f>
        <v/>
      </c>
      <c r="F57" s="31" t="str">
        <f>IFERROR(IF(INDEX(BASE!$P$2:$P$995,MATCH(39945+ROW(),BASE!$U$2:$U$995,0))="","",INDEX(BASE!$P$2:$P$995,MATCH(39945+ROW(),BASE!$U$2:$U$995,0))),"")</f>
        <v/>
      </c>
      <c r="G57" s="50" t="str">
        <f>IFERROR(IF(INDEX(BASE!$Q$2:$Q$995,MATCH(39945+ROW(),BASE!$U$2:$U$995,0))="","",INDEX(BASE!$Q$2:$Q$995,MATCH(39945+ROW(),BASE!$U$2:$U$995,0))),"")</f>
        <v/>
      </c>
      <c r="H57" s="30" t="str">
        <f>IFERROR(IF(INDEX(BASE!$K$2:$K$995,MATCH(39945+ROW(),BASE!$U$2:$U$995,0))="","",INDEX(BASE!$K$2:$K$995,MATCH(39945+ROW(),BASE!$U$2:$U$995,0))),"")</f>
        <v/>
      </c>
      <c r="I57" s="32" t="str">
        <f>IFERROR(IF(INDEX(BASE!$L$2:$L$995,MATCH(39945+ROW(),BASE!$U$2:$U$995,0))="","",INDEX(BASE!$L$2:$L$995,MATCH(39945+ROW(),BASE!$U$2:$U$995,0))),"")</f>
        <v/>
      </c>
      <c r="J57" s="30" t="str">
        <f>IFERROR(IF(INDEX(BASE!$I$2:$I$995,MATCH(39945+ROW(),BASE!$U$2:$U$995,0))="","",INDEX(BASE!$I$2:$I$995,MATCH(39945+ROW(),BASE!$U$2:$U$995,0))),"")</f>
        <v/>
      </c>
    </row>
    <row r="58" spans="2:10" ht="15.6" x14ac:dyDescent="0.3">
      <c r="B58" s="27" t="str">
        <f>IFERROR(IF(INDEX(BASE!$B$2:$B$995,MATCH(39945+ROW(),BASE!$U$2:$U$995,0))="","",INDEX(BASE!$B$2:$B$995,MATCH(39945+ROW(),BASE!$U$2:$U$995,0))),"")</f>
        <v/>
      </c>
      <c r="C58" s="48" t="str">
        <f>IFERROR(IF(INDEX(BASE!$A$2:$A$995,MATCH(39945+ROW(),BASE!$U$2:$U$995,0))="","",HYPERLINK(INDEX(BASE!$V$2:$V$995,MATCH(39945+ROW(),BASE!$U$2:$U$995,0)),INDEX(BASE!$A$2:$A$995,MATCH(39945+ROW(),BASE!$U$2:$U$995,0)))),"")</f>
        <v/>
      </c>
      <c r="D58" s="49" t="str">
        <f>IFERROR(IF(INDEX(BASE!$E$2:$E$995,MATCH(39945+ROW(),BASE!$U$2:$U$995,0))="","",INDEX(BASE!$E$2:$E$995,MATCH(39945+ROW(),BASE!$U$2:$U$995,0))),"")</f>
        <v/>
      </c>
      <c r="E58" s="27" t="str">
        <f>IFERROR(IF(INDEX(BASE!$C$2:$C$995,MATCH(39945+ROW(),BASE!$U$2:$U$995,0))="","",INDEX(BASE!$C$2:$C$995,MATCH(39945+ROW(),BASE!$U$2:$U$995,0))),"")</f>
        <v/>
      </c>
      <c r="F58" s="28" t="str">
        <f>IFERROR(IF(INDEX(BASE!$P$2:$P$995,MATCH(39945+ROW(),BASE!$U$2:$U$995,0))="","",INDEX(BASE!$P$2:$P$995,MATCH(39945+ROW(),BASE!$U$2:$U$995,0))),"")</f>
        <v/>
      </c>
      <c r="G58" s="49" t="str">
        <f>IFERROR(IF(INDEX(BASE!$Q$2:$Q$995,MATCH(39945+ROW(),BASE!$U$2:$U$995,0))="","",INDEX(BASE!$Q$2:$Q$995,MATCH(39945+ROW(),BASE!$U$2:$U$995,0))),"")</f>
        <v/>
      </c>
      <c r="H58" s="27" t="str">
        <f>IFERROR(IF(INDEX(BASE!$K$2:$K$995,MATCH(39945+ROW(),BASE!$U$2:$U$995,0))="","",INDEX(BASE!$K$2:$K$995,MATCH(39945+ROW(),BASE!$U$2:$U$995,0))),"")</f>
        <v/>
      </c>
      <c r="I58" s="29" t="str">
        <f>IFERROR(IF(INDEX(BASE!$L$2:$L$995,MATCH(39945+ROW(),BASE!$U$2:$U$995,0))="","",INDEX(BASE!$L$2:$L$995,MATCH(39945+ROW(),BASE!$U$2:$U$995,0))),"")</f>
        <v/>
      </c>
      <c r="J58" s="27" t="str">
        <f>IFERROR(IF(INDEX(BASE!$I$2:$I$995,MATCH(39945+ROW(),BASE!$U$2:$U$995,0))="","",INDEX(BASE!$I$2:$I$995,MATCH(39945+ROW(),BASE!$U$2:$U$995,0))),"")</f>
        <v/>
      </c>
    </row>
    <row r="59" spans="2:10" ht="15.6" x14ac:dyDescent="0.3">
      <c r="B59" s="30" t="str">
        <f>IFERROR(IF(INDEX(BASE!$B$2:$B$995,MATCH(39945+ROW(),BASE!$U$2:$U$995,0))="","",INDEX(BASE!$B$2:$B$995,MATCH(39945+ROW(),BASE!$U$2:$U$995,0))),"")</f>
        <v/>
      </c>
      <c r="C59" s="48" t="str">
        <f>IFERROR(IF(INDEX(BASE!$A$2:$A$995,MATCH(39945+ROW(),BASE!$U$2:$U$995,0))="","",HYPERLINK(INDEX(BASE!$V$2:$V$995,MATCH(39945+ROW(),BASE!$U$2:$U$995,0)),INDEX(BASE!$A$2:$A$995,MATCH(39945+ROW(),BASE!$U$2:$U$995,0)))),"")</f>
        <v/>
      </c>
      <c r="D59" s="50" t="str">
        <f>IFERROR(IF(INDEX(BASE!$E$2:$E$995,MATCH(39945+ROW(),BASE!$U$2:$U$995,0))="","",INDEX(BASE!$E$2:$E$995,MATCH(39945+ROW(),BASE!$U$2:$U$995,0))),"")</f>
        <v/>
      </c>
      <c r="E59" s="30" t="str">
        <f>IFERROR(IF(INDEX(BASE!$C$2:$C$995,MATCH(39945+ROW(),BASE!$U$2:$U$995,0))="","",INDEX(BASE!$C$2:$C$995,MATCH(39945+ROW(),BASE!$U$2:$U$995,0))),"")</f>
        <v/>
      </c>
      <c r="F59" s="31" t="str">
        <f>IFERROR(IF(INDEX(BASE!$P$2:$P$995,MATCH(39945+ROW(),BASE!$U$2:$U$995,0))="","",INDEX(BASE!$P$2:$P$995,MATCH(39945+ROW(),BASE!$U$2:$U$995,0))),"")</f>
        <v/>
      </c>
      <c r="G59" s="50" t="str">
        <f>IFERROR(IF(INDEX(BASE!$Q$2:$Q$995,MATCH(39945+ROW(),BASE!$U$2:$U$995,0))="","",INDEX(BASE!$Q$2:$Q$995,MATCH(39945+ROW(),BASE!$U$2:$U$995,0))),"")</f>
        <v/>
      </c>
      <c r="H59" s="30" t="str">
        <f>IFERROR(IF(INDEX(BASE!$K$2:$K$995,MATCH(39945+ROW(),BASE!$U$2:$U$995,0))="","",INDEX(BASE!$K$2:$K$995,MATCH(39945+ROW(),BASE!$U$2:$U$995,0))),"")</f>
        <v/>
      </c>
      <c r="I59" s="32" t="str">
        <f>IFERROR(IF(INDEX(BASE!$L$2:$L$995,MATCH(39945+ROW(),BASE!$U$2:$U$995,0))="","",INDEX(BASE!$L$2:$L$995,MATCH(39945+ROW(),BASE!$U$2:$U$995,0))),"")</f>
        <v/>
      </c>
      <c r="J59" s="30" t="str">
        <f>IFERROR(IF(INDEX(BASE!$I$2:$I$995,MATCH(39945+ROW(),BASE!$U$2:$U$995,0))="","",INDEX(BASE!$I$2:$I$995,MATCH(39945+ROW(),BASE!$U$2:$U$995,0))),"")</f>
        <v/>
      </c>
    </row>
    <row r="60" spans="2:10" ht="15.6" x14ac:dyDescent="0.3">
      <c r="B60" s="27" t="str">
        <f>IFERROR(IF(INDEX(BASE!$B$2:$B$995,MATCH(39945+ROW(),BASE!$U$2:$U$995,0))="","",INDEX(BASE!$B$2:$B$995,MATCH(39945+ROW(),BASE!$U$2:$U$995,0))),"")</f>
        <v/>
      </c>
      <c r="C60" s="48" t="str">
        <f>IFERROR(IF(INDEX(BASE!$A$2:$A$995,MATCH(39945+ROW(),BASE!$U$2:$U$995,0))="","",HYPERLINK(INDEX(BASE!$V$2:$V$995,MATCH(39945+ROW(),BASE!$U$2:$U$995,0)),INDEX(BASE!$A$2:$A$995,MATCH(39945+ROW(),BASE!$U$2:$U$995,0)))),"")</f>
        <v/>
      </c>
      <c r="D60" s="49" t="str">
        <f>IFERROR(IF(INDEX(BASE!$E$2:$E$995,MATCH(39945+ROW(),BASE!$U$2:$U$995,0))="","",INDEX(BASE!$E$2:$E$995,MATCH(39945+ROW(),BASE!$U$2:$U$995,0))),"")</f>
        <v/>
      </c>
      <c r="E60" s="27" t="str">
        <f>IFERROR(IF(INDEX(BASE!$C$2:$C$995,MATCH(39945+ROW(),BASE!$U$2:$U$995,0))="","",INDEX(BASE!$C$2:$C$995,MATCH(39945+ROW(),BASE!$U$2:$U$995,0))),"")</f>
        <v/>
      </c>
      <c r="F60" s="28" t="str">
        <f>IFERROR(IF(INDEX(BASE!$P$2:$P$995,MATCH(39945+ROW(),BASE!$U$2:$U$995,0))="","",INDEX(BASE!$P$2:$P$995,MATCH(39945+ROW(),BASE!$U$2:$U$995,0))),"")</f>
        <v/>
      </c>
      <c r="G60" s="49" t="str">
        <f>IFERROR(IF(INDEX(BASE!$Q$2:$Q$995,MATCH(39945+ROW(),BASE!$U$2:$U$995,0))="","",INDEX(BASE!$Q$2:$Q$995,MATCH(39945+ROW(),BASE!$U$2:$U$995,0))),"")</f>
        <v/>
      </c>
      <c r="H60" s="27" t="str">
        <f>IFERROR(IF(INDEX(BASE!$K$2:$K$995,MATCH(39945+ROW(),BASE!$U$2:$U$995,0))="","",INDEX(BASE!$K$2:$K$995,MATCH(39945+ROW(),BASE!$U$2:$U$995,0))),"")</f>
        <v/>
      </c>
      <c r="I60" s="29" t="str">
        <f>IFERROR(IF(INDEX(BASE!$L$2:$L$995,MATCH(39945+ROW(),BASE!$U$2:$U$995,0))="","",INDEX(BASE!$L$2:$L$995,MATCH(39945+ROW(),BASE!$U$2:$U$995,0))),"")</f>
        <v/>
      </c>
      <c r="J60" s="27" t="str">
        <f>IFERROR(IF(INDEX(BASE!$I$2:$I$995,MATCH(39945+ROW(),BASE!$U$2:$U$995,0))="","",INDEX(BASE!$I$2:$I$995,MATCH(39945+ROW(),BASE!$U$2:$U$995,0))),"")</f>
        <v/>
      </c>
    </row>
    <row r="61" spans="2:10" ht="15.6" x14ac:dyDescent="0.3">
      <c r="B61" s="30" t="str">
        <f>IFERROR(IF(INDEX(BASE!$B$2:$B$995,MATCH(39945+ROW(),BASE!$U$2:$U$995,0))="","",INDEX(BASE!$B$2:$B$995,MATCH(39945+ROW(),BASE!$U$2:$U$995,0))),"")</f>
        <v/>
      </c>
      <c r="C61" s="48" t="str">
        <f>IFERROR(IF(INDEX(BASE!$A$2:$A$995,MATCH(39945+ROW(),BASE!$U$2:$U$995,0))="","",HYPERLINK(INDEX(BASE!$V$2:$V$995,MATCH(39945+ROW(),BASE!$U$2:$U$995,0)),INDEX(BASE!$A$2:$A$995,MATCH(39945+ROW(),BASE!$U$2:$U$995,0)))),"")</f>
        <v/>
      </c>
      <c r="D61" s="50" t="str">
        <f>IFERROR(IF(INDEX(BASE!$E$2:$E$995,MATCH(39945+ROW(),BASE!$U$2:$U$995,0))="","",INDEX(BASE!$E$2:$E$995,MATCH(39945+ROW(),BASE!$U$2:$U$995,0))),"")</f>
        <v/>
      </c>
      <c r="E61" s="30" t="str">
        <f>IFERROR(IF(INDEX(BASE!$C$2:$C$995,MATCH(39945+ROW(),BASE!$U$2:$U$995,0))="","",INDEX(BASE!$C$2:$C$995,MATCH(39945+ROW(),BASE!$U$2:$U$995,0))),"")</f>
        <v/>
      </c>
      <c r="F61" s="31" t="str">
        <f>IFERROR(IF(INDEX(BASE!$P$2:$P$995,MATCH(39945+ROW(),BASE!$U$2:$U$995,0))="","",INDEX(BASE!$P$2:$P$995,MATCH(39945+ROW(),BASE!$U$2:$U$995,0))),"")</f>
        <v/>
      </c>
      <c r="G61" s="50" t="str">
        <f>IFERROR(IF(INDEX(BASE!$Q$2:$Q$995,MATCH(39945+ROW(),BASE!$U$2:$U$995,0))="","",INDEX(BASE!$Q$2:$Q$995,MATCH(39945+ROW(),BASE!$U$2:$U$995,0))),"")</f>
        <v/>
      </c>
      <c r="H61" s="30" t="str">
        <f>IFERROR(IF(INDEX(BASE!$K$2:$K$995,MATCH(39945+ROW(),BASE!$U$2:$U$995,0))="","",INDEX(BASE!$K$2:$K$995,MATCH(39945+ROW(),BASE!$U$2:$U$995,0))),"")</f>
        <v/>
      </c>
      <c r="I61" s="32" t="str">
        <f>IFERROR(IF(INDEX(BASE!$L$2:$L$995,MATCH(39945+ROW(),BASE!$U$2:$U$995,0))="","",INDEX(BASE!$L$2:$L$995,MATCH(39945+ROW(),BASE!$U$2:$U$995,0))),"")</f>
        <v/>
      </c>
      <c r="J61" s="30" t="str">
        <f>IFERROR(IF(INDEX(BASE!$I$2:$I$995,MATCH(39945+ROW(),BASE!$U$2:$U$995,0))="","",INDEX(BASE!$I$2:$I$995,MATCH(39945+ROW(),BASE!$U$2:$U$995,0))),"")</f>
        <v/>
      </c>
    </row>
    <row r="62" spans="2:10" ht="15.6" x14ac:dyDescent="0.3">
      <c r="B62" s="27" t="str">
        <f>IFERROR(IF(INDEX(BASE!$B$2:$B$995,MATCH(39945+ROW(),BASE!$U$2:$U$995,0))="","",INDEX(BASE!$B$2:$B$995,MATCH(39945+ROW(),BASE!$U$2:$U$995,0))),"")</f>
        <v/>
      </c>
      <c r="C62" s="48" t="str">
        <f>IFERROR(IF(INDEX(BASE!$A$2:$A$995,MATCH(39945+ROW(),BASE!$U$2:$U$995,0))="","",HYPERLINK(INDEX(BASE!$V$2:$V$995,MATCH(39945+ROW(),BASE!$U$2:$U$995,0)),INDEX(BASE!$A$2:$A$995,MATCH(39945+ROW(),BASE!$U$2:$U$995,0)))),"")</f>
        <v/>
      </c>
      <c r="D62" s="49" t="str">
        <f>IFERROR(IF(INDEX(BASE!$E$2:$E$995,MATCH(39945+ROW(),BASE!$U$2:$U$995,0))="","",INDEX(BASE!$E$2:$E$995,MATCH(39945+ROW(),BASE!$U$2:$U$995,0))),"")</f>
        <v/>
      </c>
      <c r="E62" s="27" t="str">
        <f>IFERROR(IF(INDEX(BASE!$C$2:$C$995,MATCH(39945+ROW(),BASE!$U$2:$U$995,0))="","",INDEX(BASE!$C$2:$C$995,MATCH(39945+ROW(),BASE!$U$2:$U$995,0))),"")</f>
        <v/>
      </c>
      <c r="F62" s="28" t="str">
        <f>IFERROR(IF(INDEX(BASE!$P$2:$P$995,MATCH(39945+ROW(),BASE!$U$2:$U$995,0))="","",INDEX(BASE!$P$2:$P$995,MATCH(39945+ROW(),BASE!$U$2:$U$995,0))),"")</f>
        <v/>
      </c>
      <c r="G62" s="49" t="str">
        <f>IFERROR(IF(INDEX(BASE!$Q$2:$Q$995,MATCH(39945+ROW(),BASE!$U$2:$U$995,0))="","",INDEX(BASE!$Q$2:$Q$995,MATCH(39945+ROW(),BASE!$U$2:$U$995,0))),"")</f>
        <v/>
      </c>
      <c r="H62" s="27" t="str">
        <f>IFERROR(IF(INDEX(BASE!$K$2:$K$995,MATCH(39945+ROW(),BASE!$U$2:$U$995,0))="","",INDEX(BASE!$K$2:$K$995,MATCH(39945+ROW(),BASE!$U$2:$U$995,0))),"")</f>
        <v/>
      </c>
      <c r="I62" s="29" t="str">
        <f>IFERROR(IF(INDEX(BASE!$L$2:$L$995,MATCH(39945+ROW(),BASE!$U$2:$U$995,0))="","",INDEX(BASE!$L$2:$L$995,MATCH(39945+ROW(),BASE!$U$2:$U$995,0))),"")</f>
        <v/>
      </c>
      <c r="J62" s="27" t="str">
        <f>IFERROR(IF(INDEX(BASE!$I$2:$I$995,MATCH(39945+ROW(),BASE!$U$2:$U$995,0))="","",INDEX(BASE!$I$2:$I$995,MATCH(39945+ROW(),BASE!$U$2:$U$995,0))),"")</f>
        <v/>
      </c>
    </row>
    <row r="63" spans="2:10" ht="15.6" x14ac:dyDescent="0.3">
      <c r="B63" s="30" t="str">
        <f>IFERROR(IF(INDEX(BASE!$B$2:$B$995,MATCH(39945+ROW(),BASE!$U$2:$U$995,0))="","",INDEX(BASE!$B$2:$B$995,MATCH(39945+ROW(),BASE!$U$2:$U$995,0))),"")</f>
        <v/>
      </c>
      <c r="C63" s="48" t="str">
        <f>IFERROR(IF(INDEX(BASE!$A$2:$A$995,MATCH(39945+ROW(),BASE!$U$2:$U$995,0))="","",HYPERLINK(INDEX(BASE!$V$2:$V$995,MATCH(39945+ROW(),BASE!$U$2:$U$995,0)),INDEX(BASE!$A$2:$A$995,MATCH(39945+ROW(),BASE!$U$2:$U$995,0)))),"")</f>
        <v/>
      </c>
      <c r="D63" s="50" t="str">
        <f>IFERROR(IF(INDEX(BASE!$E$2:$E$995,MATCH(39945+ROW(),BASE!$U$2:$U$995,0))="","",INDEX(BASE!$E$2:$E$995,MATCH(39945+ROW(),BASE!$U$2:$U$995,0))),"")</f>
        <v/>
      </c>
      <c r="E63" s="30" t="str">
        <f>IFERROR(IF(INDEX(BASE!$C$2:$C$995,MATCH(39945+ROW(),BASE!$U$2:$U$995,0))="","",INDEX(BASE!$C$2:$C$995,MATCH(39945+ROW(),BASE!$U$2:$U$995,0))),"")</f>
        <v/>
      </c>
      <c r="F63" s="31" t="str">
        <f>IFERROR(IF(INDEX(BASE!$P$2:$P$995,MATCH(39945+ROW(),BASE!$U$2:$U$995,0))="","",INDEX(BASE!$P$2:$P$995,MATCH(39945+ROW(),BASE!$U$2:$U$995,0))),"")</f>
        <v/>
      </c>
      <c r="G63" s="50" t="str">
        <f>IFERROR(IF(INDEX(BASE!$Q$2:$Q$995,MATCH(39945+ROW(),BASE!$U$2:$U$995,0))="","",INDEX(BASE!$Q$2:$Q$995,MATCH(39945+ROW(),BASE!$U$2:$U$995,0))),"")</f>
        <v/>
      </c>
      <c r="H63" s="30" t="str">
        <f>IFERROR(IF(INDEX(BASE!$K$2:$K$995,MATCH(39945+ROW(),BASE!$U$2:$U$995,0))="","",INDEX(BASE!$K$2:$K$995,MATCH(39945+ROW(),BASE!$U$2:$U$995,0))),"")</f>
        <v/>
      </c>
      <c r="I63" s="32" t="str">
        <f>IFERROR(IF(INDEX(BASE!$L$2:$L$995,MATCH(39945+ROW(),BASE!$U$2:$U$995,0))="","",INDEX(BASE!$L$2:$L$995,MATCH(39945+ROW(),BASE!$U$2:$U$995,0))),"")</f>
        <v/>
      </c>
      <c r="J63" s="30" t="str">
        <f>IFERROR(IF(INDEX(BASE!$I$2:$I$995,MATCH(39945+ROW(),BASE!$U$2:$U$995,0))="","",INDEX(BASE!$I$2:$I$995,MATCH(39945+ROW(),BASE!$U$2:$U$995,0))),"")</f>
        <v/>
      </c>
    </row>
    <row r="64" spans="2:10" ht="15.6" x14ac:dyDescent="0.3">
      <c r="B64" s="27" t="str">
        <f>IFERROR(IF(INDEX(BASE!$B$2:$B$995,MATCH(39945+ROW(),BASE!$U$2:$U$995,0))="","",INDEX(BASE!$B$2:$B$995,MATCH(39945+ROW(),BASE!$U$2:$U$995,0))),"")</f>
        <v/>
      </c>
      <c r="C64" s="48" t="str">
        <f>IFERROR(IF(INDEX(BASE!$A$2:$A$995,MATCH(39945+ROW(),BASE!$U$2:$U$995,0))="","",HYPERLINK(INDEX(BASE!$V$2:$V$995,MATCH(39945+ROW(),BASE!$U$2:$U$995,0)),INDEX(BASE!$A$2:$A$995,MATCH(39945+ROW(),BASE!$U$2:$U$995,0)))),"")</f>
        <v/>
      </c>
      <c r="D64" s="49" t="str">
        <f>IFERROR(IF(INDEX(BASE!$E$2:$E$995,MATCH(39945+ROW(),BASE!$U$2:$U$995,0))="","",INDEX(BASE!$E$2:$E$995,MATCH(39945+ROW(),BASE!$U$2:$U$995,0))),"")</f>
        <v/>
      </c>
      <c r="E64" s="27" t="str">
        <f>IFERROR(IF(INDEX(BASE!$C$2:$C$995,MATCH(39945+ROW(),BASE!$U$2:$U$995,0))="","",INDEX(BASE!$C$2:$C$995,MATCH(39945+ROW(),BASE!$U$2:$U$995,0))),"")</f>
        <v/>
      </c>
      <c r="F64" s="28" t="str">
        <f>IFERROR(IF(INDEX(BASE!$P$2:$P$995,MATCH(39945+ROW(),BASE!$U$2:$U$995,0))="","",INDEX(BASE!$P$2:$P$995,MATCH(39945+ROW(),BASE!$U$2:$U$995,0))),"")</f>
        <v/>
      </c>
      <c r="G64" s="49" t="str">
        <f>IFERROR(IF(INDEX(BASE!$Q$2:$Q$995,MATCH(39945+ROW(),BASE!$U$2:$U$995,0))="","",INDEX(BASE!$Q$2:$Q$995,MATCH(39945+ROW(),BASE!$U$2:$U$995,0))),"")</f>
        <v/>
      </c>
      <c r="H64" s="27" t="str">
        <f>IFERROR(IF(INDEX(BASE!$K$2:$K$995,MATCH(39945+ROW(),BASE!$U$2:$U$995,0))="","",INDEX(BASE!$K$2:$K$995,MATCH(39945+ROW(),BASE!$U$2:$U$995,0))),"")</f>
        <v/>
      </c>
      <c r="I64" s="29" t="str">
        <f>IFERROR(IF(INDEX(BASE!$L$2:$L$995,MATCH(39945+ROW(),BASE!$U$2:$U$995,0))="","",INDEX(BASE!$L$2:$L$995,MATCH(39945+ROW(),BASE!$U$2:$U$995,0))),"")</f>
        <v/>
      </c>
      <c r="J64" s="27" t="str">
        <f>IFERROR(IF(INDEX(BASE!$I$2:$I$995,MATCH(39945+ROW(),BASE!$U$2:$U$995,0))="","",INDEX(BASE!$I$2:$I$995,MATCH(39945+ROW(),BASE!$U$2:$U$995,0))),"")</f>
        <v/>
      </c>
    </row>
    <row r="65" spans="2:10" ht="15.6" x14ac:dyDescent="0.3">
      <c r="B65" s="30" t="str">
        <f>IFERROR(IF(INDEX(BASE!$B$2:$B$995,MATCH(39945+ROW(),BASE!$U$2:$U$995,0))="","",INDEX(BASE!$B$2:$B$995,MATCH(39945+ROW(),BASE!$U$2:$U$995,0))),"")</f>
        <v/>
      </c>
      <c r="C65" s="48" t="str">
        <f>IFERROR(IF(INDEX(BASE!$A$2:$A$995,MATCH(39945+ROW(),BASE!$U$2:$U$995,0))="","",HYPERLINK(INDEX(BASE!$V$2:$V$995,MATCH(39945+ROW(),BASE!$U$2:$U$995,0)),INDEX(BASE!$A$2:$A$995,MATCH(39945+ROW(),BASE!$U$2:$U$995,0)))),"")</f>
        <v/>
      </c>
      <c r="D65" s="50" t="str">
        <f>IFERROR(IF(INDEX(BASE!$E$2:$E$995,MATCH(39945+ROW(),BASE!$U$2:$U$995,0))="","",INDEX(BASE!$E$2:$E$995,MATCH(39945+ROW(),BASE!$U$2:$U$995,0))),"")</f>
        <v/>
      </c>
      <c r="E65" s="30" t="str">
        <f>IFERROR(IF(INDEX(BASE!$C$2:$C$995,MATCH(39945+ROW(),BASE!$U$2:$U$995,0))="","",INDEX(BASE!$C$2:$C$995,MATCH(39945+ROW(),BASE!$U$2:$U$995,0))),"")</f>
        <v/>
      </c>
      <c r="F65" s="31" t="str">
        <f>IFERROR(IF(INDEX(BASE!$P$2:$P$995,MATCH(39945+ROW(),BASE!$U$2:$U$995,0))="","",INDEX(BASE!$P$2:$P$995,MATCH(39945+ROW(),BASE!$U$2:$U$995,0))),"")</f>
        <v/>
      </c>
      <c r="G65" s="50" t="str">
        <f>IFERROR(IF(INDEX(BASE!$Q$2:$Q$995,MATCH(39945+ROW(),BASE!$U$2:$U$995,0))="","",INDEX(BASE!$Q$2:$Q$995,MATCH(39945+ROW(),BASE!$U$2:$U$995,0))),"")</f>
        <v/>
      </c>
      <c r="H65" s="30" t="str">
        <f>IFERROR(IF(INDEX(BASE!$K$2:$K$995,MATCH(39945+ROW(),BASE!$U$2:$U$995,0))="","",INDEX(BASE!$K$2:$K$995,MATCH(39945+ROW(),BASE!$U$2:$U$995,0))),"")</f>
        <v/>
      </c>
      <c r="I65" s="32" t="str">
        <f>IFERROR(IF(INDEX(BASE!$L$2:$L$995,MATCH(39945+ROW(),BASE!$U$2:$U$995,0))="","",INDEX(BASE!$L$2:$L$995,MATCH(39945+ROW(),BASE!$U$2:$U$995,0))),"")</f>
        <v/>
      </c>
      <c r="J65" s="30" t="str">
        <f>IFERROR(IF(INDEX(BASE!$I$2:$I$995,MATCH(39945+ROW(),BASE!$U$2:$U$995,0))="","",INDEX(BASE!$I$2:$I$995,MATCH(39945+ROW(),BASE!$U$2:$U$995,0))),"")</f>
        <v/>
      </c>
    </row>
    <row r="67" spans="2:10" ht="15.6" x14ac:dyDescent="0.3">
      <c r="B67" s="103" t="str">
        <f>"   🟠   ADX     ·     " &amp; COUNTIF(BASE!$N$2:$N$995,"ADX") &amp; IF(COUNTIF(BASE!$N$2:$N$995,"ADX")=1," chamado"," chamados")</f>
        <v xml:space="preserve">   🟠   ADX     ·     0 chamados</v>
      </c>
      <c r="C67" s="76"/>
      <c r="D67" s="76"/>
      <c r="E67" s="76"/>
      <c r="F67" s="76"/>
      <c r="G67" s="76"/>
      <c r="H67" s="76"/>
      <c r="I67" s="76"/>
      <c r="J67" s="76"/>
    </row>
    <row r="68" spans="2:10" x14ac:dyDescent="0.3">
      <c r="B68" s="25" t="s">
        <v>1</v>
      </c>
      <c r="C68" s="25" t="s">
        <v>2</v>
      </c>
      <c r="D68" s="25" t="s">
        <v>3</v>
      </c>
      <c r="E68" s="25" t="s">
        <v>4</v>
      </c>
      <c r="F68" s="26" t="s">
        <v>5</v>
      </c>
      <c r="G68" s="25" t="s">
        <v>6</v>
      </c>
      <c r="H68" s="25" t="s">
        <v>7</v>
      </c>
      <c r="I68" s="26" t="s">
        <v>8</v>
      </c>
      <c r="J68" s="25" t="s">
        <v>9</v>
      </c>
    </row>
    <row r="69" spans="2:10" ht="15.6" x14ac:dyDescent="0.3">
      <c r="B69" s="27" t="str">
        <f>IFERROR(IF(INDEX(BASE!$B$2:$B$995,MATCH(49932+ROW(),BASE!$U$2:$U$995,0))="","",INDEX(BASE!$B$2:$B$995,MATCH(49932+ROW(),BASE!$U$2:$U$995,0))),"")</f>
        <v/>
      </c>
      <c r="C69" s="48" t="str">
        <f>IFERROR(IF(INDEX(BASE!$A$2:$A$995,MATCH(49932+ROW(),BASE!$U$2:$U$995,0))="","",HYPERLINK(INDEX(BASE!$V$2:$V$995,MATCH(49932+ROW(),BASE!$U$2:$U$995,0)),INDEX(BASE!$A$2:$A$995,MATCH(49932+ROW(),BASE!$U$2:$U$995,0)))),"")</f>
        <v/>
      </c>
      <c r="D69" s="49" t="str">
        <f>IFERROR(IF(INDEX(BASE!$E$2:$E$995,MATCH(49932+ROW(),BASE!$U$2:$U$995,0))="","",INDEX(BASE!$E$2:$E$995,MATCH(49932+ROW(),BASE!$U$2:$U$995,0))),"")</f>
        <v/>
      </c>
      <c r="E69" s="27" t="str">
        <f>IFERROR(IF(INDEX(BASE!$C$2:$C$995,MATCH(49932+ROW(),BASE!$U$2:$U$995,0))="","",INDEX(BASE!$C$2:$C$995,MATCH(49932+ROW(),BASE!$U$2:$U$995,0))),"")</f>
        <v/>
      </c>
      <c r="F69" s="28" t="str">
        <f>IFERROR(IF(INDEX(BASE!$P$2:$P$995,MATCH(49932+ROW(),BASE!$U$2:$U$995,0))="","",INDEX(BASE!$P$2:$P$995,MATCH(49932+ROW(),BASE!$U$2:$U$995,0))),"")</f>
        <v/>
      </c>
      <c r="G69" s="49" t="str">
        <f>IFERROR(IF(INDEX(BASE!$Q$2:$Q$995,MATCH(49932+ROW(),BASE!$U$2:$U$995,0))="","",INDEX(BASE!$Q$2:$Q$995,MATCH(49932+ROW(),BASE!$U$2:$U$995,0))),"")</f>
        <v/>
      </c>
      <c r="H69" s="27" t="str">
        <f>IFERROR(IF(INDEX(BASE!$K$2:$K$995,MATCH(49932+ROW(),BASE!$U$2:$U$995,0))="","",INDEX(BASE!$K$2:$K$995,MATCH(49932+ROW(),BASE!$U$2:$U$995,0))),"")</f>
        <v/>
      </c>
      <c r="I69" s="29" t="str">
        <f>IFERROR(IF(INDEX(BASE!$L$2:$L$995,MATCH(49932+ROW(),BASE!$U$2:$U$995,0))="","",INDEX(BASE!$L$2:$L$995,MATCH(49932+ROW(),BASE!$U$2:$U$995,0))),"")</f>
        <v/>
      </c>
      <c r="J69" s="27" t="str">
        <f>IFERROR(IF(INDEX(BASE!$I$2:$I$995,MATCH(49932+ROW(),BASE!$U$2:$U$995,0))="","",INDEX(BASE!$I$2:$I$995,MATCH(49932+ROW(),BASE!$U$2:$U$995,0))),"")</f>
        <v/>
      </c>
    </row>
    <row r="70" spans="2:10" ht="15.6" x14ac:dyDescent="0.3">
      <c r="B70" s="30" t="str">
        <f>IFERROR(IF(INDEX(BASE!$B$2:$B$995,MATCH(49932+ROW(),BASE!$U$2:$U$995,0))="","",INDEX(BASE!$B$2:$B$995,MATCH(49932+ROW(),BASE!$U$2:$U$995,0))),"")</f>
        <v/>
      </c>
      <c r="C70" s="48" t="str">
        <f>IFERROR(IF(INDEX(BASE!$A$2:$A$995,MATCH(49932+ROW(),BASE!$U$2:$U$995,0))="","",HYPERLINK(INDEX(BASE!$V$2:$V$995,MATCH(49932+ROW(),BASE!$U$2:$U$995,0)),INDEX(BASE!$A$2:$A$995,MATCH(49932+ROW(),BASE!$U$2:$U$995,0)))),"")</f>
        <v/>
      </c>
      <c r="D70" s="50" t="str">
        <f>IFERROR(IF(INDEX(BASE!$E$2:$E$995,MATCH(49932+ROW(),BASE!$U$2:$U$995,0))="","",INDEX(BASE!$E$2:$E$995,MATCH(49932+ROW(),BASE!$U$2:$U$995,0))),"")</f>
        <v/>
      </c>
      <c r="E70" s="30" t="str">
        <f>IFERROR(IF(INDEX(BASE!$C$2:$C$995,MATCH(49932+ROW(),BASE!$U$2:$U$995,0))="","",INDEX(BASE!$C$2:$C$995,MATCH(49932+ROW(),BASE!$U$2:$U$995,0))),"")</f>
        <v/>
      </c>
      <c r="F70" s="31" t="str">
        <f>IFERROR(IF(INDEX(BASE!$P$2:$P$995,MATCH(49932+ROW(),BASE!$U$2:$U$995,0))="","",INDEX(BASE!$P$2:$P$995,MATCH(49932+ROW(),BASE!$U$2:$U$995,0))),"")</f>
        <v/>
      </c>
      <c r="G70" s="50" t="str">
        <f>IFERROR(IF(INDEX(BASE!$Q$2:$Q$995,MATCH(49932+ROW(),BASE!$U$2:$U$995,0))="","",INDEX(BASE!$Q$2:$Q$995,MATCH(49932+ROW(),BASE!$U$2:$U$995,0))),"")</f>
        <v/>
      </c>
      <c r="H70" s="30" t="str">
        <f>IFERROR(IF(INDEX(BASE!$K$2:$K$995,MATCH(49932+ROW(),BASE!$U$2:$U$995,0))="","",INDEX(BASE!$K$2:$K$995,MATCH(49932+ROW(),BASE!$U$2:$U$995,0))),"")</f>
        <v/>
      </c>
      <c r="I70" s="32" t="str">
        <f>IFERROR(IF(INDEX(BASE!$L$2:$L$995,MATCH(49932+ROW(),BASE!$U$2:$U$995,0))="","",INDEX(BASE!$L$2:$L$995,MATCH(49932+ROW(),BASE!$U$2:$U$995,0))),"")</f>
        <v/>
      </c>
      <c r="J70" s="30" t="str">
        <f>IFERROR(IF(INDEX(BASE!$I$2:$I$995,MATCH(49932+ROW(),BASE!$U$2:$U$995,0))="","",INDEX(BASE!$I$2:$I$995,MATCH(49932+ROW(),BASE!$U$2:$U$995,0))),"")</f>
        <v/>
      </c>
    </row>
    <row r="71" spans="2:10" ht="15.6" x14ac:dyDescent="0.3">
      <c r="B71" s="27" t="str">
        <f>IFERROR(IF(INDEX(BASE!$B$2:$B$995,MATCH(49932+ROW(),BASE!$U$2:$U$995,0))="","",INDEX(BASE!$B$2:$B$995,MATCH(49932+ROW(),BASE!$U$2:$U$995,0))),"")</f>
        <v/>
      </c>
      <c r="C71" s="48" t="str">
        <f>IFERROR(IF(INDEX(BASE!$A$2:$A$995,MATCH(49932+ROW(),BASE!$U$2:$U$995,0))="","",HYPERLINK(INDEX(BASE!$V$2:$V$995,MATCH(49932+ROW(),BASE!$U$2:$U$995,0)),INDEX(BASE!$A$2:$A$995,MATCH(49932+ROW(),BASE!$U$2:$U$995,0)))),"")</f>
        <v/>
      </c>
      <c r="D71" s="49" t="str">
        <f>IFERROR(IF(INDEX(BASE!$E$2:$E$995,MATCH(49932+ROW(),BASE!$U$2:$U$995,0))="","",INDEX(BASE!$E$2:$E$995,MATCH(49932+ROW(),BASE!$U$2:$U$995,0))),"")</f>
        <v/>
      </c>
      <c r="E71" s="27" t="str">
        <f>IFERROR(IF(INDEX(BASE!$C$2:$C$995,MATCH(49932+ROW(),BASE!$U$2:$U$995,0))="","",INDEX(BASE!$C$2:$C$995,MATCH(49932+ROW(),BASE!$U$2:$U$995,0))),"")</f>
        <v/>
      </c>
      <c r="F71" s="28" t="str">
        <f>IFERROR(IF(INDEX(BASE!$P$2:$P$995,MATCH(49932+ROW(),BASE!$U$2:$U$995,0))="","",INDEX(BASE!$P$2:$P$995,MATCH(49932+ROW(),BASE!$U$2:$U$995,0))),"")</f>
        <v/>
      </c>
      <c r="G71" s="49" t="str">
        <f>IFERROR(IF(INDEX(BASE!$Q$2:$Q$995,MATCH(49932+ROW(),BASE!$U$2:$U$995,0))="","",INDEX(BASE!$Q$2:$Q$995,MATCH(49932+ROW(),BASE!$U$2:$U$995,0))),"")</f>
        <v/>
      </c>
      <c r="H71" s="27" t="str">
        <f>IFERROR(IF(INDEX(BASE!$K$2:$K$995,MATCH(49932+ROW(),BASE!$U$2:$U$995,0))="","",INDEX(BASE!$K$2:$K$995,MATCH(49932+ROW(),BASE!$U$2:$U$995,0))),"")</f>
        <v/>
      </c>
      <c r="I71" s="29" t="str">
        <f>IFERROR(IF(INDEX(BASE!$L$2:$L$995,MATCH(49932+ROW(),BASE!$U$2:$U$995,0))="","",INDEX(BASE!$L$2:$L$995,MATCH(49932+ROW(),BASE!$U$2:$U$995,0))),"")</f>
        <v/>
      </c>
      <c r="J71" s="27" t="str">
        <f>IFERROR(IF(INDEX(BASE!$I$2:$I$995,MATCH(49932+ROW(),BASE!$U$2:$U$995,0))="","",INDEX(BASE!$I$2:$I$995,MATCH(49932+ROW(),BASE!$U$2:$U$995,0))),"")</f>
        <v/>
      </c>
    </row>
    <row r="72" spans="2:10" ht="15.6" x14ac:dyDescent="0.3">
      <c r="B72" s="30" t="str">
        <f>IFERROR(IF(INDEX(BASE!$B$2:$B$995,MATCH(49932+ROW(),BASE!$U$2:$U$995,0))="","",INDEX(BASE!$B$2:$B$995,MATCH(49932+ROW(),BASE!$U$2:$U$995,0))),"")</f>
        <v/>
      </c>
      <c r="C72" s="48" t="str">
        <f>IFERROR(IF(INDEX(BASE!$A$2:$A$995,MATCH(49932+ROW(),BASE!$U$2:$U$995,0))="","",HYPERLINK(INDEX(BASE!$V$2:$V$995,MATCH(49932+ROW(),BASE!$U$2:$U$995,0)),INDEX(BASE!$A$2:$A$995,MATCH(49932+ROW(),BASE!$U$2:$U$995,0)))),"")</f>
        <v/>
      </c>
      <c r="D72" s="50" t="str">
        <f>IFERROR(IF(INDEX(BASE!$E$2:$E$995,MATCH(49932+ROW(),BASE!$U$2:$U$995,0))="","",INDEX(BASE!$E$2:$E$995,MATCH(49932+ROW(),BASE!$U$2:$U$995,0))),"")</f>
        <v/>
      </c>
      <c r="E72" s="30" t="str">
        <f>IFERROR(IF(INDEX(BASE!$C$2:$C$995,MATCH(49932+ROW(),BASE!$U$2:$U$995,0))="","",INDEX(BASE!$C$2:$C$995,MATCH(49932+ROW(),BASE!$U$2:$U$995,0))),"")</f>
        <v/>
      </c>
      <c r="F72" s="31" t="str">
        <f>IFERROR(IF(INDEX(BASE!$P$2:$P$995,MATCH(49932+ROW(),BASE!$U$2:$U$995,0))="","",INDEX(BASE!$P$2:$P$995,MATCH(49932+ROW(),BASE!$U$2:$U$995,0))),"")</f>
        <v/>
      </c>
      <c r="G72" s="50" t="str">
        <f>IFERROR(IF(INDEX(BASE!$Q$2:$Q$995,MATCH(49932+ROW(),BASE!$U$2:$U$995,0))="","",INDEX(BASE!$Q$2:$Q$995,MATCH(49932+ROW(),BASE!$U$2:$U$995,0))),"")</f>
        <v/>
      </c>
      <c r="H72" s="30" t="str">
        <f>IFERROR(IF(INDEX(BASE!$K$2:$K$995,MATCH(49932+ROW(),BASE!$U$2:$U$995,0))="","",INDEX(BASE!$K$2:$K$995,MATCH(49932+ROW(),BASE!$U$2:$U$995,0))),"")</f>
        <v/>
      </c>
      <c r="I72" s="32" t="str">
        <f>IFERROR(IF(INDEX(BASE!$L$2:$L$995,MATCH(49932+ROW(),BASE!$U$2:$U$995,0))="","",INDEX(BASE!$L$2:$L$995,MATCH(49932+ROW(),BASE!$U$2:$U$995,0))),"")</f>
        <v/>
      </c>
      <c r="J72" s="30" t="str">
        <f>IFERROR(IF(INDEX(BASE!$I$2:$I$995,MATCH(49932+ROW(),BASE!$U$2:$U$995,0))="","",INDEX(BASE!$I$2:$I$995,MATCH(49932+ROW(),BASE!$U$2:$U$995,0))),"")</f>
        <v/>
      </c>
    </row>
    <row r="73" spans="2:10" ht="15.6" x14ac:dyDescent="0.3">
      <c r="B73" s="27" t="str">
        <f>IFERROR(IF(INDEX(BASE!$B$2:$B$995,MATCH(49932+ROW(),BASE!$U$2:$U$995,0))="","",INDEX(BASE!$B$2:$B$995,MATCH(49932+ROW(),BASE!$U$2:$U$995,0))),"")</f>
        <v/>
      </c>
      <c r="C73" s="48" t="str">
        <f>IFERROR(IF(INDEX(BASE!$A$2:$A$995,MATCH(49932+ROW(),BASE!$U$2:$U$995,0))="","",HYPERLINK(INDEX(BASE!$V$2:$V$995,MATCH(49932+ROW(),BASE!$U$2:$U$995,0)),INDEX(BASE!$A$2:$A$995,MATCH(49932+ROW(),BASE!$U$2:$U$995,0)))),"")</f>
        <v/>
      </c>
      <c r="D73" s="49" t="str">
        <f>IFERROR(IF(INDEX(BASE!$E$2:$E$995,MATCH(49932+ROW(),BASE!$U$2:$U$995,0))="","",INDEX(BASE!$E$2:$E$995,MATCH(49932+ROW(),BASE!$U$2:$U$995,0))),"")</f>
        <v/>
      </c>
      <c r="E73" s="27" t="str">
        <f>IFERROR(IF(INDEX(BASE!$C$2:$C$995,MATCH(49932+ROW(),BASE!$U$2:$U$995,0))="","",INDEX(BASE!$C$2:$C$995,MATCH(49932+ROW(),BASE!$U$2:$U$995,0))),"")</f>
        <v/>
      </c>
      <c r="F73" s="28" t="str">
        <f>IFERROR(IF(INDEX(BASE!$P$2:$P$995,MATCH(49932+ROW(),BASE!$U$2:$U$995,0))="","",INDEX(BASE!$P$2:$P$995,MATCH(49932+ROW(),BASE!$U$2:$U$995,0))),"")</f>
        <v/>
      </c>
      <c r="G73" s="49" t="str">
        <f>IFERROR(IF(INDEX(BASE!$Q$2:$Q$995,MATCH(49932+ROW(),BASE!$U$2:$U$995,0))="","",INDEX(BASE!$Q$2:$Q$995,MATCH(49932+ROW(),BASE!$U$2:$U$995,0))),"")</f>
        <v/>
      </c>
      <c r="H73" s="27" t="str">
        <f>IFERROR(IF(INDEX(BASE!$K$2:$K$995,MATCH(49932+ROW(),BASE!$U$2:$U$995,0))="","",INDEX(BASE!$K$2:$K$995,MATCH(49932+ROW(),BASE!$U$2:$U$995,0))),"")</f>
        <v/>
      </c>
      <c r="I73" s="29" t="str">
        <f>IFERROR(IF(INDEX(BASE!$L$2:$L$995,MATCH(49932+ROW(),BASE!$U$2:$U$995,0))="","",INDEX(BASE!$L$2:$L$995,MATCH(49932+ROW(),BASE!$U$2:$U$995,0))),"")</f>
        <v/>
      </c>
      <c r="J73" s="27" t="str">
        <f>IFERROR(IF(INDEX(BASE!$I$2:$I$995,MATCH(49932+ROW(),BASE!$U$2:$U$995,0))="","",INDEX(BASE!$I$2:$I$995,MATCH(49932+ROW(),BASE!$U$2:$U$995,0))),"")</f>
        <v/>
      </c>
    </row>
    <row r="74" spans="2:10" ht="15.6" x14ac:dyDescent="0.3">
      <c r="B74" s="30" t="str">
        <f>IFERROR(IF(INDEX(BASE!$B$2:$B$995,MATCH(49932+ROW(),BASE!$U$2:$U$995,0))="","",INDEX(BASE!$B$2:$B$995,MATCH(49932+ROW(),BASE!$U$2:$U$995,0))),"")</f>
        <v/>
      </c>
      <c r="C74" s="48" t="str">
        <f>IFERROR(IF(INDEX(BASE!$A$2:$A$995,MATCH(49932+ROW(),BASE!$U$2:$U$995,0))="","",HYPERLINK(INDEX(BASE!$V$2:$V$995,MATCH(49932+ROW(),BASE!$U$2:$U$995,0)),INDEX(BASE!$A$2:$A$995,MATCH(49932+ROW(),BASE!$U$2:$U$995,0)))),"")</f>
        <v/>
      </c>
      <c r="D74" s="50" t="str">
        <f>IFERROR(IF(INDEX(BASE!$E$2:$E$995,MATCH(49932+ROW(),BASE!$U$2:$U$995,0))="","",INDEX(BASE!$E$2:$E$995,MATCH(49932+ROW(),BASE!$U$2:$U$995,0))),"")</f>
        <v/>
      </c>
      <c r="E74" s="30" t="str">
        <f>IFERROR(IF(INDEX(BASE!$C$2:$C$995,MATCH(49932+ROW(),BASE!$U$2:$U$995,0))="","",INDEX(BASE!$C$2:$C$995,MATCH(49932+ROW(),BASE!$U$2:$U$995,0))),"")</f>
        <v/>
      </c>
      <c r="F74" s="31" t="str">
        <f>IFERROR(IF(INDEX(BASE!$P$2:$P$995,MATCH(49932+ROW(),BASE!$U$2:$U$995,0))="","",INDEX(BASE!$P$2:$P$995,MATCH(49932+ROW(),BASE!$U$2:$U$995,0))),"")</f>
        <v/>
      </c>
      <c r="G74" s="50" t="str">
        <f>IFERROR(IF(INDEX(BASE!$Q$2:$Q$995,MATCH(49932+ROW(),BASE!$U$2:$U$995,0))="","",INDEX(BASE!$Q$2:$Q$995,MATCH(49932+ROW(),BASE!$U$2:$U$995,0))),"")</f>
        <v/>
      </c>
      <c r="H74" s="30" t="str">
        <f>IFERROR(IF(INDEX(BASE!$K$2:$K$995,MATCH(49932+ROW(),BASE!$U$2:$U$995,0))="","",INDEX(BASE!$K$2:$K$995,MATCH(49932+ROW(),BASE!$U$2:$U$995,0))),"")</f>
        <v/>
      </c>
      <c r="I74" s="32" t="str">
        <f>IFERROR(IF(INDEX(BASE!$L$2:$L$995,MATCH(49932+ROW(),BASE!$U$2:$U$995,0))="","",INDEX(BASE!$L$2:$L$995,MATCH(49932+ROW(),BASE!$U$2:$U$995,0))),"")</f>
        <v/>
      </c>
      <c r="J74" s="30" t="str">
        <f>IFERROR(IF(INDEX(BASE!$I$2:$I$995,MATCH(49932+ROW(),BASE!$U$2:$U$995,0))="","",INDEX(BASE!$I$2:$I$995,MATCH(49932+ROW(),BASE!$U$2:$U$995,0))),"")</f>
        <v/>
      </c>
    </row>
    <row r="75" spans="2:10" ht="15.6" x14ac:dyDescent="0.3">
      <c r="B75" s="27" t="str">
        <f>IFERROR(IF(INDEX(BASE!$B$2:$B$995,MATCH(49932+ROW(),BASE!$U$2:$U$995,0))="","",INDEX(BASE!$B$2:$B$995,MATCH(49932+ROW(),BASE!$U$2:$U$995,0))),"")</f>
        <v/>
      </c>
      <c r="C75" s="48" t="str">
        <f>IFERROR(IF(INDEX(BASE!$A$2:$A$995,MATCH(49932+ROW(),BASE!$U$2:$U$995,0))="","",HYPERLINK(INDEX(BASE!$V$2:$V$995,MATCH(49932+ROW(),BASE!$U$2:$U$995,0)),INDEX(BASE!$A$2:$A$995,MATCH(49932+ROW(),BASE!$U$2:$U$995,0)))),"")</f>
        <v/>
      </c>
      <c r="D75" s="49" t="str">
        <f>IFERROR(IF(INDEX(BASE!$E$2:$E$995,MATCH(49932+ROW(),BASE!$U$2:$U$995,0))="","",INDEX(BASE!$E$2:$E$995,MATCH(49932+ROW(),BASE!$U$2:$U$995,0))),"")</f>
        <v/>
      </c>
      <c r="E75" s="27" t="str">
        <f>IFERROR(IF(INDEX(BASE!$C$2:$C$995,MATCH(49932+ROW(),BASE!$U$2:$U$995,0))="","",INDEX(BASE!$C$2:$C$995,MATCH(49932+ROW(),BASE!$U$2:$U$995,0))),"")</f>
        <v/>
      </c>
      <c r="F75" s="28" t="str">
        <f>IFERROR(IF(INDEX(BASE!$P$2:$P$995,MATCH(49932+ROW(),BASE!$U$2:$U$995,0))="","",INDEX(BASE!$P$2:$P$995,MATCH(49932+ROW(),BASE!$U$2:$U$995,0))),"")</f>
        <v/>
      </c>
      <c r="G75" s="49" t="str">
        <f>IFERROR(IF(INDEX(BASE!$Q$2:$Q$995,MATCH(49932+ROW(),BASE!$U$2:$U$995,0))="","",INDEX(BASE!$Q$2:$Q$995,MATCH(49932+ROW(),BASE!$U$2:$U$995,0))),"")</f>
        <v/>
      </c>
      <c r="H75" s="27" t="str">
        <f>IFERROR(IF(INDEX(BASE!$K$2:$K$995,MATCH(49932+ROW(),BASE!$U$2:$U$995,0))="","",INDEX(BASE!$K$2:$K$995,MATCH(49932+ROW(),BASE!$U$2:$U$995,0))),"")</f>
        <v/>
      </c>
      <c r="I75" s="29" t="str">
        <f>IFERROR(IF(INDEX(BASE!$L$2:$L$995,MATCH(49932+ROW(),BASE!$U$2:$U$995,0))="","",INDEX(BASE!$L$2:$L$995,MATCH(49932+ROW(),BASE!$U$2:$U$995,0))),"")</f>
        <v/>
      </c>
      <c r="J75" s="27" t="str">
        <f>IFERROR(IF(INDEX(BASE!$I$2:$I$995,MATCH(49932+ROW(),BASE!$U$2:$U$995,0))="","",INDEX(BASE!$I$2:$I$995,MATCH(49932+ROW(),BASE!$U$2:$U$995,0))),"")</f>
        <v/>
      </c>
    </row>
    <row r="76" spans="2:10" ht="15.6" x14ac:dyDescent="0.3">
      <c r="B76" s="30" t="str">
        <f>IFERROR(IF(INDEX(BASE!$B$2:$B$995,MATCH(49932+ROW(),BASE!$U$2:$U$995,0))="","",INDEX(BASE!$B$2:$B$995,MATCH(49932+ROW(),BASE!$U$2:$U$995,0))),"")</f>
        <v/>
      </c>
      <c r="C76" s="48" t="str">
        <f>IFERROR(IF(INDEX(BASE!$A$2:$A$995,MATCH(49932+ROW(),BASE!$U$2:$U$995,0))="","",HYPERLINK(INDEX(BASE!$V$2:$V$995,MATCH(49932+ROW(),BASE!$U$2:$U$995,0)),INDEX(BASE!$A$2:$A$995,MATCH(49932+ROW(),BASE!$U$2:$U$995,0)))),"")</f>
        <v/>
      </c>
      <c r="D76" s="50" t="str">
        <f>IFERROR(IF(INDEX(BASE!$E$2:$E$995,MATCH(49932+ROW(),BASE!$U$2:$U$995,0))="","",INDEX(BASE!$E$2:$E$995,MATCH(49932+ROW(),BASE!$U$2:$U$995,0))),"")</f>
        <v/>
      </c>
      <c r="E76" s="30" t="str">
        <f>IFERROR(IF(INDEX(BASE!$C$2:$C$995,MATCH(49932+ROW(),BASE!$U$2:$U$995,0))="","",INDEX(BASE!$C$2:$C$995,MATCH(49932+ROW(),BASE!$U$2:$U$995,0))),"")</f>
        <v/>
      </c>
      <c r="F76" s="31" t="str">
        <f>IFERROR(IF(INDEX(BASE!$P$2:$P$995,MATCH(49932+ROW(),BASE!$U$2:$U$995,0))="","",INDEX(BASE!$P$2:$P$995,MATCH(49932+ROW(),BASE!$U$2:$U$995,0))),"")</f>
        <v/>
      </c>
      <c r="G76" s="50" t="str">
        <f>IFERROR(IF(INDEX(BASE!$Q$2:$Q$995,MATCH(49932+ROW(),BASE!$U$2:$U$995,0))="","",INDEX(BASE!$Q$2:$Q$995,MATCH(49932+ROW(),BASE!$U$2:$U$995,0))),"")</f>
        <v/>
      </c>
      <c r="H76" s="30" t="str">
        <f>IFERROR(IF(INDEX(BASE!$K$2:$K$995,MATCH(49932+ROW(),BASE!$U$2:$U$995,0))="","",INDEX(BASE!$K$2:$K$995,MATCH(49932+ROW(),BASE!$U$2:$U$995,0))),"")</f>
        <v/>
      </c>
      <c r="I76" s="32" t="str">
        <f>IFERROR(IF(INDEX(BASE!$L$2:$L$995,MATCH(49932+ROW(),BASE!$U$2:$U$995,0))="","",INDEX(BASE!$L$2:$L$995,MATCH(49932+ROW(),BASE!$U$2:$U$995,0))),"")</f>
        <v/>
      </c>
      <c r="J76" s="30" t="str">
        <f>IFERROR(IF(INDEX(BASE!$I$2:$I$995,MATCH(49932+ROW(),BASE!$U$2:$U$995,0))="","",INDEX(BASE!$I$2:$I$995,MATCH(49932+ROW(),BASE!$U$2:$U$995,0))),"")</f>
        <v/>
      </c>
    </row>
    <row r="78" spans="2:10" ht="15.6" x14ac:dyDescent="0.3">
      <c r="B78" s="108" t="str">
        <f>"   ⚪   OUTROS / SEM REGRA     ·     " &amp; COUNTIF(BASE!$N$2:$N$995,"OUTROS") &amp; IF(COUNTIF(BASE!$N$2:$N$995,"OUTROS")=1," chamado"," chamados")</f>
        <v xml:space="preserve">   ⚪   OUTROS / SEM REGRA     ·     0 chamados</v>
      </c>
      <c r="C78" s="76"/>
      <c r="D78" s="76"/>
      <c r="E78" s="76"/>
      <c r="F78" s="76"/>
      <c r="G78" s="76"/>
      <c r="H78" s="76"/>
      <c r="I78" s="76"/>
      <c r="J78" s="76"/>
    </row>
    <row r="80" spans="2:10" ht="15.6" x14ac:dyDescent="0.3">
      <c r="B80" s="103" t="s">
        <v>10</v>
      </c>
      <c r="C80" s="76"/>
      <c r="D80" s="76"/>
      <c r="E80" s="76"/>
      <c r="F80" s="76"/>
      <c r="G80" s="76"/>
      <c r="H80" s="76"/>
      <c r="I80" s="76"/>
      <c r="J80" s="76"/>
    </row>
    <row r="81" spans="2:10" x14ac:dyDescent="0.3">
      <c r="B81" s="104" t="s">
        <v>11</v>
      </c>
      <c r="C81" s="105"/>
      <c r="D81" s="105"/>
      <c r="E81" s="105"/>
      <c r="F81" s="105"/>
      <c r="G81" s="105"/>
      <c r="H81" s="106"/>
      <c r="I81" s="111">
        <f>COUNTA(BASE!$A$2:$A$995)</f>
        <v>18</v>
      </c>
      <c r="J81" s="106"/>
    </row>
    <row r="82" spans="2:10" x14ac:dyDescent="0.3">
      <c r="B82" s="113" t="s">
        <v>12</v>
      </c>
      <c r="C82" s="105"/>
      <c r="D82" s="105"/>
      <c r="E82" s="105"/>
      <c r="F82" s="105"/>
      <c r="G82" s="105"/>
      <c r="H82" s="106"/>
      <c r="I82" s="112" t="str">
        <f ca="1">COUNTIF(BASE!$R$2:$R$995,"FORA DO PRAZO") &amp; " (" &amp; IFERROR(TEXT(COUNTIF(BASE!$R$2:$R$995,"FORA DO PRAZO")/COUNTA(BASE!$A$2:$A$995),"0%"),"0%") &amp; ")"</f>
        <v>18 (100%)</v>
      </c>
      <c r="J82" s="106"/>
    </row>
    <row r="83" spans="2:10" x14ac:dyDescent="0.3">
      <c r="B83" s="104" t="s">
        <v>13</v>
      </c>
      <c r="C83" s="105"/>
      <c r="D83" s="105"/>
      <c r="E83" s="105"/>
      <c r="F83" s="105"/>
      <c r="G83" s="105"/>
      <c r="H83" s="106"/>
      <c r="I83" s="111" t="str">
        <f ca="1">COUNTIF(BASE!$R$2:$R$995,"NO PRAZO") &amp; " (" &amp; IFERROR(TEXT(COUNTIF(BASE!$R$2:$R$995,"NO PRAZO")/COUNTA(BASE!$A$2:$A$995),"0%"),"0%") &amp; ")"</f>
        <v>0 (0%)</v>
      </c>
      <c r="J83" s="106"/>
    </row>
    <row r="84" spans="2:10" x14ac:dyDescent="0.3">
      <c r="B84" s="113" t="s">
        <v>14</v>
      </c>
      <c r="C84" s="105"/>
      <c r="D84" s="105"/>
      <c r="E84" s="105"/>
      <c r="F84" s="105"/>
      <c r="G84" s="105"/>
      <c r="H84" s="106"/>
      <c r="I84" s="112" t="str">
        <f ca="1">IFERROR(TEXT(INT(AVERAGE(BASE!$O$2:$O$995)),"00") &amp; "h " &amp; TEXT(INT((AVERAGE(BASE!$O$2:$O$995)-INT(AVERAGE(BASE!$O$2:$O$995)))*60),"00") &amp; "m","00h 00m")</f>
        <v>24h 14m</v>
      </c>
      <c r="J84" s="106"/>
    </row>
    <row r="85" spans="2:10" x14ac:dyDescent="0.3">
      <c r="B85" s="104" t="s">
        <v>15</v>
      </c>
      <c r="C85" s="105"/>
      <c r="D85" s="105"/>
      <c r="E85" s="105"/>
      <c r="F85" s="105"/>
      <c r="G85" s="105"/>
      <c r="H85" s="106"/>
      <c r="I85" s="111" t="str">
        <f ca="1">IFERROR(TEXT(INT(MAX(BASE!$O$2:$O$995)),"00") &amp; "h " &amp; TEXT(INT((MAX(BASE!$O$2:$O$995)-INT(MAX(BASE!$O$2:$O$995)))*60),"00") &amp; "m","00h 00m")</f>
        <v>120h 00m</v>
      </c>
      <c r="J85" s="106"/>
    </row>
  </sheetData>
  <mergeCells count="18">
    <mergeCell ref="B85:H85"/>
    <mergeCell ref="I85:J85"/>
    <mergeCell ref="B28:J28"/>
    <mergeCell ref="B81:H81"/>
    <mergeCell ref="B80:J80"/>
    <mergeCell ref="B41:J41"/>
    <mergeCell ref="I83:J83"/>
    <mergeCell ref="B54:J54"/>
    <mergeCell ref="I82:J82"/>
    <mergeCell ref="B82:H82"/>
    <mergeCell ref="I84:J84"/>
    <mergeCell ref="B84:H84"/>
    <mergeCell ref="I81:J81"/>
    <mergeCell ref="B67:J67"/>
    <mergeCell ref="B83:H83"/>
    <mergeCell ref="B2:J2"/>
    <mergeCell ref="B78:J78"/>
    <mergeCell ref="B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zoomScaleNormal="100" workbookViewId="0"/>
  </sheetViews>
  <sheetFormatPr defaultColWidth="8.6640625" defaultRowHeight="14.4" x14ac:dyDescent="0.3"/>
  <cols>
    <col min="1" max="1" width="16" customWidth="1"/>
    <col min="2" max="2" width="35" customWidth="1"/>
  </cols>
  <sheetData>
    <row r="1" spans="1:2" ht="27.75" customHeight="1" x14ac:dyDescent="0.3">
      <c r="A1" s="16" t="s">
        <v>112</v>
      </c>
      <c r="B1" s="16" t="s">
        <v>113</v>
      </c>
    </row>
    <row r="2" spans="1:2" x14ac:dyDescent="0.3">
      <c r="A2" s="33">
        <v>46023</v>
      </c>
      <c r="B2" s="6" t="s">
        <v>114</v>
      </c>
    </row>
    <row r="3" spans="1:2" x14ac:dyDescent="0.3">
      <c r="A3" s="34">
        <v>46069</v>
      </c>
      <c r="B3" s="3" t="s">
        <v>115</v>
      </c>
    </row>
    <row r="4" spans="1:2" x14ac:dyDescent="0.3">
      <c r="A4" s="33">
        <v>46070</v>
      </c>
      <c r="B4" s="6" t="s">
        <v>115</v>
      </c>
    </row>
    <row r="5" spans="1:2" x14ac:dyDescent="0.3">
      <c r="A5" s="34">
        <v>46115</v>
      </c>
      <c r="B5" s="3" t="s">
        <v>116</v>
      </c>
    </row>
    <row r="6" spans="1:2" x14ac:dyDescent="0.3">
      <c r="A6" s="33">
        <v>46133</v>
      </c>
      <c r="B6" s="6" t="s">
        <v>117</v>
      </c>
    </row>
    <row r="7" spans="1:2" x14ac:dyDescent="0.3">
      <c r="A7" s="34">
        <v>46143</v>
      </c>
      <c r="B7" s="3" t="s">
        <v>118</v>
      </c>
    </row>
    <row r="8" spans="1:2" x14ac:dyDescent="0.3">
      <c r="A8" s="33">
        <v>46177</v>
      </c>
      <c r="B8" s="6" t="s">
        <v>119</v>
      </c>
    </row>
    <row r="9" spans="1:2" x14ac:dyDescent="0.3">
      <c r="A9" s="34">
        <v>46272</v>
      </c>
      <c r="B9" s="3" t="s">
        <v>120</v>
      </c>
    </row>
    <row r="10" spans="1:2" x14ac:dyDescent="0.3">
      <c r="A10" s="33">
        <v>46307</v>
      </c>
      <c r="B10" s="6" t="s">
        <v>121</v>
      </c>
    </row>
    <row r="11" spans="1:2" x14ac:dyDescent="0.3">
      <c r="A11" s="34">
        <v>46328</v>
      </c>
      <c r="B11" s="3" t="s">
        <v>122</v>
      </c>
    </row>
    <row r="12" spans="1:2" x14ac:dyDescent="0.3">
      <c r="A12" s="33">
        <v>46341</v>
      </c>
      <c r="B12" s="6" t="s">
        <v>123</v>
      </c>
    </row>
    <row r="13" spans="1:2" x14ac:dyDescent="0.3">
      <c r="A13" s="34">
        <v>46346</v>
      </c>
      <c r="B13" s="3" t="s">
        <v>124</v>
      </c>
    </row>
    <row r="14" spans="1:2" x14ac:dyDescent="0.3">
      <c r="A14" s="33">
        <v>46381</v>
      </c>
      <c r="B14" s="6" t="s">
        <v>125</v>
      </c>
    </row>
    <row r="15" spans="1:2" x14ac:dyDescent="0.3">
      <c r="A15" s="34">
        <v>46231</v>
      </c>
      <c r="B15" s="3" t="s">
        <v>126</v>
      </c>
    </row>
    <row r="16" spans="1:2" x14ac:dyDescent="0.3">
      <c r="A16" s="33">
        <v>46249</v>
      </c>
      <c r="B16" s="6" t="s">
        <v>127</v>
      </c>
    </row>
    <row r="17" spans="1:2" x14ac:dyDescent="0.3">
      <c r="A17" s="34">
        <v>46314</v>
      </c>
      <c r="B17" s="3" t="s">
        <v>128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9"/>
  <sheetViews>
    <sheetView tabSelected="1" topLeftCell="C1" zoomScale="85" zoomScaleNormal="85" workbookViewId="0">
      <selection sqref="A1:L19"/>
    </sheetView>
  </sheetViews>
  <sheetFormatPr defaultColWidth="21.88671875" defaultRowHeight="14.4" x14ac:dyDescent="0.3"/>
  <cols>
    <col min="2" max="5" width="21.88671875" style="47"/>
    <col min="9" max="9" width="21.88671875" style="47"/>
  </cols>
  <sheetData>
    <row r="1" spans="1:12" ht="15" thickBot="1" x14ac:dyDescent="0.35">
      <c r="A1" s="35" t="s">
        <v>30</v>
      </c>
      <c r="B1" s="36" t="s">
        <v>1</v>
      </c>
      <c r="C1" s="36" t="s">
        <v>4</v>
      </c>
      <c r="D1" s="36" t="s">
        <v>16</v>
      </c>
      <c r="E1" s="36" t="s">
        <v>3</v>
      </c>
      <c r="F1" s="36" t="s">
        <v>31</v>
      </c>
      <c r="G1" s="36" t="s">
        <v>32</v>
      </c>
      <c r="H1" s="36" t="s">
        <v>19</v>
      </c>
      <c r="I1" s="36" t="s">
        <v>9</v>
      </c>
      <c r="J1" s="36" t="s">
        <v>20</v>
      </c>
      <c r="K1" s="36" t="s">
        <v>7</v>
      </c>
      <c r="L1" s="37" t="s">
        <v>8</v>
      </c>
    </row>
    <row r="2" spans="1:12" ht="16.8" thickTop="1" thickBot="1" x14ac:dyDescent="0.35">
      <c r="A2" s="51" t="s">
        <v>77</v>
      </c>
      <c r="B2" s="38" t="s">
        <v>78</v>
      </c>
      <c r="C2" s="38" t="s">
        <v>34</v>
      </c>
      <c r="D2" s="38" t="s">
        <v>35</v>
      </c>
      <c r="E2" s="38" t="s">
        <v>79</v>
      </c>
      <c r="F2" s="39">
        <v>46157.926666666666</v>
      </c>
      <c r="G2" s="38">
        <v>18</v>
      </c>
      <c r="H2" s="40" t="s">
        <v>51</v>
      </c>
      <c r="I2" s="69" t="s">
        <v>52</v>
      </c>
      <c r="J2" s="38"/>
      <c r="K2" s="38" t="s">
        <v>80</v>
      </c>
      <c r="L2" s="38" t="s">
        <v>53</v>
      </c>
    </row>
    <row r="3" spans="1:12" ht="16.2" thickBot="1" x14ac:dyDescent="0.35">
      <c r="A3" s="51" t="s">
        <v>171</v>
      </c>
      <c r="B3" s="41" t="s">
        <v>172</v>
      </c>
      <c r="C3" s="41" t="s">
        <v>34</v>
      </c>
      <c r="D3" s="41" t="s">
        <v>35</v>
      </c>
      <c r="E3" s="41" t="s">
        <v>173</v>
      </c>
      <c r="F3" s="42">
        <v>46169.679629629631</v>
      </c>
      <c r="G3" s="41">
        <v>6</v>
      </c>
      <c r="H3" s="43" t="s">
        <v>51</v>
      </c>
      <c r="I3" s="70" t="s">
        <v>64</v>
      </c>
      <c r="J3" s="41"/>
      <c r="K3" s="41" t="s">
        <v>174</v>
      </c>
      <c r="L3" s="41" t="s">
        <v>37</v>
      </c>
    </row>
    <row r="4" spans="1:12" ht="16.2" thickBot="1" x14ac:dyDescent="0.35">
      <c r="A4" s="51" t="s">
        <v>167</v>
      </c>
      <c r="B4" s="38" t="s">
        <v>168</v>
      </c>
      <c r="C4" s="38" t="s">
        <v>34</v>
      </c>
      <c r="D4" s="38" t="s">
        <v>169</v>
      </c>
      <c r="E4" s="38" t="s">
        <v>170</v>
      </c>
      <c r="F4" s="39">
        <v>46170.612442129626</v>
      </c>
      <c r="G4" s="38">
        <v>5</v>
      </c>
      <c r="H4" s="40" t="s">
        <v>51</v>
      </c>
      <c r="I4" s="69" t="s">
        <v>64</v>
      </c>
      <c r="J4" s="38"/>
      <c r="K4" s="38" t="s">
        <v>36</v>
      </c>
      <c r="L4" s="38" t="s">
        <v>37</v>
      </c>
    </row>
    <row r="5" spans="1:12" ht="16.2" thickBot="1" x14ac:dyDescent="0.35">
      <c r="A5" s="51" t="s">
        <v>139</v>
      </c>
      <c r="B5" s="41" t="s">
        <v>41</v>
      </c>
      <c r="C5" s="41" t="s">
        <v>34</v>
      </c>
      <c r="D5" s="41" t="s">
        <v>35</v>
      </c>
      <c r="E5" s="41" t="s">
        <v>140</v>
      </c>
      <c r="F5" s="42">
        <v>46171.597858796296</v>
      </c>
      <c r="G5" s="41">
        <v>4</v>
      </c>
      <c r="H5" s="43" t="s">
        <v>51</v>
      </c>
      <c r="I5" s="70" t="s">
        <v>64</v>
      </c>
      <c r="J5" s="41"/>
      <c r="K5" s="41" t="s">
        <v>36</v>
      </c>
      <c r="L5" s="41" t="s">
        <v>37</v>
      </c>
    </row>
    <row r="6" spans="1:12" ht="16.2" thickBot="1" x14ac:dyDescent="0.35">
      <c r="A6" s="51" t="s">
        <v>136</v>
      </c>
      <c r="B6" s="38" t="s">
        <v>137</v>
      </c>
      <c r="C6" s="38" t="s">
        <v>34</v>
      </c>
      <c r="D6" s="38" t="s">
        <v>35</v>
      </c>
      <c r="E6" s="38" t="s">
        <v>138</v>
      </c>
      <c r="F6" s="39">
        <v>46172.542025462964</v>
      </c>
      <c r="G6" s="38">
        <v>3</v>
      </c>
      <c r="H6" s="40" t="s">
        <v>51</v>
      </c>
      <c r="I6" s="69" t="s">
        <v>64</v>
      </c>
      <c r="J6" s="38"/>
      <c r="K6" s="38" t="s">
        <v>36</v>
      </c>
      <c r="L6" s="38" t="s">
        <v>37</v>
      </c>
    </row>
    <row r="7" spans="1:12" ht="16.2" thickBot="1" x14ac:dyDescent="0.35">
      <c r="A7" s="51" t="s">
        <v>164</v>
      </c>
      <c r="B7" s="38" t="s">
        <v>41</v>
      </c>
      <c r="C7" s="38" t="s">
        <v>34</v>
      </c>
      <c r="D7" s="38" t="s">
        <v>35</v>
      </c>
      <c r="E7" s="38" t="s">
        <v>165</v>
      </c>
      <c r="F7" s="39">
        <v>46173.806087962963</v>
      </c>
      <c r="G7" s="38">
        <v>2</v>
      </c>
      <c r="H7" s="40" t="s">
        <v>51</v>
      </c>
      <c r="I7" s="69" t="s">
        <v>64</v>
      </c>
      <c r="J7" s="38"/>
      <c r="K7" s="38" t="s">
        <v>36</v>
      </c>
      <c r="L7" s="38" t="s">
        <v>37</v>
      </c>
    </row>
    <row r="8" spans="1:12" ht="16.2" thickBot="1" x14ac:dyDescent="0.35">
      <c r="A8" s="51" t="s">
        <v>130</v>
      </c>
      <c r="B8" s="41" t="s">
        <v>41</v>
      </c>
      <c r="C8" s="41" t="s">
        <v>34</v>
      </c>
      <c r="D8" s="41" t="s">
        <v>35</v>
      </c>
      <c r="E8" s="41" t="s">
        <v>131</v>
      </c>
      <c r="F8" s="42">
        <v>46173.208935185183</v>
      </c>
      <c r="G8" s="41">
        <v>2</v>
      </c>
      <c r="H8" s="43" t="s">
        <v>51</v>
      </c>
      <c r="I8" s="70" t="s">
        <v>166</v>
      </c>
      <c r="J8" s="41"/>
      <c r="K8" s="41" t="s">
        <v>36</v>
      </c>
      <c r="L8" s="41" t="s">
        <v>37</v>
      </c>
    </row>
    <row r="9" spans="1:12" ht="16.2" thickBot="1" x14ac:dyDescent="0.35">
      <c r="A9" s="51" t="s">
        <v>132</v>
      </c>
      <c r="B9" s="71" t="s">
        <v>41</v>
      </c>
      <c r="C9" s="71" t="s">
        <v>34</v>
      </c>
      <c r="D9" s="71" t="s">
        <v>35</v>
      </c>
      <c r="E9" s="71" t="s">
        <v>133</v>
      </c>
      <c r="F9" s="72">
        <v>46173.208912037036</v>
      </c>
      <c r="G9" s="71">
        <v>2</v>
      </c>
      <c r="H9" s="73" t="s">
        <v>51</v>
      </c>
      <c r="I9" s="74" t="s">
        <v>64</v>
      </c>
      <c r="J9" s="71"/>
      <c r="K9" s="71" t="s">
        <v>36</v>
      </c>
      <c r="L9" s="71" t="s">
        <v>37</v>
      </c>
    </row>
    <row r="10" spans="1:12" ht="16.2" thickBot="1" x14ac:dyDescent="0.35">
      <c r="A10" s="51" t="s">
        <v>134</v>
      </c>
      <c r="B10" s="41" t="s">
        <v>33</v>
      </c>
      <c r="C10" s="41" t="s">
        <v>34</v>
      </c>
      <c r="D10" s="41" t="s">
        <v>35</v>
      </c>
      <c r="E10" s="41" t="s">
        <v>135</v>
      </c>
      <c r="F10" s="42">
        <v>46173.208854166667</v>
      </c>
      <c r="G10" s="41">
        <v>2</v>
      </c>
      <c r="H10" s="43" t="s">
        <v>51</v>
      </c>
      <c r="I10" s="70" t="s">
        <v>166</v>
      </c>
      <c r="J10" s="41"/>
      <c r="K10" s="41" t="s">
        <v>36</v>
      </c>
      <c r="L10" s="41" t="s">
        <v>37</v>
      </c>
    </row>
    <row r="11" spans="1:12" ht="16.2" thickBot="1" x14ac:dyDescent="0.35">
      <c r="A11" s="51" t="s">
        <v>141</v>
      </c>
      <c r="B11" s="38" t="s">
        <v>41</v>
      </c>
      <c r="C11" s="38" t="s">
        <v>34</v>
      </c>
      <c r="D11" s="38" t="s">
        <v>35</v>
      </c>
      <c r="E11" s="38" t="s">
        <v>142</v>
      </c>
      <c r="F11" s="39">
        <v>46174.95890046296</v>
      </c>
      <c r="G11" s="38">
        <v>1</v>
      </c>
      <c r="H11" s="40" t="s">
        <v>51</v>
      </c>
      <c r="I11" s="69" t="s">
        <v>64</v>
      </c>
      <c r="J11" s="38"/>
      <c r="K11" s="38" t="s">
        <v>36</v>
      </c>
      <c r="L11" s="38" t="s">
        <v>37</v>
      </c>
    </row>
    <row r="12" spans="1:12" ht="16.2" thickBot="1" x14ac:dyDescent="0.35">
      <c r="A12" s="51" t="s">
        <v>143</v>
      </c>
      <c r="B12" s="41" t="s">
        <v>144</v>
      </c>
      <c r="C12" s="41" t="s">
        <v>34</v>
      </c>
      <c r="D12" s="41" t="s">
        <v>35</v>
      </c>
      <c r="E12" s="41" t="s">
        <v>145</v>
      </c>
      <c r="F12" s="42">
        <v>46174.879432870373</v>
      </c>
      <c r="G12" s="41">
        <v>1</v>
      </c>
      <c r="H12" s="43" t="s">
        <v>51</v>
      </c>
      <c r="I12" s="70" t="s">
        <v>64</v>
      </c>
      <c r="J12" s="41"/>
      <c r="K12" s="41" t="s">
        <v>36</v>
      </c>
      <c r="L12" s="41" t="s">
        <v>37</v>
      </c>
    </row>
    <row r="13" spans="1:12" ht="16.2" thickBot="1" x14ac:dyDescent="0.35">
      <c r="A13" s="51" t="s">
        <v>146</v>
      </c>
      <c r="B13" s="38" t="s">
        <v>147</v>
      </c>
      <c r="C13" s="38" t="s">
        <v>34</v>
      </c>
      <c r="D13" s="38" t="s">
        <v>35</v>
      </c>
      <c r="E13" s="38" t="s">
        <v>148</v>
      </c>
      <c r="F13" s="39">
        <v>46174.827939814815</v>
      </c>
      <c r="G13" s="38">
        <v>1</v>
      </c>
      <c r="H13" s="40" t="s">
        <v>39</v>
      </c>
      <c r="I13" s="69" t="s">
        <v>149</v>
      </c>
      <c r="J13" s="38"/>
      <c r="K13" s="38" t="s">
        <v>150</v>
      </c>
      <c r="L13" s="38" t="s">
        <v>37</v>
      </c>
    </row>
    <row r="14" spans="1:12" ht="16.2" thickBot="1" x14ac:dyDescent="0.35">
      <c r="A14" s="51" t="s">
        <v>151</v>
      </c>
      <c r="B14" s="41" t="s">
        <v>41</v>
      </c>
      <c r="C14" s="41" t="s">
        <v>34</v>
      </c>
      <c r="D14" s="41" t="s">
        <v>35</v>
      </c>
      <c r="E14" s="41" t="s">
        <v>152</v>
      </c>
      <c r="F14" s="42">
        <v>46174.709050925929</v>
      </c>
      <c r="G14" s="41">
        <v>1</v>
      </c>
      <c r="H14" s="43" t="s">
        <v>51</v>
      </c>
      <c r="I14" s="70" t="s">
        <v>64</v>
      </c>
      <c r="J14" s="41"/>
      <c r="K14" s="41" t="s">
        <v>36</v>
      </c>
      <c r="L14" s="41" t="s">
        <v>37</v>
      </c>
    </row>
    <row r="15" spans="1:12" ht="16.2" thickBot="1" x14ac:dyDescent="0.35">
      <c r="A15" s="51" t="s">
        <v>153</v>
      </c>
      <c r="B15" s="38" t="s">
        <v>41</v>
      </c>
      <c r="C15" s="38" t="s">
        <v>34</v>
      </c>
      <c r="D15" s="38" t="s">
        <v>35</v>
      </c>
      <c r="E15" s="38" t="s">
        <v>154</v>
      </c>
      <c r="F15" s="39">
        <v>46174.702002314814</v>
      </c>
      <c r="G15" s="38">
        <v>1</v>
      </c>
      <c r="H15" s="40" t="s">
        <v>51</v>
      </c>
      <c r="I15" s="69" t="s">
        <v>64</v>
      </c>
      <c r="J15" s="38"/>
      <c r="K15" s="38" t="s">
        <v>36</v>
      </c>
      <c r="L15" s="38" t="s">
        <v>37</v>
      </c>
    </row>
    <row r="16" spans="1:12" ht="16.2" thickBot="1" x14ac:dyDescent="0.35">
      <c r="A16" s="51" t="s">
        <v>155</v>
      </c>
      <c r="B16" s="41" t="s">
        <v>41</v>
      </c>
      <c r="C16" s="41" t="s">
        <v>34</v>
      </c>
      <c r="D16" s="41" t="s">
        <v>35</v>
      </c>
      <c r="E16" s="41" t="s">
        <v>154</v>
      </c>
      <c r="F16" s="42">
        <v>46174.681238425925</v>
      </c>
      <c r="G16" s="41">
        <v>1</v>
      </c>
      <c r="H16" s="43" t="s">
        <v>51</v>
      </c>
      <c r="I16" s="70" t="s">
        <v>64</v>
      </c>
      <c r="J16" s="41"/>
      <c r="K16" s="41" t="s">
        <v>36</v>
      </c>
      <c r="L16" s="41" t="s">
        <v>37</v>
      </c>
    </row>
    <row r="17" spans="1:12" ht="16.2" thickBot="1" x14ac:dyDescent="0.35">
      <c r="A17" s="51" t="s">
        <v>156</v>
      </c>
      <c r="B17" s="38" t="s">
        <v>33</v>
      </c>
      <c r="C17" s="38" t="s">
        <v>34</v>
      </c>
      <c r="D17" s="38" t="s">
        <v>35</v>
      </c>
      <c r="E17" s="38" t="s">
        <v>157</v>
      </c>
      <c r="F17" s="39">
        <v>46174.500636574077</v>
      </c>
      <c r="G17" s="38">
        <v>1</v>
      </c>
      <c r="H17" s="40" t="s">
        <v>51</v>
      </c>
      <c r="I17" s="69" t="s">
        <v>64</v>
      </c>
      <c r="J17" s="38"/>
      <c r="K17" s="38" t="s">
        <v>36</v>
      </c>
      <c r="L17" s="38" t="s">
        <v>37</v>
      </c>
    </row>
    <row r="18" spans="1:12" ht="16.2" thickBot="1" x14ac:dyDescent="0.35">
      <c r="A18" s="51" t="s">
        <v>158</v>
      </c>
      <c r="B18" s="41" t="s">
        <v>159</v>
      </c>
      <c r="C18" s="41" t="s">
        <v>34</v>
      </c>
      <c r="D18" s="41" t="s">
        <v>35</v>
      </c>
      <c r="E18" s="41" t="s">
        <v>160</v>
      </c>
      <c r="F18" s="42">
        <v>46174.40115740741</v>
      </c>
      <c r="G18" s="41">
        <v>1</v>
      </c>
      <c r="H18" s="43" t="s">
        <v>51</v>
      </c>
      <c r="I18" s="70" t="s">
        <v>64</v>
      </c>
      <c r="J18" s="41"/>
      <c r="K18" s="41" t="s">
        <v>36</v>
      </c>
      <c r="L18" s="41" t="s">
        <v>37</v>
      </c>
    </row>
    <row r="19" spans="1:12" ht="16.2" thickBot="1" x14ac:dyDescent="0.35">
      <c r="A19" s="52" t="s">
        <v>161</v>
      </c>
      <c r="B19" s="41" t="s">
        <v>162</v>
      </c>
      <c r="C19" s="41" t="s">
        <v>34</v>
      </c>
      <c r="D19" s="41" t="s">
        <v>35</v>
      </c>
      <c r="E19" s="41" t="s">
        <v>163</v>
      </c>
      <c r="F19" s="42">
        <v>46174.353865740741</v>
      </c>
      <c r="G19" s="41">
        <v>1</v>
      </c>
      <c r="H19" s="43" t="s">
        <v>39</v>
      </c>
      <c r="I19" s="70" t="s">
        <v>149</v>
      </c>
      <c r="J19" s="41"/>
      <c r="K19" s="41" t="s">
        <v>175</v>
      </c>
      <c r="L19" s="41" t="s">
        <v>45</v>
      </c>
    </row>
  </sheetData>
  <autoFilter ref="A1:M1" xr:uid="{00000000-0001-0000-0500-000000000000}">
    <sortState xmlns:xlrd2="http://schemas.microsoft.com/office/spreadsheetml/2017/richdata2" ref="A2:M19">
      <sortCondition descending="1" ref="G1"/>
    </sortState>
  </autoFilter>
  <hyperlinks>
    <hyperlink ref="A11" r:id="rId1" location="/app/ticket/5988561" display="https://atrix.mobtelecom.com.br/controle/addonmodules.php?module=helpdesk - /app/ticket/5988561" xr:uid="{FD201096-3537-4D25-A1F7-28AE7418A628}"/>
    <hyperlink ref="A12" r:id="rId2" location="/app/ticket/5988513" display="https://atrix.mobtelecom.com.br/controle/addonmodules.php?module=helpdesk - /app/ticket/5988513" xr:uid="{351AA6AE-ED62-455C-B315-5DBC4B3E99CD}"/>
    <hyperlink ref="A13" r:id="rId3" location="/app/ticket/5988469" display="https://atrix.mobtelecom.com.br/controle/addonmodules.php?module=helpdesk - /app/ticket/5988469" xr:uid="{CDBEBF7A-315E-47BA-BF89-CAC2DABD4F2A}"/>
    <hyperlink ref="A14" r:id="rId4" location="/app/ticket/5988289" display="https://atrix.mobtelecom.com.br/controle/addonmodules.php?module=helpdesk - /app/ticket/5988289" xr:uid="{04424487-BE02-466F-A644-AC97DED652F9}"/>
    <hyperlink ref="A15" r:id="rId5" location="/app/ticket/5988277" display="https://atrix.mobtelecom.com.br/controle/addonmodules.php?module=helpdesk - /app/ticket/5988277" xr:uid="{D2B8D5EC-4901-4C22-B035-0C44BC675DD1}"/>
    <hyperlink ref="A16" r:id="rId6" location="/app/ticket/5988219" display="https://atrix.mobtelecom.com.br/controle/addonmodules.php?module=helpdesk - /app/ticket/5988219" xr:uid="{0E0A0FF8-BF55-44E3-A62F-0294A2676A81}"/>
    <hyperlink ref="A17" r:id="rId7" location="/app/ticket/5987677" display="https://atrix.mobtelecom.com.br/controle/addonmodules.php?module=helpdesk - /app/ticket/5987677" xr:uid="{1BEFC970-33CA-45A3-BBA7-35F8E85DBD29}"/>
    <hyperlink ref="A18" r:id="rId8" location="/app/ticket/5987263" display="https://atrix.mobtelecom.com.br/controle/addonmodules.php?module=helpdesk - /app/ticket/5987263" xr:uid="{AC3D859D-AE7E-4181-A825-7B9CC2CE72C5}"/>
    <hyperlink ref="A19" r:id="rId9" location="/app/ticket/5987047" display="https://atrix.mobtelecom.com.br/controle/addonmodules.php?module=helpdesk - /app/ticket/5987047" xr:uid="{A7FC4CA6-C7FF-43AA-911C-084C1E55C5D7}"/>
    <hyperlink ref="A7" r:id="rId10" location="/app/ticket/5986769" display="https://atrix.mobtelecom.com.br/controle/addonmodules.php?module=helpdesk - /app/ticket/5986769" xr:uid="{82A96B2E-A3BF-4A35-9891-41949241E3B2}"/>
    <hyperlink ref="A8" r:id="rId11" location="/app/ticket/5986419" display="https://atrix.mobtelecom.com.br/controle/addonmodules.php?module=helpdesk - /app/ticket/5986419" xr:uid="{1DDE5B59-7A73-4130-9DDA-14D7573D40B2}"/>
    <hyperlink ref="A9" r:id="rId12" location="/app/ticket/5986417" display="https://atrix.mobtelecom.com.br/controle/addonmodules.php?module=helpdesk - /app/ticket/5986417" xr:uid="{873DFA76-C395-4065-A5F5-795AA47F1C29}"/>
    <hyperlink ref="A10" r:id="rId13" location="/app/ticket/5986415" display="https://atrix.mobtelecom.com.br/controle/addonmodules.php?module=helpdesk - /app/ticket/5986415" xr:uid="{B0C0FDF8-6337-41F0-A3DF-8F40000399C4}"/>
    <hyperlink ref="A6" r:id="rId14" location="/app/ticket/5986031" display="https://atrix.mobtelecom.com.br/controle/addonmodules.php?module=helpdesk - /app/ticket/5986031" xr:uid="{3093851A-F5B7-431B-A783-707E74A97568}"/>
    <hyperlink ref="A5" r:id="rId15" location="/app/ticket/5984989" display="https://atrix.mobtelecom.com.br/controle/addonmodules.php?module=helpdesk - /app/ticket/5984989" xr:uid="{35D184B3-DA3C-4A24-A624-01332C0CE61E}"/>
    <hyperlink ref="A4" r:id="rId16" location="/app/ticket/5983433" display="https://atrix.mobtelecom.com.br/controle/addonmodules.php?module=helpdesk - /app/ticket/5983433" xr:uid="{93BA8CEF-EC77-477A-8119-9F24BBBE3B61}"/>
    <hyperlink ref="A3" r:id="rId17" location="/app/ticket/5982149" display="https://atrix.mobtelecom.com.br/controle/addonmodules.php?module=helpdesk - /app/ticket/5982149" xr:uid="{FF9799F8-008E-46E7-ADC6-22185BF10927}"/>
    <hyperlink ref="A2" r:id="rId18" location="/app/ticket/5963393" display="https://atrix.mobtelecom.com.br/controle/addonmodules.php?module=helpdesk - /app/ticket/5963393" xr:uid="{B0ADA562-CD59-4E6D-91CB-8E0D8717287F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BASE</vt:lpstr>
      <vt:lpstr>DASHBOARD</vt:lpstr>
      <vt:lpstr>TABELA_DINAMICA</vt:lpstr>
      <vt:lpstr>RESUMO_ENVIO</vt:lpstr>
      <vt:lpstr>FERIADOS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Wanderson Marcellus Penha Costa</dc:creator>
  <cp:lastModifiedBy>Centro Estético Roseane Débora</cp:lastModifiedBy>
  <cp:revision>0</cp:revision>
  <dcterms:created xsi:type="dcterms:W3CDTF">2026-05-19T08:19:18Z</dcterms:created>
  <dcterms:modified xsi:type="dcterms:W3CDTF">2026-06-03T08:36:48Z</dcterms:modified>
  <dc:language>en-US</dc:language>
</cp:coreProperties>
</file>