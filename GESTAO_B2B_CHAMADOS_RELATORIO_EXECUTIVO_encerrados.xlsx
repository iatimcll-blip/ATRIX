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derson.pcosta\Documents\Reparos\2026\bases usadas\"/>
    </mc:Choice>
  </mc:AlternateContent>
  <xr:revisionPtr revIDLastSave="0" documentId="8_{4C0AC91F-B915-4CFB-AA1B-93EB4213E0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BI" sheetId="1" r:id="rId1"/>
    <sheet name="CONTROLE" sheetId="2" r:id="rId2"/>
    <sheet name="RELATÓRIO EXECUTIVO" sheetId="3" r:id="rId3"/>
    <sheet name="REINCIDENTES" sheetId="4" r:id="rId4"/>
    <sheet name="EVOLUÇÃO" sheetId="5" r:id="rId5"/>
    <sheet name="FCA" sheetId="6" r:id="rId6"/>
    <sheet name="DASHBOARD" sheetId="7" r:id="rId7"/>
    <sheet name="INTEGRAÇÃ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8" l="1"/>
  <c r="G5" i="8"/>
  <c r="H5" i="8" s="1"/>
  <c r="B15" i="6"/>
  <c r="H7" i="5"/>
  <c r="F7" i="5"/>
  <c r="G7" i="5" s="1"/>
  <c r="E7" i="5"/>
  <c r="C7" i="5"/>
  <c r="D7" i="5" s="1"/>
  <c r="B7" i="5"/>
  <c r="H6" i="5"/>
  <c r="F6" i="5"/>
  <c r="G6" i="5" s="1"/>
  <c r="E6" i="5"/>
  <c r="C6" i="5"/>
  <c r="D6" i="5" s="1"/>
  <c r="B6" i="5"/>
  <c r="H5" i="5"/>
  <c r="F5" i="5"/>
  <c r="G5" i="5" s="1"/>
  <c r="E5" i="5"/>
  <c r="C5" i="5"/>
  <c r="D5" i="5" s="1"/>
  <c r="B5" i="5"/>
  <c r="H4" i="5"/>
  <c r="F4" i="5"/>
  <c r="G4" i="5" s="1"/>
  <c r="E4" i="5"/>
  <c r="C4" i="5"/>
  <c r="D4" i="5" s="1"/>
  <c r="B4" i="5"/>
  <c r="J7" i="4"/>
  <c r="G7" i="4"/>
  <c r="M7" i="4" s="1"/>
  <c r="D7" i="4"/>
  <c r="G7" i="8" s="1"/>
  <c r="H7" i="8" s="1"/>
  <c r="L34" i="3"/>
  <c r="L33" i="3"/>
  <c r="L32" i="3"/>
  <c r="L31" i="3"/>
  <c r="L30" i="3"/>
  <c r="L29" i="3"/>
  <c r="L28" i="3"/>
  <c r="L22" i="3"/>
  <c r="L21" i="3"/>
  <c r="L20" i="3"/>
  <c r="L19" i="3"/>
  <c r="L18" i="3"/>
  <c r="L17" i="3"/>
  <c r="L16" i="3"/>
  <c r="L15" i="3"/>
  <c r="L14" i="3"/>
  <c r="L13" i="3"/>
  <c r="L12" i="3"/>
  <c r="A6" i="3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D6" i="2"/>
  <c r="D7" i="2" s="1"/>
  <c r="D8" i="2" l="1"/>
  <c r="A2" i="6" s="1"/>
  <c r="G10" i="8" s="1"/>
  <c r="H10" i="8" s="1"/>
  <c r="A2" i="7"/>
  <c r="D20" i="2"/>
  <c r="D24" i="2"/>
  <c r="D15" i="6"/>
  <c r="I20" i="2" l="1"/>
  <c r="J20" i="2" s="1"/>
  <c r="G13" i="7" s="1"/>
  <c r="E18" i="2"/>
  <c r="E24" i="2"/>
  <c r="F24" i="2" s="1"/>
  <c r="O12" i="7" s="1"/>
  <c r="D19" i="2"/>
  <c r="I24" i="2"/>
  <c r="J24" i="2" s="1"/>
  <c r="O13" i="7" s="1"/>
  <c r="I22" i="2"/>
  <c r="D18" i="2"/>
  <c r="I21" i="2"/>
  <c r="J21" i="2" s="1"/>
  <c r="I13" i="7" s="1"/>
  <c r="M1" i="3"/>
  <c r="I23" i="2"/>
  <c r="J23" i="2" s="1"/>
  <c r="M13" i="7" s="1"/>
  <c r="N13" i="2"/>
  <c r="M6" i="7" s="1"/>
  <c r="E20" i="2"/>
  <c r="F20" i="2" s="1"/>
  <c r="G12" i="7" s="1"/>
  <c r="I18" i="2"/>
  <c r="D21" i="2"/>
  <c r="E22" i="2"/>
  <c r="F22" i="2" s="1"/>
  <c r="K12" i="7" s="1"/>
  <c r="D9" i="2"/>
  <c r="E13" i="2" s="1"/>
  <c r="D23" i="2"/>
  <c r="K13" i="2"/>
  <c r="I19" i="2"/>
  <c r="E21" i="2"/>
  <c r="F21" i="2" s="1"/>
  <c r="I12" i="7" s="1"/>
  <c r="E23" i="2"/>
  <c r="F23" i="2" s="1"/>
  <c r="M12" i="7" s="1"/>
  <c r="E19" i="2"/>
  <c r="D22" i="2"/>
  <c r="E6" i="7" l="1"/>
  <c r="J15" i="6"/>
  <c r="Q13" i="7"/>
  <c r="G5" i="3"/>
  <c r="G6" i="3"/>
  <c r="F19" i="2"/>
  <c r="E12" i="7" s="1"/>
  <c r="J19" i="2"/>
  <c r="E13" i="7" s="1"/>
  <c r="E25" i="2"/>
  <c r="F25" i="2" s="1"/>
  <c r="F18" i="2"/>
  <c r="C12" i="7" s="1"/>
  <c r="I6" i="7"/>
  <c r="G11" i="8"/>
  <c r="H11" i="8" s="1"/>
  <c r="G6" i="8"/>
  <c r="H6" i="8" s="1"/>
  <c r="A5" i="3"/>
  <c r="E14" i="2"/>
  <c r="E8" i="7" s="1"/>
  <c r="G8" i="8"/>
  <c r="H8" i="8" s="1"/>
  <c r="F15" i="6"/>
  <c r="H13" i="2"/>
  <c r="H23" i="2"/>
  <c r="L23" i="2"/>
  <c r="B13" i="2"/>
  <c r="B14" i="2" s="1"/>
  <c r="A8" i="7" s="1"/>
  <c r="L18" i="2"/>
  <c r="D25" i="2"/>
  <c r="H20" i="2"/>
  <c r="H22" i="2"/>
  <c r="L22" i="2"/>
  <c r="H21" i="2"/>
  <c r="L21" i="2"/>
  <c r="J22" i="2"/>
  <c r="K13" i="7" s="1"/>
  <c r="L20" i="2"/>
  <c r="J18" i="2"/>
  <c r="C13" i="7" s="1"/>
  <c r="I25" i="2"/>
  <c r="J25" i="2" s="1"/>
  <c r="L24" i="2"/>
  <c r="L19" i="2"/>
  <c r="H24" i="2"/>
  <c r="H18" i="2" l="1"/>
  <c r="A6" i="7"/>
  <c r="D5" i="3"/>
  <c r="Q12" i="7"/>
  <c r="H15" i="6"/>
  <c r="D6" i="3"/>
  <c r="H19" i="2"/>
  <c r="J5" i="3" l="1"/>
  <c r="J6" i="3" s="1"/>
</calcChain>
</file>

<file path=xl/sharedStrings.xml><?xml version="1.0" encoding="utf-8"?>
<sst xmlns="http://schemas.openxmlformats.org/spreadsheetml/2006/main" count="38364" uniqueCount="6618">
  <si>
    <t>ticket_id</t>
  </si>
  <si>
    <t>protocolo</t>
  </si>
  <si>
    <t>titulo</t>
  </si>
  <si>
    <t>UsuarioDesignado</t>
  </si>
  <si>
    <t>segmento_cliente</t>
  </si>
  <si>
    <t>numplan</t>
  </si>
  <si>
    <t>idservico</t>
  </si>
  <si>
    <t>valorservico</t>
  </si>
  <si>
    <t>produto</t>
  </si>
  <si>
    <t>cliente_id</t>
  </si>
  <si>
    <t>Cliente</t>
  </si>
  <si>
    <t>CNPJ</t>
  </si>
  <si>
    <t>data_abertura</t>
  </si>
  <si>
    <t>data_fechamento</t>
  </si>
  <si>
    <t>substatus</t>
  </si>
  <si>
    <t>dep_atual</t>
  </si>
  <si>
    <t>Canal_Abertura</t>
  </si>
  <si>
    <t>Tipo_Encerramento</t>
  </si>
  <si>
    <t>Causa_Raiz</t>
  </si>
  <si>
    <t>parceiro</t>
  </si>
  <si>
    <t>ult_OS</t>
  </si>
  <si>
    <t>os_agrupada</t>
  </si>
  <si>
    <t>os_concluida_agrupada</t>
  </si>
  <si>
    <t>ufservico</t>
  </si>
  <si>
    <t>cidadeservico</t>
  </si>
  <si>
    <t>bdeskprotocol</t>
  </si>
  <si>
    <t>aging_ccs</t>
  </si>
  <si>
    <t>tempo_total</t>
  </si>
  <si>
    <t>tempo_cliente</t>
  </si>
  <si>
    <t>tempo_giga</t>
  </si>
  <si>
    <t>tempo_suporte_total</t>
  </si>
  <si>
    <t>tempo_noc</t>
  </si>
  <si>
    <t>tempo_ccs</t>
  </si>
  <si>
    <t>tempo_b2b</t>
  </si>
  <si>
    <t>tempoccs_campo</t>
  </si>
  <si>
    <t>tempo_escritorio</t>
  </si>
  <si>
    <t>tempo_swap</t>
  </si>
  <si>
    <t>DataAtivacao</t>
  </si>
  <si>
    <t>intervalo_ativacao</t>
  </si>
  <si>
    <t>classificacao_ifi</t>
  </si>
  <si>
    <t>designator</t>
  </si>
  <si>
    <t>nova_regional</t>
  </si>
  <si>
    <t>cluster</t>
  </si>
  <si>
    <t>gerente</t>
  </si>
  <si>
    <t>sla_ticket</t>
  </si>
  <si>
    <t>semana</t>
  </si>
  <si>
    <t>ano</t>
  </si>
  <si>
    <t>mes</t>
  </si>
  <si>
    <t>cluster_calc</t>
  </si>
  <si>
    <t>dentro_8h</t>
  </si>
  <si>
    <t>outlier_24h</t>
  </si>
  <si>
    <t>30122025-78733</t>
  </si>
  <si>
    <t>SERVIS ELETRONICA DEFENSE LTDA MA GRUPO SERVIS | INDISPONIBILIDADE | SLS/L2L/218497/771</t>
  </si>
  <si>
    <t>Glen Serafim</t>
  </si>
  <si>
    <t>Corporativo</t>
  </si>
  <si>
    <t>LINK DE DADOS</t>
  </si>
  <si>
    <t>SERVIS ELETRONICA DEFENSE LTDA MA GRUPO SERVIS</t>
  </si>
  <si>
    <t>04.196.136/0003-31</t>
  </si>
  <si>
    <t>PENDENTE VALIDAÇÃO</t>
  </si>
  <si>
    <t>CMO - Reparo</t>
  </si>
  <si>
    <t>Rompimento de Fibra</t>
  </si>
  <si>
    <t>165937</t>
  </si>
  <si>
    <t>MA</t>
  </si>
  <si>
    <t>SAO LUIS</t>
  </si>
  <si>
    <t>Entre 4h e 8h</t>
  </si>
  <si>
    <t>Maior que 15d pós ativação</t>
  </si>
  <si>
    <t>SLS/L2L/218497/768</t>
  </si>
  <si>
    <t>MA, PA, PI E AP</t>
  </si>
  <si>
    <t>C.32 - Maranhão</t>
  </si>
  <si>
    <t>Wellington Marcio</t>
  </si>
  <si>
    <t>S01</t>
  </si>
  <si>
    <t>MA CAP</t>
  </si>
  <si>
    <t>31122025-59475</t>
  </si>
  <si>
    <t>Queda de link primário</t>
  </si>
  <si>
    <t>Stephanie Aparecida Arthur</t>
  </si>
  <si>
    <t>PFM COMERCIAL LTDA - CASA FREITAS</t>
  </si>
  <si>
    <t>01.740.627/0001-41</t>
  </si>
  <si>
    <t>Portal do Cliente</t>
  </si>
  <si>
    <t>165821</t>
  </si>
  <si>
    <t>PI</t>
  </si>
  <si>
    <t>PARNAIBA</t>
  </si>
  <si>
    <t>Até 4h</t>
  </si>
  <si>
    <t>PNA/L2L/13955/65</t>
  </si>
  <si>
    <t>C.31 - Piaui</t>
  </si>
  <si>
    <t>PI INT</t>
  </si>
  <si>
    <t>30122025-94754</t>
  </si>
  <si>
    <t>Atendimento para: SEMOSP - SEDE  - SLS-216233-00033</t>
  </si>
  <si>
    <t>Público</t>
  </si>
  <si>
    <t>MUNICIPIO DE SAO LUIS SEMIT</t>
  </si>
  <si>
    <t>06.307.102/0001-30</t>
  </si>
  <si>
    <t>Email</t>
  </si>
  <si>
    <t>165835</t>
  </si>
  <si>
    <t>521037 - Manutenção corretiva || OLT br.ma.sls.chf.gp.02 || SLOT 1; PON 3 a 9 || 67 afetados</t>
  </si>
  <si>
    <t>SLS/L2L/216233/33</t>
  </si>
  <si>
    <t>30122025-29109</t>
  </si>
  <si>
    <t>Atendimento para: UEB ENS FUND NEWTON NEVES - SLS-216233-00288</t>
  </si>
  <si>
    <t>MUNICIPIO DE SAO LUIS SEMED</t>
  </si>
  <si>
    <t>06.307.102/0002-11</t>
  </si>
  <si>
    <t>E-Care</t>
  </si>
  <si>
    <t>Normalizado Sem Intervenção</t>
  </si>
  <si>
    <t>165827</t>
  </si>
  <si>
    <t>Entre 8h e 12h</t>
  </si>
  <si>
    <t>SLS/L2L/218787/288</t>
  </si>
  <si>
    <t>29122025-60212</t>
  </si>
  <si>
    <t>ABERTURA DE CHAMADO/202540973903/GRUPO CASAS BAHIA S A</t>
  </si>
  <si>
    <t>Operadoras</t>
  </si>
  <si>
    <t>VOGEL SOLUCOES EM TELECOMUNICACOES E INFORMATICA S A ALGAR TELECOM</t>
  </si>
  <si>
    <t>05.872.814/0013-73</t>
  </si>
  <si>
    <t>164907, 165109</t>
  </si>
  <si>
    <t>165109</t>
  </si>
  <si>
    <t>PICOS</t>
  </si>
  <si>
    <t>PCZ/L2L/225215/122</t>
  </si>
  <si>
    <t>25122025-57218</t>
  </si>
  <si>
    <t>ABERTURA DE CHAMADO - 04.2001 - INC8427715 - MOB TELECOM</t>
  </si>
  <si>
    <t>LINK DEDICADO DE INTERNET</t>
  </si>
  <si>
    <t>SICREDI NORTE COOP DE CREDITO UNIDADE DE ATENDIMENTO GENERALISSIMO</t>
  </si>
  <si>
    <t>83.315.408/0003-41</t>
  </si>
  <si>
    <t>165267</t>
  </si>
  <si>
    <t>PA</t>
  </si>
  <si>
    <t>BELEM</t>
  </si>
  <si>
    <t>BLM/IPD/203451/1</t>
  </si>
  <si>
    <t>C.28 - Norte</t>
  </si>
  <si>
    <t>PA CAP</t>
  </si>
  <si>
    <t>30122025-33861</t>
  </si>
  <si>
    <t>ARION SERVICOS DE TELECOMUNICACOES LTDA | Indisponibilidade | Contrato 6453266</t>
  </si>
  <si>
    <t>Vanessa Alves Ferreira</t>
  </si>
  <si>
    <t>Provedores</t>
  </si>
  <si>
    <t>BANDA LARGA WIFI 5 + IP FIXO FS</t>
  </si>
  <si>
    <t>ARION SERVICOS DE TELECOMUNICACOES LTDA ARION SERVICES</t>
  </si>
  <si>
    <t>20.059.578/0001-20</t>
  </si>
  <si>
    <t>Chat</t>
  </si>
  <si>
    <t>Ajuste de Atenuação</t>
  </si>
  <si>
    <t>165539, 166051</t>
  </si>
  <si>
    <t>166051</t>
  </si>
  <si>
    <t>PRESIDENTE DUTRA</t>
  </si>
  <si>
    <t>Sem data de ativação</t>
  </si>
  <si>
    <t>PDU/FBR/201863/1</t>
  </si>
  <si>
    <t>MA INT</t>
  </si>
  <si>
    <t>31122025-47557</t>
  </si>
  <si>
    <t>RCR LOCACAO LTDA R C R LOCACAO LTDA | INDISPONIBILIDADE | SLS/IPD/226111/1</t>
  </si>
  <si>
    <t>Rennan Lima da Penha</t>
  </si>
  <si>
    <t>IP CONNECT Metro</t>
  </si>
  <si>
    <t>RCR LOCACAO LTDA R C R LOCACAO LTDA</t>
  </si>
  <si>
    <t>01.203.383/0006-72</t>
  </si>
  <si>
    <t>Falha Elétrica Cliente</t>
  </si>
  <si>
    <t>165639, 165983</t>
  </si>
  <si>
    <t>165983</t>
  </si>
  <si>
    <t>SLS/IPD/226111/1</t>
  </si>
  <si>
    <t>30122025-39784</t>
  </si>
  <si>
    <t>Atendimento para: UEB PROF ELPIDIO HERMES DE CARVALHO - POLO</t>
  </si>
  <si>
    <t>Laura Beatriz de Sibia Santos</t>
  </si>
  <si>
    <t>165645</t>
  </si>
  <si>
    <t>SLS/L2L/218787/253</t>
  </si>
  <si>
    <t>29122025-37162</t>
  </si>
  <si>
    <t>Atendimento para: UEB MARIA AMELIA PROFETA - SLS-216233-00266</t>
  </si>
  <si>
    <t>Vinicius da Silva Dos Santos</t>
  </si>
  <si>
    <t>Configuração</t>
  </si>
  <si>
    <t>165975, 165989</t>
  </si>
  <si>
    <t>165975</t>
  </si>
  <si>
    <t>SLS/L2L/218787/266</t>
  </si>
  <si>
    <t>31122025-56127</t>
  </si>
  <si>
    <t>3273 SAA AG. AV. GUAJAJARAS  LINCK DO NOVO CONTRATO</t>
  </si>
  <si>
    <t>INGRID DA SILVA CALIXTO SANTANA</t>
  </si>
  <si>
    <t>BANDA LARGA WIFI 5 + IP FIXO</t>
  </si>
  <si>
    <t>BRISANET SERVICOS DE TELECOMUNICACOES LTDA BRISANET SERVICOS DE TELECOMUNICACOES LTDA</t>
  </si>
  <si>
    <t>04.601.397/0001-28</t>
  </si>
  <si>
    <t>165805, 165985</t>
  </si>
  <si>
    <t>165985</t>
  </si>
  <si>
    <t>SLS/FBR/48887/638</t>
  </si>
  <si>
    <t>01012026-28447</t>
  </si>
  <si>
    <t>Atendimento para: UEB OLINDA DESTERRO INFANTIL  -  SLS-216233-00166</t>
  </si>
  <si>
    <t>165987</t>
  </si>
  <si>
    <t>SLS/L2L/218787/166</t>
  </si>
  <si>
    <t>03012026-57179</t>
  </si>
  <si>
    <t>Indisponivel - São Luis | INOVANET  | SLS/L2L/133341/12</t>
  </si>
  <si>
    <t>L2L Metro</t>
  </si>
  <si>
    <t>INOVANET EMPREENDIMENTOS LTDA. INOVANET</t>
  </si>
  <si>
    <t>21.278.402/0001-22</t>
  </si>
  <si>
    <t>166347</t>
  </si>
  <si>
    <t>SLS/L2L/133341/12</t>
  </si>
  <si>
    <t>02012026-58558</t>
  </si>
  <si>
    <t>SERVIS ELETRONICA DEFENSE | INDISPONIBILIDADE | SLS/L2L/218497/768</t>
  </si>
  <si>
    <t>ANA PAULA DA SILVA SANTOS</t>
  </si>
  <si>
    <t>166257</t>
  </si>
  <si>
    <t>02012026-98049</t>
  </si>
  <si>
    <t>FBR DIGITAL SA FBR DIGITAL | INDISPONIBILIDADE | ZED/FBR/74371/9</t>
  </si>
  <si>
    <t>FBR DIGITAL SA FBR DIGITAL</t>
  </si>
  <si>
    <t>12.868.281/0001-88</t>
  </si>
  <si>
    <t>166275, 166327</t>
  </si>
  <si>
    <t>166275</t>
  </si>
  <si>
    <t>ZE DOCA</t>
  </si>
  <si>
    <t>ZED/FBR/74371/9</t>
  </si>
  <si>
    <t>03012026-88271</t>
  </si>
  <si>
    <t>JF COMERCIO E SERVICOS OPTICOS LTDA  | INDISPONIBIDADE| SLS/FBR/229099/23</t>
  </si>
  <si>
    <t>Joao Victor Santos Medeiros</t>
  </si>
  <si>
    <t>SUPER LIGEIRO CORPORATIVO</t>
  </si>
  <si>
    <t>JF COMERCIO E SERVICOS OPTICOS LTDA</t>
  </si>
  <si>
    <t>47.812.518/0001-93</t>
  </si>
  <si>
    <t>166395</t>
  </si>
  <si>
    <t>SLS/FBR/229099/23</t>
  </si>
  <si>
    <t>S02</t>
  </si>
  <si>
    <t>02012026-79262</t>
  </si>
  <si>
    <t>Perda de Conexão</t>
  </si>
  <si>
    <t>IP CONNECT GPON</t>
  </si>
  <si>
    <t>MARANHAO MOTOSSERRAS E MAQUINAS LTDA MARANHAO MOTOSSERRAS E MAQUINAS</t>
  </si>
  <si>
    <t>01.501.831/0001-00</t>
  </si>
  <si>
    <t>166205, 166229, 166301</t>
  </si>
  <si>
    <t>166301</t>
  </si>
  <si>
    <t>SLS/IPD/228519/1</t>
  </si>
  <si>
    <t>02012026-17277</t>
  </si>
  <si>
    <t>Atendimento para: POSTO SALVA VIDA - PONTA DA AREIA - VLAN-4012 SLS-216233-00422</t>
  </si>
  <si>
    <t>166189</t>
  </si>
  <si>
    <t>SLS/L2L/216233/422</t>
  </si>
  <si>
    <t>03012026-86894</t>
  </si>
  <si>
    <t>CAIXA ECONOMICA FEDERAL   | INDISPONIBILIDADE |  SLS/L2L/204393/731</t>
  </si>
  <si>
    <t>CAIXA ECONOMICA FEDERAL CAIXA ECONOMICA FEDERAL CEF MATRIZ</t>
  </si>
  <si>
    <t>00.360.305/0001-04</t>
  </si>
  <si>
    <t>166397</t>
  </si>
  <si>
    <t>SLS/L2L/204393/731</t>
  </si>
  <si>
    <t>05012026-20487</t>
  </si>
  <si>
    <t>DISTRIBUIDORA CUMMINS DIESEL DO NORDESTE LTDA  | INDISPONIBILIDADE | TSA/IPD/226465/1</t>
  </si>
  <si>
    <t>DISTRIBUIDORA CUMMINS DIESEL DO NORDESTE LTDA</t>
  </si>
  <si>
    <t>07.301.609/0012-00</t>
  </si>
  <si>
    <t>166659</t>
  </si>
  <si>
    <t>TERESINA</t>
  </si>
  <si>
    <t>TSA/IPD/226465/1</t>
  </si>
  <si>
    <t>PI CAP</t>
  </si>
  <si>
    <t>02012026-62698</t>
  </si>
  <si>
    <t>ALERTA:  CLI | IFMA.SIS.SANTA-INES - FALHA</t>
  </si>
  <si>
    <t>INSTITUTO FEDERAL DE EDUCACAO CIENCIA E TECNOLOGIA DO MARANHAO INSTITUTO FEDERAL DO MARANHAO CAMPUS SANTA INES</t>
  </si>
  <si>
    <t>10.735.145/0009-41</t>
  </si>
  <si>
    <t>ATEX NET TELECOMUNICAÇÕES LTDA</t>
  </si>
  <si>
    <t>166285</t>
  </si>
  <si>
    <t>SANTA INES</t>
  </si>
  <si>
    <t>SIS/IPD/203401/1</t>
  </si>
  <si>
    <t>03012026-46031</t>
  </si>
  <si>
    <t>Indisponivel - São Luis | INOVANET  | SLS/L2L/133341/17</t>
  </si>
  <si>
    <t>166353, 166525</t>
  </si>
  <si>
    <t>166525</t>
  </si>
  <si>
    <t>SLS/L2L/133341/17</t>
  </si>
  <si>
    <t>03012026-95775</t>
  </si>
  <si>
    <t>ALERTA:  CLI | UFPI.FLO.FLORIANO.IPD.209013.3 - FALHA</t>
  </si>
  <si>
    <t>INTERNET DEDICADA - SCM(Wire)</t>
  </si>
  <si>
    <t>Universidade Federal do Piaui</t>
  </si>
  <si>
    <t>06.517.387/0001-34</t>
  </si>
  <si>
    <t>166331, 166553</t>
  </si>
  <si>
    <t>FLORIANO</t>
  </si>
  <si>
    <t>FLO/IPD/209013/3</t>
  </si>
  <si>
    <t>03012026-45902</t>
  </si>
  <si>
    <t>SECOPI SERVICOS COMERCIAS DO PIAUI  | INDISPONIBILIDADE | TSA/L2L/41553/791</t>
  </si>
  <si>
    <t>SECOPI SERVICOS COMERCIAS DO PIAUI LTDA GRUPO SERVIS</t>
  </si>
  <si>
    <t>03.582.594/0001-84</t>
  </si>
  <si>
    <t>166411, 166441</t>
  </si>
  <si>
    <t>166441</t>
  </si>
  <si>
    <t>TSA/L2L/41553/791</t>
  </si>
  <si>
    <t>03012026-48961</t>
  </si>
  <si>
    <t>sem conexão</t>
  </si>
  <si>
    <t>Julia Ferreira Costa Silva</t>
  </si>
  <si>
    <t>J FEITOSA SILVA FILHO LOJAS SANTA MARIA</t>
  </si>
  <si>
    <t>05.017.606/0001-53</t>
  </si>
  <si>
    <t>166367, 166529</t>
  </si>
  <si>
    <t>166529</t>
  </si>
  <si>
    <t>SLS/L2L/218297/11</t>
  </si>
  <si>
    <t>05012026-37950</t>
  </si>
  <si>
    <t>IBL BANDA LARGA INTERNET | INDISPONIBILIDADE | ITZ-L2L-MOJ-F-#102506</t>
  </si>
  <si>
    <t>HOANNA MARIA DA SILVA ALBUQUERQUE</t>
  </si>
  <si>
    <t>TRANSPORTE LAN TO LAN(Wire)</t>
  </si>
  <si>
    <t>IBL BANDA LARGA INTERNET INFORMATICA LTDA I B L</t>
  </si>
  <si>
    <t>08.854.699/0001-69</t>
  </si>
  <si>
    <t>AGUARDANDO LIBERAÇÃO DE ACESSO</t>
  </si>
  <si>
    <t>166933</t>
  </si>
  <si>
    <t>IMPERATRIZ</t>
  </si>
  <si>
    <t>FLA/L2L/210723/4</t>
  </si>
  <si>
    <t>05012026-89943</t>
  </si>
  <si>
    <t>IAP COSMETICOS LTDA| SLS/IPD/56175/5| INDISPONIBILIDADE</t>
  </si>
  <si>
    <t>IAP COSMETICOS LTDA</t>
  </si>
  <si>
    <t>05.346.644/0031-75</t>
  </si>
  <si>
    <t>AGUARDANDO DISPONIBILIDADE TECNICA</t>
  </si>
  <si>
    <t>167141</t>
  </si>
  <si>
    <t>SLS/IPD/56175/5</t>
  </si>
  <si>
    <t>01012026-39828</t>
  </si>
  <si>
    <t>Indisponibilidade de LantoLan | FILIAL 06 - L2L - GIGA | Grupo TUPAN</t>
  </si>
  <si>
    <t>ANDRESSA CHRISTINE MOREIRA DA SILVA</t>
  </si>
  <si>
    <t>DISTRIBUIDORA ADAUTO CARVALHO LTDA</t>
  </si>
  <si>
    <t>08.072.649/0002-00</t>
  </si>
  <si>
    <t>165909, 166333, 166939</t>
  </si>
  <si>
    <t>166939</t>
  </si>
  <si>
    <t>TIMON</t>
  </si>
  <si>
    <t>TMN/L2L/21243/3</t>
  </si>
  <si>
    <t>31122025-28032</t>
  </si>
  <si>
    <t>ABERTURA DE REPARO ( LOJA 1132 - LINK MOB INOPERANTE )</t>
  </si>
  <si>
    <t>EMPREENDIMENTOS PAGUE MENOS SA PAGUE MENOS</t>
  </si>
  <si>
    <t>06.626.253/0001-51</t>
  </si>
  <si>
    <t>165837, 165979, 166521</t>
  </si>
  <si>
    <t>166521</t>
  </si>
  <si>
    <t>Maior que 24h</t>
  </si>
  <si>
    <t>SLS/IPD/6421/546</t>
  </si>
  <si>
    <t>31122025-97825</t>
  </si>
  <si>
    <t>IAP COSMETICOS LTDA || Indisponibilidade || SLS/IPD/56169/7</t>
  </si>
  <si>
    <t>05.346.644/0033-37</t>
  </si>
  <si>
    <t>165823, 165981, 166523, 166965</t>
  </si>
  <si>
    <t>166523</t>
  </si>
  <si>
    <t>SLS/IPD/56169/7</t>
  </si>
  <si>
    <t>04012026-60706</t>
  </si>
  <si>
    <t>MOBWIRE - ALERTA: CLI | PADRE CICERO MATRIZ MONTESE</t>
  </si>
  <si>
    <t>AUTO PECAS PADRE CICERO LTDA 0</t>
  </si>
  <si>
    <t>07.965.809/0001-05</t>
  </si>
  <si>
    <t>166477, 166539</t>
  </si>
  <si>
    <t>166477</t>
  </si>
  <si>
    <t>SLS/L2L/202197/16</t>
  </si>
  <si>
    <t>04012026-34348</t>
  </si>
  <si>
    <t>Atendimento para: CAPS I RH - VLAN-3670 SLS-216233-00114</t>
  </si>
  <si>
    <t>FUNDO MUNICIPAL DE SAUDE DE SAO LUIS MARANHAO</t>
  </si>
  <si>
    <t>13.816.886/0001-98</t>
  </si>
  <si>
    <t>166499, 166533</t>
  </si>
  <si>
    <t>166499</t>
  </si>
  <si>
    <t>SLS/L2L/218791/114</t>
  </si>
  <si>
    <t>03012026-94698</t>
  </si>
  <si>
    <t>166531</t>
  </si>
  <si>
    <t>03012026-38870</t>
  </si>
  <si>
    <t>Atendimento para: UEB ENS FUND URUATI  -  SLS-216233-00375</t>
  </si>
  <si>
    <t>166289, 166551</t>
  </si>
  <si>
    <t>166551</t>
  </si>
  <si>
    <t>SLS/L2L/218787/375</t>
  </si>
  <si>
    <t>04012026-75805</t>
  </si>
  <si>
    <t>Atendimento para: UEB PROTECAO DE JESUS e UEB ENS FUND PROTECAO DE JESUS  -  SLS-216233-00393</t>
  </si>
  <si>
    <t>166513, 166535</t>
  </si>
  <si>
    <t>166513</t>
  </si>
  <si>
    <t>SLS/L2L/218787/393</t>
  </si>
  <si>
    <t>05012026-44302</t>
  </si>
  <si>
    <t>LINK INOPERANTE - LOJA 20 - GUAXENDUBA</t>
  </si>
  <si>
    <t>167091, 167173, 167221, 167437</t>
  </si>
  <si>
    <t>167173</t>
  </si>
  <si>
    <t>SLS/L2L/13955/16</t>
  </si>
  <si>
    <t>05012026-34268</t>
  </si>
  <si>
    <t>166879</t>
  </si>
  <si>
    <t>SLS/L2L/218297/9</t>
  </si>
  <si>
    <t>05012026-22407</t>
  </si>
  <si>
    <t>GR NET TELECOMUNICACOES LTDA GR NET || Indisponibilidade || NMB/IPD/214735/1</t>
  </si>
  <si>
    <t>GR NET TELECOMUNICACOES LTDA GR NET</t>
  </si>
  <si>
    <t>40.089.789/0001-13</t>
  </si>
  <si>
    <t>Telefone</t>
  </si>
  <si>
    <t>ONLINE NORTE TELECOM LTDA</t>
  </si>
  <si>
    <t>167037, 167049</t>
  </si>
  <si>
    <t>167037</t>
  </si>
  <si>
    <t>NOVA TIMBOTEUA</t>
  </si>
  <si>
    <t>NMB/IPD/214735/1</t>
  </si>
  <si>
    <t>PA INT</t>
  </si>
  <si>
    <t>03012026-19233</t>
  </si>
  <si>
    <t>ALERTA:  CLI | MPMA.SLS.CONCENTRADOR.REDUNDANTE.L2L.149307.22 - FALHA</t>
  </si>
  <si>
    <t>ESTADO DO MARANHAO PROCURADORIA GERAL DA JUSTICA PROCURADORIA GERAL DA JUSTICA</t>
  </si>
  <si>
    <t>05.483.912/0001-85</t>
  </si>
  <si>
    <t>166537</t>
  </si>
  <si>
    <t>SLS/IPD/149307/22</t>
  </si>
  <si>
    <t>05012026-88814</t>
  </si>
  <si>
    <t>GESTION SERVICES LTDA | INDISPONIBILIDADE | SLS/IPD/218805/1</t>
  </si>
  <si>
    <t>GESTION SERVICES LTDA</t>
  </si>
  <si>
    <t>48.401.636/0001-71</t>
  </si>
  <si>
    <t>167079, 167175, 167219, 167571</t>
  </si>
  <si>
    <t>167571</t>
  </si>
  <si>
    <t>SLS/IPD/218805/1</t>
  </si>
  <si>
    <t>05012026-22793</t>
  </si>
  <si>
    <t>INOVANET EMPREENDIMENTOS LTDA. INOVANET  |  INDISPONIBILIDADE  |  SLS/L2L/133341/21</t>
  </si>
  <si>
    <t>166951, 167217</t>
  </si>
  <si>
    <t>167217</t>
  </si>
  <si>
    <t>SLS/L2L/133341/21</t>
  </si>
  <si>
    <t>05012026-43155</t>
  </si>
  <si>
    <t>BANCO DO NORDESTE DO BRASIL SA BNB || INDISPONÍVEL || PCR5011992</t>
  </si>
  <si>
    <t>SUPER LIGEIRO FIBRA PLUS</t>
  </si>
  <si>
    <t>BANCO DO NORDESTE DO BRASIL SA BNB</t>
  </si>
  <si>
    <t>07.237.373/0001-20</t>
  </si>
  <si>
    <t>166883</t>
  </si>
  <si>
    <t>PIRACURUCA</t>
  </si>
  <si>
    <t>PCR/FBR/6971/107</t>
  </si>
  <si>
    <t>05012026-96588</t>
  </si>
  <si>
    <t>LACMAR LABORATORIO DE ANALISES CLINICAS DO MARANHAO | INDISPONIBILIDADE | 204321/9</t>
  </si>
  <si>
    <t>LACMAR LABORATORIO DE ANALISES CLINICAS DO MARANHAO LTDA LACMAR</t>
  </si>
  <si>
    <t>20.815.524/0001-48</t>
  </si>
  <si>
    <t>166839, 167209</t>
  </si>
  <si>
    <t>167209</t>
  </si>
  <si>
    <t>SLS/IPD/204321/9</t>
  </si>
  <si>
    <t>06012026-48639</t>
  </si>
  <si>
    <t>IAP COSMETICOS LTDA | indisponível | TSA/IPD/84093/1</t>
  </si>
  <si>
    <t>IAP COSMETICOS LTDA IAP COSMETICOS</t>
  </si>
  <si>
    <t>05.346.644/0006-64</t>
  </si>
  <si>
    <t>167891</t>
  </si>
  <si>
    <t>TSA/IPD/84093/1</t>
  </si>
  <si>
    <t>06012026-31713</t>
  </si>
  <si>
    <t>Abertura de reparo - Chamado Equinix 1-255758912404 |Circuito: MPA0-L2LAN-00136119-00012| Cliente final: COMPANHIA DE ELETRICIDADE DO AMAPA CEA</t>
  </si>
  <si>
    <t>EQUINIX DO BRASIL TELECOMUNICACOES LTDA EQUINIX DO BRASIL TELECOMUNICACOES LTDA</t>
  </si>
  <si>
    <t>10.496.781/0004-53</t>
  </si>
  <si>
    <t>ANALISAR RESPOSTA</t>
  </si>
  <si>
    <t>AP</t>
  </si>
  <si>
    <t>MACAPA</t>
  </si>
  <si>
    <t>MPA/L2L/229111/12</t>
  </si>
  <si>
    <t>06012026-53861</t>
  </si>
  <si>
    <t>ALERTA:  CLI | CONDOMINIO SHOPPING.AIU.ANANINDEUA.IPD.225005.1 - FALHA</t>
  </si>
  <si>
    <t>CONDOMINIO DO SHOPPING METROPOLE ANANINDEUA CONDOMINIO DO SHOPPING METROPOLE ANANINDEUA</t>
  </si>
  <si>
    <t>30.838.194/0001-60</t>
  </si>
  <si>
    <t>167673</t>
  </si>
  <si>
    <t>ANANINDEUA</t>
  </si>
  <si>
    <t>AIU/IPD/225005/1</t>
  </si>
  <si>
    <t>06012026-83131</t>
  </si>
  <si>
    <t>APODI DISTRIBUICAO E LOGISTICA LTDA   | INDISPONIBILIDADE  | PCZ/IPD/203325/1</t>
  </si>
  <si>
    <t>APODI DISTRIBUICAO E LOGISTICA LTDA</t>
  </si>
  <si>
    <t>29.190.494/0009-53</t>
  </si>
  <si>
    <t>167591</t>
  </si>
  <si>
    <t>PCZ/IPD/203325/1</t>
  </si>
  <si>
    <t>30122025-23911</t>
  </si>
  <si>
    <t>Atendimento para: UEB MARIA JOSE SERRAO  -  SLS-216233-00235</t>
  </si>
  <si>
    <t>167225</t>
  </si>
  <si>
    <t>SLS/L2L/218787/235</t>
  </si>
  <si>
    <t>01012026-76706</t>
  </si>
  <si>
    <t>Atendimento para: UEB MINDINHO - POLO - SLS-216233-00331</t>
  </si>
  <si>
    <t>165977, 165991, 166527, 167695</t>
  </si>
  <si>
    <t>166527, 167695</t>
  </si>
  <si>
    <t>Entre 12h e 24h</t>
  </si>
  <si>
    <t>SLS/L2L/216233/12</t>
  </si>
  <si>
    <t>03012026-54555</t>
  </si>
  <si>
    <t>Atendimento para: CS GENESIO RAMOS FILHO - SLS-216233-00061</t>
  </si>
  <si>
    <t>167613</t>
  </si>
  <si>
    <t>523084</t>
  </si>
  <si>
    <t>SLS/L2L/218791/61</t>
  </si>
  <si>
    <t>05012026-95270</t>
  </si>
  <si>
    <t>Atendimento para: CS COHAB ANIL I - VLAN 3617 SLS-216233-00098</t>
  </si>
  <si>
    <t>167631</t>
  </si>
  <si>
    <t>523787</t>
  </si>
  <si>
    <t>SLS/L2L/218791/98</t>
  </si>
  <si>
    <t>05012026-89257</t>
  </si>
  <si>
    <t>LINK BANDA LARGA LOJA 47 - HOLANDESES INOPERANTE</t>
  </si>
  <si>
    <t>167109, 167211</t>
  </si>
  <si>
    <t>167211</t>
  </si>
  <si>
    <t>SLS/L2L/13955/114</t>
  </si>
  <si>
    <t>06012026-31572</t>
  </si>
  <si>
    <t>FUNDO MUNICIPAL DE SAUDE DE SAO LUIS MARANHAO | INDISPONIBILIDADE | SLS/L2L/218791/34</t>
  </si>
  <si>
    <t>167701</t>
  </si>
  <si>
    <t>SLS/L2L/218791/34</t>
  </si>
  <si>
    <t>06012026-38841</t>
  </si>
  <si>
    <t>Atendimento para: SEMURH - BLITZ URBANA - VLAN-1317 SLS-216233-00030</t>
  </si>
  <si>
    <t>167671, 167675, 167993</t>
  </si>
  <si>
    <t>167993</t>
  </si>
  <si>
    <t>SLS/L2L/216233/30</t>
  </si>
  <si>
    <t>29122025-37448</t>
  </si>
  <si>
    <t>REPARO</t>
  </si>
  <si>
    <t>SOLDI PROMOTORA DE VENDAS LTDA GRUPO AGIBANK</t>
  </si>
  <si>
    <t>07.249.846/0001-09</t>
  </si>
  <si>
    <t>164613, 167605, 167877</t>
  </si>
  <si>
    <t>167877</t>
  </si>
  <si>
    <t>CHAPADINHA</t>
  </si>
  <si>
    <t>514664</t>
  </si>
  <si>
    <t>CHI/IPD/219061/22</t>
  </si>
  <si>
    <t>05012026-75579</t>
  </si>
  <si>
    <t>Indisponibilidade de Link</t>
  </si>
  <si>
    <t>CONDOMINIO RESERVA DA ILHA SHOPPING DA ILHA</t>
  </si>
  <si>
    <t>17.975.106/0001-03</t>
  </si>
  <si>
    <t>166929, 167215</t>
  </si>
  <si>
    <t>167215</t>
  </si>
  <si>
    <t>SLS/IPD/225435/1</t>
  </si>
  <si>
    <t>07012026-80796</t>
  </si>
  <si>
    <t>ALERTA:  CLI | TJMA.SLS.POSTO.HIDRO.PORTUARIO.L3VPN.49495.299 - FALHA</t>
  </si>
  <si>
    <t>FUNDO ESPECIAL DE MODERNIZACAO E REAPARELHAMENTO</t>
  </si>
  <si>
    <t>04.408.070/0001-34</t>
  </si>
  <si>
    <t>SLS/L2L/49495/299</t>
  </si>
  <si>
    <t>05012026-49450</t>
  </si>
  <si>
    <t>MARDISA AUTOMOVEIS LTDA  |  INDISPONIBILIDADE  |  SLS/IPD/225015/1</t>
  </si>
  <si>
    <t>MARDISA AUTOMOVEIS LTDA</t>
  </si>
  <si>
    <t>09.043.453/0003-31</t>
  </si>
  <si>
    <t>167223</t>
  </si>
  <si>
    <t>SLS/IPD/225015/1</t>
  </si>
  <si>
    <t>05012026-10547</t>
  </si>
  <si>
    <t>Atendimento para: UEB ENS FUND GOVERNADOR LEONEL BRIZOLA - Anexo Brizolinha - SLS-216233-00189</t>
  </si>
  <si>
    <t>167227</t>
  </si>
  <si>
    <t>SLS/L2L/218787/189</t>
  </si>
  <si>
    <t>06012026-93282</t>
  </si>
  <si>
    <t>MUNICIPIO DE SAO LUIS SEMED | INDISPONIBILIDADE | SLS/L2L/218787/367</t>
  </si>
  <si>
    <t>PENDENTE CLIENTE</t>
  </si>
  <si>
    <t>Ação Cliente</t>
  </si>
  <si>
    <t>167657, 167991</t>
  </si>
  <si>
    <t>SLS/L2L/218787/367</t>
  </si>
  <si>
    <t>06012026-43078</t>
  </si>
  <si>
    <t>MBA/IPD/60121/3</t>
  </si>
  <si>
    <t>PROMIL PROMOTORA DE VENDAS LTDA GRUPO AGIBANK</t>
  </si>
  <si>
    <t>09.093.910/0001-30</t>
  </si>
  <si>
    <t>167753</t>
  </si>
  <si>
    <t>MARABA</t>
  </si>
  <si>
    <t>06012026-62151</t>
  </si>
  <si>
    <t>M E L SERVICOS EM SAUDE LTDA SUPER CLINICA | INDISPONIBILIDADE | SLS/L2L/218289/1</t>
  </si>
  <si>
    <t>M E L SERVICOS EM SAUDE LTDA SUPER CLINICA</t>
  </si>
  <si>
    <t>05.596.740/0004-07</t>
  </si>
  <si>
    <t>168007, 168009, 168011, 168181, 168185, 168189</t>
  </si>
  <si>
    <t>168189</t>
  </si>
  <si>
    <t>SLS/L2L/218289/1</t>
  </si>
  <si>
    <t>06012026-93759</t>
  </si>
  <si>
    <t>ALERTA:  CLI | TJMA.OLNM.FORUM.DE.OLINDA.NOVA.DO.MARANHAO.L3VPN.49495.15 - FALHA</t>
  </si>
  <si>
    <t>RA TELECOMUNICACOES LTDA.</t>
  </si>
  <si>
    <t>168527</t>
  </si>
  <si>
    <t>NOVA OLINDA DO MARANHAO</t>
  </si>
  <si>
    <t>NVMH/L2L/49495/15</t>
  </si>
  <si>
    <t>06012026-30609</t>
  </si>
  <si>
    <t>Atendimento para: UEB ENS FUND MINISTRO MARIO ANDREAZZA  -  SLS-216233-00192</t>
  </si>
  <si>
    <t>167699, 167999</t>
  </si>
  <si>
    <t>167999</t>
  </si>
  <si>
    <t>SLS/L2L/218787/192</t>
  </si>
  <si>
    <t>07012026-56964</t>
  </si>
  <si>
    <t>[GLPI #0020374] Você foi Mencionado 0020374 - TIC |ZE-45 Link Inoperante.</t>
  </si>
  <si>
    <t>TRIBUNAL REGIONAL ELEITORAL DO MARANHAO TRE MA</t>
  </si>
  <si>
    <t>05.962.421/0001-17</t>
  </si>
  <si>
    <t>NMA SERVICOS DE TELECOMUNICACOES LTDA</t>
  </si>
  <si>
    <t>168435, 168803</t>
  </si>
  <si>
    <t>168803</t>
  </si>
  <si>
    <t>PENALVA</t>
  </si>
  <si>
    <t>PLV/L2L/201809/32</t>
  </si>
  <si>
    <t>07012026-49998</t>
  </si>
  <si>
    <t>Solicitação de Reparo - Agência: 28-2201 - SICREDI- Designação: FLO/218115/00001 Ticket Interno: INC8447115 [GIGA+FIBRA]</t>
  </si>
  <si>
    <t>COOPERATIVA DE CREDITO POUPANCA E INVESTIMENTO SICREDI EVOLUCAO UNIDADE DE ATENDIMENTO FLORIANO</t>
  </si>
  <si>
    <t>35.571.249/0028-51</t>
  </si>
  <si>
    <t>168027</t>
  </si>
  <si>
    <t>FLO/IPD/218115/1</t>
  </si>
  <si>
    <t>05012026-10570</t>
  </si>
  <si>
    <t>Circuito inoperante.</t>
  </si>
  <si>
    <t>MUNICIPIO DE BELEM BELEM PREF GABINETE DO PREFEITO</t>
  </si>
  <si>
    <t>05.055.009/0001-13</t>
  </si>
  <si>
    <t>166955, 167239, 167957, 168597</t>
  </si>
  <si>
    <t>166955, 167957, 168597</t>
  </si>
  <si>
    <t>BLM/IPD/203645/21</t>
  </si>
  <si>
    <t>07012026-96899</t>
  </si>
  <si>
    <t>LINK INOPERANTE - 2º JUIZADO CÍVEL SLZ- SLS/L2L/49019/93</t>
  </si>
  <si>
    <t>Ingrid Alves Lima</t>
  </si>
  <si>
    <t>168253</t>
  </si>
  <si>
    <t>SLS/L2L/49495/93</t>
  </si>
  <si>
    <t>06012026-85135</t>
  </si>
  <si>
    <t>N B S TELECOM LTDA NET  | INOPERANTE | AIU/IPD/225007/2</t>
  </si>
  <si>
    <t>N B S TELECOM LTDA NET BRASIL SERVICOS TELECOM</t>
  </si>
  <si>
    <t>18.913.451/0001-85</t>
  </si>
  <si>
    <t>167619</t>
  </si>
  <si>
    <t>AIU/IPD/225007/2</t>
  </si>
  <si>
    <t>06012026-93736</t>
  </si>
  <si>
    <t>Alerta de Monitoramento LOJA108 designação GJU-IPD-F-197894</t>
  </si>
  <si>
    <t>MAGAZINE LILIANI S A GRUPO LILIANI</t>
  </si>
  <si>
    <t>11.590.296/0001-64</t>
  </si>
  <si>
    <t>167961</t>
  </si>
  <si>
    <t>GRAJAU</t>
  </si>
  <si>
    <t>GJU/IPD/212603/70</t>
  </si>
  <si>
    <t>06012026-71044</t>
  </si>
  <si>
    <t>Atendimento para: SAGARANA I - SLS-216233-00057</t>
  </si>
  <si>
    <t>168005</t>
  </si>
  <si>
    <t>SLS/L2L/218787/57</t>
  </si>
  <si>
    <t>07012026-84747</t>
  </si>
  <si>
    <t>Abertura de Reparo SLS/L2L/49019/90- JUIZADO DE TRÂNSITO</t>
  </si>
  <si>
    <t>168331, 168817</t>
  </si>
  <si>
    <t>168331</t>
  </si>
  <si>
    <t>SLS/L2L/49495/90</t>
  </si>
  <si>
    <t>29122025-95336</t>
  </si>
  <si>
    <t>[REQ000142480703] [4289] SAA AG. LENCOIS MARANHENSES</t>
  </si>
  <si>
    <t>ENCAMINHADO AO TÉCNICO</t>
  </si>
  <si>
    <t>167665, 168343, 168703</t>
  </si>
  <si>
    <t>168703</t>
  </si>
  <si>
    <t>BARREIRINHAS</t>
  </si>
  <si>
    <t>BIH/L2L/48887/940</t>
  </si>
  <si>
    <t>07012026-81979</t>
  </si>
  <si>
    <t>Deposito ASGEP - link inoperante</t>
  </si>
  <si>
    <t>168427</t>
  </si>
  <si>
    <t>SLS/L2L/201809/9</t>
  </si>
  <si>
    <t>06012026-43250</t>
  </si>
  <si>
    <t>MUNICIPIO DE SAO LUIS  | INDISPONIBILIDADE | UEB MONSENHOR FREDERICO CHAVES</t>
  </si>
  <si>
    <t>167677, 167995</t>
  </si>
  <si>
    <t>167995</t>
  </si>
  <si>
    <t>SLS/L2L/218787/180</t>
  </si>
  <si>
    <t>06012026-79543</t>
  </si>
  <si>
    <t>ALERTA:  CLI | TJMA.SJE.2.VARA.CIVIL.E.CRIMINAL.DE.SAO.JOSE.RIBAMAR.L3VPN.49495.271 - FALHA</t>
  </si>
  <si>
    <t>167845, 168001</t>
  </si>
  <si>
    <t>168001</t>
  </si>
  <si>
    <t>BIH/L2L/49495/271</t>
  </si>
  <si>
    <t>05012026-61844</t>
  </si>
  <si>
    <t>Indisponibilidade do link na VT de Santa Izabel do Pará do TRT8</t>
  </si>
  <si>
    <t>TRIBUNAL REGIONAL DO TRABALHO DA 8 REGIAO TRIBUNAL REGIONAL DO TRABALHO DA 8 REGIAO</t>
  </si>
  <si>
    <t>01.547.343/0001-33</t>
  </si>
  <si>
    <t>166769, 167057, 167185, 169013, 169333</t>
  </si>
  <si>
    <t>166769, 167057, 167185, 169333</t>
  </si>
  <si>
    <t>SANTA ISABEL DO PARA</t>
  </si>
  <si>
    <t>SIP/IPD/52957/13</t>
  </si>
  <si>
    <t>07012026-84519</t>
  </si>
  <si>
    <t>Atendimento para: SECULT -  QUILOMBO URBANO - VLAN 4058 SLS0-00216233-00544</t>
  </si>
  <si>
    <t>Demais Causas de Rompimento</t>
  </si>
  <si>
    <t>168781</t>
  </si>
  <si>
    <t>SLS/L2L/216233/544</t>
  </si>
  <si>
    <t>06012026-12206</t>
  </si>
  <si>
    <t>DOK LTDA | INDISPONIVEL</t>
  </si>
  <si>
    <t>HOSPITAL VETERINARIO DOK LTDA</t>
  </si>
  <si>
    <t>27.918.589/0005-91</t>
  </si>
  <si>
    <t>167913, 168519, 168727, 168747, 168773</t>
  </si>
  <si>
    <t>168747</t>
  </si>
  <si>
    <t>524456</t>
  </si>
  <si>
    <t>SLS/IPD/217507/1</t>
  </si>
  <si>
    <t>08012026-13981</t>
  </si>
  <si>
    <t>[REQ000142592648] [2080] SAA AG. SHOPPING DA ILHA</t>
  </si>
  <si>
    <t>169415, 169607</t>
  </si>
  <si>
    <t>169415</t>
  </si>
  <si>
    <t>SLS/L2L/48887/672</t>
  </si>
  <si>
    <t>08012026-19499</t>
  </si>
  <si>
    <t>Atendimento para: CRAS TURU - VLAN 3669 SLS-216233-00042</t>
  </si>
  <si>
    <t>169605</t>
  </si>
  <si>
    <t>SLS/L2L/216233/42</t>
  </si>
  <si>
    <t>08012026-35277</t>
  </si>
  <si>
    <t>169403, 169601</t>
  </si>
  <si>
    <t>05012026-10193</t>
  </si>
  <si>
    <t>Falha de conectividade na Promotoria de Justiça da PJECA</t>
  </si>
  <si>
    <t>168639, 168777</t>
  </si>
  <si>
    <t>168777</t>
  </si>
  <si>
    <t>SLS/L2L/149307/124</t>
  </si>
  <si>
    <t>07012026-27835</t>
  </si>
  <si>
    <t>Atendimento para: SUB PREFEITURA - VLAN-4004 SLS-216233-00445</t>
  </si>
  <si>
    <t>168785, 169591</t>
  </si>
  <si>
    <t>169591</t>
  </si>
  <si>
    <t>SLS/L2L/216233/445</t>
  </si>
  <si>
    <t>07012026-76845</t>
  </si>
  <si>
    <t>Atendimento para: UEB ENS FUND ANTONIO VIEIRA - SLS-216233-00293</t>
  </si>
  <si>
    <t>168517, 168775</t>
  </si>
  <si>
    <t>168775</t>
  </si>
  <si>
    <t>SLS/L2L/218787/293</t>
  </si>
  <si>
    <t>10012026-94078</t>
  </si>
  <si>
    <t>ALERTA:  CLI | SENAI-PA.BLM.ISI#BLM/IPD/203391/16 - FALHA</t>
  </si>
  <si>
    <t>SERVICO NACIONAL DE APRENDIZAGEM INDUSTRIAL SENAI DEPARTAMENTO REGIONAL DO PARA</t>
  </si>
  <si>
    <t>03.785.762/0001-39</t>
  </si>
  <si>
    <t>PENDENTE AGENDAMENTO</t>
  </si>
  <si>
    <t>170337</t>
  </si>
  <si>
    <t>BLM/IPD/203391/16</t>
  </si>
  <si>
    <t>09012026-74517</t>
  </si>
  <si>
    <t>[INDISPONIBILIDADE TELY] [PARCEIRO MOBWIRE] [CLIENTE CARAJAS TERESINA]</t>
  </si>
  <si>
    <t>SITECNET INFORMATICA LTDA TELY</t>
  </si>
  <si>
    <t>06.346.446/0001-59</t>
  </si>
  <si>
    <t>170299</t>
  </si>
  <si>
    <t>TSA/L2L/201805/17</t>
  </si>
  <si>
    <t>06012026-79062</t>
  </si>
  <si>
    <t>MUNICIPIO DE SAO LUIS SEMIT | INDISPONIBILIDADE | UEB ENS FUND ELZUILA ABREU</t>
  </si>
  <si>
    <t>167681, 167997</t>
  </si>
  <si>
    <t>167997</t>
  </si>
  <si>
    <t>SLS/L2L/218787/233</t>
  </si>
  <si>
    <t>07012026-66416</t>
  </si>
  <si>
    <t>[REQ000142578486] [3566] SAA AG. SÃO JOÃO DOS PATOS</t>
  </si>
  <si>
    <t>168903</t>
  </si>
  <si>
    <t>SAO JOAO DOS PATOS</t>
  </si>
  <si>
    <t>SSS/L2L/48887/973</t>
  </si>
  <si>
    <t>07012026-26444</t>
  </si>
  <si>
    <t>MUNICIPIO DE SAO LUIS SEMIT | INDISPONIBILIDADE | SLS/L2L/216233/155</t>
  </si>
  <si>
    <t>168779</t>
  </si>
  <si>
    <t>SLS/L2L/216233/155</t>
  </si>
  <si>
    <t>07012026-30972</t>
  </si>
  <si>
    <t>FUNDO MUNICIPAL DE SAUDE DE SAO LUIS MARANHAO | INDISPONIBILIDADE | SLS/L2L/218791/418</t>
  </si>
  <si>
    <t>168783</t>
  </si>
  <si>
    <t>SLS/L2L/218791/418</t>
  </si>
  <si>
    <t>08012026-13015</t>
  </si>
  <si>
    <t>IAP COSMETICOS LTDA  INDISPONIBILIDADE  |  SLS/IPD/56181/6</t>
  </si>
  <si>
    <t>05.346.644/0028-70</t>
  </si>
  <si>
    <t>169457, 169613, 170287</t>
  </si>
  <si>
    <t>170287</t>
  </si>
  <si>
    <t>SLS/IPD/56181/6</t>
  </si>
  <si>
    <t>08012026-89670</t>
  </si>
  <si>
    <t>FUNDO MUNICIPAL DE SAUDE DE SAO LUIS MARANHAO  |  INDISPONIBILIDADE  |  SLS/L2L/218791/225</t>
  </si>
  <si>
    <t>169201</t>
  </si>
  <si>
    <t>SLS/L2L/218791/225</t>
  </si>
  <si>
    <t>07012026-33927</t>
  </si>
  <si>
    <t>Atendimento para: UEB ENS FUND TANCREDO NEVES- Anexo ISEMA - SLS-216233-00296</t>
  </si>
  <si>
    <t>168763, 169527, 169589</t>
  </si>
  <si>
    <t>169527</t>
  </si>
  <si>
    <t>SLS/L2L/218787/296</t>
  </si>
  <si>
    <t>08012026-52119</t>
  </si>
  <si>
    <t>Atendimento para: UEB ENS FUND SANTO ANTONIO - SLS-216233-00307</t>
  </si>
  <si>
    <t>169577, 169615</t>
  </si>
  <si>
    <t>SLS/L2L/218787/307</t>
  </si>
  <si>
    <t>09012026-34497</t>
  </si>
  <si>
    <t>ALERTA:  CLI | MPMA.BJU.BARAO.DE.GRAJAU.L2L.149307.8 - FALHA</t>
  </si>
  <si>
    <t>G T LOPES &amp; CIA LTDA</t>
  </si>
  <si>
    <t>170083</t>
  </si>
  <si>
    <t>ARAME</t>
  </si>
  <si>
    <t>ARM/L2L/149307/8</t>
  </si>
  <si>
    <t>09012026-77811</t>
  </si>
  <si>
    <t>LACMAR LABORATORIO DE ANALISES CLINICAS DO MARANHAO LTDA | Indisponibilidade | SLS/IPD/204321/7</t>
  </si>
  <si>
    <t>170125, 170345</t>
  </si>
  <si>
    <t>170345</t>
  </si>
  <si>
    <t>SLS/IPD/204321/7</t>
  </si>
  <si>
    <t>09012026-35665</t>
  </si>
  <si>
    <t>Abertura de Chamado - EVE260100050939</t>
  </si>
  <si>
    <t>TIM S A</t>
  </si>
  <si>
    <t>02.421.421/0024-08</t>
  </si>
  <si>
    <t>170005</t>
  </si>
  <si>
    <t>PCZ/L2L/82709/860</t>
  </si>
  <si>
    <t>08012026-17910</t>
  </si>
  <si>
    <t>Atendimento para: Abrigo amar e acolher parque shalon - semcas</t>
  </si>
  <si>
    <t>169199, 169597</t>
  </si>
  <si>
    <t>169597</t>
  </si>
  <si>
    <t>SLS/L2L/216233/579</t>
  </si>
  <si>
    <t>10012026-45870</t>
  </si>
  <si>
    <t>Atendimento para: CS ITAPERA VLAN 3880 SLS-216233-00402</t>
  </si>
  <si>
    <t>170455</t>
  </si>
  <si>
    <t>SLS/L2L/218791/402</t>
  </si>
  <si>
    <t>S03</t>
  </si>
  <si>
    <t>09012026-24697</t>
  </si>
  <si>
    <t>LINK OFF</t>
  </si>
  <si>
    <t>MATEUS SUPERMERCADOS S A - MIX MATEUS (GRUPO MATEUS)</t>
  </si>
  <si>
    <t>03.995.515/0026-15</t>
  </si>
  <si>
    <t>169987, 170413</t>
  </si>
  <si>
    <t>BALSAS</t>
  </si>
  <si>
    <t>526014</t>
  </si>
  <si>
    <t>BLA/L2L/223393/1</t>
  </si>
  <si>
    <t>08012026-48038</t>
  </si>
  <si>
    <t>IAP COSMETICOS LTDA  INDISPONIBILIDADE  |  SLS/IPD/56181/3</t>
  </si>
  <si>
    <t>169435, 169529, 169603, 170285, 170639</t>
  </si>
  <si>
    <t>170639</t>
  </si>
  <si>
    <t>SLS/IPD/56181/3</t>
  </si>
  <si>
    <t>12012026-19194</t>
  </si>
  <si>
    <t>Atendimento para: UEB ENS FUND PEDRO MARCOSINI BERTOL - SLS-216233-00179</t>
  </si>
  <si>
    <t>171049</t>
  </si>
  <si>
    <t>SLS/L2L/218787/179</t>
  </si>
  <si>
    <t>08012026-99126</t>
  </si>
  <si>
    <t>Atendimento para: CENTRO DE REFERENCIA DE ATENDIMENTO A MULHER EM SITUACAO DE VIOLENCIA - CRAMSV - VLAN-4007 SLS-216233-00441</t>
  </si>
  <si>
    <t>169609, 170645</t>
  </si>
  <si>
    <t>170645</t>
  </si>
  <si>
    <t>SLS/L2L/216233/441</t>
  </si>
  <si>
    <t>08012026-42508</t>
  </si>
  <si>
    <t>Atendimento para: C.T. SAO CRISTOVAO - SAO RAIMUNDO - VLAN-3838 SLS-216233-00017</t>
  </si>
  <si>
    <t>169195, 169593, 170633</t>
  </si>
  <si>
    <t>170633</t>
  </si>
  <si>
    <t>SLS/L2L/216233/17</t>
  </si>
  <si>
    <t>10012026-16516</t>
  </si>
  <si>
    <t>Atendimento para: C. T. CIDADE OPERARIA - SLS-216233-00087</t>
  </si>
  <si>
    <t>170451, 170653</t>
  </si>
  <si>
    <t>170653</t>
  </si>
  <si>
    <t>SLS/L2L/216233/87</t>
  </si>
  <si>
    <t>07012026-20498</t>
  </si>
  <si>
    <t>Atendimento para: UEB ROSA MOCHEL  -  SLS-216233-00259</t>
  </si>
  <si>
    <t>168761, 168787, 170643</t>
  </si>
  <si>
    <t>168761</t>
  </si>
  <si>
    <t>SLS/L2L/218787/259</t>
  </si>
  <si>
    <t>12012026-41474</t>
  </si>
  <si>
    <t>ROSINETOS COMERCIO E SERVICOS LTDA | LINK DOWN | SLS/IPD/226759/18</t>
  </si>
  <si>
    <t>ROSINETOS COMERCIO E SERVICOS LTDA INFOCLICK - GRUPO ROSINETOS</t>
  </si>
  <si>
    <t>09.426.072/0001-70</t>
  </si>
  <si>
    <t>171061</t>
  </si>
  <si>
    <t>SLS/IPD/226759/18</t>
  </si>
  <si>
    <t>12012026-12141</t>
  </si>
  <si>
    <t>LACMAR LABORATORIO DE ANALISES CLINICAS DO MARANHAO LTDA | INDISPONIBILIDADE | SLS/204321/01</t>
  </si>
  <si>
    <t>171235, 171393</t>
  </si>
  <si>
    <t>171393</t>
  </si>
  <si>
    <t>SLS/IPD/204321/1</t>
  </si>
  <si>
    <t>12012026-36343</t>
  </si>
  <si>
    <t>GNEX LTDA ME | INDISPONIBILIDADE | ALE0/L2LAN/00040815/00014</t>
  </si>
  <si>
    <t>GNEX LTDA ME</t>
  </si>
  <si>
    <t>09.011.207/0001-36</t>
  </si>
  <si>
    <t>171421</t>
  </si>
  <si>
    <t>ALENQUER</t>
  </si>
  <si>
    <t>ALQ/L2L/40815/14</t>
  </si>
  <si>
    <t>12012026-30662</t>
  </si>
  <si>
    <t>Atendimento para: UEB ENS FUND CAMELIA COSTA VIVEIROS  -  SLS-216233-00249</t>
  </si>
  <si>
    <t>171081, 171387</t>
  </si>
  <si>
    <t>171387</t>
  </si>
  <si>
    <t>SLS/L2L/218787/249</t>
  </si>
  <si>
    <t>13012026-59919</t>
  </si>
  <si>
    <t>TECNO INDUSTRIA E COMERCIO DE COMPUTADORES LTDA GRUPO IBYTE | INDISPONIBILIDADE | SLS/FBR/1819/93 |</t>
  </si>
  <si>
    <t>TECNO INDUSTRIA E COMERCIO DE COMPUTADORES LTDA GRUPO IBYTE</t>
  </si>
  <si>
    <t>07.272.825/0001-04</t>
  </si>
  <si>
    <t>171623</t>
  </si>
  <si>
    <t>SLS/FBR/1819/93</t>
  </si>
  <si>
    <t>12012026-11372</t>
  </si>
  <si>
    <t>Atendimento para: UEB ENS FUND PROF CARLOS SAADS  SLS-216233-00340</t>
  </si>
  <si>
    <t>171015, 171381</t>
  </si>
  <si>
    <t>SLS/L2L/218787/340</t>
  </si>
  <si>
    <t>12012026-52595</t>
  </si>
  <si>
    <t>SERVIS ELETRONICA DEFENSE LTDA | INDISPONIBILIDADE | SLS/L2L/218497/765</t>
  </si>
  <si>
    <t>171013, 171325, 171383</t>
  </si>
  <si>
    <t>171325</t>
  </si>
  <si>
    <t>SLS/L2L/218497/765</t>
  </si>
  <si>
    <t>09012026-31901</t>
  </si>
  <si>
    <t>Atendimento para: UEB PAULO FREIRE - SLS-216233-00193</t>
  </si>
  <si>
    <t>170271, 170649</t>
  </si>
  <si>
    <t>170649</t>
  </si>
  <si>
    <t>SLS/L2L/218787/193</t>
  </si>
  <si>
    <t>12012026-27483</t>
  </si>
  <si>
    <t>DIN COMERCIO E SERVICOS DE TELEFONIA LTDA INFINITE SERVICES | INDISPONIBILIDADE | SLS/IPD/227709/4</t>
  </si>
  <si>
    <t>DIN COMERCIO E SERVICOS DE TELEFONIA LTDA INFINITE SERVICES</t>
  </si>
  <si>
    <t>26.592.902/0016-34</t>
  </si>
  <si>
    <t>171059, 171385</t>
  </si>
  <si>
    <t>171385</t>
  </si>
  <si>
    <t>SLS/IPD/227709/4</t>
  </si>
  <si>
    <t>09012026-89029</t>
  </si>
  <si>
    <t>M E L SERVICOS EM SAUDE LTDA | INOPERANTE | SLS/L2L/218291/1</t>
  </si>
  <si>
    <t>M E L SERVICOS EM SAUDE LTDA SUPERCLINICA</t>
  </si>
  <si>
    <t>05.596.740/0006-60</t>
  </si>
  <si>
    <t>170041, 170647, 171803</t>
  </si>
  <si>
    <t>170647, 171803</t>
  </si>
  <si>
    <t>SLS/L2L/218291/1</t>
  </si>
  <si>
    <t>13012026-30181</t>
  </si>
  <si>
    <t>Alerta de Conexão - Link RODOVIARIA PARNAIBA Down</t>
  </si>
  <si>
    <t>EXPRESSO GUANABARA LTDA EXPRESSO GUANABARA LTDA</t>
  </si>
  <si>
    <t>41.550.112/0001-01</t>
  </si>
  <si>
    <t>172023</t>
  </si>
  <si>
    <t>PNA/IPD/3869/33</t>
  </si>
  <si>
    <t>13012026-25355</t>
  </si>
  <si>
    <t>ALERTA:  CLI | TJMA.SLS.POSTO.RODOVIARIA.L3VPN.49495.69 - FALHA</t>
  </si>
  <si>
    <t>SLS/L2L/49495/69</t>
  </si>
  <si>
    <t>13012026-51345</t>
  </si>
  <si>
    <t>SUNO TELECOM LTDA SUNO TELECOM | INDISPONIBILIDADE | SLS/IPD/218051/7</t>
  </si>
  <si>
    <t>SUNO TELECOM LTDA SUNO TELECOM</t>
  </si>
  <si>
    <t>33.614.203/0001-27</t>
  </si>
  <si>
    <t>171737, 172107</t>
  </si>
  <si>
    <t>171737</t>
  </si>
  <si>
    <t>SLS/IPD/218051/7</t>
  </si>
  <si>
    <t>13012026-96756</t>
  </si>
  <si>
    <t>Queda de link principal - Holandeses</t>
  </si>
  <si>
    <t>Nadia Oliveira Alves da Silva</t>
  </si>
  <si>
    <t>171855</t>
  </si>
  <si>
    <t>08012026-73223</t>
  </si>
  <si>
    <t>Atendimento para: Complexo de Educacao e Cidadania- COMPEC</t>
  </si>
  <si>
    <t>169611, 170339, 170635</t>
  </si>
  <si>
    <t>170635</t>
  </si>
  <si>
    <t>SLS/L2L/218787/607</t>
  </si>
  <si>
    <t>12012026-79487</t>
  </si>
  <si>
    <t>MUNICIPIO DE SAO LUIS SEMIT | INDISPONIBILIDADE | 216233-00047 / SLS/L2L/218791/47</t>
  </si>
  <si>
    <t>L2L GPON</t>
  </si>
  <si>
    <t>171763</t>
  </si>
  <si>
    <t>SLS/L2L/218791/527</t>
  </si>
  <si>
    <t>14012026-72302</t>
  </si>
  <si>
    <t>[REQ000142663601] [4969] AG. SANTA LUZIA DO MARANHAO, MA</t>
  </si>
  <si>
    <t>172447</t>
  </si>
  <si>
    <t>SANTA LUZIA</t>
  </si>
  <si>
    <t>SUA/FBR/48887/608</t>
  </si>
  <si>
    <t>13012026-32063</t>
  </si>
  <si>
    <t>SELF IT ACADEMIAS HOLDING S A  |  INDISPONIBILIDADE  |  SLS/IPD/219343/11</t>
  </si>
  <si>
    <t>SELF IT ACADEMIAS HOLDING S A</t>
  </si>
  <si>
    <t>22.902.694/0001-95</t>
  </si>
  <si>
    <t>171917</t>
  </si>
  <si>
    <t>SLS/IPD/219343/11</t>
  </si>
  <si>
    <t>08012026-76358</t>
  </si>
  <si>
    <t>MUNICIPIO DE SAO LUIS SEMED | INDISPONIBILIDADE | SLS/L2L/218787/280</t>
  </si>
  <si>
    <t>169129, 169525, 169595, 169999, 170465, 170641, 170979</t>
  </si>
  <si>
    <t>169999, 170979</t>
  </si>
  <si>
    <t>SLS/L2L/218787/280</t>
  </si>
  <si>
    <t>13012026-40860</t>
  </si>
  <si>
    <t>Atendimento para: JUNTA MILITAR 110 REGIAO - VLAN-3627 SLS-216233-00026</t>
  </si>
  <si>
    <t>172033, 172117</t>
  </si>
  <si>
    <t>172033</t>
  </si>
  <si>
    <t>SLS/L2L/216233/26</t>
  </si>
  <si>
    <t>14012026-70804</t>
  </si>
  <si>
    <t>ABERTURA DE CHAMADO -  EVE260100084326</t>
  </si>
  <si>
    <t>TIM S A TIM S A</t>
  </si>
  <si>
    <t>02.421.421/0222-71</t>
  </si>
  <si>
    <t>172489, 172493</t>
  </si>
  <si>
    <t>172489</t>
  </si>
  <si>
    <t>SLS/L2L/83605/1158</t>
  </si>
  <si>
    <t>13012026-87628</t>
  </si>
  <si>
    <t>171913</t>
  </si>
  <si>
    <t>12012026-29231</t>
  </si>
  <si>
    <t>ALERTA:  CLI | TRT8.MPA.MACAPA.FORUM-FW#52957.21 - FALHA</t>
  </si>
  <si>
    <t>SD-WAN + Firewall</t>
  </si>
  <si>
    <t>171415</t>
  </si>
  <si>
    <t>MPA/FWL/52957/21</t>
  </si>
  <si>
    <t>12012026-14923</t>
  </si>
  <si>
    <t>Atendimento para: IPAM - CCI ASSOCIACAO DO SERVIDOR - VLAN-3890 SLS-216233-00404</t>
  </si>
  <si>
    <t>171067, 171389</t>
  </si>
  <si>
    <t>171389</t>
  </si>
  <si>
    <t>SLS/L2L/216233/404</t>
  </si>
  <si>
    <t>14012026-91404</t>
  </si>
  <si>
    <t>SERVIS ELETRONICA DEFENSE LTDA |  INDISPONIBILIDADE | 218497/870</t>
  </si>
  <si>
    <t>172517</t>
  </si>
  <si>
    <t>SLS/L2L/218497/870</t>
  </si>
  <si>
    <t>14012026-91275</t>
  </si>
  <si>
    <t>172737</t>
  </si>
  <si>
    <t>12012026-37039</t>
  </si>
  <si>
    <t>173107</t>
  </si>
  <si>
    <t>14012026-39483</t>
  </si>
  <si>
    <t>Atendimento para: CE AMERICA DO NORTE SLS-216233-00384</t>
  </si>
  <si>
    <t>172775</t>
  </si>
  <si>
    <t>SLS/L2L/218787/384</t>
  </si>
  <si>
    <t>13012026-92640</t>
  </si>
  <si>
    <t>Atendimento para: UEB ENS FUND ZEBINA EUGENIA COSTA  -  SLS-216233-00221</t>
  </si>
  <si>
    <t>171891, 172111, 172669, 172765</t>
  </si>
  <si>
    <t>172111, 172669</t>
  </si>
  <si>
    <t>SLS/L2L/218787/221</t>
  </si>
  <si>
    <t>13012026-49790</t>
  </si>
  <si>
    <t>ALERTA:  CLI | MPMA.SDZT.SAO.DOMINGOS.DO.AZEITAO.L2L.149307.1 - FALHA</t>
  </si>
  <si>
    <t>LINK DEDICADO DE INTERNET PROTEGIDO</t>
  </si>
  <si>
    <t>TELECOMUNICAÇÕES NORDESTE LTDA</t>
  </si>
  <si>
    <t>171821, 171983</t>
  </si>
  <si>
    <t>SAO DOMINGOS DO AZEITAO</t>
  </si>
  <si>
    <t>SLS/IPD/149307/1</t>
  </si>
  <si>
    <t>14012026-22322</t>
  </si>
  <si>
    <t>[REQ000142661855] [2080] SAA AG. SHOPPING DA ILHA</t>
  </si>
  <si>
    <t>172759</t>
  </si>
  <si>
    <t>14012026-28848</t>
  </si>
  <si>
    <t>Atendimento para: UEB ENS FUND SAO SEBASTIAO - SLS-216233-00206</t>
  </si>
  <si>
    <t>172605, 172773</t>
  </si>
  <si>
    <t>172773</t>
  </si>
  <si>
    <t>SLS/L2L/218787/206</t>
  </si>
  <si>
    <t>13012026-88695</t>
  </si>
  <si>
    <t>MUNICIPIO DE SAO LUIS SEMED  |  INDISPONIBILIDADE  |  SLS/L2L/218787/296</t>
  </si>
  <si>
    <t>172121</t>
  </si>
  <si>
    <t>12012026-96140</t>
  </si>
  <si>
    <t>Link Offline</t>
  </si>
  <si>
    <t>GENTIL NEGOCIOS COMERCIO E FRANCHISING LTDA</t>
  </si>
  <si>
    <t>04.227.467/0047-02</t>
  </si>
  <si>
    <t>171303, 171391, 172109</t>
  </si>
  <si>
    <t>172109</t>
  </si>
  <si>
    <t>SLS/IPD/224909/1</t>
  </si>
  <si>
    <t>14012026-53334</t>
  </si>
  <si>
    <t>TECNO INDUSTRIA E COMERCIO DE COMPUTADORES LTDA GRUPO IBYTE | INDISPONIBILIDADE | SLS/FBR/1819/93</t>
  </si>
  <si>
    <t>Whatsapp</t>
  </si>
  <si>
    <t>172405</t>
  </si>
  <si>
    <t>09012026-14742</t>
  </si>
  <si>
    <t>Falha de conectividade na Promotoria de Justiça de Barão de Grajaú</t>
  </si>
  <si>
    <t>170163, 171397, 172085</t>
  </si>
  <si>
    <t>BARAO DE GRAJAU</t>
  </si>
  <si>
    <t>BJU/FWL/49495/434</t>
  </si>
  <si>
    <t>15012026-23239</t>
  </si>
  <si>
    <t>Atendimento para: UEB ENS FUND PROF NASCIMENTO DE MORAES  -  SLS-216233-00220</t>
  </si>
  <si>
    <t>173149, 173151</t>
  </si>
  <si>
    <t>173149</t>
  </si>
  <si>
    <t>SLS/L2L/218787/220</t>
  </si>
  <si>
    <t>15012026-56814</t>
  </si>
  <si>
    <t>Atendimento para: Anexo UEB ENS FUND LINDALVA TEOTONIA NUNES - SLS-216233-507</t>
  </si>
  <si>
    <t>173075</t>
  </si>
  <si>
    <t>SLS/L2L/218787/507</t>
  </si>
  <si>
    <t>16012026-93147</t>
  </si>
  <si>
    <t>ALERTA:  CLI | TJMA.SLS.1.VARA.DA.INFANCIA.POSTO.AEROPORTO.L3VPN.49495.481 - FALHA</t>
  </si>
  <si>
    <t>SLS/L2L/49495/481</t>
  </si>
  <si>
    <t>16012026-72421</t>
  </si>
  <si>
    <t>ABERTURA DE REPARO SICREDI- AG 28-2201- Designação: FLO/218115/00001 - INC8465467</t>
  </si>
  <si>
    <t>173449</t>
  </si>
  <si>
    <t>14012026-68006</t>
  </si>
  <si>
    <t>Queda link secundário - Maiobao</t>
  </si>
  <si>
    <t>172509, 172771</t>
  </si>
  <si>
    <t>172771</t>
  </si>
  <si>
    <t>PACO DO LUMIAR</t>
  </si>
  <si>
    <t>PCL/FBR/13955/108</t>
  </si>
  <si>
    <t>13012026-67703</t>
  </si>
  <si>
    <t>RE: Ticket: 12012026-90574 - Indisponibilidade rota Gyn-Bsb - Equatorial Energia</t>
  </si>
  <si>
    <t>EQUATORIAL TELECOMUNICACOES S A</t>
  </si>
  <si>
    <t>10.995.526/0001-02</t>
  </si>
  <si>
    <t>NEB TELECOMUNICACOES LTDA</t>
  </si>
  <si>
    <t>172077, 172079, 172123, 172699, 172769, 173081, 173457</t>
  </si>
  <si>
    <t>172077, 173457</t>
  </si>
  <si>
    <t>SLS/L2L/19489/31</t>
  </si>
  <si>
    <t>16012026-73257</t>
  </si>
  <si>
    <t>REAL MOTO PECAS LTDA | INDISPONIBILIDADE | SLS/IPD/204493/1</t>
  </si>
  <si>
    <t>REAL MOTO PECAS LTDA</t>
  </si>
  <si>
    <t>25.630.302/0031-90</t>
  </si>
  <si>
    <t>173651</t>
  </si>
  <si>
    <t>SLS/IPD/204493/1</t>
  </si>
  <si>
    <t>15012026-68249</t>
  </si>
  <si>
    <t>LABORATORIO CEDRO LTDA  |  INDISPONNIBILIDADE  |  SLS/L2L/204817/9</t>
  </si>
  <si>
    <t>LABORATORIO CEDRO LTDA</t>
  </si>
  <si>
    <t>10.445.344/0001-68</t>
  </si>
  <si>
    <t>173203, 173395, 173463</t>
  </si>
  <si>
    <t>173395</t>
  </si>
  <si>
    <t>SLS/L2L/204817/9</t>
  </si>
  <si>
    <t>15012026-87200</t>
  </si>
  <si>
    <t>CONDOMINIO DO SHOPPING METROPOLE |  AIU/IPD/225005/1 | INOPERANTE</t>
  </si>
  <si>
    <t>Clarice Freire</t>
  </si>
  <si>
    <t>173399, 173409, 173795</t>
  </si>
  <si>
    <t>173409</t>
  </si>
  <si>
    <t>16012026-24370</t>
  </si>
  <si>
    <t>Indisponibilidade no LINK-FILIAL35-GIGA+-FLA/L2L/202197/16</t>
  </si>
  <si>
    <t>173533</t>
  </si>
  <si>
    <t>15012026-29971</t>
  </si>
  <si>
    <t>Atendimento para: HOSPITAL ZONA RURAL - SLS-00216233-00032</t>
  </si>
  <si>
    <t>173155</t>
  </si>
  <si>
    <t>SLS/L2L/218791/32</t>
  </si>
  <si>
    <t>16012026-93858</t>
  </si>
  <si>
    <t>Indisponivel - SERPRO | Fortaleza x Teresina | FLA-L2L-TSA-F-#234654 | AT8004</t>
  </si>
  <si>
    <t>SERVICO FEDERAL DE PROCESSAMENTO DE DADOS SERPRO SERVICO FEDERAL DE PROCESSAMENTO DE DADOS SERPRO</t>
  </si>
  <si>
    <t>33.683.111/0043-58</t>
  </si>
  <si>
    <t>ORA SERVICOS DE TELECOMUNICACOES LTDA</t>
  </si>
  <si>
    <t>173495</t>
  </si>
  <si>
    <t>TSA/L2L/210995/1</t>
  </si>
  <si>
    <t>15012026-73609</t>
  </si>
  <si>
    <t>CIMAR | REINCIDENCIA DE FALHA | TROCAR RB POR EDD</t>
  </si>
  <si>
    <t>CIMAR - CIMENTOS DO MARANHAO S.A. CIMAR</t>
  </si>
  <si>
    <t>15.129.010/0001-07</t>
  </si>
  <si>
    <t>172925</t>
  </si>
  <si>
    <t>SLS/IPD/227259/1</t>
  </si>
  <si>
    <t>13012026-42051</t>
  </si>
  <si>
    <t>ALERTA:  CLI | SENAI-PA.BLM.DR-MORAES - FALHA</t>
  </si>
  <si>
    <t>171379, 171767, 172807</t>
  </si>
  <si>
    <t>172807</t>
  </si>
  <si>
    <t>16012026-35316</t>
  </si>
  <si>
    <t>Atendimento para: RESIDENCIA TERAPEUTICA I - VLAN 3613 SLS-216233-00117</t>
  </si>
  <si>
    <t>173451</t>
  </si>
  <si>
    <t>SLS/L2L/218791/117</t>
  </si>
  <si>
    <t>15012026-79620</t>
  </si>
  <si>
    <t>Atendimento para: UEB RECANTO DOS PASSAROS - SLS-216233-00297</t>
  </si>
  <si>
    <t>173359, 173473</t>
  </si>
  <si>
    <t>173359</t>
  </si>
  <si>
    <t>SLS/L2L/218787/297</t>
  </si>
  <si>
    <t>13012026-80547</t>
  </si>
  <si>
    <t>ABERTURA DE CHAMADO |Designação fornecedor ITZ/L2L/225537/2  | 0026626919 | Protocolo 202601436953 | GOCIL SERVICOS GERAIS NORDESTE LTDA EM RECUPERACAO JUDICIAL</t>
  </si>
  <si>
    <t>ALGAR TELECOM S A ALGAR TELECOM</t>
  </si>
  <si>
    <t>71.208.516/0183-83</t>
  </si>
  <si>
    <t>172135</t>
  </si>
  <si>
    <t>ITZ/L2L/225537/2</t>
  </si>
  <si>
    <t>15012026-34614</t>
  </si>
  <si>
    <t>RE: CUSTOMER: DB3 TELECOM | TT CPL: 0040672026 | TT CUSTOMER: - | CID: ITZ53005868324</t>
  </si>
  <si>
    <t>BRFIBRA TELECOMUNICACOES LTDA BR DIGITAL BRFIBRA E COMMCORP</t>
  </si>
  <si>
    <t>73.972.002/0001-16</t>
  </si>
  <si>
    <t>172761</t>
  </si>
  <si>
    <t>ITZ/L2L/204139/66</t>
  </si>
  <si>
    <t>16012026-32152</t>
  </si>
  <si>
    <t>173793, 174161</t>
  </si>
  <si>
    <t>174161</t>
  </si>
  <si>
    <t>16012026-70313</t>
  </si>
  <si>
    <t>FORMULA TIJU FITNESS | INDISPONIBILIDADE</t>
  </si>
  <si>
    <t>FORMULA TIJU FITNESS CENTER - ACADEMIA DE GINASTICA LTDA</t>
  </si>
  <si>
    <t>18.653.891/0006-55</t>
  </si>
  <si>
    <t>173477</t>
  </si>
  <si>
    <t>SLS/IPD/225239/1</t>
  </si>
  <si>
    <t>16012026-64951</t>
  </si>
  <si>
    <t>REDEMAQUINAS  | indisponivel</t>
  </si>
  <si>
    <t>REDEMAQUINAS COMERCIO E SERVICOS DE MAQUINAS E EQUIPAMENTOS LTDA REDEMAQUINAS COMERCIO E SERVICOS DE MAQUINAS E EQUIP</t>
  </si>
  <si>
    <t>06.094.934/0008-92</t>
  </si>
  <si>
    <t>173661</t>
  </si>
  <si>
    <t>SLS/IPD/218483/1</t>
  </si>
  <si>
    <t>16012026-59353</t>
  </si>
  <si>
    <t>Filial 2309 - Link inoperante</t>
  </si>
  <si>
    <t>GRUPO CASAS BAHIA S A</t>
  </si>
  <si>
    <t>33.041.260/0652-90</t>
  </si>
  <si>
    <t>174095, 174287</t>
  </si>
  <si>
    <t>174287</t>
  </si>
  <si>
    <t>RONDON DO PARA</t>
  </si>
  <si>
    <t>RNP/IPD/73599/64</t>
  </si>
  <si>
    <t>13012026-46181</t>
  </si>
  <si>
    <t>1649 AG  AV KENNEDY - LINK NOVO</t>
  </si>
  <si>
    <t>171823, 171825, 172113, 172767, 173459</t>
  </si>
  <si>
    <t>171823, 172113, 172767</t>
  </si>
  <si>
    <t>SLS/L2L/48887/972</t>
  </si>
  <si>
    <t>17012026-21974</t>
  </si>
  <si>
    <t>ALERTA:  CLI | TCMPA.BLM.BELEM - FALHA</t>
  </si>
  <si>
    <t>TRIBUNAL DE CONTAS DOS MUNICIPIOS CONSELHO DE CONTAS DOS MUNICIPIOS</t>
  </si>
  <si>
    <t>04.789.665/0001-87</t>
  </si>
  <si>
    <t>174233</t>
  </si>
  <si>
    <t>BLM/IPD/204713/1</t>
  </si>
  <si>
    <t>S04</t>
  </si>
  <si>
    <t>18012026-74013</t>
  </si>
  <si>
    <t>ALERTA:  CLI | TRE.PDZ.PEDREIRAS.L2L.201809.26 - FALHA</t>
  </si>
  <si>
    <t>W DA CRUZ SOARES - ME</t>
  </si>
  <si>
    <t>174367</t>
  </si>
  <si>
    <t>PEDREIRAS</t>
  </si>
  <si>
    <t>PDZ/L2L/201809/26</t>
  </si>
  <si>
    <t>16012026-59041</t>
  </si>
  <si>
    <t>Abertura de Reparo - Esperantinópolis ESS/L2L/49019/300</t>
  </si>
  <si>
    <t>173657, 174479</t>
  </si>
  <si>
    <t>174479</t>
  </si>
  <si>
    <t>ESPERANTINOPOLIS</t>
  </si>
  <si>
    <t>ESS/L2L/49495/300</t>
  </si>
  <si>
    <t>18012026-91904</t>
  </si>
  <si>
    <t>Vanda  Lucia Freire de Sousa</t>
  </si>
  <si>
    <t>174455</t>
  </si>
  <si>
    <t>SLS/L2L/218497/771</t>
  </si>
  <si>
    <t>16012026-41011</t>
  </si>
  <si>
    <t>OI S A EM RECUPERACAO JUDICIAL | INDISPONIBILIDADE | 214913/25</t>
  </si>
  <si>
    <t>OI S A EM RECUPERACAO JUDICIAL</t>
  </si>
  <si>
    <t>76.535.764/0003-05</t>
  </si>
  <si>
    <t>174117, 174453, 175277</t>
  </si>
  <si>
    <t>SLS/FBR/6971/25</t>
  </si>
  <si>
    <t>16012026-59923</t>
  </si>
  <si>
    <t>MUNICIPIO DE SAO LUIS SEMED || INDISPONIBILIDADE - CONFIGURAÇÃO || SLS0/L2LAN/00218787/00333-SEMED-UEB-ENS-FUND-MAJOR-JOSE-AUGUSTO-MOCHEL</t>
  </si>
  <si>
    <t>174225, 174451</t>
  </si>
  <si>
    <t>174451</t>
  </si>
  <si>
    <t>SLS/L2L/218787/333</t>
  </si>
  <si>
    <t>16012026-19241</t>
  </si>
  <si>
    <t>Atendimento para: CRAS ESTIVA - SLS-216233-00426</t>
  </si>
  <si>
    <t>174077, 174449</t>
  </si>
  <si>
    <t>174077</t>
  </si>
  <si>
    <t>SLS/L2L/216233/426</t>
  </si>
  <si>
    <t>15012026-90681</t>
  </si>
  <si>
    <t>173217, 173467, 174447</t>
  </si>
  <si>
    <t>174447</t>
  </si>
  <si>
    <t>19012026-21370</t>
  </si>
  <si>
    <t>Atendimento para: CATE - CENTRO DE APOIO AO TRABALHO E EMPREENDEDORISMO - VLAN-4010 SLS-216233-00410</t>
  </si>
  <si>
    <t>174959</t>
  </si>
  <si>
    <t>SLS/L2L/216233/410</t>
  </si>
  <si>
    <t>19012026-42392</t>
  </si>
  <si>
    <t>Atendimento para: UEB OLINDA DESTERRO - SLS-216233-00187</t>
  </si>
  <si>
    <t>174945</t>
  </si>
  <si>
    <t>SLS/L2L/216233/187</t>
  </si>
  <si>
    <t>20012026-70626</t>
  </si>
  <si>
    <t>ALERTA:  EDD.PARQUE.SHOPPING.BELEM - FALHA</t>
  </si>
  <si>
    <t>LANLINK SERVICOS DE INFORMATICA SA</t>
  </si>
  <si>
    <t>19.877.300/0001-81</t>
  </si>
  <si>
    <t>175275</t>
  </si>
  <si>
    <t>BLM/L2L/64169/20</t>
  </si>
  <si>
    <t>16012026-74048</t>
  </si>
  <si>
    <t>ALERTA:  CLI | DPMA.PLV.PENALVA.L3VPN.203659.112 - FALHA</t>
  </si>
  <si>
    <t>ESTADO DO MARANHAO DEFENSORIA PUBLICA DO ESTADO DO MARANHAO D P E MA</t>
  </si>
  <si>
    <t>00.820.295/0001-42</t>
  </si>
  <si>
    <t>174119</t>
  </si>
  <si>
    <t>PLV/L2L/203659/112</t>
  </si>
  <si>
    <t>19012026-35695</t>
  </si>
  <si>
    <t>ROSINETOS COMERCIO E SERVICOS LTDA INFOCLICK - GRUPO ROSINETOS || INDISPONIBILIDADE || PCL/IPD/226759/9</t>
  </si>
  <si>
    <t>175259</t>
  </si>
  <si>
    <t>PCL/IPD/226759/9</t>
  </si>
  <si>
    <t>16012026-54856</t>
  </si>
  <si>
    <t>Atendimento para: UEB SOFIA SILVA  -  SLS-216233-00172</t>
  </si>
  <si>
    <t>173781, 174441</t>
  </si>
  <si>
    <t>174441</t>
  </si>
  <si>
    <t>SLS/L2L/218787/172</t>
  </si>
  <si>
    <t>19012026-65743</t>
  </si>
  <si>
    <t>CIMAR - CIMENTOS DO MARANHAO S.A.| SLS/IPD/227259/1 | INDISPONIBILIDADE</t>
  </si>
  <si>
    <t>174983, 175281</t>
  </si>
  <si>
    <t>175281</t>
  </si>
  <si>
    <t>15012026-88591</t>
  </si>
  <si>
    <t>#13012026-51345 - SUNO TELECOM LTDA SUNO TELECOM | INDISPONIBILIDADE | SLS/IPD/218051/7</t>
  </si>
  <si>
    <t>173283, 173465, 174445, 175279</t>
  </si>
  <si>
    <t>16012026-53071</t>
  </si>
  <si>
    <t>173861, 174443</t>
  </si>
  <si>
    <t>174443</t>
  </si>
  <si>
    <t>19012026-53952</t>
  </si>
  <si>
    <t>ABERTURA DE CHAMADO | SLA/L2L/225215/2 | 0026742706 | BANCO BMG S.A</t>
  </si>
  <si>
    <t>175249</t>
  </si>
  <si>
    <t>SLS/L2L/225215/2</t>
  </si>
  <si>
    <t>20012026-25136</t>
  </si>
  <si>
    <t>SERVIS ELETRONICA DEFENSE | indisponivel</t>
  </si>
  <si>
    <t>175673</t>
  </si>
  <si>
    <t>SLS/L2L/218497/871</t>
  </si>
  <si>
    <t>20012026-62211</t>
  </si>
  <si>
    <t>ALERTA:  CLI | MPMA.ETO.ESTREITO.L2L.149307.34 - FALHA</t>
  </si>
  <si>
    <t>175997</t>
  </si>
  <si>
    <t>ESTREITO</t>
  </si>
  <si>
    <t>ETO/L2L/149307/34</t>
  </si>
  <si>
    <t>20012026-16293</t>
  </si>
  <si>
    <t>MOCELIN EMPREENDIMENTOS TURISTICO STOP WAY HOTEL  |  INDISPONIBILIDADE  |  SLS/IPD/228541/1</t>
  </si>
  <si>
    <t>MOCELIN EMPREENDIMENTOS TURISTICO STOP WAY HOTEL</t>
  </si>
  <si>
    <t>09.426.179/0001-18</t>
  </si>
  <si>
    <t>175671</t>
  </si>
  <si>
    <t>SLS/IPD/228541/1</t>
  </si>
  <si>
    <t>19012026-43650</t>
  </si>
  <si>
    <t>Sem conexao</t>
  </si>
  <si>
    <t>175247</t>
  </si>
  <si>
    <t>15012026-18627</t>
  </si>
  <si>
    <t>INC0387906 - [High] LINK-DEDICADO-MOB-PA-WYDEN-FACI-138.59.228.50</t>
  </si>
  <si>
    <t>VITORIA BEATRIZ DA SILVA</t>
  </si>
  <si>
    <t>SOCIEDADE EDUCACIONAL IDEAL LTDA</t>
  </si>
  <si>
    <t>02.696.435/0001-48</t>
  </si>
  <si>
    <t>175289</t>
  </si>
  <si>
    <t>530213</t>
  </si>
  <si>
    <t>BLM/IPD/49223/248</t>
  </si>
  <si>
    <t>19012026-52630</t>
  </si>
  <si>
    <t>Atendimento para: UEB ENS FUND CONEGO SIDNEY CASTELO BRANCO FURTADO  -  SLS-216233-00337</t>
  </si>
  <si>
    <t>175075, 175285</t>
  </si>
  <si>
    <t>175285</t>
  </si>
  <si>
    <t>SLS/L2L/218787/337</t>
  </si>
  <si>
    <t>20012026-96033</t>
  </si>
  <si>
    <t>MUNICIPIO DE SAO LUIS SEMED  |  INDISPONIBILIDADE  |  SLS/L2L/218787/315</t>
  </si>
  <si>
    <t>175973</t>
  </si>
  <si>
    <t>SLS/L2L/218787/315</t>
  </si>
  <si>
    <t>20012026-14466</t>
  </si>
  <si>
    <t>175761</t>
  </si>
  <si>
    <t>19012026-95951</t>
  </si>
  <si>
    <t>Atendimento para: TERMINAL DE INTEGRACAO COHAMA - VINHAIS - VLAN-3974 SLS-216233-00427</t>
  </si>
  <si>
    <t>175299</t>
  </si>
  <si>
    <t>SLS/L2L/216233/427</t>
  </si>
  <si>
    <t>20012026-96155</t>
  </si>
  <si>
    <t>Atendimento para: UEB MARIA JOSE SERRAO - Anexo Ciranda do Aprender - SLS-216233-00199</t>
  </si>
  <si>
    <t>175979</t>
  </si>
  <si>
    <t>SLS/L2L/216233/199</t>
  </si>
  <si>
    <t>20012026-71813</t>
  </si>
  <si>
    <t>176045</t>
  </si>
  <si>
    <t>SLS/IPD/214913/68</t>
  </si>
  <si>
    <t>21012026-51155</t>
  </si>
  <si>
    <t>176465</t>
  </si>
  <si>
    <t>21012026-58603</t>
  </si>
  <si>
    <t>176447, 176789</t>
  </si>
  <si>
    <t>176789</t>
  </si>
  <si>
    <t>20012026-93231</t>
  </si>
  <si>
    <t>Atendimento para: UEB JOSE GONCALVES DO AMARAL RAPOSO INFANTIL  -  SLS-216233-00358</t>
  </si>
  <si>
    <t>175557, 176803</t>
  </si>
  <si>
    <t>175557</t>
  </si>
  <si>
    <t>SLS/L2L/218787/358</t>
  </si>
  <si>
    <t>21012026-66163</t>
  </si>
  <si>
    <t>HEXATO TECNOLOGIA E FERRAMENTAS DE INTERNET LTDA  | CZD/FBR/88921/1 | INDISPONIBILIDADE</t>
  </si>
  <si>
    <t>HEXATO TECNOLOGIA E FERRAMENTAS DE INTERNET LTDA</t>
  </si>
  <si>
    <t>01.222.814/0001-33</t>
  </si>
  <si>
    <t>176573, 176809</t>
  </si>
  <si>
    <t>176809</t>
  </si>
  <si>
    <t>SIS/FBR/88921/1</t>
  </si>
  <si>
    <t>21012026-19959</t>
  </si>
  <si>
    <t>EQUATORIAL TELECOMUNICACOES S A  | Indisponibilidade | AAR/IPD/19489/47</t>
  </si>
  <si>
    <t>IP CONNECT GPON FS</t>
  </si>
  <si>
    <t>176743</t>
  </si>
  <si>
    <t>ARARI</t>
  </si>
  <si>
    <t>AAR/IPD/19489/47</t>
  </si>
  <si>
    <t>21012026-26928</t>
  </si>
  <si>
    <t>176365</t>
  </si>
  <si>
    <t>SLS/L2L/218297/6</t>
  </si>
  <si>
    <t>16012026-93386</t>
  </si>
  <si>
    <t>CIRION [ ABERTURA DE CHAMADO ] BLM0/L2LAN/00071001/00217-CIRION-ANATEL | INC4873912</t>
  </si>
  <si>
    <t>CIRION TECHNOLOGIES DO BRASIL LTDA</t>
  </si>
  <si>
    <t>72.843.212/0001-41</t>
  </si>
  <si>
    <t>174153, 175821, 176317</t>
  </si>
  <si>
    <t>175821, 176317</t>
  </si>
  <si>
    <t>BLM/L2L/71001/224</t>
  </si>
  <si>
    <t>20012026-78833</t>
  </si>
  <si>
    <t>O CORINGAO LTDA | Indisponibilidade | ULNS/IPD/204871/1</t>
  </si>
  <si>
    <t>O CORINGAO LTDA O CORINGAO</t>
  </si>
  <si>
    <t>03.030.688/0001-40</t>
  </si>
  <si>
    <t>175825</t>
  </si>
  <si>
    <t>ULIANOPOLIS</t>
  </si>
  <si>
    <t>ULNS/IPD/204871/1</t>
  </si>
  <si>
    <t>21012026-82239</t>
  </si>
  <si>
    <t>Atendimento para: C. S. VILA NOVA SLS-216233-00077</t>
  </si>
  <si>
    <t>176443</t>
  </si>
  <si>
    <t>SLS/L2L/218791/77</t>
  </si>
  <si>
    <t>20012026-18791</t>
  </si>
  <si>
    <t>175977</t>
  </si>
  <si>
    <t>21012026-92510</t>
  </si>
  <si>
    <t>Atendimento para: UEB NOSSOS AMIGUINHOS TIBIRI - VLAN 3809 SLS-216233-00330</t>
  </si>
  <si>
    <t>176685, 176791</t>
  </si>
  <si>
    <t>176685</t>
  </si>
  <si>
    <t>SLS/L2L/218787/330</t>
  </si>
  <si>
    <t>21012026-49580</t>
  </si>
  <si>
    <t>Atendimento para: SEMFAZ AV KENNEDY - SLS-00216233-00632</t>
  </si>
  <si>
    <t>176383, 176785</t>
  </si>
  <si>
    <t>176785</t>
  </si>
  <si>
    <t>Até 15d pós ativação</t>
  </si>
  <si>
    <t>SLS/L2L/216233/632</t>
  </si>
  <si>
    <t>21012026-35081</t>
  </si>
  <si>
    <t>Atendimento para: UEB ENS FUND ALBERTO PINHEIRO - Anexo Nossa Senhora Aparecida  -  SLS-216233-00205</t>
  </si>
  <si>
    <t>176731, 176793</t>
  </si>
  <si>
    <t>176731</t>
  </si>
  <si>
    <t>SLS/L2L/216233/205</t>
  </si>
  <si>
    <t>21012026-95674</t>
  </si>
  <si>
    <t>R S TELECOMUNICACOES REDE SHOPPING TELECOM || PERFOMANCE || #232810 vlan 801</t>
  </si>
  <si>
    <t>IP TRÂNSITO - SCM(Wire)</t>
  </si>
  <si>
    <t>R S TELECOMUNICACOES REDE SHOPPING TELECOM</t>
  </si>
  <si>
    <t>03.904.054/0001-70</t>
  </si>
  <si>
    <t>176373</t>
  </si>
  <si>
    <t>PARAGOMINAS</t>
  </si>
  <si>
    <t>PGN/IPT/215587/2</t>
  </si>
  <si>
    <t>21012026-45054</t>
  </si>
  <si>
    <t>Atendimento para: CRAS VILA NOVA</t>
  </si>
  <si>
    <t>176431</t>
  </si>
  <si>
    <t>SLS/L2L/216233/157</t>
  </si>
  <si>
    <t>21012026-26114</t>
  </si>
  <si>
    <t>Abertura de chamado : EVE260100127991</t>
  </si>
  <si>
    <t>176799</t>
  </si>
  <si>
    <t>SLS/L2L/83605/1226</t>
  </si>
  <si>
    <t>21012026-66626</t>
  </si>
  <si>
    <t>Sem Ação</t>
  </si>
  <si>
    <t>176589</t>
  </si>
  <si>
    <t>21012026-72320</t>
  </si>
  <si>
    <t>Atendimento para: UE DR AQUILES LISBOA  -  SLS-216233-00336</t>
  </si>
  <si>
    <t>176483</t>
  </si>
  <si>
    <t>SLS/L2L/218787/336</t>
  </si>
  <si>
    <t>22012026-59574</t>
  </si>
  <si>
    <t>177359</t>
  </si>
  <si>
    <t>22012026-16779</t>
  </si>
  <si>
    <t>Atendimento para: CS Dra VALDECY ELEOTERIO MARTINS - PARAISO - VLAN 3924 SLS-216233-00081</t>
  </si>
  <si>
    <t>177347, 177365</t>
  </si>
  <si>
    <t>177347</t>
  </si>
  <si>
    <t>SLS/L2L/218791/81</t>
  </si>
  <si>
    <t>21012026-80619</t>
  </si>
  <si>
    <t>FUNDO MUNICIPAL DE SAUDE DE SAO LUIS MARANHAO | LINK DOWN | SLS0/L2LAN/00218791/00531</t>
  </si>
  <si>
    <t>177417</t>
  </si>
  <si>
    <t>532925</t>
  </si>
  <si>
    <t>SLS/L2L/218791/531</t>
  </si>
  <si>
    <t>21012026-85254</t>
  </si>
  <si>
    <t>176795</t>
  </si>
  <si>
    <t>21012026-37694</t>
  </si>
  <si>
    <t>RNP2026-010525 - Abertura de REPARO -  CPRM - RETE</t>
  </si>
  <si>
    <t>REDE NACIONAL DE ENSINO E PESQUISA RNP</t>
  </si>
  <si>
    <t>03.508.097/0001-36</t>
  </si>
  <si>
    <t>ARRASTO DE REDE</t>
  </si>
  <si>
    <t>176695</t>
  </si>
  <si>
    <t>TSA/L2L/49331/599</t>
  </si>
  <si>
    <t>19012026-66650</t>
  </si>
  <si>
    <t>Atendimento para: CS SANTA BARBARA - VLAN 3850 SLS-216233-00073</t>
  </si>
  <si>
    <t>Demais causas de Atenuação</t>
  </si>
  <si>
    <t>174977, 175283, 175969, 176787</t>
  </si>
  <si>
    <t>176787</t>
  </si>
  <si>
    <t>SLS/L2L/218791/73</t>
  </si>
  <si>
    <t>22012026-76463</t>
  </si>
  <si>
    <t>QUEDA DE LINK SUPER LIGEIRO- MAIOBAO</t>
  </si>
  <si>
    <t>177219, 177683</t>
  </si>
  <si>
    <t>177683</t>
  </si>
  <si>
    <t>21012026-25073</t>
  </si>
  <si>
    <t>GNETWORKS FIBRA LTDA | INDISPONIBILIDADE | SLS/IPD/229209/1</t>
  </si>
  <si>
    <t>GNETWORKS FIBRA LTDA GNETWORKS FIBRA</t>
  </si>
  <si>
    <t>55.463.985/0001-83</t>
  </si>
  <si>
    <t>176687, 176783</t>
  </si>
  <si>
    <t>176783</t>
  </si>
  <si>
    <t>533053</t>
  </si>
  <si>
    <t>SLS/IPD/229209/1</t>
  </si>
  <si>
    <t>21012026-66439</t>
  </si>
  <si>
    <t>ALERTA:  CLI | BADMGUF.TSA.OPIP/TSA-2-BEC_C10#/00077293/00020 - FALHA</t>
  </si>
  <si>
    <t>TRANSPORTE LAN TO LAN - PARTNER(Wire)</t>
  </si>
  <si>
    <t>BASE ADMINISTRATIVA DA GUARNICAO DE FORTALEZA</t>
  </si>
  <si>
    <t>09.644.710/0001-29</t>
  </si>
  <si>
    <t>176811</t>
  </si>
  <si>
    <t>TSA/L2L/77293/20</t>
  </si>
  <si>
    <t>22012026-71484</t>
  </si>
  <si>
    <t>48887 BRISANET SERVICOS DE TELECOMUNICACOES LTDA | Indisponibilidade | SLS/L2L/204393/931</t>
  </si>
  <si>
    <t>177583, 177685</t>
  </si>
  <si>
    <t>177685</t>
  </si>
  <si>
    <t>SLS/L2L/48887/931</t>
  </si>
  <si>
    <t>23012026-10718</t>
  </si>
  <si>
    <t>Atendimento para: CS DJALMA MARQUES - SLS-00216233-00069</t>
  </si>
  <si>
    <t>177679</t>
  </si>
  <si>
    <t>SLS/L2L/218791/140</t>
  </si>
  <si>
    <t>22012026-49817</t>
  </si>
  <si>
    <t>Atendimento para: USF AMAR e SAMU AMAR - SLS-00216233-00097</t>
  </si>
  <si>
    <t>177283</t>
  </si>
  <si>
    <t>SLS/L2L/218791/97</t>
  </si>
  <si>
    <t>22012026-12812</t>
  </si>
  <si>
    <t>[REQ000142775188] [3495] SAA AG. CIDADE DOS LAGOS</t>
  </si>
  <si>
    <t>Reset Equipamento</t>
  </si>
  <si>
    <t>177691</t>
  </si>
  <si>
    <t>VIANA</t>
  </si>
  <si>
    <t>VNA/FBR/48887/631</t>
  </si>
  <si>
    <t>22012026-26347</t>
  </si>
  <si>
    <t>Conector</t>
  </si>
  <si>
    <t>177673</t>
  </si>
  <si>
    <t>23012026-31715</t>
  </si>
  <si>
    <t>MUNICIPIO DE SAO LUIS SEMED | INDISPONIBILIDADE | UEB ORQUIDEA SANTOS - SLS-216233-00374</t>
  </si>
  <si>
    <t>Demais Causas Configuração</t>
  </si>
  <si>
    <t>178023</t>
  </si>
  <si>
    <t>SLS/L2L/218787/374</t>
  </si>
  <si>
    <t>22012026-20524</t>
  </si>
  <si>
    <t>TELECOMUNICACOES BRASILEIRAS SA TELEBRAS | 19917 /680 | Indisponibilidade</t>
  </si>
  <si>
    <t>TELECOMUNICACOES BRASILEIRAS SA TELEBRAS</t>
  </si>
  <si>
    <t>00.336.701/0015-00</t>
  </si>
  <si>
    <t>177343, 177367, 177609</t>
  </si>
  <si>
    <t>TSA/IPD/19917/680</t>
  </si>
  <si>
    <t>20012026-50139</t>
  </si>
  <si>
    <t>Abertura de chamado:</t>
  </si>
  <si>
    <t>175939, 175971, 176717, 178341</t>
  </si>
  <si>
    <t>175971, 176717, 178341</t>
  </si>
  <si>
    <t>SLS/L2L/83605/1123</t>
  </si>
  <si>
    <t>22012026-29395</t>
  </si>
  <si>
    <t>ALERTA:  CLI | BADMGUF.PCZ.3-BEC#/00077293/008 - FALHA</t>
  </si>
  <si>
    <t>177619</t>
  </si>
  <si>
    <t>PCZ/L2L/77293/8</t>
  </si>
  <si>
    <t>23012026-71416</t>
  </si>
  <si>
    <t>177677</t>
  </si>
  <si>
    <t>SLS/L2L/216233/489</t>
  </si>
  <si>
    <t>23012026-15490</t>
  </si>
  <si>
    <t>REAL MOTO PECAS LTDA DISAPE DISTRIBUIDORA DE AUTO PECAS | INDISPONIBILIDADE | MTUB/IPD/217945</t>
  </si>
  <si>
    <t>REAL MOTO PECAS LTDA DISAPE DISTRIBUIDORA DE AUTO PECAS</t>
  </si>
  <si>
    <t>25.630.302/0021-18</t>
  </si>
  <si>
    <t>178259</t>
  </si>
  <si>
    <t>MARITUBA</t>
  </si>
  <si>
    <t>MTUB/IPD/217945/1</t>
  </si>
  <si>
    <t>23012026-44435</t>
  </si>
  <si>
    <t>Atendimento para: UEB DARCY RIBEIRO - SLS-216233-00184</t>
  </si>
  <si>
    <t>178093</t>
  </si>
  <si>
    <t>SLS/L2L/216233/184</t>
  </si>
  <si>
    <t>24012026-52404</t>
  </si>
  <si>
    <t>FBR DIGITAL SA   | INDISPONIBILIDADE | ZED/FBR/74371/9</t>
  </si>
  <si>
    <t>178525</t>
  </si>
  <si>
    <t>24012026-64274</t>
  </si>
  <si>
    <t>ALERTA:  CLI | DPMA.BBL.BACABAL.L3VPN.203659.65 - FALHA</t>
  </si>
  <si>
    <t>178743</t>
  </si>
  <si>
    <t>BACABAL</t>
  </si>
  <si>
    <t>BBL/L2L/203659/65</t>
  </si>
  <si>
    <t>S05</t>
  </si>
  <si>
    <t>24012026-19662</t>
  </si>
  <si>
    <t>Abertura de chamado: EVE260100144023</t>
  </si>
  <si>
    <t>178515</t>
  </si>
  <si>
    <t>SLS/L2L/83605/1160</t>
  </si>
  <si>
    <t>25012026-10877</t>
  </si>
  <si>
    <t>178699, 178783, 179375</t>
  </si>
  <si>
    <t>178699</t>
  </si>
  <si>
    <t>24012026-94793</t>
  </si>
  <si>
    <t>Atendimento para: USF VILA SARNEY -VLAN-3687 SLS-216233-00154</t>
  </si>
  <si>
    <t>178497, 178777</t>
  </si>
  <si>
    <t>178777</t>
  </si>
  <si>
    <t>SLS/L2L/218791/154</t>
  </si>
  <si>
    <t>26012026-54405</t>
  </si>
  <si>
    <t>Abertura de chamado - SEDE-EQTL-TIMON-1 - INC1449078</t>
  </si>
  <si>
    <t>Rede Interna</t>
  </si>
  <si>
    <t>TMN/L2L/19489/4</t>
  </si>
  <si>
    <t>26012026-29654</t>
  </si>
  <si>
    <t>Solicitação de abertura</t>
  </si>
  <si>
    <t>179439</t>
  </si>
  <si>
    <t>CODO</t>
  </si>
  <si>
    <t>CDO/L2L/83605/930</t>
  </si>
  <si>
    <t>26012026-30456</t>
  </si>
  <si>
    <t>Atendimento para: UEB ENS FUND DRA MARIA ALICE COUTINHO - Anexo Luis Pinho  -  SLS-216233-00195</t>
  </si>
  <si>
    <t>179373</t>
  </si>
  <si>
    <t>SLS/L2L/218787/195</t>
  </si>
  <si>
    <t>26012026-80262</t>
  </si>
  <si>
    <t>FUNDO MUNICIPAL DE SAUDE DE SAO LUIS MARANHAO  || INDISPONIBILIDADE || SLS/TST/218791/526</t>
  </si>
  <si>
    <t>Lorena Silva Rodrigues</t>
  </si>
  <si>
    <t>L2L Teste</t>
  </si>
  <si>
    <t>179333</t>
  </si>
  <si>
    <t>SLS/TST/218791/526</t>
  </si>
  <si>
    <t>26012026-92280</t>
  </si>
  <si>
    <t>OI S A EM RECUPERACAO JUDICIAL OI | INDISPONIBILIDADE | TSA/202053/00669</t>
  </si>
  <si>
    <t>OI S A EM RECUPERACAO JUDICIAL OI</t>
  </si>
  <si>
    <t>76.535.764/0004-96</t>
  </si>
  <si>
    <t>179591</t>
  </si>
  <si>
    <t>TSA/IPD/202053/669</t>
  </si>
  <si>
    <t>26012026-92795</t>
  </si>
  <si>
    <t>Atendimento para: OUVIDORIA E CAD SUS - VLAN 4008 SLS-216233-00428</t>
  </si>
  <si>
    <t>NATALIA APARECIDA BRAGA SANTANA</t>
  </si>
  <si>
    <t>178803</t>
  </si>
  <si>
    <t>SLS/L2L/218791/428</t>
  </si>
  <si>
    <t>26012026-58425</t>
  </si>
  <si>
    <t>EQUATORIAL TELECOMUNICACOES S A | INDISPONIBILIDADE | 19489/00004</t>
  </si>
  <si>
    <t>LINK DE DADOS - CONCENTRADOR</t>
  </si>
  <si>
    <t>179655</t>
  </si>
  <si>
    <t>TSA/LAC/19489/6</t>
  </si>
  <si>
    <t>25012026-52547</t>
  </si>
  <si>
    <t>LACMAR LABORATORIO DE ANALISES CLINICAS DO MARANHAO LTDA || LINK DOWN || SLS/IPD/204321/2</t>
  </si>
  <si>
    <t>178665, 178781</t>
  </si>
  <si>
    <t>178665</t>
  </si>
  <si>
    <t>SLS/IPD/204321/2</t>
  </si>
  <si>
    <t>26012026-31982</t>
  </si>
  <si>
    <t>Atendimento para: UEB PRIMAVERA INFANTIL  -  SLS-216233-00279</t>
  </si>
  <si>
    <t>179543, 179597</t>
  </si>
  <si>
    <t>179543</t>
  </si>
  <si>
    <t>SLS/L2L/218787/279</t>
  </si>
  <si>
    <t>26012026-61351</t>
  </si>
  <si>
    <t>6971 BANCO DO NORDESTE DO BRASIL SA BNB | INDISPONIBILIDADE | PCR/DAS/6971/338</t>
  </si>
  <si>
    <t>LOCAÇÃO DE EQUIPAMENTOS</t>
  </si>
  <si>
    <t>179407</t>
  </si>
  <si>
    <t>PCR/DAS/6971/338</t>
  </si>
  <si>
    <t>23012026-70895</t>
  </si>
  <si>
    <t>Circuito inoperante</t>
  </si>
  <si>
    <t>178145, 178147, 178811</t>
  </si>
  <si>
    <t>178811</t>
  </si>
  <si>
    <t>BLM/IPD/203645/7</t>
  </si>
  <si>
    <t>24012026-26475</t>
  </si>
  <si>
    <t>ALERTA:  CLI | MPMA.SLS.CONSUMIDOR.L2L.149307.102 - FALHA</t>
  </si>
  <si>
    <t>178729, 178779</t>
  </si>
  <si>
    <t>178729</t>
  </si>
  <si>
    <t>SLS/L2L/149307/102</t>
  </si>
  <si>
    <t>26012026-10953</t>
  </si>
  <si>
    <t>HowBe - S3UTM2601-L1-BNBWAN-GIGA-DIRCEU-TERESINAPI - LINK INDISPONÍVEL</t>
  </si>
  <si>
    <t>179395</t>
  </si>
  <si>
    <t>Valor negativo</t>
  </si>
  <si>
    <t>TSA/IPD/6971/825</t>
  </si>
  <si>
    <t>27012026-58887</t>
  </si>
  <si>
    <t>Mensagem</t>
  </si>
  <si>
    <t>179791</t>
  </si>
  <si>
    <t>SLS/L2L/216233/11</t>
  </si>
  <si>
    <t>27012026-50732</t>
  </si>
  <si>
    <t>ALERTA:  CLI | SESI-MA.ACD.ACAILANDIA#135934 - FALHA</t>
  </si>
  <si>
    <t>SERVICO SOCIAL DA INDUSTRIA SESI DEP REGIONAL DO MARANHAO</t>
  </si>
  <si>
    <t>03.770.020/0001-30</t>
  </si>
  <si>
    <t>180579, 180745</t>
  </si>
  <si>
    <t>ACAILANDIA</t>
  </si>
  <si>
    <t>ACD/IPD/214467/1</t>
  </si>
  <si>
    <t>24012026-77149</t>
  </si>
  <si>
    <t>Atendimento para: GALERIA ARTE  VLAN 4013 SLS 216233-00447</t>
  </si>
  <si>
    <t>178379, 178387, 178735, 178775, 179595, 180601</t>
  </si>
  <si>
    <t>180601</t>
  </si>
  <si>
    <t>SLS/L2L/216233/447</t>
  </si>
  <si>
    <t>27012026-40055</t>
  </si>
  <si>
    <t>REFRIGERACAO DUFRIO COMERCIO E IMPORTACAO S A | INDISPONIBILIDADE | TSA/IPD/219349/1</t>
  </si>
  <si>
    <t>REFRIGERACAO DUFRIO COMERCIO E IMPORTACAO S A</t>
  </si>
  <si>
    <t>01.754.239/0058-55</t>
  </si>
  <si>
    <t>180391, 180521</t>
  </si>
  <si>
    <t>180521</t>
  </si>
  <si>
    <t>TSA/IPD/219349/1</t>
  </si>
  <si>
    <t>21012026-84139</t>
  </si>
  <si>
    <t>#16012026-88910 - VALE S A VALE ESTRADA DE FERRO CARAJAS | INDISPONIBILIDADE | EDRA-IPD-F-#44470</t>
  </si>
  <si>
    <t>VALE S A VALE ESTRADA DE FERRO CARAJAS</t>
  </si>
  <si>
    <t>33.592.510/0378-21</t>
  </si>
  <si>
    <t>STAR ONE</t>
  </si>
  <si>
    <t>176625, 177427, 179347, 179613, 180479</t>
  </si>
  <si>
    <t>179613, 180479</t>
  </si>
  <si>
    <t>PARAUAPEBAS</t>
  </si>
  <si>
    <t>PUP/L2L/218753/1</t>
  </si>
  <si>
    <t>28012026-14419</t>
  </si>
  <si>
    <t>Abertura de chamado:EVE260100163061</t>
  </si>
  <si>
    <t>181119</t>
  </si>
  <si>
    <t>SLS/L2L/83605/1219</t>
  </si>
  <si>
    <t>28012026-55662</t>
  </si>
  <si>
    <t>M E L SERVICOS EM SAUDE LTDA SUPER CLINICA  | INDISPONIBILIDADE |  SLS/L2L/218289/1</t>
  </si>
  <si>
    <t>181141</t>
  </si>
  <si>
    <t>28012026-12570</t>
  </si>
  <si>
    <t>ABERTURA DE CHAMADO | FLA-L2L-ITZ-F-#181794 | 0026902698 | MAXPAR SERVICOS AUTOMOTIVOS LTDA</t>
  </si>
  <si>
    <t>180797</t>
  </si>
  <si>
    <t>ITZ/L2L/225215/86</t>
  </si>
  <si>
    <t>27012026-71835</t>
  </si>
  <si>
    <t>RE: CUSTOMER: WIRELINK | TT CPL: 0080372026 | TT CUSTOMER: - | CID: ITZ001659421A</t>
  </si>
  <si>
    <t>180583, 180755</t>
  </si>
  <si>
    <t>180583</t>
  </si>
  <si>
    <t>23012026-68742</t>
  </si>
  <si>
    <t>ABERTURA DE CHAMADO - EVE260100142055</t>
  </si>
  <si>
    <t>178377, 178513, 178773, 180605</t>
  </si>
  <si>
    <t>178377, 180605</t>
  </si>
  <si>
    <t>28012026-11081</t>
  </si>
  <si>
    <t>HowBe - S3UTM2601-L1-BNBWAN-GIGA-DIRCEU-TERESINAPI - Link inoperante</t>
  </si>
  <si>
    <t>Demais causas de Elétrica</t>
  </si>
  <si>
    <t>181527</t>
  </si>
  <si>
    <t>26012026-22699</t>
  </si>
  <si>
    <t>BANCO DO NORDESTE DO BRASIL  || LINK DOWN || TSA/93407/00037-15</t>
  </si>
  <si>
    <t>179277</t>
  </si>
  <si>
    <t>TSA/FBR/6971/15</t>
  </si>
  <si>
    <t>28012026-99336</t>
  </si>
  <si>
    <t>TERESINA LUZ S.A || LINK DOWN || TSA/IPD/219581/1</t>
  </si>
  <si>
    <t>TERESINA LUZ S A TERESINA LUZ S A</t>
  </si>
  <si>
    <t>36.681.899/0001-00</t>
  </si>
  <si>
    <t>181035</t>
  </si>
  <si>
    <t>TSA/IPD/219581/1</t>
  </si>
  <si>
    <t>28012026-60880</t>
  </si>
  <si>
    <t>ALERTA:  CLI | TJMA.SLS.6.JUIZADO.CIVEL-FW#/49495.459 - FALHA</t>
  </si>
  <si>
    <t>181123, 181619</t>
  </si>
  <si>
    <t>SLS/L2L/49495/459</t>
  </si>
  <si>
    <t>28012026-67170</t>
  </si>
  <si>
    <t>181243, 181609</t>
  </si>
  <si>
    <t>181609</t>
  </si>
  <si>
    <t>26012026-30062</t>
  </si>
  <si>
    <t>Atendimento para: P.S. IPASE - SLS-00216233-00119</t>
  </si>
  <si>
    <t>179551, 179599</t>
  </si>
  <si>
    <t>179551</t>
  </si>
  <si>
    <t>SLS/L2L/218791/119</t>
  </si>
  <si>
    <t>26012026-68753</t>
  </si>
  <si>
    <t>179477, 179555, 181197</t>
  </si>
  <si>
    <t>29012026-28816</t>
  </si>
  <si>
    <t>INTERNET LENTA E CAINDO TODA HORA</t>
  </si>
  <si>
    <t>N3 SLZ NEGÓCIOS EMPRESARIAL LTDA</t>
  </si>
  <si>
    <t>12.055.860/0015-07</t>
  </si>
  <si>
    <t>182347</t>
  </si>
  <si>
    <t>ZED/FBR/226897/1</t>
  </si>
  <si>
    <t>27012026-95004</t>
  </si>
  <si>
    <t>Atendimento para: CRECHE DO  RECANTO VERDE</t>
  </si>
  <si>
    <t>179863</t>
  </si>
  <si>
    <t>SLS/L2L/216233/539</t>
  </si>
  <si>
    <t>26012026-13059</t>
  </si>
  <si>
    <t>CLARO S A CLARO || INDISPONIBILIDADE || ETO/IPD/175487/52</t>
  </si>
  <si>
    <t>CLARO S A Claro</t>
  </si>
  <si>
    <t>40.432.544/0245-93</t>
  </si>
  <si>
    <t>179457, 179565</t>
  </si>
  <si>
    <t>179565</t>
  </si>
  <si>
    <t>ETO/IPD/175487/52</t>
  </si>
  <si>
    <t>28012026-38559</t>
  </si>
  <si>
    <t>RCR LOCACAO LTDA | INOPERANTE | SLS/IPD/226111/1</t>
  </si>
  <si>
    <t>180999</t>
  </si>
  <si>
    <t>26012026-22225</t>
  </si>
  <si>
    <t>Link Down Bacabal</t>
  </si>
  <si>
    <t>179281, 179285, 180171</t>
  </si>
  <si>
    <t>180171</t>
  </si>
  <si>
    <t>29012026-54091</t>
  </si>
  <si>
    <t>FUNDO ESPECIAL DE MODERNIZACAO E REAPARELHAMENTO  | INDISPONIBILIDADE | SLS/IPD/49495/2</t>
  </si>
  <si>
    <t>Vandalismo/Furto</t>
  </si>
  <si>
    <t>182447, 182709</t>
  </si>
  <si>
    <t>182709</t>
  </si>
  <si>
    <t>SLS/IPD/49495/2</t>
  </si>
  <si>
    <t>26012026-84302</t>
  </si>
  <si>
    <t>Atendimento para: UEB ENS FUND SALOMAO FIQUENE  -  SLS-216233-00367</t>
  </si>
  <si>
    <t>179523, 179601</t>
  </si>
  <si>
    <t>179523</t>
  </si>
  <si>
    <t>26012026-40018</t>
  </si>
  <si>
    <t>179559</t>
  </si>
  <si>
    <t>28012026-41519</t>
  </si>
  <si>
    <t>Atendimento para: CS VILA COQUILHO - SLS-216233-00141</t>
  </si>
  <si>
    <t>EMILY RIBEIRO DUTRA</t>
  </si>
  <si>
    <t>181153</t>
  </si>
  <si>
    <t>SLS/L2L/218791/141</t>
  </si>
  <si>
    <t>29012026-33144</t>
  </si>
  <si>
    <t>GENTIL NEGOCIOS  | indisponivel</t>
  </si>
  <si>
    <t>182101</t>
  </si>
  <si>
    <t>27012026-19136</t>
  </si>
  <si>
    <t>Atendimento para: UEB ENS FUND ZULEIDE ANDRADE -VLAN 3716 SLS-216233-00364</t>
  </si>
  <si>
    <t>180607</t>
  </si>
  <si>
    <t>SLS/L2L/218787/364</t>
  </si>
  <si>
    <t>28012026-64858</t>
  </si>
  <si>
    <t>HowBe - S3UTM2602-L1-BNBWAN-GIGA-LESTE-TERESINAPI - Link inoperante</t>
  </si>
  <si>
    <t>Leticia Mariano de  Almeida</t>
  </si>
  <si>
    <t>TSA/IPD/6971/848</t>
  </si>
  <si>
    <t>27012026-51771</t>
  </si>
  <si>
    <t>Reparo Aberto NULL/L2L/49019/109- FÓRUM DE PORTO FRANCO</t>
  </si>
  <si>
    <t>ESTREITONET LTDA</t>
  </si>
  <si>
    <t>180439, 180639</t>
  </si>
  <si>
    <t>180639</t>
  </si>
  <si>
    <t>PORTO FRANCO</t>
  </si>
  <si>
    <t>PFN/L2L/49495/109</t>
  </si>
  <si>
    <t>27012026-74084</t>
  </si>
  <si>
    <t>Abertura de Reparo ESS/L2L/49019/300 - FÓRUM DE ESPERANTINÓPOLIS</t>
  </si>
  <si>
    <t>180519</t>
  </si>
  <si>
    <t>28012026-51644</t>
  </si>
  <si>
    <t>MUNICIPIO DE SAO LUIS SEMED  |  INDISPONIBILIDADE  |  SLS/L2L/218787/172</t>
  </si>
  <si>
    <t>181037</t>
  </si>
  <si>
    <t>28012026-32013</t>
  </si>
  <si>
    <t>ALERTA:  CLI | TJMA.SLS.ALMOXARIFADO-FW#/49495.370 - FALHA</t>
  </si>
  <si>
    <t>181083</t>
  </si>
  <si>
    <t>SLS/FWL/49495/370</t>
  </si>
  <si>
    <t>28012026-69116</t>
  </si>
  <si>
    <t>MUNICIPIO DE SAO LUIS SEMED  |  INDISPONIBILIDADE  |  SLS/L2L/218787/206</t>
  </si>
  <si>
    <t>181041</t>
  </si>
  <si>
    <t>28012026-70661</t>
  </si>
  <si>
    <t>FBR DIGITAL SA   | INDISPONIBILIDADE |  SLS/FBR/74371/18</t>
  </si>
  <si>
    <t>BANDA LARGA BRIDGE + IP FIXO</t>
  </si>
  <si>
    <t>181117</t>
  </si>
  <si>
    <t>SLS/FBR/74371/18</t>
  </si>
  <si>
    <t>28012026-38039</t>
  </si>
  <si>
    <t>181115</t>
  </si>
  <si>
    <t>28012026-46623</t>
  </si>
  <si>
    <t>ALERTA:  CLI | TJMA.SLS.SAO.LUIS.IPCOR.49495.2 - FALHA</t>
  </si>
  <si>
    <t>181591, 181629</t>
  </si>
  <si>
    <t>181591</t>
  </si>
  <si>
    <t>28012026-90442</t>
  </si>
  <si>
    <t>MINISTERIO DA JUSTICA E SEGURANCA | INOPERANTE |  DEU/IPD/54697/4</t>
  </si>
  <si>
    <t>MINISTERIO DA JUSTICA E SEGURANCA PUBLICA PRF PA</t>
  </si>
  <si>
    <t>00.394.494/0106-03</t>
  </si>
  <si>
    <t>181129, 181587</t>
  </si>
  <si>
    <t>181587</t>
  </si>
  <si>
    <t>DOM ELISEU</t>
  </si>
  <si>
    <t>DEU/IPD/54697/4</t>
  </si>
  <si>
    <t>29012026-86088</t>
  </si>
  <si>
    <t>182555, 182717</t>
  </si>
  <si>
    <t>182717</t>
  </si>
  <si>
    <t>29012026-52705</t>
  </si>
  <si>
    <t>Atendimento para: SECULT  MUSEL DA GASTRONOMIA - SETUR SEDE  - VLAN 3955 SLS-216233-00414</t>
  </si>
  <si>
    <t>181593</t>
  </si>
  <si>
    <t>SLS/L2L/216233/54</t>
  </si>
  <si>
    <t>28012026-21578</t>
  </si>
  <si>
    <t>Atendimento para: RESIDENCIA TERAPEUTICA II - VLAN 1847 SLS-216233-00003</t>
  </si>
  <si>
    <t>181239, 181613</t>
  </si>
  <si>
    <t>181613</t>
  </si>
  <si>
    <t>SLS/L2L/218791/132</t>
  </si>
  <si>
    <t>28012026-51628</t>
  </si>
  <si>
    <t>Atendimento para: UEB ENS FUND ALBERICO SILVA - SLS-216233-00209</t>
  </si>
  <si>
    <t>181241, 181615</t>
  </si>
  <si>
    <t>181615</t>
  </si>
  <si>
    <t>SLS/L2L/218787/209</t>
  </si>
  <si>
    <t>28012026-91777</t>
  </si>
  <si>
    <t>Atendimento para: MERCADO CENTRAL - SLS - 00218791 - 00617 VLAN 453</t>
  </si>
  <si>
    <t>181361, 181621</t>
  </si>
  <si>
    <t>181621</t>
  </si>
  <si>
    <t>SLS/L2L/216233/617</t>
  </si>
  <si>
    <t>28012026-20985</t>
  </si>
  <si>
    <t>Atendimento para: UEB DR CARLOS MACIEIRA - VLAN 4047</t>
  </si>
  <si>
    <t>181533, 181627</t>
  </si>
  <si>
    <t>181533</t>
  </si>
  <si>
    <t>SLS/L2L/218787/508</t>
  </si>
  <si>
    <t>28012026-21903</t>
  </si>
  <si>
    <t>Atendimento para: CRAS VILA NOVA - SLS-216233-00157</t>
  </si>
  <si>
    <t>181145, 182033</t>
  </si>
  <si>
    <t>182033</t>
  </si>
  <si>
    <t>29012026-79355</t>
  </si>
  <si>
    <t>ALERTA:  CLI | TJMA.ESS.ESPERANTINOPOLIS-FW#/49495.305 - FALHA</t>
  </si>
  <si>
    <t>182409</t>
  </si>
  <si>
    <t>ESS/FWL/49495/305</t>
  </si>
  <si>
    <t>29012026-96019</t>
  </si>
  <si>
    <t>ALERTA:  CLI | TJMA.SIL.SANTO.ANTONIO.DOS.LOPES-FW#/49495.394 - FALHA</t>
  </si>
  <si>
    <t>182381</t>
  </si>
  <si>
    <t>SANTO ANTONIO DOS LOPES</t>
  </si>
  <si>
    <t>SIL/FWL/49495/394</t>
  </si>
  <si>
    <t>28012026-70076</t>
  </si>
  <si>
    <t>SELF IT ACADEMIAS HOLDING S A  | INOPERANTE | SLS/IPD/219343/11</t>
  </si>
  <si>
    <t>181385, 181625</t>
  </si>
  <si>
    <t>30012026-78001</t>
  </si>
  <si>
    <t>Abertura de Reparo ZED/L2L/49019/68 - FÓRUM DE ZÉ DOCA</t>
  </si>
  <si>
    <t>182937</t>
  </si>
  <si>
    <t>ZED/L2L/49495/68</t>
  </si>
  <si>
    <t>30012026-35889</t>
  </si>
  <si>
    <t>UNIHOSP SERVICOS DE SAUDE SA | INDISPONIBILIDADE | TSA/L2L/214749/1</t>
  </si>
  <si>
    <t>UNIHOSP SERVICOS DE SAUDE SA</t>
  </si>
  <si>
    <t>04.083.773/0001-30</t>
  </si>
  <si>
    <t>183011</t>
  </si>
  <si>
    <t>TSA/L2L/214749/1</t>
  </si>
  <si>
    <t>28012026-14964</t>
  </si>
  <si>
    <t>181011, 181027, 181685</t>
  </si>
  <si>
    <t>181011, 181685</t>
  </si>
  <si>
    <t>28012026-97172</t>
  </si>
  <si>
    <t>Atendimento para: CS DR. PAULO RAMOS - SLS-216233-00048</t>
  </si>
  <si>
    <t>181235, 181617</t>
  </si>
  <si>
    <t>181617</t>
  </si>
  <si>
    <t>SLS/L2L/218791/48</t>
  </si>
  <si>
    <t>28012026-69552</t>
  </si>
  <si>
    <t>Problema: Alta perda de pacotes em CS DR ANTONIO CARLOS SOUSA REIS - CIDADE OLIMPICA I - SLS-216233-00078 (&gt;0 %)</t>
  </si>
  <si>
    <t>181227, 181611</t>
  </si>
  <si>
    <t>181611</t>
  </si>
  <si>
    <t>SLS/L2L/218791/78</t>
  </si>
  <si>
    <t>30012026-25353</t>
  </si>
  <si>
    <t>Alerta de Monitoramento LOJA114 designação ITZ-IP-F-144780</t>
  </si>
  <si>
    <t>183333, 183561</t>
  </si>
  <si>
    <t>183561</t>
  </si>
  <si>
    <t>CASTANHAL</t>
  </si>
  <si>
    <t>CAH/IPD/212603/82</t>
  </si>
  <si>
    <t>26012026-17282</t>
  </si>
  <si>
    <t>RE: CUSTOMER: WIRELINK | TT CPL: 0076782026 | TT CUSTOMER:  | CID: SLS054028321A,</t>
  </si>
  <si>
    <t>Provisionamento ONU</t>
  </si>
  <si>
    <t>179575, 179603, 180603, 181351, 181603, 183015</t>
  </si>
  <si>
    <t>180603, 183015</t>
  </si>
  <si>
    <t>SLS/IPD/204139/13</t>
  </si>
  <si>
    <t>28012026-20302</t>
  </si>
  <si>
    <t>VERIFICAÇÃO LINK BL - TURU</t>
  </si>
  <si>
    <t>180969, 183161</t>
  </si>
  <si>
    <t>SLS/FBR/13955/106</t>
  </si>
  <si>
    <t>28012026-13593</t>
  </si>
  <si>
    <t>182669, 182713</t>
  </si>
  <si>
    <t>182669</t>
  </si>
  <si>
    <t>30012026-54076</t>
  </si>
  <si>
    <t>ALERTA:  CLI | MPMA.SLS.COHATRAC.IV.L2L.149307.115 - FALHA</t>
  </si>
  <si>
    <t>Cordão</t>
  </si>
  <si>
    <t>183441</t>
  </si>
  <si>
    <t>SLS/L2L/149307/115</t>
  </si>
  <si>
    <t>30012026-34448</t>
  </si>
  <si>
    <t>LUZEIROS HOTEIS S A | INDISPONIBILIDADE | SLS/IPD/42041/794</t>
  </si>
  <si>
    <t>LUZEIROS HOTEIS S A</t>
  </si>
  <si>
    <t>07.721.300/0001-09</t>
  </si>
  <si>
    <t>CTOE</t>
  </si>
  <si>
    <t>183403, 183445</t>
  </si>
  <si>
    <t>183445</t>
  </si>
  <si>
    <t>SLS/IPD/42041/794</t>
  </si>
  <si>
    <t>30012026-84648</t>
  </si>
  <si>
    <t>3126 SAA AG. ZÉ DOCA LINK NOVO</t>
  </si>
  <si>
    <t>183075</t>
  </si>
  <si>
    <t>ZED/FBR/48887/636</t>
  </si>
  <si>
    <t>30012026-68404</t>
  </si>
  <si>
    <t>Atendimento para: UM SAO BERNARDO E SAMU SAO BERNARDO - SLS-216233-00037</t>
  </si>
  <si>
    <t>Ajuste de IP Fixo</t>
  </si>
  <si>
    <t>183071</t>
  </si>
  <si>
    <t>SLS/L2L/218791/37</t>
  </si>
  <si>
    <t>31012026-81855</t>
  </si>
  <si>
    <t>REPARO - 36928 - IPIRANGA - BARCARENA - WIRELINK</t>
  </si>
  <si>
    <t>IPIRANGA PRODUTOS DE PETROLEO S A</t>
  </si>
  <si>
    <t>33.337.122/0001-27</t>
  </si>
  <si>
    <t>183663</t>
  </si>
  <si>
    <t>BARCARENA</t>
  </si>
  <si>
    <t>BCN/IPD/204395/5</t>
  </si>
  <si>
    <t>S06</t>
  </si>
  <si>
    <t>30012026-60534</t>
  </si>
  <si>
    <t>ALERTA:  CLI | TJMA.SLS.4.JUIZADO.CIVEL.DE.SLS.L2L.49495.64 - FALHA</t>
  </si>
  <si>
    <t>183443, 183869</t>
  </si>
  <si>
    <t>183443</t>
  </si>
  <si>
    <t>SLS/L2L/49495/64</t>
  </si>
  <si>
    <t>31012026-69545</t>
  </si>
  <si>
    <t>INOPERANTE | TSA/LAC/203737/1</t>
  </si>
  <si>
    <t>HOSPITAL DE OLHOS FRANCISCO VILAR LTDA HOSPITAL DE OLHOS FRANCISCO VILAR</t>
  </si>
  <si>
    <t>01.177.318/0001-05</t>
  </si>
  <si>
    <t>183549</t>
  </si>
  <si>
    <t>TSA/LAC/203737/1</t>
  </si>
  <si>
    <t>30012026-60174</t>
  </si>
  <si>
    <t>link inoperante  MOB: TSA/93407/00019 IP: 201.20.87.59TSA5306831</t>
  </si>
  <si>
    <t>183373</t>
  </si>
  <si>
    <t>TSA/FBR/202053/19</t>
  </si>
  <si>
    <t>30012026-92028</t>
  </si>
  <si>
    <t>Atendimento para: MERCADO DA COHAB - SLS - 00216233-00631</t>
  </si>
  <si>
    <t>183241, 183857</t>
  </si>
  <si>
    <t>183857</t>
  </si>
  <si>
    <t>SLS/L2L/216233/631</t>
  </si>
  <si>
    <t>28012026-66014</t>
  </si>
  <si>
    <t>ABERTURA DE REPARO ( CD07 - LINK WIRELINK INOPERANTE )</t>
  </si>
  <si>
    <t>IMIFARMA PRODUTOS FARMACEUTICOS E COSMETICOS SA GRUPO PAGUE MENOS</t>
  </si>
  <si>
    <t>04.899.316/0001-18</t>
  </si>
  <si>
    <t>181369, 181605, 182533, 183335, 183507, 183689, 183849</t>
  </si>
  <si>
    <t>183849</t>
  </si>
  <si>
    <t>SLS/IPD/41827/799</t>
  </si>
  <si>
    <t>31012026-22402</t>
  </si>
  <si>
    <t>ABERTURA DE CHAMADO - EVE260100187571</t>
  </si>
  <si>
    <t>183665, 183853</t>
  </si>
  <si>
    <t>183853</t>
  </si>
  <si>
    <t>SLS/L2L/83605/1050</t>
  </si>
  <si>
    <t>30012026-79368</t>
  </si>
  <si>
    <t>ICMP-INTERNET-ALLOHA-ITZ-00019489 - INC1452661</t>
  </si>
  <si>
    <t>Cordão Optico POP</t>
  </si>
  <si>
    <t>183357, 183499, 183771, 184385</t>
  </si>
  <si>
    <t>183771</t>
  </si>
  <si>
    <t>ITZ/IPD/19489/11</t>
  </si>
  <si>
    <t>28012026-29266</t>
  </si>
  <si>
    <t>TELECOMUNICACOES BRASILEIRAS SA | INOPERANTE |  TSA/IPD/19917/680</t>
  </si>
  <si>
    <t>182325, 183879</t>
  </si>
  <si>
    <t>182325</t>
  </si>
  <si>
    <t>31012026-17651</t>
  </si>
  <si>
    <t>ALERTA:  CLI | TJMA.SLS.CONCENTRADOR6.02 - FALHA</t>
  </si>
  <si>
    <t>183625, 183865</t>
  </si>
  <si>
    <t>183625</t>
  </si>
  <si>
    <t>SLS/IPD/49495/3</t>
  </si>
  <si>
    <t>31012026-10299</t>
  </si>
  <si>
    <t>[4969] AG. SANTA LUZIA DO MARANHAO, MA</t>
  </si>
  <si>
    <t>184435</t>
  </si>
  <si>
    <t>31012026-27086</t>
  </si>
  <si>
    <t>Indisponivel - TERESINA | HOSPITAL SANTA MARIA | TSA/L2L/94921/4</t>
  </si>
  <si>
    <t>HOSPITAL SANTA MARIA LTDA HOSPITAL SANTA MARIA</t>
  </si>
  <si>
    <t>06.873.111/0001-99</t>
  </si>
  <si>
    <t>183563</t>
  </si>
  <si>
    <t>TSA/LAC/94921/2</t>
  </si>
  <si>
    <t>28012026-32568</t>
  </si>
  <si>
    <t>ALERTA:  CLI | MPMA.SPQ.SANTA.LUZIA.DO.PARUA.L2L.149307.102 - FALHA</t>
  </si>
  <si>
    <t>CARAJAS NETWORK E SERVICOS EIRELI</t>
  </si>
  <si>
    <t>181697, 182765, 183875</t>
  </si>
  <si>
    <t>183875</t>
  </si>
  <si>
    <t>SANTA LUZIA DO PARUA</t>
  </si>
  <si>
    <t>SPQ/L2L/149307/101</t>
  </si>
  <si>
    <t>29012026-55540</t>
  </si>
  <si>
    <t>ABERTURA DE REPARO - AG 37-2201 SICREDI - [GIGA + FIBRA] - INC8493080</t>
  </si>
  <si>
    <t>COOPERATIVA DE CREDITO POUPANCA E INVESTIMENTO SICREDI EVOLUCAO UNIDADE DE ATENDIMENTO JOQUEI</t>
  </si>
  <si>
    <t>35.571.249/0031-57</t>
  </si>
  <si>
    <t>182013</t>
  </si>
  <si>
    <t>TSA/IPD/217533/1</t>
  </si>
  <si>
    <t>03022026-84453</t>
  </si>
  <si>
    <t>ALERTA:  CLI | UFPI.PCZ.PICOS.IPD.209013.2 - FALHA</t>
  </si>
  <si>
    <t>Nobreak</t>
  </si>
  <si>
    <t>184845</t>
  </si>
  <si>
    <t>PCZ/IPD/209013/2</t>
  </si>
  <si>
    <t>02022026-16283</t>
  </si>
  <si>
    <t>MOCELIN EMPREENDIMENTOS TURISTICO STOP WAY HOTEL | INDISPONIBILIDADE | SLS/IPD/228541/1</t>
  </si>
  <si>
    <t>184621</t>
  </si>
  <si>
    <t>28012026-31656</t>
  </si>
  <si>
    <t>ABERTURA DE REPARO ( LOJA 103 - LINK MOB INOPERANTE )</t>
  </si>
  <si>
    <t>184371</t>
  </si>
  <si>
    <t>TSA/IPD/6421/250</t>
  </si>
  <si>
    <t>02022026-22168</t>
  </si>
  <si>
    <t>[OP-BR] Enlace caido - MACAPA/AP - 02/02/2026</t>
  </si>
  <si>
    <t>PROSEGUR BRASIL S A TRANSPORTADORA DE VALORES E SEGURANCA</t>
  </si>
  <si>
    <t>17.428.731/0001-35</t>
  </si>
  <si>
    <t>COMPUSERVICE EMPREENDIMENTOS LTDA</t>
  </si>
  <si>
    <t>184513</t>
  </si>
  <si>
    <t>MPA/IPD/201821/9</t>
  </si>
  <si>
    <t>31012026-80207</t>
  </si>
  <si>
    <t>ABERTURA DE CHAMADO - EVE260100187568</t>
  </si>
  <si>
    <t>183667, 183851</t>
  </si>
  <si>
    <t>183851</t>
  </si>
  <si>
    <t>31012026-73089</t>
  </si>
  <si>
    <t>MUNICIPIO DE SAO LUIS SEMED | INDISPONIBILIDADE | SLS/L2L/218787/301</t>
  </si>
  <si>
    <t>183595, 183871</t>
  </si>
  <si>
    <t>183595</t>
  </si>
  <si>
    <t>SLS/L2L/218787/301</t>
  </si>
  <si>
    <t>03022026-11286</t>
  </si>
  <si>
    <t>Atendimento para: UI ARTUR AZEVEDO  -  SLS-216233-00264</t>
  </si>
  <si>
    <t>184851, 184853, 184855</t>
  </si>
  <si>
    <t>184855</t>
  </si>
  <si>
    <t>SLS/L2L/218787/264</t>
  </si>
  <si>
    <t>02022026-68990</t>
  </si>
  <si>
    <t>184481</t>
  </si>
  <si>
    <t>02022026-46732</t>
  </si>
  <si>
    <t>184539, 184811</t>
  </si>
  <si>
    <t>184811</t>
  </si>
  <si>
    <t>02022026-55417</t>
  </si>
  <si>
    <t>MARDISA AUTOMOVEIS LTDA  | INDISPONIBILIDADE | SLS/IPD/225015/1</t>
  </si>
  <si>
    <t>184781, 184817</t>
  </si>
  <si>
    <t>184781</t>
  </si>
  <si>
    <t>02022026-81184</t>
  </si>
  <si>
    <t>184757, 184815</t>
  </si>
  <si>
    <t>184757</t>
  </si>
  <si>
    <t>02022026-76288</t>
  </si>
  <si>
    <t>HEXATO TECNOLOGIA  | indisponivel</t>
  </si>
  <si>
    <t>184231, 184807</t>
  </si>
  <si>
    <t>184807</t>
  </si>
  <si>
    <t>SLS/IPD/88921/13</t>
  </si>
  <si>
    <t>02022026-81546</t>
  </si>
  <si>
    <t>184313, 184809</t>
  </si>
  <si>
    <t>31012026-32586</t>
  </si>
  <si>
    <t>Atendimento para: UEB ENS FUND DR NETO GUTERRES  -  SLS-216233-00253</t>
  </si>
  <si>
    <t>183619, 183867</t>
  </si>
  <si>
    <t>01022026-23232</t>
  </si>
  <si>
    <t>Atendimento para: UE 1 DE MAIO SLS-216233-00290</t>
  </si>
  <si>
    <t>183791, 183873</t>
  </si>
  <si>
    <t>183791</t>
  </si>
  <si>
    <t>SLS/L2L/218787/290</t>
  </si>
  <si>
    <t>30012026-68570</t>
  </si>
  <si>
    <t>ALERTA:  CLI | TJMA.SLS.2.JUIZADO.ESPECIAL.CIVIL-FW#/49495.329 - FALHA</t>
  </si>
  <si>
    <t>183343, 183859</t>
  </si>
  <si>
    <t>183859</t>
  </si>
  <si>
    <t>SLS/FWL/49495/329</t>
  </si>
  <si>
    <t>30012026-56718</t>
  </si>
  <si>
    <t>MUNICIPIO DE SAO LUIS SEMED | INDISPONIBILIDADE | SLS/L2L/218787/326</t>
  </si>
  <si>
    <t>183135</t>
  </si>
  <si>
    <t>SLS/L2L/218787/326</t>
  </si>
  <si>
    <t>29012026-92984</t>
  </si>
  <si>
    <t>182647, 182721</t>
  </si>
  <si>
    <t>182647</t>
  </si>
  <si>
    <t>29012026-72482</t>
  </si>
  <si>
    <t>VALE S A VALE ESTRADA DE FERRO CARAJAS | INDISPONIBILIDADE | EDRA-IPD-F-#44470</t>
  </si>
  <si>
    <t>184431</t>
  </si>
  <si>
    <t>30012026-59754</t>
  </si>
  <si>
    <t>Obras</t>
  </si>
  <si>
    <t>183175, 183405</t>
  </si>
  <si>
    <t>183405</t>
  </si>
  <si>
    <t>31012026-19952</t>
  </si>
  <si>
    <t>Link inoperante.</t>
  </si>
  <si>
    <t>183893</t>
  </si>
  <si>
    <t>FLO/IPD/73599/73</t>
  </si>
  <si>
    <t>31012026-52718</t>
  </si>
  <si>
    <t>ALERTA:  CLI | SESI-PA.AIU.ESC.ANANINDEUA#AIU/IPD/204303/5 - FALHA</t>
  </si>
  <si>
    <t>SERVICO SOCIAL DA INDUSTRIA DEPARTAMENTO REGIONAL DO PARA</t>
  </si>
  <si>
    <t>03.768.023/0001-39</t>
  </si>
  <si>
    <t>183661</t>
  </si>
  <si>
    <t>AIU/IPD/204303/5</t>
  </si>
  <si>
    <t>03022026-72457</t>
  </si>
  <si>
    <t>185449, 185639</t>
  </si>
  <si>
    <t>185639</t>
  </si>
  <si>
    <t>01022026-76612</t>
  </si>
  <si>
    <t>ABERTURA DE CHAMADO - EVE260100187572</t>
  </si>
  <si>
    <t>183775, 183855</t>
  </si>
  <si>
    <t>183855</t>
  </si>
  <si>
    <t>SLS/L2L/83605/1131</t>
  </si>
  <si>
    <t>01022026-73719</t>
  </si>
  <si>
    <t>183733, 183861</t>
  </si>
  <si>
    <t>183733</t>
  </si>
  <si>
    <t>02022026-29400</t>
  </si>
  <si>
    <t>LINK INOPERANTE</t>
  </si>
  <si>
    <t>184213</t>
  </si>
  <si>
    <t>FLO/IPD/60121/53</t>
  </si>
  <si>
    <t>03022026-59667</t>
  </si>
  <si>
    <t>REAL MOTO PECAS LTDA | INOPERANTE | MTUB/IPD/217945/1</t>
  </si>
  <si>
    <t>185375, 185867</t>
  </si>
  <si>
    <t>02022026-87602</t>
  </si>
  <si>
    <t>TROCA DA FONTE DO MIKROITK</t>
  </si>
  <si>
    <t>Fonte Queimada</t>
  </si>
  <si>
    <t>184647, 184831</t>
  </si>
  <si>
    <t>184831</t>
  </si>
  <si>
    <t>BEQUIMAO</t>
  </si>
  <si>
    <t>BEQ/L2L/203659/127</t>
  </si>
  <si>
    <t>03022026-96716</t>
  </si>
  <si>
    <t>Atendimento para: UEB CHAPEUZINHO VERMELHO - SLS-216233-00272</t>
  </si>
  <si>
    <t>184799, 185651</t>
  </si>
  <si>
    <t>185651</t>
  </si>
  <si>
    <t>SLS/L2L/218787/272</t>
  </si>
  <si>
    <t>03022026-13475</t>
  </si>
  <si>
    <t>Atendimento para: HOSPITAL ITAQUI BACANGA VLAN- 1864 LS-216233-00038</t>
  </si>
  <si>
    <t>185423</t>
  </si>
  <si>
    <t>SLS/L2L/218791/38</t>
  </si>
  <si>
    <t>04022026-67567</t>
  </si>
  <si>
    <t>Atendimento para: UEB ENS FUND PROF MATA ROMA  -  SLS-216233-00295</t>
  </si>
  <si>
    <t>186087, 186325, 186377</t>
  </si>
  <si>
    <t>186325</t>
  </si>
  <si>
    <t>SLS/L2L/218787/295</t>
  </si>
  <si>
    <t>05022026-72856</t>
  </si>
  <si>
    <t>186829</t>
  </si>
  <si>
    <t>03022026-26930</t>
  </si>
  <si>
    <t>Alerta de Monitoramento LOJA115 designação ACD-IPD-F-232352</t>
  </si>
  <si>
    <t>185101</t>
  </si>
  <si>
    <t>PCZ/IPD/212603/80</t>
  </si>
  <si>
    <t>02022026-17005</t>
  </si>
  <si>
    <t>184813</t>
  </si>
  <si>
    <t>04022026-88870</t>
  </si>
  <si>
    <t>ALERTA:  CLI | TJMA.ZED.FORUM.DE.ZED.DOCA.L3VPN.49495.68 - FALHA</t>
  </si>
  <si>
    <t>186141</t>
  </si>
  <si>
    <t>04022026-98232</t>
  </si>
  <si>
    <t>186015</t>
  </si>
  <si>
    <t>04022026-41386</t>
  </si>
  <si>
    <t>M E L SERVICOS EM SAUDE LTDA | INDISPONIBILIDADE | SLS/L2L/218289/1</t>
  </si>
  <si>
    <t>186135, 186375</t>
  </si>
  <si>
    <t>186375</t>
  </si>
  <si>
    <t>04022026-48637</t>
  </si>
  <si>
    <t>Re: Ticket: 03022026-20427 - Re: Ticket: 30012026-24642 - ABERTURA DE REPARO - 2º JUIZADO CÍVEL SLZ- SLS/L2L/49019/93</t>
  </si>
  <si>
    <t>185713</t>
  </si>
  <si>
    <t>03022026-68852</t>
  </si>
  <si>
    <t>Falha Cronos - Amapá GNA/BSA - Rota 3 e Rota 4</t>
  </si>
  <si>
    <t>Poda de Árvore</t>
  </si>
  <si>
    <t>185539, 185671</t>
  </si>
  <si>
    <t>185671</t>
  </si>
  <si>
    <t>MPA/L2L/19489/14</t>
  </si>
  <si>
    <t>03022026-46275</t>
  </si>
  <si>
    <t>185115</t>
  </si>
  <si>
    <t>BLM/IPD/203645/29</t>
  </si>
  <si>
    <t>04022026-87338</t>
  </si>
  <si>
    <t>SERVIS ELETRONICA DEFENSE LTDA MA GRUPO SERVIS | INDISPONIBILIDADE | 218497/870</t>
  </si>
  <si>
    <t>186367, 186385</t>
  </si>
  <si>
    <t>186367</t>
  </si>
  <si>
    <t>03022026-33434</t>
  </si>
  <si>
    <t>internet oscilando - caindo muito</t>
  </si>
  <si>
    <t>DIAMANTES LINGERIE LTDA DIAMANTES LINGERIE</t>
  </si>
  <si>
    <t>13.649.755/0047-46</t>
  </si>
  <si>
    <t>185611, 185653</t>
  </si>
  <si>
    <t>185653</t>
  </si>
  <si>
    <t>SLS/IPD/218221/1</t>
  </si>
  <si>
    <t>03022026-20544</t>
  </si>
  <si>
    <t>RES: Enlace Castanhal &gt; Açailândia. Vlan 600 Inoperante - 08-09-2025</t>
  </si>
  <si>
    <t>EMPRESA REGIONAL DE TRANSMISSAO DE ENERGIA S A</t>
  </si>
  <si>
    <t>05.321.920/0001-25</t>
  </si>
  <si>
    <t>185617, 186363</t>
  </si>
  <si>
    <t>186363</t>
  </si>
  <si>
    <t>ITZ/L2L/219553/1</t>
  </si>
  <si>
    <t>05022026-14162</t>
  </si>
  <si>
    <t>Link em LOS da Quadra do Sabará</t>
  </si>
  <si>
    <t>186821</t>
  </si>
  <si>
    <t>SLS/L2L/216233/608</t>
  </si>
  <si>
    <t>04022026-31414</t>
  </si>
  <si>
    <t>186347, 186381</t>
  </si>
  <si>
    <t>186347</t>
  </si>
  <si>
    <t>02022026-80860</t>
  </si>
  <si>
    <t>BNB | TSA/IPD/6971/852 | REPARO</t>
  </si>
  <si>
    <t>184447</t>
  </si>
  <si>
    <t>ALTOS</t>
  </si>
  <si>
    <t>ATS/IPD/6971/852</t>
  </si>
  <si>
    <t>06022026-22691</t>
  </si>
  <si>
    <t>ADVANTA | IDISPONIBILIDADE | TSA/IPD/227909/2</t>
  </si>
  <si>
    <t>ADVANTA SISTEMAS DE TELECOMUNICACOES E SERVICOS DE INFORMATICA LTDA.</t>
  </si>
  <si>
    <t>03.232.670/0001-21</t>
  </si>
  <si>
    <t>187301</t>
  </si>
  <si>
    <t>TSA/IPD/227909/2</t>
  </si>
  <si>
    <t>05022026-86803</t>
  </si>
  <si>
    <t>Atendimento para: UEB ENS FUND PRIMAVERA - SLS-216233-00271</t>
  </si>
  <si>
    <t>186911, 187313</t>
  </si>
  <si>
    <t>187313</t>
  </si>
  <si>
    <t>SLS/L2L/218787/271</t>
  </si>
  <si>
    <t>05022026-85172</t>
  </si>
  <si>
    <t>IAP COSMETICOS LTDA | INDISPONIBILIDADE | SLS/IPD/56181/3</t>
  </si>
  <si>
    <t>186841, 187249, 187311</t>
  </si>
  <si>
    <t>187249</t>
  </si>
  <si>
    <t>04022026-57405</t>
  </si>
  <si>
    <t>186017, 186341</t>
  </si>
  <si>
    <t>186341</t>
  </si>
  <si>
    <t>BLM/IPD/203645/20</t>
  </si>
  <si>
    <t>05022026-83799</t>
  </si>
  <si>
    <t>SERVICO SOCIAL DA INDUSTRIA SESI DEP REGIONAL DO MARANHAO  |  INDISPONIBILIDADE  |  SLS/IPD/214467/3</t>
  </si>
  <si>
    <t>187315</t>
  </si>
  <si>
    <t>SLS/IPD/214467/3</t>
  </si>
  <si>
    <t>04022026-85343</t>
  </si>
  <si>
    <t>MUNICIPIO DE SAO LUIS SEMED | INDISPONIBILIDADE | SLS/L2L/218787/340</t>
  </si>
  <si>
    <t>186383</t>
  </si>
  <si>
    <t>05022026-42346</t>
  </si>
  <si>
    <t>LINK DOWN PENALVA</t>
  </si>
  <si>
    <t>186957</t>
  </si>
  <si>
    <t>05022026-41347</t>
  </si>
  <si>
    <t>186933</t>
  </si>
  <si>
    <t>05022026-53515</t>
  </si>
  <si>
    <t>187317, 187339</t>
  </si>
  <si>
    <t>187339</t>
  </si>
  <si>
    <t>06022026-79139</t>
  </si>
  <si>
    <t>LUZEIROS HOTEIS S A || LINK DOWN || SLS/IPD/42041/794</t>
  </si>
  <si>
    <t>187657</t>
  </si>
  <si>
    <t>06022026-11177</t>
  </si>
  <si>
    <t>HEXATO TECNOLOGIA E FERRAMENTAS DE INTERNET LTDA || LINK DOWN || ACD/FBR/88921/32</t>
  </si>
  <si>
    <t>187543, 188087</t>
  </si>
  <si>
    <t>ACD/FBR/88921/32</t>
  </si>
  <si>
    <t>06022026-33055</t>
  </si>
  <si>
    <t>Atendimento para: CRAS BEQUIMAO - VLAN 3981  SLS-216233-00416</t>
  </si>
  <si>
    <t>187821</t>
  </si>
  <si>
    <t>SLS/L2L/216233/416</t>
  </si>
  <si>
    <t>06022026-10990</t>
  </si>
  <si>
    <t>BREMEN VEICULOS S A  |  INDISPONIBILIDADE  |  SLS/IPD/225013/1</t>
  </si>
  <si>
    <t>BREMEN VEICULOS S A</t>
  </si>
  <si>
    <t>16.355.380/0020-80</t>
  </si>
  <si>
    <t>187805</t>
  </si>
  <si>
    <t>SLS/IPD/225013/1</t>
  </si>
  <si>
    <t>06022026-17925</t>
  </si>
  <si>
    <t>SLS/IPD/219061/19</t>
  </si>
  <si>
    <t>187475</t>
  </si>
  <si>
    <t>06022026-40995</t>
  </si>
  <si>
    <t>MUNICIPIO DE SAO LUIS SEMED | SLS/L2L/218787/273 | INDISPONIBILIDADE</t>
  </si>
  <si>
    <t>187827</t>
  </si>
  <si>
    <t>SLS/L2L/218787/273</t>
  </si>
  <si>
    <t>S07</t>
  </si>
  <si>
    <t>06022026-30401</t>
  </si>
  <si>
    <t>187669</t>
  </si>
  <si>
    <t>06022026-74040</t>
  </si>
  <si>
    <t>RNP2026-019979 - Abertura de REPARO - CPRM - RETE</t>
  </si>
  <si>
    <t>187803</t>
  </si>
  <si>
    <t>06022026-60945</t>
  </si>
  <si>
    <t>Atendimento para: UEB ENS FUND JORNALISTA NEIVA MOREIRA  -  SLS-216233-00232</t>
  </si>
  <si>
    <t>187845</t>
  </si>
  <si>
    <t>SLS/L2L/218787/232</t>
  </si>
  <si>
    <t>05022026-25245</t>
  </si>
  <si>
    <t>PERDA DE PACOTE E ALTA LATÊNCIA NO LINK</t>
  </si>
  <si>
    <t>IP TRANSIT</t>
  </si>
  <si>
    <t>NORTE BRASIL NETWORK TELECOMUNICACOES LTDA NBN TELECOM</t>
  </si>
  <si>
    <t>05.492.370/0001-07</t>
  </si>
  <si>
    <t>187335</t>
  </si>
  <si>
    <t>AM</t>
  </si>
  <si>
    <t>PARINTINS</t>
  </si>
  <si>
    <t>PAR/IPT/219529/7</t>
  </si>
  <si>
    <t>AM INT</t>
  </si>
  <si>
    <t>06022026-14434</t>
  </si>
  <si>
    <t>GENTIL NEGOCIOS COMERCIO | INOPERANTE | SLS/IPD/224907/1</t>
  </si>
  <si>
    <t>04.227.467/0049-74</t>
  </si>
  <si>
    <t>187965, 188045, 188189, 188283</t>
  </si>
  <si>
    <t>188045, 188283</t>
  </si>
  <si>
    <t>SLS/IPD/224907/1</t>
  </si>
  <si>
    <t>05022026-57097</t>
  </si>
  <si>
    <t>TRIBUNAL REGIONAL ELEITORAL DO MARANHAO TRE MA | INTERMITÊNCIA | CLI | TRE.PRM.PARNARAMA.L2L.201809.50</t>
  </si>
  <si>
    <t>186923</t>
  </si>
  <si>
    <t>PARNARAMA</t>
  </si>
  <si>
    <t>PRM/L2L/201809/50</t>
  </si>
  <si>
    <t>07022026-92955</t>
  </si>
  <si>
    <t>HowBe - S3UTM2604-L1-BNBWAN-GIGA-SUL-TERESINAPI - Link inoperante</t>
  </si>
  <si>
    <t>188493, 188505</t>
  </si>
  <si>
    <t>188505</t>
  </si>
  <si>
    <t>TSA/IPD/6971/826</t>
  </si>
  <si>
    <t>06022026-80387</t>
  </si>
  <si>
    <t>Circuito da loja Angelim OFFLINE</t>
  </si>
  <si>
    <t>ARACAGI PNEUS LTDA R R PNEUS</t>
  </si>
  <si>
    <t>03.144.483/0001-96</t>
  </si>
  <si>
    <t>188255, 188449</t>
  </si>
  <si>
    <t>188255</t>
  </si>
  <si>
    <t>SLS/L2L/218097/2</t>
  </si>
  <si>
    <t>08022026-93728</t>
  </si>
  <si>
    <t>NETLINK LTDA | INDISPONIBILIDADE</t>
  </si>
  <si>
    <t>NETLINK LTDA. NETLINK.COM</t>
  </si>
  <si>
    <t>20.384.800/0001-60</t>
  </si>
  <si>
    <t>188317, 188337</t>
  </si>
  <si>
    <t>188337</t>
  </si>
  <si>
    <t>AIU/IPT/56145/2</t>
  </si>
  <si>
    <t>06022026-57243</t>
  </si>
  <si>
    <t>187613, 188447</t>
  </si>
  <si>
    <t>188447</t>
  </si>
  <si>
    <t>09022026-67491</t>
  </si>
  <si>
    <t>HAPVIDA ASSISTENCIA MEDICA LTDA || INDISPONIBILIDADE || AIU/IPD/4341/944</t>
  </si>
  <si>
    <t>HAPVIDA ASSISTENCIA MEDICA LTDA GRUPO HAPVIDA</t>
  </si>
  <si>
    <t>63.554.067/0001-98</t>
  </si>
  <si>
    <t>189315</t>
  </si>
  <si>
    <t>AIU/IPD/4341/944</t>
  </si>
  <si>
    <t>09022026-52301</t>
  </si>
  <si>
    <t>[REQ000143001656] [4969] AG. SANTA LUZIA DO MARANHAO, MA</t>
  </si>
  <si>
    <t>189389</t>
  </si>
  <si>
    <t>08022026-95980</t>
  </si>
  <si>
    <t>188439, 188457, 189305, 189369</t>
  </si>
  <si>
    <t>189305</t>
  </si>
  <si>
    <t>07022026-94577</t>
  </si>
  <si>
    <t>ALERTA:  CLI | DPMA.AAR.ARARI.L3VPN.203659.6 - FALHA</t>
  </si>
  <si>
    <t>189189</t>
  </si>
  <si>
    <t>AAR/L2L/203659/6</t>
  </si>
  <si>
    <t>10022026-53617</t>
  </si>
  <si>
    <t>ALERTA:  CLI | DPMA.SLS.CONCENTRADOR.REDUNDANTE.IPD.203659.5 - FALHA</t>
  </si>
  <si>
    <t>190229, 190293</t>
  </si>
  <si>
    <t>SLS/IPD/203659/5</t>
  </si>
  <si>
    <t>10022026-82677</t>
  </si>
  <si>
    <t>ALERTA:  CLI | DPMA.SLS.DPMA.SAO.LUIS.DEDICADO.IPD.203659.1 - FALHA</t>
  </si>
  <si>
    <t>190227, 190289</t>
  </si>
  <si>
    <t>190289</t>
  </si>
  <si>
    <t>SLS/IPD/203659/1</t>
  </si>
  <si>
    <t>10022026-30468</t>
  </si>
  <si>
    <t>TECNO INDUSTRIA E COMERCIO DE COMPUTADORES LTDA GRUPO IBYTE  |  INDISPONIBILIDADE  |  TSA/FBR/1819/67</t>
  </si>
  <si>
    <t>190197</t>
  </si>
  <si>
    <t>TSA/FBR/1819/67</t>
  </si>
  <si>
    <t>09022026-44607</t>
  </si>
  <si>
    <t>Alerta de Monitoramento LOJA40 designação TSA-IP-F-186261</t>
  </si>
  <si>
    <t>Falta de Energia Local</t>
  </si>
  <si>
    <t>189005</t>
  </si>
  <si>
    <t>TSA/IPD/212603/45</t>
  </si>
  <si>
    <t>09022026-22628</t>
  </si>
  <si>
    <t>NOVA FIBRA LTDA | BLA0/L2LAN/00219219/00001 | INDISPONIBILIDADE</t>
  </si>
  <si>
    <t>NOVA FIBRA LTDA NOVA FIBRA</t>
  </si>
  <si>
    <t>52.028.416/0001-11</t>
  </si>
  <si>
    <t>189105</t>
  </si>
  <si>
    <t>BLA/L2L/219219/1</t>
  </si>
  <si>
    <t>10022026-21043</t>
  </si>
  <si>
    <t>190195, 190285</t>
  </si>
  <si>
    <t>190195</t>
  </si>
  <si>
    <t>10022026-23252</t>
  </si>
  <si>
    <t>190173, 190299</t>
  </si>
  <si>
    <t>190173</t>
  </si>
  <si>
    <t>10022026-64682</t>
  </si>
  <si>
    <t>ROSINETOS COMERCIO E SERVICOS LTDA INFOCLICK - GRUPO ROSINETOS || INDISPONIBILIDADE || | SLS/IPD/226759/2</t>
  </si>
  <si>
    <t>190223, 190297</t>
  </si>
  <si>
    <t>190223</t>
  </si>
  <si>
    <t>SLS/IPD/226759/2</t>
  </si>
  <si>
    <t>10022026-35794</t>
  </si>
  <si>
    <t>190009, 190205</t>
  </si>
  <si>
    <t>BLM/IPD/203645/19</t>
  </si>
  <si>
    <t>10022026-66931</t>
  </si>
  <si>
    <t>Link fora - GWM São Luis</t>
  </si>
  <si>
    <t>NEW HOUSE COMERCIO DE VEICULOS LTDA New House Comercio de Veiculos Ltda</t>
  </si>
  <si>
    <t>48.876.123/0005-40</t>
  </si>
  <si>
    <t>190225, 190291</t>
  </si>
  <si>
    <t>190225</t>
  </si>
  <si>
    <t>SLS/IPD/229449/1</t>
  </si>
  <si>
    <t>31012026-98777</t>
  </si>
  <si>
    <t>CENTRO DE APOIO AOS PEQUENOS EMPREENDIMENTOS | INDISPONIBILIDADE | SLS/IPD/227681/1</t>
  </si>
  <si>
    <t>Centro de Apoio aos Pequenos Empreendimentos do Brasil</t>
  </si>
  <si>
    <t>23.697.311/0001-57</t>
  </si>
  <si>
    <t>183621, 183863, 185329, 185649, 187323, 188197, 188445, 189927, 191041</t>
  </si>
  <si>
    <t>185649</t>
  </si>
  <si>
    <t>541050</t>
  </si>
  <si>
    <t>SLS/IPD/227681/1</t>
  </si>
  <si>
    <t>05022026-76949</t>
  </si>
  <si>
    <t>#04022026-27391 - NMA SERVICOS DE TELECOMUNICACOES | INDISPONIBILIDADE | Vlan 1500 e vlan 2802</t>
  </si>
  <si>
    <t>SWAP - SWAP DE CANAL / LAMBDA</t>
  </si>
  <si>
    <t>48.131.899/0001-08</t>
  </si>
  <si>
    <t>187653, 189255, 189399, 191205</t>
  </si>
  <si>
    <t>191205</t>
  </si>
  <si>
    <t>VITORIA DO MEARIM</t>
  </si>
  <si>
    <t>VMM/SWF/217697/22</t>
  </si>
  <si>
    <t>08022026-37954</t>
  </si>
  <si>
    <t>Atendimento para: FUMPH SEDE - VLAN 3932 SLS-216233-00014</t>
  </si>
  <si>
    <t>188451, 188951, 189625</t>
  </si>
  <si>
    <t>188951, 189625</t>
  </si>
  <si>
    <t>SLS/L2L/216233/14</t>
  </si>
  <si>
    <t>08022026-88373</t>
  </si>
  <si>
    <t>Atendimento para: UEB ENS FUND HONORIO ODORICO FERREIRA - Anexo Jose Sarney  -  SLS-216233-00332</t>
  </si>
  <si>
    <t>188455</t>
  </si>
  <si>
    <t>SLS/L2L/218787/332</t>
  </si>
  <si>
    <t>08022026-80719</t>
  </si>
  <si>
    <t>Atendimento para: UEB ENS FUND ESTUDANTE EDSON LUIZ DE LIMA SOUTO - SLS-216233-00325</t>
  </si>
  <si>
    <t>188441, 188459</t>
  </si>
  <si>
    <t>188441</t>
  </si>
  <si>
    <t>SLS/L2L/218787/329</t>
  </si>
  <si>
    <t>06022026-23343</t>
  </si>
  <si>
    <t>187825, 188491</t>
  </si>
  <si>
    <t>188491</t>
  </si>
  <si>
    <t>09022026-16079</t>
  </si>
  <si>
    <t>QUEDA TOTAL DO LINK</t>
  </si>
  <si>
    <t>OOZE FIBRA SERV. DE COMUNICACAO LTDA OOZE FIBRA</t>
  </si>
  <si>
    <t>13.290.414/0001-44</t>
  </si>
  <si>
    <t>189071, 189499, 189505</t>
  </si>
  <si>
    <t>AIU/IPT/56141/4</t>
  </si>
  <si>
    <t>09022026-87158</t>
  </si>
  <si>
    <t>Re: [Ticket#2026020288006346] Ticket: 06022026-28087 - Re: Ticket: 03022026-27116 - Abertura de chamado link Aloha indisponivel -  [...]</t>
  </si>
  <si>
    <t>DISTRIBUIDORA PIAUIENSE DE BATERIAS LTDA</t>
  </si>
  <si>
    <t>06.731.632/0001-01</t>
  </si>
  <si>
    <t>189363</t>
  </si>
  <si>
    <t>TSA/IPD/225267/1</t>
  </si>
  <si>
    <t>11022026-82764</t>
  </si>
  <si>
    <t>ALERTA:  CLI | MPMA.BUTP.BURITICUPU.L2L.149307.27 - FALHA</t>
  </si>
  <si>
    <t>190877</t>
  </si>
  <si>
    <t>BURITICUPU</t>
  </si>
  <si>
    <t>BUTP/L2L/149307/27</t>
  </si>
  <si>
    <t>06022026-62218</t>
  </si>
  <si>
    <t>[2063] SAA AG. PINHEIRO</t>
  </si>
  <si>
    <t>189039, 189985, 190127, 190139, 190903</t>
  </si>
  <si>
    <t>PINHEIRO</t>
  </si>
  <si>
    <t>543488</t>
  </si>
  <si>
    <t>PHE/L2L/48887/976</t>
  </si>
  <si>
    <t>09022026-76417</t>
  </si>
  <si>
    <t>Claro S A 0241 60 | INDISPONIBILIDADE | 213163/4</t>
  </si>
  <si>
    <t>CLARO SA CLARO SA 0241 60</t>
  </si>
  <si>
    <t>40.432.544/0241-60</t>
  </si>
  <si>
    <t>189113</t>
  </si>
  <si>
    <t>OUREM</t>
  </si>
  <si>
    <t>OUM/FBR/213163/4</t>
  </si>
  <si>
    <t>07022026-71724</t>
  </si>
  <si>
    <t>Link de internet inoperante - Prédio Sede</t>
  </si>
  <si>
    <t>TRIBUNAL REGIONAL DO TRABALHO DA 16 REGIAO TRT 16 REGIAO</t>
  </si>
  <si>
    <t>23.608.631/0001-93</t>
  </si>
  <si>
    <t>188257, 188453, 189283, 189371</t>
  </si>
  <si>
    <t>189283</t>
  </si>
  <si>
    <t>SLS/IPD/202555/43</t>
  </si>
  <si>
    <t>09022026-54032</t>
  </si>
  <si>
    <t>Atendimento para: UEB ENS FUND PROF JOAO DE SOUZA GUIMARAES - Anexo Alegria do Saber SLS-216233-00197</t>
  </si>
  <si>
    <t>188961</t>
  </si>
  <si>
    <t>SLS/L2L/218787/197</t>
  </si>
  <si>
    <t>09022026-60908</t>
  </si>
  <si>
    <t>LINK INTERMITENTE - SLS/L2L/49019/90- JUIZADO DE TRÂNSITO</t>
  </si>
  <si>
    <t>Provisionamento RB</t>
  </si>
  <si>
    <t>189083</t>
  </si>
  <si>
    <t>09022026-63654</t>
  </si>
  <si>
    <t>RCR LOCACAO LTDA R C R LOCACAO LTDA | INDISPONIBILIDADE |  SLS/IPD/226111/1</t>
  </si>
  <si>
    <t>188989, 188993, 189379</t>
  </si>
  <si>
    <t>188989, 189379</t>
  </si>
  <si>
    <t>09022026-33231</t>
  </si>
  <si>
    <t>APODI DISTRIBUICAO E LOGISTICA LTDA   | INDISPONIBILIDADE |  PCZ/IPD/203325/1</t>
  </si>
  <si>
    <t>Cordão Optico Cliente</t>
  </si>
  <si>
    <t>189437</t>
  </si>
  <si>
    <t>09022026-61422</t>
  </si>
  <si>
    <t>INOVANET EMPREENDIMENTOS LTDA. | Indisponibilidade | SLS/L2L/133341/44</t>
  </si>
  <si>
    <t>188977, 189375</t>
  </si>
  <si>
    <t>189375</t>
  </si>
  <si>
    <t>SLS/L2L/133341/44</t>
  </si>
  <si>
    <t>09022026-98350</t>
  </si>
  <si>
    <t>INOVANET EMPREENDIMENTOS LTDA. | Indisponibilidade | SLS/L2L/133341/12</t>
  </si>
  <si>
    <t>188985, 189377</t>
  </si>
  <si>
    <t>189377</t>
  </si>
  <si>
    <t>09022026-12892</t>
  </si>
  <si>
    <t>189385</t>
  </si>
  <si>
    <t>10022026-15210</t>
  </si>
  <si>
    <t>JEAN CARLOS FERREIRA</t>
  </si>
  <si>
    <t>189843, 189887</t>
  </si>
  <si>
    <t>189887</t>
  </si>
  <si>
    <t>BLM/IPD/203645/25</t>
  </si>
  <si>
    <t>10022026-81097</t>
  </si>
  <si>
    <t>Atendimento para: CF e CEO Anjo da Guarda - VLAN 3892 SLS-216233-00096</t>
  </si>
  <si>
    <t>190033</t>
  </si>
  <si>
    <t>SLS/L2L/218791/96</t>
  </si>
  <si>
    <t>09022026-78271</t>
  </si>
  <si>
    <t>Atendimento para: Valdenir Castro- ANEXO DO CARLOS MADEIRA - SLS-216233-00316</t>
  </si>
  <si>
    <t>189381</t>
  </si>
  <si>
    <t>SLS/L2L/218787/316</t>
  </si>
  <si>
    <t>11022026-15736</t>
  </si>
  <si>
    <t>190739, 191111, 191259</t>
  </si>
  <si>
    <t>191111</t>
  </si>
  <si>
    <t>09022026-50001</t>
  </si>
  <si>
    <t>EULALIO OLIVEIRA SOCIEDADE | INOPERANTE | TSA/IPD/229385/1</t>
  </si>
  <si>
    <t>EULALIO OLIVEIRA SOCIEDADE INDIVIDUAL DE ADVOCACIA</t>
  </si>
  <si>
    <t>56.343.268/0001-80</t>
  </si>
  <si>
    <t>191625</t>
  </si>
  <si>
    <t>TSA/IPD/229385/1</t>
  </si>
  <si>
    <t>09022026-71409</t>
  </si>
  <si>
    <t>CORINGAO COM DE ALIMENTOS LTDA O CORINGAO | INDISPONIBILIDADE | DEU/IPD/204839/1</t>
  </si>
  <si>
    <t>CORINGAO COM DE ALIMENTOS LTDA O CORINGAO</t>
  </si>
  <si>
    <t>13.536.581/0001-22</t>
  </si>
  <si>
    <t>189411, 189731, 190153</t>
  </si>
  <si>
    <t>190153</t>
  </si>
  <si>
    <t>DEU/IPD/204839/1</t>
  </si>
  <si>
    <t>10022026-39238</t>
  </si>
  <si>
    <t>MUNICIPIO DE SAO LUIS SEMIT | VLAN-3616 SLS-216233-00043 | INDISPONIBILIDADE</t>
  </si>
  <si>
    <t>190177, 190295</t>
  </si>
  <si>
    <t>190295</t>
  </si>
  <si>
    <t>SLS/L2L/216233/43</t>
  </si>
  <si>
    <t>11022026-32046</t>
  </si>
  <si>
    <t>OI S A EM RECUPERACAO JUDICIAL OI | TSA/93407/00041 | INDISPONIBILIDADE</t>
  </si>
  <si>
    <t>191079</t>
  </si>
  <si>
    <t>TSA/IPD/202053/41</t>
  </si>
  <si>
    <t>10022026-76448</t>
  </si>
  <si>
    <t>COLEGIO BATISTA DANIEL DE LATOUCHE  |  INDISPONIBILIDADE |  SLS/IPD/219911/1</t>
  </si>
  <si>
    <t>COLEGIO BATISTA DANIEL DE LATOUCHE</t>
  </si>
  <si>
    <t>06.300.867/0001-49</t>
  </si>
  <si>
    <t>189679</t>
  </si>
  <si>
    <t>SLS/IPD/219911/1</t>
  </si>
  <si>
    <t>11022026-89554</t>
  </si>
  <si>
    <t>191169, 191267</t>
  </si>
  <si>
    <t>12022026-52324</t>
  </si>
  <si>
    <t>[GLPI #0022696] Você foi Mencionado 0022696 - TIC |ZE-04 Link Inoperante.</t>
  </si>
  <si>
    <t>192003</t>
  </si>
  <si>
    <t>CAXIAS</t>
  </si>
  <si>
    <t>CXS/L2L/201809/55</t>
  </si>
  <si>
    <t>09022026-72076</t>
  </si>
  <si>
    <t>MUNICIPIO DE SAO LUIS SEMIT | INDISPONIBILIDADE | SLS/LAC/216233/545</t>
  </si>
  <si>
    <t>189383, 190283, 191255, 192095</t>
  </si>
  <si>
    <t>190283</t>
  </si>
  <si>
    <t>SLS/LAC/216233/545</t>
  </si>
  <si>
    <t>12022026-85326</t>
  </si>
  <si>
    <t>ALERTA:  CLI | TRE.AAR.ARARI.L2L.201809.19 - FALHA</t>
  </si>
  <si>
    <t>191801, 192123</t>
  </si>
  <si>
    <t>AAR/L2L/201809/19</t>
  </si>
  <si>
    <t>11022026-60136</t>
  </si>
  <si>
    <t>#28012026-63317 - Atendimento para: CLINICA DA FAMILIA VILA MA RANHAO --- SLS0-L2LAN-00218791-00531</t>
  </si>
  <si>
    <t>191183, 191263</t>
  </si>
  <si>
    <t>191183</t>
  </si>
  <si>
    <t>07022026-23124</t>
  </si>
  <si>
    <t>RE: Ticket: 28012026-51514 - Abrir chamado para o circuito que se encontra com Descarte de pacotes.</t>
  </si>
  <si>
    <t>TELMEX DO BRASIL S A TELMEX DO BRASIL LTDA</t>
  </si>
  <si>
    <t>02.667.694/0038-32</t>
  </si>
  <si>
    <t>189655, 190621</t>
  </si>
  <si>
    <t>BLM/L2L/104849/4</t>
  </si>
  <si>
    <t>11022026-25589</t>
  </si>
  <si>
    <t>191005</t>
  </si>
  <si>
    <t>10022026-91468</t>
  </si>
  <si>
    <t>Atendimento para: CS THALLES RIBEIRO GONCALVES - VLAN-3839 SLS-216233-00398</t>
  </si>
  <si>
    <t>190261, 190287</t>
  </si>
  <si>
    <t>190261</t>
  </si>
  <si>
    <t>SLS/L2L/218791/398</t>
  </si>
  <si>
    <t>12022026-92776</t>
  </si>
  <si>
    <t>ALERTA:  CLI | TIM-CONCENTRADOR-MASLS_0074.43367-937 - FALHA</t>
  </si>
  <si>
    <t>LAN TO LAN Metro CONCENTRADOR</t>
  </si>
  <si>
    <t>02.421.421/0001-11</t>
  </si>
  <si>
    <t>191429, 191927</t>
  </si>
  <si>
    <t>SLS/L2L/43367/937</t>
  </si>
  <si>
    <t>12022026-85865</t>
  </si>
  <si>
    <t>ZE-04, 05 e 06- Link inoperante</t>
  </si>
  <si>
    <t>191917</t>
  </si>
  <si>
    <t>11022026-28180</t>
  </si>
  <si>
    <t>TELECOMUNICACOES BRASILEIRAS SA TELEBRAS TELEBRAS | INDISPONIBILIDADE | SLS/IPD/19913/875</t>
  </si>
  <si>
    <t>TELECOMUNICACOES BRASILEIRAS SA TELEBRAS TELEBRAS</t>
  </si>
  <si>
    <t>00.336.701/0020-69</t>
  </si>
  <si>
    <t>191165, 191261</t>
  </si>
  <si>
    <t>191261</t>
  </si>
  <si>
    <t>SLS/IPD/19913/875</t>
  </si>
  <si>
    <t>11022026-58125</t>
  </si>
  <si>
    <t>Atendimento para: UEB ENS FUND DRA MARIA ALICE COUTINHO - Anexo Jose Sarney Costa -VLAN 3780 - SLS-216233-00236</t>
  </si>
  <si>
    <t>191187, 191265</t>
  </si>
  <si>
    <t>191187</t>
  </si>
  <si>
    <t>SLS/L2L/218787/236</t>
  </si>
  <si>
    <t>11022026-90671</t>
  </si>
  <si>
    <t>LANLINK SERVICOS  | indisponivel</t>
  </si>
  <si>
    <t>190855, 191257, 192093</t>
  </si>
  <si>
    <t>192093</t>
  </si>
  <si>
    <t>SLS/IPD/64169/23</t>
  </si>
  <si>
    <t>12022026-94967</t>
  </si>
  <si>
    <t>191913, 192101</t>
  </si>
  <si>
    <t>192101</t>
  </si>
  <si>
    <t>12022026-28939</t>
  </si>
  <si>
    <t>192103</t>
  </si>
  <si>
    <t>11022026-44931</t>
  </si>
  <si>
    <t>Atendimento para: UEB LUIS MARTINS  -  SLS-216233-00216</t>
  </si>
  <si>
    <t>191153, 191269</t>
  </si>
  <si>
    <t>191269</t>
  </si>
  <si>
    <t>SLS/L2L/218787/216</t>
  </si>
  <si>
    <t>13022026-85098</t>
  </si>
  <si>
    <t>TELECOMUNICACOES BRASILEIRAS SA | INDISPONIBILIDADE | MPA0/IPCOR/00119745/00003</t>
  </si>
  <si>
    <t>00.336.701/0009-53</t>
  </si>
  <si>
    <t>192109</t>
  </si>
  <si>
    <t>MPA/IPD/119745/3</t>
  </si>
  <si>
    <t>12022026-24469</t>
  </si>
  <si>
    <t>SERVICO SOCIAL DO TRANSPORTE SEST IMPERATRIZ || LINK DOWN || ITZ/IPD/227079/2</t>
  </si>
  <si>
    <t>SERVICO SOCIAL DO TRANSPORTE SEST IMPERATRIZ</t>
  </si>
  <si>
    <t>73.471.989/0162-70</t>
  </si>
  <si>
    <t>192005, 192007, 192051</t>
  </si>
  <si>
    <t>192051</t>
  </si>
  <si>
    <t>ITZ/IPD/227079/2</t>
  </si>
  <si>
    <t>13022026-37508</t>
  </si>
  <si>
    <t>GNEX LTDA ME | Indisponibilidade | ABT/LAC/40815/7</t>
  </si>
  <si>
    <t>192231</t>
  </si>
  <si>
    <t>ABAETETUBA</t>
  </si>
  <si>
    <t>ABT/LAC/40815/7</t>
  </si>
  <si>
    <t>12022026-58639</t>
  </si>
  <si>
    <t>Marcos Barbosa de Franca Junior</t>
  </si>
  <si>
    <t>191439, 192097</t>
  </si>
  <si>
    <t>191439</t>
  </si>
  <si>
    <t>13022026-12389</t>
  </si>
  <si>
    <t>Atendimento para: SEMSA - SEDE - SLS-00216233-00051</t>
  </si>
  <si>
    <t>192577</t>
  </si>
  <si>
    <t>SLS/L2L/216233/51</t>
  </si>
  <si>
    <t>12022026-89796</t>
  </si>
  <si>
    <t>SEMED | indisponivel</t>
  </si>
  <si>
    <t>BRASILINK SERVICOS LTDA</t>
  </si>
  <si>
    <t>191999, 192107</t>
  </si>
  <si>
    <t>192107</t>
  </si>
  <si>
    <t>SLS/L2L/218787/212</t>
  </si>
  <si>
    <t>12022026-13038</t>
  </si>
  <si>
    <t>191649</t>
  </si>
  <si>
    <t>BLM/IPD/60121/70</t>
  </si>
  <si>
    <t>14022026-75627</t>
  </si>
  <si>
    <t>INC0398769 - [High] LINK-DEDICADO-WIRELINK-PI-WYDEN-UNIFACID_HORTO_FLORESTAL-186.225.59.162</t>
  </si>
  <si>
    <t>ADTALEM EDUCACIONAL DO BRASIL S A UNIFACID</t>
  </si>
  <si>
    <t>03.681.572/0005-03</t>
  </si>
  <si>
    <t>Falha Elétrica no POP</t>
  </si>
  <si>
    <t>192627</t>
  </si>
  <si>
    <t>TSA/IPD/70991/247</t>
  </si>
  <si>
    <t>13022026-78257</t>
  </si>
  <si>
    <t>Re: Ticket: 12022026-31784 - PERDA DE PACOTE NO LINK</t>
  </si>
  <si>
    <t>192609</t>
  </si>
  <si>
    <t>12022026-33386</t>
  </si>
  <si>
    <t>192173</t>
  </si>
  <si>
    <t>13022026-72685</t>
  </si>
  <si>
    <t>192111</t>
  </si>
  <si>
    <t>13022026-32838</t>
  </si>
  <si>
    <t>HEXATO TECNOLOGIA E FERRAMENTAS DE INTERNET LTDA || LINK DOWN || CZD/FBR/88921/1</t>
  </si>
  <si>
    <t>192317</t>
  </si>
  <si>
    <t>13022026-79791</t>
  </si>
  <si>
    <t>TELECOMUNICACOES BRASILEIRAS SA TELEBRAS | INDISPONIBILIDADE | SRN/IPD/19917/674</t>
  </si>
  <si>
    <t>192411</t>
  </si>
  <si>
    <t>SAO RAIMUNDO NONATO</t>
  </si>
  <si>
    <t>SRN/IPD/19917/674</t>
  </si>
  <si>
    <t>12022026-15553</t>
  </si>
  <si>
    <t>IAP COSMETICOS | INDISPONIBILIDADE | SLS/IPD/56169/7</t>
  </si>
  <si>
    <t>191647, 192099</t>
  </si>
  <si>
    <t>13022026-26225</t>
  </si>
  <si>
    <t>[REQ000143059862] [1989] SAA AG. COSTA E SILVA</t>
  </si>
  <si>
    <t>192323</t>
  </si>
  <si>
    <t>TSA/L2L/48887/970</t>
  </si>
  <si>
    <t>13022026-71491</t>
  </si>
  <si>
    <t>Alerta de indisponibilidade -  LINK-FILIAL19-GIGA+-FLA/L2L/202197/17</t>
  </si>
  <si>
    <t>192565, 192591</t>
  </si>
  <si>
    <t>192591</t>
  </si>
  <si>
    <t>TSA/L2L/202197/17</t>
  </si>
  <si>
    <t>13022026-66933</t>
  </si>
  <si>
    <t>SERVIS ELETRONICA DEFENSE | INDISPONIBILIDADE | SLS/IPD/218497/880</t>
  </si>
  <si>
    <t>192607</t>
  </si>
  <si>
    <t>SLS/IPD/218497/880</t>
  </si>
  <si>
    <t>16022026-94292</t>
  </si>
  <si>
    <t>Link sem comunicação</t>
  </si>
  <si>
    <t>193049</t>
  </si>
  <si>
    <t>CAH/L2L/49005/889</t>
  </si>
  <si>
    <t>S08</t>
  </si>
  <si>
    <t>10022026-95296</t>
  </si>
  <si>
    <t>OI S A EM RECUPERACAO JUDICIAL OI  |  INDISPONIBILIDADE  |  PNA/FBR/202053/667</t>
  </si>
  <si>
    <t>190001, 191287</t>
  </si>
  <si>
    <t>190001</t>
  </si>
  <si>
    <t>PNA/FBR/202053/667</t>
  </si>
  <si>
    <t>03022026-97744</t>
  </si>
  <si>
    <t>AZUL LINHAS AEREAS BRASILEIRAS S A AZUL LINHAS AEREAS BRASILEIRAS S A  |  INDISPONIBILIDADE  |  BLM/IPD/55277/1</t>
  </si>
  <si>
    <t>AZUL LINHAS AEREAS BRASILEIRAS S A AZUL LINHAS AEREAS BRASILEIRAS S A</t>
  </si>
  <si>
    <t>09.296.295/0001-60</t>
  </si>
  <si>
    <t>187327, 191827, 192115, 192737</t>
  </si>
  <si>
    <t>192737</t>
  </si>
  <si>
    <t>BLM/IPD/55277/1</t>
  </si>
  <si>
    <t>15022026-36850</t>
  </si>
  <si>
    <t>Indisponibilidade</t>
  </si>
  <si>
    <t>192863</t>
  </si>
  <si>
    <t>14022026-88855</t>
  </si>
  <si>
    <t>ALERTA:  CLI | TRT8.BLM.BELEM.RB.IPD.52957.1 - FALHA</t>
  </si>
  <si>
    <t>192747</t>
  </si>
  <si>
    <t>BLM/IPD/52957/1</t>
  </si>
  <si>
    <t>16022026-37787</t>
  </si>
  <si>
    <t>TELECOMUNICACOES BRASILEIRAS SA || INDISPONIBILIDADE || PDU/IPD/19913/886</t>
  </si>
  <si>
    <t>193271</t>
  </si>
  <si>
    <t>PDU/IPD/19913/886</t>
  </si>
  <si>
    <t>06022026-97036</t>
  </si>
  <si>
    <t>TELEBRAS | INDISPONIBILIDADE | CXS/19913/871</t>
  </si>
  <si>
    <t>187303, 188489, 189613, 193573</t>
  </si>
  <si>
    <t>545098</t>
  </si>
  <si>
    <t>CXS/IPD/19913/871</t>
  </si>
  <si>
    <t>18022026-27897</t>
  </si>
  <si>
    <t>193695</t>
  </si>
  <si>
    <t>19022026-14860</t>
  </si>
  <si>
    <t>194451</t>
  </si>
  <si>
    <t>18022026-31853</t>
  </si>
  <si>
    <t>Solicitação de abertura de chamado</t>
  </si>
  <si>
    <t>194315</t>
  </si>
  <si>
    <t>15022026-20916</t>
  </si>
  <si>
    <t>192851, 192867, 194375</t>
  </si>
  <si>
    <t>18022026-16705</t>
  </si>
  <si>
    <t>194385</t>
  </si>
  <si>
    <t>18022026-68248</t>
  </si>
  <si>
    <t>Atendimento para: UEB ENS FUND MENINO JESUS DE PRAGA - SLS-216233-00185</t>
  </si>
  <si>
    <t>194387</t>
  </si>
  <si>
    <t>SLS/L2L/216233/185</t>
  </si>
  <si>
    <t>18022026-53861</t>
  </si>
  <si>
    <t>Atendimento para: UEB ENS FUND MENINO JESUS DE PRAGA - Anexo I - SLS-216233-00202</t>
  </si>
  <si>
    <t>194383</t>
  </si>
  <si>
    <t>SLS/L2L/216233/202</t>
  </si>
  <si>
    <t>16022026-66453</t>
  </si>
  <si>
    <t>[REQ000143082806] [1136] SAA AG.  COHATRAC</t>
  </si>
  <si>
    <t>193593, 194353</t>
  </si>
  <si>
    <t>194353</t>
  </si>
  <si>
    <t>SLS/FBR/48887/605</t>
  </si>
  <si>
    <t>18022026-96754</t>
  </si>
  <si>
    <t>DISTRIBUIDORA ADAUTO CARVALHO LTDA | INDISPONIBILIDADE | TMN/L2L/21243/3</t>
  </si>
  <si>
    <t>194231</t>
  </si>
  <si>
    <t>18022026-44124</t>
  </si>
  <si>
    <t>194331</t>
  </si>
  <si>
    <t>17022026-77601</t>
  </si>
  <si>
    <t>GESTION SERVICES  | indisponivel</t>
  </si>
  <si>
    <t>193425, 195283</t>
  </si>
  <si>
    <t>195283</t>
  </si>
  <si>
    <t>13022026-14508</t>
  </si>
  <si>
    <t>[REQ000143069326] [1576] SAA AG. COHAB</t>
  </si>
  <si>
    <t>192571, 193587</t>
  </si>
  <si>
    <t>193587</t>
  </si>
  <si>
    <t>SLS/L2L/48887/962</t>
  </si>
  <si>
    <t>13022026-17724</t>
  </si>
  <si>
    <t>Re: Ticket: 09022026-79397 - ABERTURA DE REPARO LINK INOPERANTE - CXS/L2L/49019/466- FÓRUM DE CAXIAS</t>
  </si>
  <si>
    <t>192425</t>
  </si>
  <si>
    <t>CXS/L2L/49495/466</t>
  </si>
  <si>
    <t>16022026-43581</t>
  </si>
  <si>
    <t>Atendimento para: CRAS BAIRRO DE FATIMA - SLS-216233-00411</t>
  </si>
  <si>
    <t>193235, 195445</t>
  </si>
  <si>
    <t>195445</t>
  </si>
  <si>
    <t>SLS/L2L/216233/411</t>
  </si>
  <si>
    <t>16022026-87754</t>
  </si>
  <si>
    <t>Atendimento para: CS FATIMA - VLAN 3626 SLS-216233-00121</t>
  </si>
  <si>
    <t>193229</t>
  </si>
  <si>
    <t>SLS/L2L/218791/121</t>
  </si>
  <si>
    <t>17022026-33616</t>
  </si>
  <si>
    <t>OI S A EM RECUPERACAO JUDICIAL || INDISPONIBILIDADE || SLS/FBR/214913/63</t>
  </si>
  <si>
    <t>193437, 193883</t>
  </si>
  <si>
    <t>193883</t>
  </si>
  <si>
    <t>SLS/FBR/214913/63</t>
  </si>
  <si>
    <t>17022026-70371</t>
  </si>
  <si>
    <t>ALERTA:  CLI | TJMA.ESS.FORUM.DE.ESPERANTINOPOLIS .L3VPN.49495.305 - FALHA</t>
  </si>
  <si>
    <t>18022026-22833</t>
  </si>
  <si>
    <t>HOSPITAL VETERINARIO DOK LTDA  | INDISPONIBILIDADE | SLS/IPD/217507/1</t>
  </si>
  <si>
    <t>194209</t>
  </si>
  <si>
    <t>18022026-13124</t>
  </si>
  <si>
    <t>ALERTA:  CLI | MPMA.ITZ.IMPERATRIZ.L2L.149307.94 - FALHA</t>
  </si>
  <si>
    <t>194339</t>
  </si>
  <si>
    <t>ITZ/L2L/149307/94</t>
  </si>
  <si>
    <t>19022026-38024</t>
  </si>
  <si>
    <t>195367</t>
  </si>
  <si>
    <t>18022026-20859</t>
  </si>
  <si>
    <t>Atendimento para: SEMIT - TRAPICHE - IPAM</t>
  </si>
  <si>
    <t>194221, 194393, 195369</t>
  </si>
  <si>
    <t>195369</t>
  </si>
  <si>
    <t>19022026-99878</t>
  </si>
  <si>
    <t>195323</t>
  </si>
  <si>
    <t>19022026-97104</t>
  </si>
  <si>
    <t>ALGAR TELECOM SA | INDISPONIBILIDADE |  TSA/L2L/226481/4</t>
  </si>
  <si>
    <t>ALGAR TELECOM SA ALGAR TELECOM SA</t>
  </si>
  <si>
    <t>71.208.516/0174-92</t>
  </si>
  <si>
    <t>195415</t>
  </si>
  <si>
    <t>TSA/L2L/226481/4</t>
  </si>
  <si>
    <t>19022026-96066</t>
  </si>
  <si>
    <t>195321</t>
  </si>
  <si>
    <t>19022026-10835</t>
  </si>
  <si>
    <t>Alerta de Monitoramento LOJA74 designação PDZ-IPD-F-#72623</t>
  </si>
  <si>
    <t>195473</t>
  </si>
  <si>
    <t>PDZ/IPD/212603/41</t>
  </si>
  <si>
    <t>14022026-56506</t>
  </si>
  <si>
    <t>Atendimento para: SEMED TRANSPORTE - VLAN-3628 SLS-216233-00058</t>
  </si>
  <si>
    <t>192865, 194373</t>
  </si>
  <si>
    <t>194373</t>
  </si>
  <si>
    <t>SLS/L2L/218787/58</t>
  </si>
  <si>
    <t>18022026-49340</t>
  </si>
  <si>
    <t>ALERTA:  CLI | TJMA.SLS.12.JUIZADO.ESPECIAL.CIVEL.L2L.49495.73 - FALHA</t>
  </si>
  <si>
    <t>193569</t>
  </si>
  <si>
    <t>SLS/L2L/49495/73</t>
  </si>
  <si>
    <t>17022026-82564</t>
  </si>
  <si>
    <t>REPARO DE LINK PRACA MARIA ARAGAO - SLS/L2L/216233/407</t>
  </si>
  <si>
    <t>Monitoramento</t>
  </si>
  <si>
    <t>193547</t>
  </si>
  <si>
    <t>SLS/L2L/216233/407</t>
  </si>
  <si>
    <t>18022026-24521</t>
  </si>
  <si>
    <t>IP CONNECT</t>
  </si>
  <si>
    <t>194191, 195453</t>
  </si>
  <si>
    <t>195453</t>
  </si>
  <si>
    <t>SLS/IPD/60121/30</t>
  </si>
  <si>
    <t>09022026-12005</t>
  </si>
  <si>
    <t>PING-LAN-TO-LAN-SLZxTERESINA-GIG - INC1459319</t>
  </si>
  <si>
    <t>188895, 191825</t>
  </si>
  <si>
    <t>17022026-11176</t>
  </si>
  <si>
    <t>Atendimento para: UEB ENS FUND RIVANDA BERENICE BRAGA Anexo Maria Rocha - SLS-216233-00247</t>
  </si>
  <si>
    <t>193267</t>
  </si>
  <si>
    <t>SLS/L2L/218787/247</t>
  </si>
  <si>
    <t>16022026-81536</t>
  </si>
  <si>
    <t>Atendimento para: UNIDADE ESCOLAR JOAO PEREIRA MARTINS  -  SLS-216233-00175</t>
  </si>
  <si>
    <t>193255, 194377, 195449</t>
  </si>
  <si>
    <t>195449</t>
  </si>
  <si>
    <t>SLS/L2L/218787/175</t>
  </si>
  <si>
    <t>18022026-49512</t>
  </si>
  <si>
    <t>Alerta de Monitoramento LOJA04 designação SLA-IP-F-187632</t>
  </si>
  <si>
    <t>194225</t>
  </si>
  <si>
    <t>SLS/IPD/212603/4</t>
  </si>
  <si>
    <t>16022026-61492</t>
  </si>
  <si>
    <t>Atendimento para: UEB ARARIPINA DE ALENCAR FECURY - SLS-216233-00242</t>
  </si>
  <si>
    <t>193195, 195443</t>
  </si>
  <si>
    <t>195443</t>
  </si>
  <si>
    <t>SLS/L2L/218787/242</t>
  </si>
  <si>
    <t>20022026-16211</t>
  </si>
  <si>
    <t>BANCO DO NORDESTE DO BRASIL || LINK DOWN || TSA/IPD/6971/825</t>
  </si>
  <si>
    <t>195821, 195823</t>
  </si>
  <si>
    <t>195821</t>
  </si>
  <si>
    <t>20022026-55293</t>
  </si>
  <si>
    <t>HEXATO TECNOLOGIA E FERRAMENTAS DE INTERNET LTDA  ||  PRZ/FBR/88921/25 || INDISPONIBILIDADE</t>
  </si>
  <si>
    <t>196189</t>
  </si>
  <si>
    <t>BARRA DO CORDA</t>
  </si>
  <si>
    <t>BDC/FBR/88921/25</t>
  </si>
  <si>
    <t>19022026-69253</t>
  </si>
  <si>
    <t>ABERTURA DE CHAMADO | DESIGNAÇÃO FORNECEDOR: TSA0/IPCOR/104819/00120 | PROTOCOLO: 202605865127 | COMPANHIA BRASILEIRA DE DISTRIBUICAO AUTOMOTIVA S.A</t>
  </si>
  <si>
    <t>Ezequiel Neves Rodrigues</t>
  </si>
  <si>
    <t>71.208.516/0182-00</t>
  </si>
  <si>
    <t>194639</t>
  </si>
  <si>
    <t>TSA/IPD/104819/120</t>
  </si>
  <si>
    <t>19022026-22645</t>
  </si>
  <si>
    <t>BANCO DO NORDESTE DO BRASIL SA BNB  | INDISPONIBILIDADE | FLA/FBR/6971/1611</t>
  </si>
  <si>
    <t>195247</t>
  </si>
  <si>
    <t>TSA/FBR/6971/1611</t>
  </si>
  <si>
    <t>19022026-95153</t>
  </si>
  <si>
    <t>TELEBRAS | indisponivel</t>
  </si>
  <si>
    <t>00.336.701/0029-05</t>
  </si>
  <si>
    <t>195487</t>
  </si>
  <si>
    <t>BENEVIDES</t>
  </si>
  <si>
    <t>BVS/FBR/19921/860</t>
  </si>
  <si>
    <t>19022026-47121</t>
  </si>
  <si>
    <t>ALERTA:  CLI | DPMA.ESS.ESPERANTINOPOLIS.L3VPN.203659.62 - FALHA</t>
  </si>
  <si>
    <t>195531</t>
  </si>
  <si>
    <t>ESS/L2L/203659/62</t>
  </si>
  <si>
    <t>20022026-65244</t>
  </si>
  <si>
    <t>CIRION [ ABERTURA DE CHAMADO ] INC5012963 | BLM0/L2LAN/00071001/00217-CIRION-ANATEL</t>
  </si>
  <si>
    <t>196111, 196223</t>
  </si>
  <si>
    <t>BLM/L2L/71001/217</t>
  </si>
  <si>
    <t>20022026-61990</t>
  </si>
  <si>
    <t>INTERNET INOPERANTE</t>
  </si>
  <si>
    <t>Expresso Rei de Franca Ltda</t>
  </si>
  <si>
    <t>15.293.907/0001-63</t>
  </si>
  <si>
    <t>195969</t>
  </si>
  <si>
    <t>SAO JOSE DE RIBAMAR</t>
  </si>
  <si>
    <t>SJE/IPD/211857/2</t>
  </si>
  <si>
    <t>16022026-60399</t>
  </si>
  <si>
    <t>ALERTA:  CLI | TRT16.SLS.SAO.LUIS.MASTER.RB.IPD.202555.37 - FALHA</t>
  </si>
  <si>
    <t>193213</t>
  </si>
  <si>
    <t>SLS/IPD/202555/37</t>
  </si>
  <si>
    <t>20022026-61262</t>
  </si>
  <si>
    <t>HEXATO TECNOLOGIA E FERRAMENTAS DE INTERNET LTDA  | INDISPONIBILIDADE |  SLS/IPD/88921/19</t>
  </si>
  <si>
    <t>195765</t>
  </si>
  <si>
    <t>SLS/IPD/88921/19</t>
  </si>
  <si>
    <t>16022026-35848</t>
  </si>
  <si>
    <t>BANCO DO NORDESTE DO BRASIL SA BNB | GJU/6971/00152 | INDISPONIBILIDADE</t>
  </si>
  <si>
    <t>FIRELINK SERVICOS DE COMUNICACAO LTDA</t>
  </si>
  <si>
    <t>195135, 195137, 195139, 195451</t>
  </si>
  <si>
    <t>195451</t>
  </si>
  <si>
    <t>GJU/FBR/6971/152</t>
  </si>
  <si>
    <t>21022026-14635</t>
  </si>
  <si>
    <t>HowBe - S3UTM2600-L1-BNBWAN-GIGA-CEN-PRACADABANDEIPI - Link inoperante</t>
  </si>
  <si>
    <t>196409, 196443</t>
  </si>
  <si>
    <t>196443</t>
  </si>
  <si>
    <t>TSA/IPD/6971/828</t>
  </si>
  <si>
    <t>S09</t>
  </si>
  <si>
    <t>18022026-48828</t>
  </si>
  <si>
    <t>BRISANET SERVICOS DE TELECOMUNICACOES | INDISPONIBILIDADE | SLS/L2L/48887/906</t>
  </si>
  <si>
    <t>194329, 195307</t>
  </si>
  <si>
    <t>195307</t>
  </si>
  <si>
    <t>SLS/L2L/48887/906</t>
  </si>
  <si>
    <t>19022026-66822</t>
  </si>
  <si>
    <t>BRISANET SERVICOS DE TELECOMUNICACOES LTD | Indisponibilidade | SLS/FBR/48887/638 - IP 201.20.115.43</t>
  </si>
  <si>
    <t>195465</t>
  </si>
  <si>
    <t>20022026-80282</t>
  </si>
  <si>
    <t>CENTRO DE APOIO AOS PEQUENOS EMPREENDIMENTOS DO BRASIL  | 227681 /1 | TROCA DE EDD</t>
  </si>
  <si>
    <t>195635</t>
  </si>
  <si>
    <t>19022026-37874</t>
  </si>
  <si>
    <t>EQUATORIAL TELECOMUNICACOES S A | INDISPONIBILIDADE | ITZ/IPD/19489/11</t>
  </si>
  <si>
    <t>195413, 196001</t>
  </si>
  <si>
    <t>196001</t>
  </si>
  <si>
    <t>22022026-69942</t>
  </si>
  <si>
    <t>BRISANET SERVICOS | INDISPONIBILIDADE | BDC/FBR/48887/613</t>
  </si>
  <si>
    <t>196689</t>
  </si>
  <si>
    <t>BDC/FBR/48887/613</t>
  </si>
  <si>
    <t>19022026-81338</t>
  </si>
  <si>
    <t>195371</t>
  </si>
  <si>
    <t>19022026-46294</t>
  </si>
  <si>
    <t>Atendimento para: UEB SANTA CLARA INFANTIL - SLS-216233-00495</t>
  </si>
  <si>
    <t>195329</t>
  </si>
  <si>
    <t>SLS/L2L/218787/495</t>
  </si>
  <si>
    <t>19022026-98544</t>
  </si>
  <si>
    <t>Atendimento para: UEB ENS FUND PROF SA VALLE - Anexo I esperanca do amanhecer -SLS-216233-00188</t>
  </si>
  <si>
    <t>195525</t>
  </si>
  <si>
    <t>SLS/L2L/216233/257</t>
  </si>
  <si>
    <t>19022026-91636</t>
  </si>
  <si>
    <t>Atendimento para: ENS FUND PROF JOAO DE SOUZA GUIMARAES - Anexo Crianca Esperanca  SLS-216233-00188</t>
  </si>
  <si>
    <t>195391, 196643</t>
  </si>
  <si>
    <t>196643</t>
  </si>
  <si>
    <t>SLS/L2L/218787/188</t>
  </si>
  <si>
    <t>19022026-27161</t>
  </si>
  <si>
    <t>195389</t>
  </si>
  <si>
    <t>19022026-48084</t>
  </si>
  <si>
    <t>Atendimento para: UEB MEUS AMIGUINHOS - Forquilha - SLS-216233-00267</t>
  </si>
  <si>
    <t>195403</t>
  </si>
  <si>
    <t>SLS/L2L/218787/267</t>
  </si>
  <si>
    <t>20022026-23359</t>
  </si>
  <si>
    <t>196129, 196667</t>
  </si>
  <si>
    <t>196667</t>
  </si>
  <si>
    <t>19022026-43510</t>
  </si>
  <si>
    <t>CAIXA BENEFICENTE DOS OFICIAIS | INDISPONIBILIDADE | SLS/IPD/202503/1</t>
  </si>
  <si>
    <t>CAIXA BENEFICENTE DOS OFICIAIS E PRACAS DA POLICIA MILI</t>
  </si>
  <si>
    <t>86.729.126/0001-17</t>
  </si>
  <si>
    <t>195481</t>
  </si>
  <si>
    <t>SLS/IPD/202503/1</t>
  </si>
  <si>
    <t>19022026-48287</t>
  </si>
  <si>
    <t>BRISANET SERVICOS DE TELECOMUNICACOES | INDISPONIBILIDADE | SLS/FBR/48887/622</t>
  </si>
  <si>
    <t>195399, 196017, 196659</t>
  </si>
  <si>
    <t>196659</t>
  </si>
  <si>
    <t>SLS/FBR/48887/622</t>
  </si>
  <si>
    <t>19022026-40315</t>
  </si>
  <si>
    <t>BRISANET SERVICOS DE TELECOMUNICACOES LTDA | Indisponibilidade | ETO/FBR/48887/610</t>
  </si>
  <si>
    <t>Visita Improdutiva Solicitada Pelo Cliente</t>
  </si>
  <si>
    <t>195279, 195469</t>
  </si>
  <si>
    <t>195469</t>
  </si>
  <si>
    <t>ETO/FBR/48887/610</t>
  </si>
  <si>
    <t>16022026-31558</t>
  </si>
  <si>
    <t>Atendimento para: UEB ENS FUND MARIO PEREIRA - SLS-216233-00362</t>
  </si>
  <si>
    <t>193253, 195447</t>
  </si>
  <si>
    <t>195447</t>
  </si>
  <si>
    <t>SLS/L2L/218787/362</t>
  </si>
  <si>
    <t>17022026-61175</t>
  </si>
  <si>
    <t>196019, 196641</t>
  </si>
  <si>
    <t>196641</t>
  </si>
  <si>
    <t>17022026-19698</t>
  </si>
  <si>
    <t>Abertura de chamado - EVE260200092841 - SAO JOSE DE RIBAMAR-MA</t>
  </si>
  <si>
    <t>193273, 193325, 194379</t>
  </si>
  <si>
    <t>193325, 194379</t>
  </si>
  <si>
    <t>SJE/L2L/83605/935</t>
  </si>
  <si>
    <t>19022026-81169</t>
  </si>
  <si>
    <t>Atendimento para: C.S VILA NOVA SLS-216233-00077</t>
  </si>
  <si>
    <t>195373, 195383</t>
  </si>
  <si>
    <t>195373</t>
  </si>
  <si>
    <t>20022026-92762</t>
  </si>
  <si>
    <t>IAP COSMETICOS | INDISPONIBILIDADE | ITZ/FBR/218305/1</t>
  </si>
  <si>
    <t>05.346.644/0025-27</t>
  </si>
  <si>
    <t>195921, 196237, 196247</t>
  </si>
  <si>
    <t>196247</t>
  </si>
  <si>
    <t>ITZ/FBR/218305/1</t>
  </si>
  <si>
    <t>20022026-42984</t>
  </si>
  <si>
    <t>ALERTA:  CLI | TJMA.SLS.7.JUIZADO.CIVIL-FW#/.49495.457 - FALHA</t>
  </si>
  <si>
    <t>196091</t>
  </si>
  <si>
    <t>SLS/L2L/49495/457</t>
  </si>
  <si>
    <t>22022026-43028</t>
  </si>
  <si>
    <t>[0765] SAA AG. BARRA DO CORDA</t>
  </si>
  <si>
    <t>Ajuste de PPPOE</t>
  </si>
  <si>
    <t>196591</t>
  </si>
  <si>
    <t>BDC/L2L/48887/1022</t>
  </si>
  <si>
    <t>20022026-56586</t>
  </si>
  <si>
    <t>ALERTA:  CLI | TJMA.SLS.7.JUIZADO.ESPECIAL.CIVIL-FW#/49495.460 - FALHA</t>
  </si>
  <si>
    <t>196131</t>
  </si>
  <si>
    <t>SLS/FWL/49495/460</t>
  </si>
  <si>
    <t>21022026-53616</t>
  </si>
  <si>
    <t>196271</t>
  </si>
  <si>
    <t>19022026-82916</t>
  </si>
  <si>
    <t>RE: Ticket: 11022026-70913 - RE: Ticket: 06022026-58364 - Falha de conectividade na Promotoria de Justiça de Grajaú</t>
  </si>
  <si>
    <t>195427</t>
  </si>
  <si>
    <t>GJU/L2L/149307/9</t>
  </si>
  <si>
    <t>20022026-79273</t>
  </si>
  <si>
    <t>DISTRIBUIDORA PIAUIENSE DE BATERIAS LTDA | INDISPONIBILIDADE | TSA/IPD/225267/1 | 2026022088009416</t>
  </si>
  <si>
    <t>197385, 197523</t>
  </si>
  <si>
    <t>20022026-14391</t>
  </si>
  <si>
    <t>GENTIL NEGOCIOS COMERCIO E FRANCHISING | INDISPONIBILIDADE | SLS/IPD/224909/1</t>
  </si>
  <si>
    <t>196013, 196207, 196665</t>
  </si>
  <si>
    <t>196665</t>
  </si>
  <si>
    <t>20022026-32785</t>
  </si>
  <si>
    <t>196133, 196669, 197571</t>
  </si>
  <si>
    <t>196669, 197571</t>
  </si>
  <si>
    <t>23022026-80857</t>
  </si>
  <si>
    <t>197427</t>
  </si>
  <si>
    <t>23022026-67644</t>
  </si>
  <si>
    <t>Atendimento para: UEB SAO SEBASTIAO - UEB CARLOS MARCIEIRA - SLS-216233-00206</t>
  </si>
  <si>
    <t>197263</t>
  </si>
  <si>
    <t>23022026-55285</t>
  </si>
  <si>
    <t>CENTRO DE CONVIVENCIA CASA DO BAIRRO</t>
  </si>
  <si>
    <t>197105</t>
  </si>
  <si>
    <t>SLS/L2L/216233/533</t>
  </si>
  <si>
    <t>21022026-51016</t>
  </si>
  <si>
    <t>Atendimento para: GAVIC - VLAN 3701 SLS-216233-00229</t>
  </si>
  <si>
    <t>196471</t>
  </si>
  <si>
    <t>SLS/L2L/216233/229</t>
  </si>
  <si>
    <t>20022026-38256</t>
  </si>
  <si>
    <t>Atendimento para: UEB JOAQUIM PINTO - SLS-216233-00353</t>
  </si>
  <si>
    <t>196283, 196681</t>
  </si>
  <si>
    <t>196681</t>
  </si>
  <si>
    <t>SLS/L2L/218787/353</t>
  </si>
  <si>
    <t>20022026-27832</t>
  </si>
  <si>
    <t>INSDISPONIBILIDADE - USF COQUEIRO - SLS-216233-00228</t>
  </si>
  <si>
    <t>196163, 196851</t>
  </si>
  <si>
    <t>196851</t>
  </si>
  <si>
    <t>SLS/L2L/218791/228</t>
  </si>
  <si>
    <t>23022026-25336</t>
  </si>
  <si>
    <t>HILTON COSTA OLIVEIRA NETO HILTON NET | BLM/227671/00001 | PERDAS DE PACOTES</t>
  </si>
  <si>
    <t>HILTON COSTA OLIVEIRA NETO HILTON NET</t>
  </si>
  <si>
    <t>33.184.848/0001-77</t>
  </si>
  <si>
    <t>197483</t>
  </si>
  <si>
    <t>BLM/IPT/227671/1</t>
  </si>
  <si>
    <t>22022026-97501</t>
  </si>
  <si>
    <t>LABORATORIO CEDRO LTDA | Indisponibilidade | SLS/L2L/204817/10</t>
  </si>
  <si>
    <t>196711, 197583</t>
  </si>
  <si>
    <t>SLS/L2L/204817/10</t>
  </si>
  <si>
    <t>21022026-34957</t>
  </si>
  <si>
    <t>FUNDO ESPECIAL DE MODERNIZACAO E REAPARELHAMENTO || INDISPONIBILIDADE || SLRQ/L2L/49495/88</t>
  </si>
  <si>
    <t>IBL</t>
  </si>
  <si>
    <t>197579</t>
  </si>
  <si>
    <t>SENADOR LA ROCQUE</t>
  </si>
  <si>
    <t>SLRQ/L2L/49495/88</t>
  </si>
  <si>
    <t>22022026-48604</t>
  </si>
  <si>
    <t>ALERTA:  CLI | NORSA.TSA.TERESINA.IPD.100019.1 - FALHA</t>
  </si>
  <si>
    <t>NORSA REFRIGERANTES LTDA GRUPO SOLARBR</t>
  </si>
  <si>
    <t>07.196.033/0022-22</t>
  </si>
  <si>
    <t>196693</t>
  </si>
  <si>
    <t>TSA/IPD/100019/1</t>
  </si>
  <si>
    <t>23022026-61198</t>
  </si>
  <si>
    <t>REFRIGERACAO DUFRIO | indisponivel</t>
  </si>
  <si>
    <t>197225</t>
  </si>
  <si>
    <t>23022026-26816</t>
  </si>
  <si>
    <t>AUTO NORTE DISTRIBUIDORA DE PECAS LTDA  || INDISPONIBILIDADE || 217703/1</t>
  </si>
  <si>
    <t>AUTO NORTE DISTRIBUIDORA DE PECAS LTDA</t>
  </si>
  <si>
    <t>11.509.676/0014-46</t>
  </si>
  <si>
    <t>197243, 197247, 197505</t>
  </si>
  <si>
    <t>197505</t>
  </si>
  <si>
    <t>SLS/IPD/217703/1</t>
  </si>
  <si>
    <t>23022026-65411</t>
  </si>
  <si>
    <t>INOVANET EMPREENDIMENTOS LTDA. | Indisponibilidade | SLS/L2L/133341/17</t>
  </si>
  <si>
    <t>197459, 197525</t>
  </si>
  <si>
    <t>197525</t>
  </si>
  <si>
    <t>20022026-46711</t>
  </si>
  <si>
    <t>Atendimento para: CASA DE PASSAGEM  02 - RENASCENCA  - VLAN 4053 - SLS-216233-00151</t>
  </si>
  <si>
    <t>196213, 196675, 197575</t>
  </si>
  <si>
    <t>196675, 197575</t>
  </si>
  <si>
    <t>SLS/L2L/216233/151</t>
  </si>
  <si>
    <t>23022026-14598</t>
  </si>
  <si>
    <t>UEB VERA MACIEIRA - SLS-216233-00248</t>
  </si>
  <si>
    <t>197109, 197587</t>
  </si>
  <si>
    <t>SLS/L2L/218787/248</t>
  </si>
  <si>
    <t>24022026-17984</t>
  </si>
  <si>
    <t>HowBe - S3UTM2626-BNBWAN-GIGA-ALTOS-TERESINAPI-FORTIAP - Link inoperante</t>
  </si>
  <si>
    <t>198095</t>
  </si>
  <si>
    <t>20022026-62705</t>
  </si>
  <si>
    <t>LUCAS L R PORTO PORTAL TECNOLOGIA EM COMUNICACOES  |  INDISPONIBILIDADE  |  SLS/IPT/109357/4</t>
  </si>
  <si>
    <t>LUCAS L R PORTO PORTAL TECNOLOGIA EM COMUNICACOES</t>
  </si>
  <si>
    <t>04.489.006/0001-25</t>
  </si>
  <si>
    <t>195935, 195951, 196295, 196655, 197285, 197569</t>
  </si>
  <si>
    <t>197569</t>
  </si>
  <si>
    <t>SLS/IPT/109357/4</t>
  </si>
  <si>
    <t>23022026-20404</t>
  </si>
  <si>
    <t>197167, 197265, 198101</t>
  </si>
  <si>
    <t>198101</t>
  </si>
  <si>
    <t>22022026-80939</t>
  </si>
  <si>
    <t>COMPUSERVICE EMPREENDIMENTOS LTDA || INDISPONIBILIDADE || FLA-IPD/117133/00005</t>
  </si>
  <si>
    <t>COMPUSERVICE EMPREENDIMENTOS LTDA COMPUSERVICE</t>
  </si>
  <si>
    <t>02.985.578/0001-70</t>
  </si>
  <si>
    <t>196593</t>
  </si>
  <si>
    <t>ALTAMIRA</t>
  </si>
  <si>
    <t>ATM/IPD/117133/5</t>
  </si>
  <si>
    <t>24022026-18059</t>
  </si>
  <si>
    <t>Circuito da loja de RRpneus - Guajajaras Offline</t>
  </si>
  <si>
    <t>197947</t>
  </si>
  <si>
    <t>SLS/L2L/218097/4</t>
  </si>
  <si>
    <t>23022026-42833</t>
  </si>
  <si>
    <t>SEM LINK DE REDE NA LOCALIDADE</t>
  </si>
  <si>
    <t>MINISTERIO DA JUSTICA E SEGURANCA PUBLICA SUPERINTENDENCIA REGIONAL DA POLICIA FEDERAL NO MARANHA</t>
  </si>
  <si>
    <t>00.394.494/0027-75</t>
  </si>
  <si>
    <t>196943, 197577</t>
  </si>
  <si>
    <t>SLS/IPD/217825/3</t>
  </si>
  <si>
    <t>24022026-78231</t>
  </si>
  <si>
    <t>CLARO || INDISPONIBILIDADE || BBEI/L2L/175487/6</t>
  </si>
  <si>
    <t>198531</t>
  </si>
  <si>
    <t>BACABEIRA</t>
  </si>
  <si>
    <t>BBEI/L2L/175487/6</t>
  </si>
  <si>
    <t>23022026-73196</t>
  </si>
  <si>
    <t>Atendimento para: Anexo UEB ENS FUND PRIMAVERA  -  SLS-216233-00271</t>
  </si>
  <si>
    <t>197457</t>
  </si>
  <si>
    <t>23022026-13784</t>
  </si>
  <si>
    <t>LINK INOPERANTE - ESS/L2L/49495/300</t>
  </si>
  <si>
    <t>197791</t>
  </si>
  <si>
    <t>25022026-23872</t>
  </si>
  <si>
    <t>Perda de pacotes e sem conexão - LINK DEDICADO DE INTERNET - SIP/IPD/52957/13 - Av Sete de Janeiro , 1692 , JUAZEIRO , SANTA ISABEL DO PARA-PA</t>
  </si>
  <si>
    <t>198957, 199481</t>
  </si>
  <si>
    <t>23022026-70559</t>
  </si>
  <si>
    <t>Atendimento para: UEB PROFESSORA ENEDIR SANTOS PAIXAO - SLS-216233-00347</t>
  </si>
  <si>
    <t>197113</t>
  </si>
  <si>
    <t>SLS/L2L/218787/347</t>
  </si>
  <si>
    <t>23022026-31453</t>
  </si>
  <si>
    <t>INC0401321 - [High] LINK-DEDICADO-WIRELINK-PI-WYDEN-UNIFACID_HORTO_FLORESTAL-186.225.59.162</t>
  </si>
  <si>
    <t>Stephanie Vieira de Santana</t>
  </si>
  <si>
    <t>197557</t>
  </si>
  <si>
    <t>23022026-57539</t>
  </si>
  <si>
    <t>HOSPITAL DE OLHOS FRANCISCO  | INOPERANTE | PNA/L2L/203737/4</t>
  </si>
  <si>
    <t>197455</t>
  </si>
  <si>
    <t>PNA/L2L/203737/4</t>
  </si>
  <si>
    <t>25022026-77031</t>
  </si>
  <si>
    <t>HowBe - S3RT02241-BNBAGWANL2-GIGA-CEN-GRAJAUMA-NEW - Link inoperante</t>
  </si>
  <si>
    <t>199431</t>
  </si>
  <si>
    <t>GJU/IPD/6971/1538</t>
  </si>
  <si>
    <t>24022026-36351</t>
  </si>
  <si>
    <t>Atendimento para: UEB ENS FUND GALILEU CLEMENTINO RAMOS SANTOS - SLS-216233-00349</t>
  </si>
  <si>
    <t>198387</t>
  </si>
  <si>
    <t>SLS/L2L/218787/349</t>
  </si>
  <si>
    <t>25022026-97359</t>
  </si>
  <si>
    <t>Atendimento para: UEB ENS FUND JOSE TEIXEIRA MOTA  -  SLS-216233-00372</t>
  </si>
  <si>
    <t>199163</t>
  </si>
  <si>
    <t>SLS/L2L/218787/372</t>
  </si>
  <si>
    <t>20022026-48627</t>
  </si>
  <si>
    <t>Atendimento para: SEMUS SEDE - SLS-218791-48</t>
  </si>
  <si>
    <t>196661, 198525</t>
  </si>
  <si>
    <t>198525</t>
  </si>
  <si>
    <t>25022026-74135</t>
  </si>
  <si>
    <t>199081</t>
  </si>
  <si>
    <t>25022026-35829</t>
  </si>
  <si>
    <t>ABERTURA DE REPARO ( LOJA 1210 - LINK MOB INOPERANTE )</t>
  </si>
  <si>
    <t>199421</t>
  </si>
  <si>
    <t>TSA/IPD/6421/594</t>
  </si>
  <si>
    <t>25022026-40918</t>
  </si>
  <si>
    <t>GNEX LTDA ME  | INDISPONIBILIDADE | BLM/SWC/40815/11</t>
  </si>
  <si>
    <t>SWAP Capacidade</t>
  </si>
  <si>
    <t>199433</t>
  </si>
  <si>
    <t>ULNS/SWC/40815/10</t>
  </si>
  <si>
    <t>19022026-37004</t>
  </si>
  <si>
    <t>FORMULA TIJU FITNESS CENTER | INDISPONIBILIDADE | SLS/IPD/225239/1</t>
  </si>
  <si>
    <t>198185, 198521</t>
  </si>
  <si>
    <t>198521</t>
  </si>
  <si>
    <t>24022026-90554</t>
  </si>
  <si>
    <t>198121, 198443</t>
  </si>
  <si>
    <t>198443</t>
  </si>
  <si>
    <t>26022026-67129</t>
  </si>
  <si>
    <t>S3UTM2599-L1-BNBWAN-GIGA-VER-TERESINACIDVERDEPI - HOWBE - LINK INDISPONIVEL</t>
  </si>
  <si>
    <t>199767</t>
  </si>
  <si>
    <t>TSA/IPD/6971/1608</t>
  </si>
  <si>
    <t>25022026-71397</t>
  </si>
  <si>
    <t>199493, 199955</t>
  </si>
  <si>
    <t>199955</t>
  </si>
  <si>
    <t>24022026-32994</t>
  </si>
  <si>
    <t>LINK INOPERANTE - SLS/L2L/49019/457 - 7º JUIZADO ESPECIAL CÍVEL SÃO LUIS</t>
  </si>
  <si>
    <t>198417, 199477</t>
  </si>
  <si>
    <t>199477</t>
  </si>
  <si>
    <t>26022026-88182</t>
  </si>
  <si>
    <t>ALERTA:  CLI | TIM-MASLS_0373-SLS-43367-1124 - FALHA</t>
  </si>
  <si>
    <t>200159</t>
  </si>
  <si>
    <t>SLS/L2L/83605/1124</t>
  </si>
  <si>
    <t>26022026-84251</t>
  </si>
  <si>
    <t>ALERTA:  CLI | SLS/IPD/6791/00084-BNB-AV-HOLANDESES-CALHAU - FALHA</t>
  </si>
  <si>
    <t>200003</t>
  </si>
  <si>
    <t>SLS/IPD/6971/84</t>
  </si>
  <si>
    <t>22022026-91729</t>
  </si>
  <si>
    <t>ALERTA:  CLI | MPMA.CHT.COELHO.NETO.L2L.149307.92 - FALHA</t>
  </si>
  <si>
    <t>IPRONTO SOLUCOES TECNOLOGICAS LTDA</t>
  </si>
  <si>
    <t>196701, 197581, 199273</t>
  </si>
  <si>
    <t>COELHO NETO</t>
  </si>
  <si>
    <t>CHT/L2L/149307/92</t>
  </si>
  <si>
    <t>25022026-60933</t>
  </si>
  <si>
    <t>199075, 199079, 199483, 200149</t>
  </si>
  <si>
    <t>199075, 200149</t>
  </si>
  <si>
    <t>23022026-89043</t>
  </si>
  <si>
    <t>Atendimento para: CTA ANIL - SLS-216233-00122</t>
  </si>
  <si>
    <t>199881, 199937, 199963</t>
  </si>
  <si>
    <t>SLS/L2L/218791/122</t>
  </si>
  <si>
    <t>25022026-99322</t>
  </si>
  <si>
    <t>SOLICITAÇÃO DE ABERTURA DE REPARO PARA O LINK L2L SM467 CAMINO COLINAS - WRK COS/L2L/215589/3 20MB</t>
  </si>
  <si>
    <t>POSTERUS SUPERMERCADOS LTDA GRUPO MATEUS</t>
  </si>
  <si>
    <t>27.352.414/0041-23</t>
  </si>
  <si>
    <t>PRISMA TELECOMUNICACOES LTDA.</t>
  </si>
  <si>
    <t>199317, 199879</t>
  </si>
  <si>
    <t>COLINAS</t>
  </si>
  <si>
    <t>COS/L2L/215589/3</t>
  </si>
  <si>
    <t>23022026-66847</t>
  </si>
  <si>
    <t>200225</t>
  </si>
  <si>
    <t>25022026-58261</t>
  </si>
  <si>
    <t>OI S A EM RECUPERACAO JUDICIAL | INDISPONIBILIDADE | SLS/FBR/214913/63</t>
  </si>
  <si>
    <t>26022026-35784</t>
  </si>
  <si>
    <t>Atendimento para: UEB CRIANCA FELIZ  -  SLS-216233-00177</t>
  </si>
  <si>
    <t>200339</t>
  </si>
  <si>
    <t>SLS/L2L/218787/177</t>
  </si>
  <si>
    <t>25022026-77874</t>
  </si>
  <si>
    <t>ZE-15 - Link inoperante</t>
  </si>
  <si>
    <t>200313</t>
  </si>
  <si>
    <t>GJU/L2L/201809/8</t>
  </si>
  <si>
    <t>26022026-75063</t>
  </si>
  <si>
    <t>Link down</t>
  </si>
  <si>
    <t>COLEGIO DOM BOSCO LTDA</t>
  </si>
  <si>
    <t>41.478.561/0001-88</t>
  </si>
  <si>
    <t>200005</t>
  </si>
  <si>
    <t>SLS/L2L/43341/833</t>
  </si>
  <si>
    <t>26022026-54683</t>
  </si>
  <si>
    <t>ALERTA:  CLI | TRE.SIS.SANTA.INES.L2L.201809.6 - FALHA</t>
  </si>
  <si>
    <t>200323</t>
  </si>
  <si>
    <t>SIS/L2L/201809/6</t>
  </si>
  <si>
    <t>27022026-33052</t>
  </si>
  <si>
    <t>Atendimento para: SEMMAM - PARQUE DO BOM MENINO - VLAN 4034 - SLS-216233-00481</t>
  </si>
  <si>
    <t>200649</t>
  </si>
  <si>
    <t>SLS/L2L/216233/481</t>
  </si>
  <si>
    <t>25022026-40675</t>
  </si>
  <si>
    <t>IPTAN - INSTITUTO DE ENSINO SUPERIOR PRESIDENTE TANCREDO DE ALMEIDA NEVES S.A. || SIS/IPD/226191/1 || Indisponibilidade</t>
  </si>
  <si>
    <t>IPTAN - INSTITUTO DE ENSINO SUPERIOR PRESIDENTE TANCREDO DE ALMEIDA NEVES S.A. AFYA FACULDADE DE CIENCIAS MEDICAS DE SANTA INES</t>
  </si>
  <si>
    <t>03.219.494/0003-50</t>
  </si>
  <si>
    <t>199373, 200305</t>
  </si>
  <si>
    <t>SIS/IPD/226191/1</t>
  </si>
  <si>
    <t>26022026-76238</t>
  </si>
  <si>
    <t>BANCO DO NORDESTE DO BRASIL SA BNB  |  INDISPONIBILIDADE  |  SRN/IPD/6971/39</t>
  </si>
  <si>
    <t>199875, 199891</t>
  </si>
  <si>
    <t>SRN/IPD/6971/39</t>
  </si>
  <si>
    <t>27022026-96460</t>
  </si>
  <si>
    <t>Atendimento para: CS Pirapora E SESMT - VLAN 3738 SLS-216233-00129</t>
  </si>
  <si>
    <t>200603</t>
  </si>
  <si>
    <t>SLS/L2L/218791/129</t>
  </si>
  <si>
    <t>27022026-73475</t>
  </si>
  <si>
    <t>Link sem comunicação - NLD</t>
  </si>
  <si>
    <t>NLD VEICULOS E PECAS LTDA GRUPO NEWLAND</t>
  </si>
  <si>
    <t>19.923.963/0001-95</t>
  </si>
  <si>
    <t>200693</t>
  </si>
  <si>
    <t>TSA/IPD/216129/4</t>
  </si>
  <si>
    <t>27022026-71209</t>
  </si>
  <si>
    <t>200631</t>
  </si>
  <si>
    <t>28022026-79695</t>
  </si>
  <si>
    <t>INOPERANTE | SLS/IPD/204321/4</t>
  </si>
  <si>
    <t>201159</t>
  </si>
  <si>
    <t>SLS/IPD/204321/4</t>
  </si>
  <si>
    <t>25022026-38971</t>
  </si>
  <si>
    <t>CAIXA ECONOMICA FEDERAL | INDISPONIBILIDADE | SLS/L2L/205001/122</t>
  </si>
  <si>
    <t>200307, 200907</t>
  </si>
  <si>
    <t>SLS/L2L/204393/837</t>
  </si>
  <si>
    <t>27022026-63212</t>
  </si>
  <si>
    <t>200283</t>
  </si>
  <si>
    <t>27022026-48318</t>
  </si>
  <si>
    <t>200963</t>
  </si>
  <si>
    <t>S10</t>
  </si>
  <si>
    <t>28022026-27410</t>
  </si>
  <si>
    <t>201401</t>
  </si>
  <si>
    <t>25022026-25482</t>
  </si>
  <si>
    <t>Re: Ticket: 23022026-71630 - Re: Ticket: 20012026-87384 - Abertura de Reparo FÓRUM COELHO NETO - CHT/L2L/49019/467</t>
  </si>
  <si>
    <t>Régua de Alimentação</t>
  </si>
  <si>
    <t>199491, 200315</t>
  </si>
  <si>
    <t>CHT/L2L/49495/467</t>
  </si>
  <si>
    <t>28022026-47535</t>
  </si>
  <si>
    <t>TELECOMUNICACOES BRASILEIRAS SA TELEBRAS TELEBRAS || CXS/IPD/19913/871 || INDISPONIBILIDADE</t>
  </si>
  <si>
    <t>201235, 201783</t>
  </si>
  <si>
    <t>27022026-14704</t>
  </si>
  <si>
    <t>HAPVIDA ASSISTENCIA MEDICA LTDA | INOPERANTE | PUP/IPD/4341/899</t>
  </si>
  <si>
    <t>200949, 200991, 201013</t>
  </si>
  <si>
    <t>201013</t>
  </si>
  <si>
    <t>PUP/IPD/4341/899</t>
  </si>
  <si>
    <t>28022026-70997</t>
  </si>
  <si>
    <t>201865</t>
  </si>
  <si>
    <t>27022026-71755</t>
  </si>
  <si>
    <t>HAPVIDA ASSISTENCIA MEDICA LTDA GRUPO HAPVIDA || INDISPONIBILIDADE || UP/4341/00948</t>
  </si>
  <si>
    <t>200933, 200935, 200937, 200993, 201011</t>
  </si>
  <si>
    <t>201011</t>
  </si>
  <si>
    <t>PUP/IPD/4341/948</t>
  </si>
  <si>
    <t>27022026-34197</t>
  </si>
  <si>
    <t>AZUL LINHAS AEREAS BRASILEIRAS S A AZUL LINHAS AEREAS BRASILEIRAS S A || INDISPONIBILIDADE || PUP/IPD/55277/1</t>
  </si>
  <si>
    <t>200965</t>
  </si>
  <si>
    <t>27022026-90470</t>
  </si>
  <si>
    <t>201751, 201755, 201765, 201969</t>
  </si>
  <si>
    <t>201765, 201969</t>
  </si>
  <si>
    <t>01032026-81094</t>
  </si>
  <si>
    <t>Abertura de Chamado - EVE251200162775</t>
  </si>
  <si>
    <t>201331, 201789</t>
  </si>
  <si>
    <t>201789</t>
  </si>
  <si>
    <t>PCZ/L2L/82709/863</t>
  </si>
  <si>
    <t>01032026-66259</t>
  </si>
  <si>
    <t>Atendimento para: UEB ENS FUND MINISTRO CARLOS MADEIRA - INFANTIL - VLAN 4036 SLS-216233-00501</t>
  </si>
  <si>
    <t>201407</t>
  </si>
  <si>
    <t>SLS/L2L/218787/501</t>
  </si>
  <si>
    <t>26022026-88730</t>
  </si>
  <si>
    <t>Solicitação de abertura de chamado TRE-PI/São Raimundo Nonato</t>
  </si>
  <si>
    <t>TRIBUNAL REGIONAL ELEITORAL DO PIAUI TRE PI</t>
  </si>
  <si>
    <t>05.957.363/0001-33</t>
  </si>
  <si>
    <t>200163, 200169</t>
  </si>
  <si>
    <t>200169</t>
  </si>
  <si>
    <t>SRN/L2L/204531/51</t>
  </si>
  <si>
    <t>02032026-23335</t>
  </si>
  <si>
    <t>VT SAO RAIMUNDO NONATO COM LINK INDISPONÍVEL</t>
  </si>
  <si>
    <t>TRIBUNAL REGIONAL DO TRABALHO DA 22A REGIAO</t>
  </si>
  <si>
    <t>03.458.141/0001-40</t>
  </si>
  <si>
    <t>201515, 202923</t>
  </si>
  <si>
    <t>202923</t>
  </si>
  <si>
    <t>SRN/FWL/43919/867</t>
  </si>
  <si>
    <t>01032026-72766</t>
  </si>
  <si>
    <t>ALERTA:  CLI | DPMA.MTE.MATOES.L3VPN.203659.134 - FALHA</t>
  </si>
  <si>
    <t>201409</t>
  </si>
  <si>
    <t>MATOES</t>
  </si>
  <si>
    <t>MTE/L2L/203659/134</t>
  </si>
  <si>
    <t>02032026-84379</t>
  </si>
  <si>
    <t>EM TRATATIVA COM SUPORTE CA</t>
  </si>
  <si>
    <t>201973</t>
  </si>
  <si>
    <t>02032026-53388</t>
  </si>
  <si>
    <t>VIANET TELECOM | INDISPONIBILIDADE | BGN/IPD/225259/1</t>
  </si>
  <si>
    <t>VIANET TELECOM LTDA VIANET TELECOM</t>
  </si>
  <si>
    <t>20.207.620/0001-03</t>
  </si>
  <si>
    <t>202455</t>
  </si>
  <si>
    <t>BRAGANCA</t>
  </si>
  <si>
    <t>BGN/IPD/225259/1</t>
  </si>
  <si>
    <t>27022026-22098</t>
  </si>
  <si>
    <t>Falha de conectividade na Promotoria de Justiça de Matões</t>
  </si>
  <si>
    <t>MARANHAO TELECOM LTDA</t>
  </si>
  <si>
    <t>201395</t>
  </si>
  <si>
    <t>MTE/L2L/149307/40</t>
  </si>
  <si>
    <t>28022026-84996</t>
  </si>
  <si>
    <t>INC000000906878 - [OP-BR] - ENLACE CAIDO - PICOS - MOBWIRE - MASSIVO - 28/02/2026</t>
  </si>
  <si>
    <t>201787</t>
  </si>
  <si>
    <t>PCZ/IPD/201821/15</t>
  </si>
  <si>
    <t>01032026-20214</t>
  </si>
  <si>
    <t>201259</t>
  </si>
  <si>
    <t>28022026-20445</t>
  </si>
  <si>
    <t>201053, 201399, 202437</t>
  </si>
  <si>
    <t>202437</t>
  </si>
  <si>
    <t>02032026-18039</t>
  </si>
  <si>
    <t>HOSPITAL DR DJALMA MARQUES SOCORRAO I - SLS/L2L/218791/526</t>
  </si>
  <si>
    <t>201909</t>
  </si>
  <si>
    <t>27022026-51424</t>
  </si>
  <si>
    <t>Atendimento para: C.S. DOM JOAO A FARINA - SLS-216233-00126</t>
  </si>
  <si>
    <t>201987</t>
  </si>
  <si>
    <t>SLS/L2L/218791/126</t>
  </si>
  <si>
    <t>26022026-43357</t>
  </si>
  <si>
    <t>Abertura de reparo - Chamado Equinix : 1-257495868457 | Circuito: BLM0-00136119-00010 | Cliente final: EQUATORIAL PARA DISTRIBUIDORA DE ENERGIA S.A.|</t>
  </si>
  <si>
    <t>WEBFOCO TELECOMUNICACOES LTDA</t>
  </si>
  <si>
    <t>200267, 201291, 201315, 201379, 202477</t>
  </si>
  <si>
    <t>201315</t>
  </si>
  <si>
    <t>BLM/L2L/229111/10</t>
  </si>
  <si>
    <t>03032026-24617</t>
  </si>
  <si>
    <t>FW Distribuidora | INDISPONIBILIDADE | SLS/IPD/211283/1</t>
  </si>
  <si>
    <t>SERVIÇO DE ACESSO A CONTEÚDO - ID(Wire)</t>
  </si>
  <si>
    <t>FW Distribuidora Ltda</t>
  </si>
  <si>
    <t>08.897.417/0028-20</t>
  </si>
  <si>
    <t>203261</t>
  </si>
  <si>
    <t>SLS/IPD/211283/1</t>
  </si>
  <si>
    <t>27022026-59569</t>
  </si>
  <si>
    <t>Abertura de chamado operadora terceira (  Wirelink, ,CD PA – BENEVIDES_PA |INC9116030/ CS9042366)</t>
  </si>
  <si>
    <t>RAIA DROGASIL S A</t>
  </si>
  <si>
    <t>61.585.865/0001-51</t>
  </si>
  <si>
    <t>200959</t>
  </si>
  <si>
    <t>BVS/IPD/212995/147</t>
  </si>
  <si>
    <t>01032026-49453</t>
  </si>
  <si>
    <t>Atendimento para: UEB ENS FUND DARCY RIBEIRO - SLS-216233-00190</t>
  </si>
  <si>
    <t>201341</t>
  </si>
  <si>
    <t>SLS/L2L/218787/190</t>
  </si>
  <si>
    <t>27022026-98629</t>
  </si>
  <si>
    <t>200755, 201387, 202057</t>
  </si>
  <si>
    <t>202057</t>
  </si>
  <si>
    <t>02032026-10309</t>
  </si>
  <si>
    <t>HowBe - S3RT02096-BNBWANL2-GIGA-CEN-CAMPOMAIOR-PI-NEW - Link inoperante</t>
  </si>
  <si>
    <t>202353, 202467, 202469</t>
  </si>
  <si>
    <t>202467</t>
  </si>
  <si>
    <t>CAMPO MAIOR</t>
  </si>
  <si>
    <t>CRA/IPD/6971/590</t>
  </si>
  <si>
    <t>02032026-83569</t>
  </si>
  <si>
    <t>202451</t>
  </si>
  <si>
    <t>02032026-45600</t>
  </si>
  <si>
    <t>201775</t>
  </si>
  <si>
    <t>02032026-25206</t>
  </si>
  <si>
    <t>02032026-74108</t>
  </si>
  <si>
    <t>REDEMAQUINAS COMERCIO | indisponivel</t>
  </si>
  <si>
    <t>202443</t>
  </si>
  <si>
    <t>01032026-68662</t>
  </si>
  <si>
    <t>201417, 202439, 203193</t>
  </si>
  <si>
    <t>201417, 203193</t>
  </si>
  <si>
    <t>01032026-43904</t>
  </si>
  <si>
    <t>Atendimento para: HOSPITAL DA CRIANCA LINK 03 - LINK PRINCIPAL</t>
  </si>
  <si>
    <t>202389</t>
  </si>
  <si>
    <t>03032026-64798</t>
  </si>
  <si>
    <t>Atendimento para: UEB ENS DR OLIVEIRA ROMA - infantil  -  SLS-216233-00479</t>
  </si>
  <si>
    <t>202943, 203551</t>
  </si>
  <si>
    <t>203551</t>
  </si>
  <si>
    <t>SLS/L2L/218787/479</t>
  </si>
  <si>
    <t>03032026-28754</t>
  </si>
  <si>
    <t>TELECOMUNICACOES BRASILEIRAS SA TELEBRAS | INDISPONIBILIDADE | TSA/L2L/19917/873</t>
  </si>
  <si>
    <t>Pablo de Sousa Araújo</t>
  </si>
  <si>
    <t>203293</t>
  </si>
  <si>
    <t>TSA/L2L/19917/873</t>
  </si>
  <si>
    <t>02032026-94743</t>
  </si>
  <si>
    <t>SEST SERVICO SOCIAL DO TRANSPORTE PICOS PI  | INDISPONIBILIDADE |  PCZ/IPD/217673/1</t>
  </si>
  <si>
    <t>SEST SERVICO SOCIAL DO TRANSPORTE PICOS PI UNIDADE C N 108</t>
  </si>
  <si>
    <t>73.471.989/0125-25</t>
  </si>
  <si>
    <t>201829</t>
  </si>
  <si>
    <t>PCZ/IPD/217673/1</t>
  </si>
  <si>
    <t>03032026-38676</t>
  </si>
  <si>
    <t>ABERTURA DE CHAMADO/202607408683/GOCIL SERVICOS GERAIS NORDESTE LTDA EM RECUPERACAO JUDICIAL</t>
  </si>
  <si>
    <t>203055, 203091</t>
  </si>
  <si>
    <t>203091</t>
  </si>
  <si>
    <t>04032026-57167</t>
  </si>
  <si>
    <t>VIANET TELECOM LTDA  | INDISPONIBILIDADE |  BGN/IPD/225259/1</t>
  </si>
  <si>
    <t>203803, 203969</t>
  </si>
  <si>
    <t>203969</t>
  </si>
  <si>
    <t>04032026-76663</t>
  </si>
  <si>
    <t>TELECOMUNICACOES BRASILEIRAS SA | Indisponibilidade | TSA/L2L/19917/667</t>
  </si>
  <si>
    <t>204035, 204117</t>
  </si>
  <si>
    <t>204117</t>
  </si>
  <si>
    <t>TSA/L2L/19917/667</t>
  </si>
  <si>
    <t>03032026-81707</t>
  </si>
  <si>
    <t>LINK DOWN EM TIMON</t>
  </si>
  <si>
    <t>203289</t>
  </si>
  <si>
    <t>TMN/L2L/203659/4</t>
  </si>
  <si>
    <t>03032026-28702</t>
  </si>
  <si>
    <t>ALERTA:  CLI | DPMA.SLS.ITAQUI.BACANGA.L3VPN.203659.57 - FALHA</t>
  </si>
  <si>
    <t>202397, 203197</t>
  </si>
  <si>
    <t>203197</t>
  </si>
  <si>
    <t>SLS/L2L/203659/57</t>
  </si>
  <si>
    <t>05032026-23078</t>
  </si>
  <si>
    <t>204231</t>
  </si>
  <si>
    <t>02032026-18740</t>
  </si>
  <si>
    <t>202465, 203199</t>
  </si>
  <si>
    <t>203199</t>
  </si>
  <si>
    <t>03032026-76819</t>
  </si>
  <si>
    <t>Atendimento para: UEB MORANGUINHO - SLS-216233-00169</t>
  </si>
  <si>
    <t>203201</t>
  </si>
  <si>
    <t>SLS/L2L/218787/169</t>
  </si>
  <si>
    <t>04032026-10698</t>
  </si>
  <si>
    <t>Atendimento para: UEB ENS FUND PROF JOAO DE SOUZA GUIMARAES - SLS-216233-00194</t>
  </si>
  <si>
    <t>203761</t>
  </si>
  <si>
    <t>SLS/L2L/218787/194</t>
  </si>
  <si>
    <t>03032026-93382</t>
  </si>
  <si>
    <t>ALERTA:  CLI | TJMA.SLS.F.PACO-FW#/49495.410 - FALHA</t>
  </si>
  <si>
    <t>203099</t>
  </si>
  <si>
    <t>PCL/FWL/49495/410</t>
  </si>
  <si>
    <t>03032026-32359</t>
  </si>
  <si>
    <t>203183</t>
  </si>
  <si>
    <t>03032026-41363</t>
  </si>
  <si>
    <t>203303, 204249</t>
  </si>
  <si>
    <t>204249</t>
  </si>
  <si>
    <t>01032026-68563</t>
  </si>
  <si>
    <t>04032026-75574</t>
  </si>
  <si>
    <t>ABERTURA DE CHAMADO - INDISPONIBILIDADES CIRCUITOS THE PI</t>
  </si>
  <si>
    <t>204193</t>
  </si>
  <si>
    <t>TSA/IPD/19489/12</t>
  </si>
  <si>
    <t>04032026-28721</t>
  </si>
  <si>
    <t>RA SLZ HOTEL LTDA || INDISPONIBILIDADE || SLS/IPD/225511/1</t>
  </si>
  <si>
    <t>RA SLZ HOTEL LTDA</t>
  </si>
  <si>
    <t>57.510.628/0001-54</t>
  </si>
  <si>
    <t>203809</t>
  </si>
  <si>
    <t>SLS/IPD/225511/1</t>
  </si>
  <si>
    <t>03032026-31914</t>
  </si>
  <si>
    <t>OI S A | indisponivel</t>
  </si>
  <si>
    <t>203119, 203557</t>
  </si>
  <si>
    <t>203557</t>
  </si>
  <si>
    <t>SLS/FBR/214913/62</t>
  </si>
  <si>
    <t>05032026-82740</t>
  </si>
  <si>
    <t>204733, 205021</t>
  </si>
  <si>
    <t>205021</t>
  </si>
  <si>
    <t>05032026-33608</t>
  </si>
  <si>
    <t>INOVANET EMPREENDIMENTOS LTDA.| INDISPONIBILIDADE | SLS/L2L/133341/33</t>
  </si>
  <si>
    <t>204637</t>
  </si>
  <si>
    <t>SLS/L2L/133341/33</t>
  </si>
  <si>
    <t>04032026-48712</t>
  </si>
  <si>
    <t>204263</t>
  </si>
  <si>
    <t>05032026-78302</t>
  </si>
  <si>
    <t>MUNICIPIO DE SAO LUIS SEMED  |  INDISPONIBILIDADE  |  SLS/L2L/218787/353</t>
  </si>
  <si>
    <t>204539</t>
  </si>
  <si>
    <t>04032026-35785</t>
  </si>
  <si>
    <t>HOSPITAL SANTA MARIA LTDA | INOPERANTE | TSA/L2L/94921/4</t>
  </si>
  <si>
    <t>204075</t>
  </si>
  <si>
    <t>04032026-27490</t>
  </si>
  <si>
    <t>TERMACO TERMINAIS MARITIMOS DE CONTAINERS E SERVICOS ACESSORIOS LTDA || TSA/IPD/201963/7 || INDISPONIBILIDADE</t>
  </si>
  <si>
    <t>TERMACO TERMINAIS MARITIMOS DE CONTAINERS E SERVICOS ACESSORIOS LTDA</t>
  </si>
  <si>
    <t>11.552.312/0001-24</t>
  </si>
  <si>
    <t>204593</t>
  </si>
  <si>
    <t>TSA/IPD/201963/7</t>
  </si>
  <si>
    <t>04032026-61896</t>
  </si>
  <si>
    <t>Abertura de Reparo - Chamado Equinix: 1-257685824752 | Circuito: TSA1361198 | EQUATORIAL PIAUI DISTRIBUIDORA DE ENERGIA S.A |</t>
  </si>
  <si>
    <t>204199</t>
  </si>
  <si>
    <t>TSA/L2L/229111/8</t>
  </si>
  <si>
    <t>05032026-97802</t>
  </si>
  <si>
    <t>BRISANET SERVICOS | indisponivel</t>
  </si>
  <si>
    <t>205029</t>
  </si>
  <si>
    <t>SLS/FBR/48887/624</t>
  </si>
  <si>
    <t>05032026-95467</t>
  </si>
  <si>
    <t>NORTE TELECOMUNICACOES | INDISPONIBILIDADE | AIU/IPD/41079/2</t>
  </si>
  <si>
    <t>NORTE TELECOMUNICACOES SERVICOS DE INTERNET LTDA GBS NET</t>
  </si>
  <si>
    <t>08.968.072/0001-39</t>
  </si>
  <si>
    <t>205233</t>
  </si>
  <si>
    <t>AIU/IPD/41079/2</t>
  </si>
  <si>
    <t>03032026-46098</t>
  </si>
  <si>
    <t>Abertura de Porta DHCP</t>
  </si>
  <si>
    <t>D M G PEREIRA JOAO E MARIA RESTAURANTE</t>
  </si>
  <si>
    <t>61.557.642/0001-80</t>
  </si>
  <si>
    <t>202929, 203181, 204393</t>
  </si>
  <si>
    <t>204393</t>
  </si>
  <si>
    <t>SLS/IPD/229497/1</t>
  </si>
  <si>
    <t>06032026-54669</t>
  </si>
  <si>
    <t>205835</t>
  </si>
  <si>
    <t>07032026-84023</t>
  </si>
  <si>
    <t>HEXATO TECNOLOGIA E FERRAMENTAS DE INTERNET | INDISPONIBILIDADE | ACD/FBR/88921/32</t>
  </si>
  <si>
    <t>206031</t>
  </si>
  <si>
    <t>08032026-50056</t>
  </si>
  <si>
    <t>S11</t>
  </si>
  <si>
    <t>08032026-19688</t>
  </si>
  <si>
    <t>08032026-91597</t>
  </si>
  <si>
    <t>HowBe - S3RT03096-BNBWANL3-GIGA-CEN-CAMPOMAIOR-PI-OLD - Link inoperante</t>
  </si>
  <si>
    <t>206215</t>
  </si>
  <si>
    <t>08032026-51097</t>
  </si>
  <si>
    <t>Atendimento para: CREAS SOL E MAR - SLS-216233-00147</t>
  </si>
  <si>
    <t>206325</t>
  </si>
  <si>
    <t>SLS/L2L/216233/147</t>
  </si>
  <si>
    <t>07032026-89867</t>
  </si>
  <si>
    <t>Atendimento para: CS JOSE DE RIBAMAR FRAZAO CORREA - SLS-216233-00225</t>
  </si>
  <si>
    <t>206309</t>
  </si>
  <si>
    <t>05032026-50729</t>
  </si>
  <si>
    <t>BRISANET SERVICOS DE TELECOMUNICACOES LTDA | INDISPONIBILIDADE | SIS/FBR/48887/617 | REQ000143314095</t>
  </si>
  <si>
    <t>205239</t>
  </si>
  <si>
    <t>SIS/FBR/48887/617</t>
  </si>
  <si>
    <t>03032026-99569</t>
  </si>
  <si>
    <t>VENTOS DE SANTO ONOFRE ENERGIAS RENOVAVEIS S A | Indisponibilidade | SYS/IPD/209717/1</t>
  </si>
  <si>
    <t>VENTOS DE SANTO ONOFRE ENERGIAS RENOVAVEIS S A</t>
  </si>
  <si>
    <t>19.022.138/0001-10</t>
  </si>
  <si>
    <t>202907</t>
  </si>
  <si>
    <t>SIMOES</t>
  </si>
  <si>
    <t>SYS/IPD/209717/1</t>
  </si>
  <si>
    <t>09032026-88796</t>
  </si>
  <si>
    <t>206591</t>
  </si>
  <si>
    <t>07032026-57568</t>
  </si>
  <si>
    <t>ALERTA:  PE.ARR.ARA.CONC.WRL.SALITRE.01 - FALHA</t>
  </si>
  <si>
    <t>206305</t>
  </si>
  <si>
    <t>07032026-31327</t>
  </si>
  <si>
    <t>206295</t>
  </si>
  <si>
    <t>09032026-31218</t>
  </si>
  <si>
    <t>ALERTA:  CLI | MPMA.ESS.ESPERANTINOPOLIS.L2L.149307.18 - FALHA</t>
  </si>
  <si>
    <t>206345</t>
  </si>
  <si>
    <t>ESS/L2L/149307/18</t>
  </si>
  <si>
    <t>05032026-18218</t>
  </si>
  <si>
    <t>CENTRO DE APOIO AOS PEQUENOS EMPREENDIMENTOS | indisponivel</t>
  </si>
  <si>
    <t>204567</t>
  </si>
  <si>
    <t>SLS/IPD/227681/2</t>
  </si>
  <si>
    <t>05032026-66056</t>
  </si>
  <si>
    <t>ABERTURA DE CHAMADO | ITZ/L2L/225537/2 | 0027832931 | GOCIL SERVICOS GERAIS NORDESTE LTDA EM RECUPERACAO JUDICIAL</t>
  </si>
  <si>
    <t>205629</t>
  </si>
  <si>
    <t>09032026-39857</t>
  </si>
  <si>
    <t>HAPVIDA ASSISTENCIA MEDICA LTDA | INDISPONIBILIDADE | AIU/IPD/4341/944</t>
  </si>
  <si>
    <t>207103</t>
  </si>
  <si>
    <t>06032026-93072</t>
  </si>
  <si>
    <t>HAPVIDA ASSISTENCIA MEDICA LTDA | OSCILAÇÃO | AIU/IPD/4341/933</t>
  </si>
  <si>
    <t>205917, 206425</t>
  </si>
  <si>
    <t>206425</t>
  </si>
  <si>
    <t>AIU/IPD/4341/933</t>
  </si>
  <si>
    <t>05032026-54391</t>
  </si>
  <si>
    <t>Atendimento para: UEB ENS FUND ROSENO DE JESUS MENDES - SLS-216233-00304</t>
  </si>
  <si>
    <t>205245</t>
  </si>
  <si>
    <t>SLS/L2L/218787/304</t>
  </si>
  <si>
    <t>09032026-30806</t>
  </si>
  <si>
    <t>206713</t>
  </si>
  <si>
    <t>05032026-52223</t>
  </si>
  <si>
    <t>Abertura de Chamado - EVE260300021120</t>
  </si>
  <si>
    <t>205019, 205243</t>
  </si>
  <si>
    <t>205243</t>
  </si>
  <si>
    <t>SLS/L2L/83605/1223</t>
  </si>
  <si>
    <t>09032026-19776</t>
  </si>
  <si>
    <t>MATEUS SUPERMERCADOS S A GRUPO MATEUS</t>
  </si>
  <si>
    <t>03.995.515/0061-06</t>
  </si>
  <si>
    <t>206393</t>
  </si>
  <si>
    <t>CHI/IPD/215197/1</t>
  </si>
  <si>
    <t>09032026-34483</t>
  </si>
  <si>
    <t>CENTRO AMBULATORIAL DIAGNOSTICO HOLANDESES LTDA CADH | INDISPONIBILIDADE | 229925/1</t>
  </si>
  <si>
    <t>Daniel Rodrigues</t>
  </si>
  <si>
    <t>CENTRO AMBULATORIAL DIAGNOSTICO HOLANDESES LTDA CADH</t>
  </si>
  <si>
    <t>17.242.393/0001-42</t>
  </si>
  <si>
    <t>206819</t>
  </si>
  <si>
    <t>SLS/IPD/229925/1</t>
  </si>
  <si>
    <t>09032026-30931</t>
  </si>
  <si>
    <t>HEXATO TECNOLOGIA E FERRAMENTAS DE INTERNET LTDA  | INDISPONIBILIDADE |  BLM/IPD/88921/24</t>
  </si>
  <si>
    <t>206793</t>
  </si>
  <si>
    <t>BLM/IPD/88921/24</t>
  </si>
  <si>
    <t>08032026-54835</t>
  </si>
  <si>
    <t>VNDRTASK0113871 || Down || ALLOHA BLM/71001/220 VLAN 3362</t>
  </si>
  <si>
    <t>206253</t>
  </si>
  <si>
    <t>BLM/L2L/71001/220</t>
  </si>
  <si>
    <t>09032026-84454</t>
  </si>
  <si>
    <t>207005, 207205</t>
  </si>
  <si>
    <t>207205</t>
  </si>
  <si>
    <t>07032026-94967</t>
  </si>
  <si>
    <t>LACMAR LABORATORIO DE ANALISES CLINICAS DO MARANHAO | INDISPONIBILIDADE | SLS/IPD/204321/12</t>
  </si>
  <si>
    <t>206081</t>
  </si>
  <si>
    <t>SLS/IPD/204321/12</t>
  </si>
  <si>
    <t>07032026-58319</t>
  </si>
  <si>
    <t>Atendimento para: CPL  - SEDE - VLAN-1847 SLS-216233-00003</t>
  </si>
  <si>
    <t>206617</t>
  </si>
  <si>
    <t>558924</t>
  </si>
  <si>
    <t>SLS/L2L/216233/3</t>
  </si>
  <si>
    <t>07032026-13815</t>
  </si>
  <si>
    <t>Indisponibilidade rota Gyn-Bsb - Equatorial Energia</t>
  </si>
  <si>
    <t>205913</t>
  </si>
  <si>
    <t>06032026-32342</t>
  </si>
  <si>
    <t>205495</t>
  </si>
  <si>
    <t>05032026-44700</t>
  </si>
  <si>
    <t>? URGENTE: Link Wirelink fora - FW_NEWLAND_TERESINA (177.200.87.222)</t>
  </si>
  <si>
    <t>NEWLAND VEICULOS LTDA GRUPO NEWLAND</t>
  </si>
  <si>
    <t>41.597.303/0004-63</t>
  </si>
  <si>
    <t>207191</t>
  </si>
  <si>
    <t>TSA/IPD/212737/1</t>
  </si>
  <si>
    <t>09032026-38274</t>
  </si>
  <si>
    <t>#05032026-50729 - BRISANET SERVICOS DE TELECOMUNICACOES LTDA | INDISPONIBILIDADE | SIS/FBR/48887/617 | REQ000143314095</t>
  </si>
  <si>
    <t>207087</t>
  </si>
  <si>
    <t>06032026-73632</t>
  </si>
  <si>
    <t>M DIAS BRANCO S A INDUSTRIA E COMERCIO DE ALIMENTOS FILIAL PARA |  INDISPONIBILIDADE | AIU/IPD/223293/1</t>
  </si>
  <si>
    <t>M DIAS BRANCO S A INDUSTRIA E COMERCIO DE ALIMENTOS FILIAL PARA</t>
  </si>
  <si>
    <t>07.206.816/0029-16</t>
  </si>
  <si>
    <t>205235, 205735, 206415</t>
  </si>
  <si>
    <t>206415</t>
  </si>
  <si>
    <t>AIU/IPD/223293/1</t>
  </si>
  <si>
    <t>07032026-75234</t>
  </si>
  <si>
    <t>Atendimento para: UEB ODYLO COSTA FILHO - SLS-216233-00339</t>
  </si>
  <si>
    <t>206287</t>
  </si>
  <si>
    <t>SLS/L2L/218787/339</t>
  </si>
  <si>
    <t>08032026-89623</t>
  </si>
  <si>
    <t>ALERTA:  CLI | TRT16.BLA.BALSAS-FW#202555.36 - FALHA</t>
  </si>
  <si>
    <t>206341, 206749</t>
  </si>
  <si>
    <t>206749</t>
  </si>
  <si>
    <t>BLA/FWL/202555/36</t>
  </si>
  <si>
    <t>11032026-64164</t>
  </si>
  <si>
    <t>208067</t>
  </si>
  <si>
    <t>10032026-98821</t>
  </si>
  <si>
    <t>UEB ENS FUND PROF JOSE GONCALVES DO AMARAL RAPOSO - VLAN-3928 SLS-218787-00358</t>
  </si>
  <si>
    <t>207733</t>
  </si>
  <si>
    <t>06032026-87379</t>
  </si>
  <si>
    <t>Atendimento para: CENTRO POP COHAB - VLAN-3881 SLS-216233-00155</t>
  </si>
  <si>
    <t>205901</t>
  </si>
  <si>
    <t>09032026-14998</t>
  </si>
  <si>
    <t>206947, 207259</t>
  </si>
  <si>
    <t>207259</t>
  </si>
  <si>
    <t>10032026-39632</t>
  </si>
  <si>
    <t>Atendimento para: UEB ENS FUND PROF LUIS REGO  -  SLS-216233-00344</t>
  </si>
  <si>
    <t>207507</t>
  </si>
  <si>
    <t>SLS/L2L/218787/344</t>
  </si>
  <si>
    <t>09032026-25654</t>
  </si>
  <si>
    <t>CEMARC LINK 02 - redundante | SLS/L2L/218791/527</t>
  </si>
  <si>
    <t>206837</t>
  </si>
  <si>
    <t>06032026-65163</t>
  </si>
  <si>
    <t>Atendimento para: CRAS JOAO DE DEUS 01 - SLS-216233-00431</t>
  </si>
  <si>
    <t>206277</t>
  </si>
  <si>
    <t>SLS/L2L/216233/431</t>
  </si>
  <si>
    <t>07032026-75226</t>
  </si>
  <si>
    <t>N B S TELECOM LTDA || INOPERANTE || 225007/2</t>
  </si>
  <si>
    <t>206079, 206103, 207789</t>
  </si>
  <si>
    <t>207789</t>
  </si>
  <si>
    <t>07032026-24480</t>
  </si>
  <si>
    <t>Atendimento para: UEB ENS FUND ODYLO COSTA FILHO - SLS-216233-00323</t>
  </si>
  <si>
    <t>206291</t>
  </si>
  <si>
    <t>SLS/L2L/218787/323</t>
  </si>
  <si>
    <t>10032026-32718</t>
  </si>
  <si>
    <t>Atendimento para: Comuma - Conselho Municipal de Meio Ambiente  PARQUE DO BOM MENINO - VLAN 4037 SLS-216233-00503</t>
  </si>
  <si>
    <t>207779</t>
  </si>
  <si>
    <t>SLS/L2L/216233/503</t>
  </si>
  <si>
    <t>11032026-18852</t>
  </si>
  <si>
    <t>BEZERRA OLIVEIRA COMERCIO DE AUTOPECAS LTDA</t>
  </si>
  <si>
    <t>07.221.070/0001-19</t>
  </si>
  <si>
    <t>208445</t>
  </si>
  <si>
    <t>TSA/IPD/13175/23</t>
  </si>
  <si>
    <t>08032026-59889</t>
  </si>
  <si>
    <t>Atendimento para: UEB SARAIVA FILHO  -  SLS-216233-00345</t>
  </si>
  <si>
    <t>206135, 206329</t>
  </si>
  <si>
    <t>206329</t>
  </si>
  <si>
    <t>SLS/L2L/218787/345</t>
  </si>
  <si>
    <t>08032026-86726</t>
  </si>
  <si>
    <t>Atendimento para: SEMUSC PARQUE DO BOM MENINO -  VLAN-4020 SLS-216233-00478</t>
  </si>
  <si>
    <t>206107, 206323, 207195</t>
  </si>
  <si>
    <t>207195</t>
  </si>
  <si>
    <t>SLS/L2L/216233/478</t>
  </si>
  <si>
    <t>09032026-90708</t>
  </si>
  <si>
    <t>CIRION TECHNOLOGIES DO BRASIL | INDISPONIBILIDADE | TSA/L2L/71001/167</t>
  </si>
  <si>
    <t>207139</t>
  </si>
  <si>
    <t>TSA/L2L/71001/167</t>
  </si>
  <si>
    <t>09032026-62066</t>
  </si>
  <si>
    <t>REAL MOTO PECAS LTDA  | INDISPONIBILIDADE | MTUB/IPD/217945/1</t>
  </si>
  <si>
    <t>207109</t>
  </si>
  <si>
    <t>09032026-10054</t>
  </si>
  <si>
    <t>BRISANET SERVICOS DE TELECOMUNICACOES | INDISPONIBILIDADE | PEO/FBR/48887/630 | [REQ000143362102]</t>
  </si>
  <si>
    <t>207183</t>
  </si>
  <si>
    <t>GJU/FBR/48887/630</t>
  </si>
  <si>
    <t>11032026-71778</t>
  </si>
  <si>
    <t>208953</t>
  </si>
  <si>
    <t>10032026-67519</t>
  </si>
  <si>
    <t>Atendimento para: UEB SENADOR MIGUEL LINS INFANTIL - SLS-216233-00494</t>
  </si>
  <si>
    <t>208559</t>
  </si>
  <si>
    <t>559967</t>
  </si>
  <si>
    <t>SLS/L2L/218787/494</t>
  </si>
  <si>
    <t>10032026-61598</t>
  </si>
  <si>
    <t>Link MPLS do Anexo 4 com muita perda de pacote</t>
  </si>
  <si>
    <t>JUSTICA FEDERAL DE PRIMEIRO GRAU NO MARANHAO</t>
  </si>
  <si>
    <t>05.424.667/0001-35</t>
  </si>
  <si>
    <t>208113</t>
  </si>
  <si>
    <t>SLS/L2L/216065/12</t>
  </si>
  <si>
    <t>11032026-13530</t>
  </si>
  <si>
    <t>Atendimento para: UEB ENS FUND ANTONINHO BALDEZ  -  SLS-216233-00356</t>
  </si>
  <si>
    <t>208945</t>
  </si>
  <si>
    <t>SLS/L2L/218787/356</t>
  </si>
  <si>
    <t>09032026-22074</t>
  </si>
  <si>
    <t>RE: Ticket: 05032026-29978 - RE: Ticket: 03032026-62959 - RE: Ticket: 02032026-67024 - Falha de conectividade na Promotoria de Imperatriz Anexo</t>
  </si>
  <si>
    <t>206587, 208437</t>
  </si>
  <si>
    <t>208437</t>
  </si>
  <si>
    <t>09032026-29834</t>
  </si>
  <si>
    <t>ITZ/L2L/149307/5</t>
  </si>
  <si>
    <t>10032026-81268</t>
  </si>
  <si>
    <t>Atendimento para: CRAS LIBERDADE - SLS-216233-00437</t>
  </si>
  <si>
    <t>208303</t>
  </si>
  <si>
    <t>SLS/L2L/216233/437</t>
  </si>
  <si>
    <t>09032026-87799</t>
  </si>
  <si>
    <t>TERMACO TERMINAIS MARITIMOS DE CONTAINERS E SERVICOS ACESSORIOS LTDA  |  INDISPONIBILIDADE  |   SLS/IPD/201963/4</t>
  </si>
  <si>
    <t>206711, 207197, 208099</t>
  </si>
  <si>
    <t>206711, 208099</t>
  </si>
  <si>
    <t>SLS/IPD/201963/4</t>
  </si>
  <si>
    <t>10032026-63784</t>
  </si>
  <si>
    <t>207245, 207915</t>
  </si>
  <si>
    <t>10032026-47042</t>
  </si>
  <si>
    <t>207701</t>
  </si>
  <si>
    <t>11032026-74437</t>
  </si>
  <si>
    <t>Fibra rompida</t>
  </si>
  <si>
    <t>208835, 208949</t>
  </si>
  <si>
    <t>208949</t>
  </si>
  <si>
    <t>12032026-65493</t>
  </si>
  <si>
    <t>RF PARTICIPACOES LTDA</t>
  </si>
  <si>
    <t>00.393.163/0001-81</t>
  </si>
  <si>
    <t>209253</t>
  </si>
  <si>
    <t>PIRIPIRI</t>
  </si>
  <si>
    <t>PIP/L2L/49213/6</t>
  </si>
  <si>
    <t>11032026-65818</t>
  </si>
  <si>
    <t>LINK DE CIRCUITO TSA/1819/00067 COM INDISPONIBILIDADE</t>
  </si>
  <si>
    <t>208877</t>
  </si>
  <si>
    <t>12032026-81831</t>
  </si>
  <si>
    <t>NETLINK LTDA. NETLINK.COM | OSCILAÇÃO DO LINK | 56145/2</t>
  </si>
  <si>
    <t>209609, 209629</t>
  </si>
  <si>
    <t>209609</t>
  </si>
  <si>
    <t>10032026-67601</t>
  </si>
  <si>
    <t>Atendimento para: UEB ENS FUND HONORIO ODORICO FERREIRA  -  SLS-216233-00390</t>
  </si>
  <si>
    <t>207911</t>
  </si>
  <si>
    <t>SLS/L2L/218787/390</t>
  </si>
  <si>
    <t>11032026-33497</t>
  </si>
  <si>
    <t>208125</t>
  </si>
  <si>
    <t>11032026-34124</t>
  </si>
  <si>
    <t>Atendimento para: UEB ENS FUND ANA LUCIA CHAVES FECURY - Anexo Sao Francisco das Chagas - SLS-216233-00245</t>
  </si>
  <si>
    <t>208657</t>
  </si>
  <si>
    <t>SLS/L2L/218787/245</t>
  </si>
  <si>
    <t>11032026-86476</t>
  </si>
  <si>
    <t>208893</t>
  </si>
  <si>
    <t>11032026-90122</t>
  </si>
  <si>
    <t>208957</t>
  </si>
  <si>
    <t>12032026-46622</t>
  </si>
  <si>
    <t>HILTON COSTA OLIVEIRA NETO HILTON NET | INDISPONIBILIDADE |  BLM/IPT/227671/1</t>
  </si>
  <si>
    <t>209835</t>
  </si>
  <si>
    <t>13032026-79248</t>
  </si>
  <si>
    <t>Indisponibilidade Filial 25 - FLA/L2L/202197/23</t>
  </si>
  <si>
    <t>210197</t>
  </si>
  <si>
    <t>TSA/L2L/202197/23</t>
  </si>
  <si>
    <t>11032026-29613</t>
  </si>
  <si>
    <t>Queda de Link BL - Maiobão</t>
  </si>
  <si>
    <t>208955</t>
  </si>
  <si>
    <t>13032026-78223</t>
  </si>
  <si>
    <t>210225</t>
  </si>
  <si>
    <t>13032026-14041</t>
  </si>
  <si>
    <t>UEB NIELZA LIMA DE MATOS - SLS-218787-00241</t>
  </si>
  <si>
    <t>210223</t>
  </si>
  <si>
    <t>SLS/L2L/218787/241</t>
  </si>
  <si>
    <t>13032026-66933</t>
  </si>
  <si>
    <t>Atendimento para: CS QUEBRA POTE - VLAN 3998 SLS-216233-00443</t>
  </si>
  <si>
    <t>210215</t>
  </si>
  <si>
    <t>SLS/L2L/218791/443</t>
  </si>
  <si>
    <t>06032026-11992</t>
  </si>
  <si>
    <t>SOLICITO ABERTURA DE REPARO PARA SM602 ELETRO CEASA -  INTERMITÊNCIA</t>
  </si>
  <si>
    <t>MATEUS SUPERMERCADOS S A ELETRO MATEUS GRUPO MATEUS</t>
  </si>
  <si>
    <t>03.995.515/0191-86</t>
  </si>
  <si>
    <t>205509, 205831, 208911, 209665</t>
  </si>
  <si>
    <t>205509, 209665</t>
  </si>
  <si>
    <t>TSA/L2L/201833/1</t>
  </si>
  <si>
    <t>13032026-83660</t>
  </si>
  <si>
    <t>210467, 210513</t>
  </si>
  <si>
    <t>210513</t>
  </si>
  <si>
    <t>14032026-48744</t>
  </si>
  <si>
    <t>Alerta de Monitoramento LOJA17 designação BBL-IPD-F-091120</t>
  </si>
  <si>
    <t>Debora Evelin de Assis</t>
  </si>
  <si>
    <t>210719</t>
  </si>
  <si>
    <t>BBL/IPD/212603/6</t>
  </si>
  <si>
    <t>14032026-76017</t>
  </si>
  <si>
    <t>210659</t>
  </si>
  <si>
    <t>14032026-32108</t>
  </si>
  <si>
    <t>IDEALNET FIBRA SLZ LTDA | INDISPONIBILIDADE | SLS/L2L/228511/2</t>
  </si>
  <si>
    <t>IDEALNET FIBRA SLZ LTDA IDEALNET FIBRA SLZ LTDA</t>
  </si>
  <si>
    <t>52.643.917/0001-08</t>
  </si>
  <si>
    <t>210655</t>
  </si>
  <si>
    <t>TSA/LAC/217135/1</t>
  </si>
  <si>
    <t>S12</t>
  </si>
  <si>
    <t>12032026-96886</t>
  </si>
  <si>
    <t>HowBe - S3UTM2553-L1-BNBWAN-GIGA-VREDONDA-CAXIASMA - Link inoperante</t>
  </si>
  <si>
    <t>209589, 210187, 210965</t>
  </si>
  <si>
    <t>210187</t>
  </si>
  <si>
    <t>CXS/IPD/6971/733</t>
  </si>
  <si>
    <t>14032026-10600</t>
  </si>
  <si>
    <t>210989</t>
  </si>
  <si>
    <t>15032026-50619</t>
  </si>
  <si>
    <t>Atendimento para: UEB ENS FUND ELZUILA ABREU  - SLS-216233-00233</t>
  </si>
  <si>
    <t>210827</t>
  </si>
  <si>
    <t>14032026-69211</t>
  </si>
  <si>
    <t>Atendimento para: UEB ENS FUND PROF RUBEM TEIXEIRA GOULART - VLAN 3722 SLS-216233-00215</t>
  </si>
  <si>
    <t>210815</t>
  </si>
  <si>
    <t>SLS/L2L/218787/215</t>
  </si>
  <si>
    <t>12032026-36556</t>
  </si>
  <si>
    <t>HowBe - S3UTM2553-L2-BNBWAN-GIGA-VREDONDA-CAXIASMA - Link inoperante</t>
  </si>
  <si>
    <t>209573, 210963</t>
  </si>
  <si>
    <t>210963</t>
  </si>
  <si>
    <t>CXS/FBR/6971/1564</t>
  </si>
  <si>
    <t>16032026-60554</t>
  </si>
  <si>
    <t>211587</t>
  </si>
  <si>
    <t>13032026-74691</t>
  </si>
  <si>
    <t>Atendimento para: CENTRO POP - CENTRO -  SLS-216233-00522</t>
  </si>
  <si>
    <t>211521</t>
  </si>
  <si>
    <t>SLS/L2L/216233/522</t>
  </si>
  <si>
    <t>14032026-58873</t>
  </si>
  <si>
    <t>Atendimento para: UEB ENS FUND PIANCO - VLAN 3920 SLS-216233-00376</t>
  </si>
  <si>
    <t>210993</t>
  </si>
  <si>
    <t>SLS/L2L/218787/376</t>
  </si>
  <si>
    <t>13032026-20055</t>
  </si>
  <si>
    <t>Atendimento para: UEB MEUS AMIGUINHOS - QUEBRA POTE  -  SLS-216233-00385</t>
  </si>
  <si>
    <t>210585</t>
  </si>
  <si>
    <t>SLS/L2L/218787/385</t>
  </si>
  <si>
    <t>16032026-11575</t>
  </si>
  <si>
    <t>211439</t>
  </si>
  <si>
    <t>SLS/L2L/218297/5</t>
  </si>
  <si>
    <t>12032026-79006</t>
  </si>
  <si>
    <t>BNB | indisponivel</t>
  </si>
  <si>
    <t>209829, 211399</t>
  </si>
  <si>
    <t>PCL/IPD/6971/402</t>
  </si>
  <si>
    <t>16032026-83308</t>
  </si>
  <si>
    <t>Link intermitente</t>
  </si>
  <si>
    <t>TELEVISAO LIBERAL LIMITADA</t>
  </si>
  <si>
    <t>04.832.721/0001-19</t>
  </si>
  <si>
    <t>211923</t>
  </si>
  <si>
    <t>BLM/IPD/48975/2</t>
  </si>
  <si>
    <t>17032026-59899</t>
  </si>
  <si>
    <t>ALERTA:  CLI | TJMA.PCL.FORUM.DE.PACO.DO.LUMIAR.L3VPN.49495.75 - FALHA</t>
  </si>
  <si>
    <t>212287</t>
  </si>
  <si>
    <t>PCL/L2L/49495/75</t>
  </si>
  <si>
    <t>16032026-29308</t>
  </si>
  <si>
    <t>Atendimento para: CAPS AD ALCOOL E DROGA - VLAN 3605 SLS-216233-00053</t>
  </si>
  <si>
    <t>211973</t>
  </si>
  <si>
    <t>17032026-53631</t>
  </si>
  <si>
    <t>Mob Telecom | Abertura de protocolo de reparo | INDISPONIBILIDADE | MASDB00102 / ITZ0/IPCOR/00019913/00876</t>
  </si>
  <si>
    <t>212019</t>
  </si>
  <si>
    <t>ITZ/IPD/19913/876</t>
  </si>
  <si>
    <t>16032026-29705</t>
  </si>
  <si>
    <t>HIT TELECOMUNICAÇÕES LTDA || LINK DOWN || BLM/44343/00617</t>
  </si>
  <si>
    <t>HIT TELECOMUNICACOES LTDA</t>
  </si>
  <si>
    <t>09.446.842/0001-46</t>
  </si>
  <si>
    <t>211375</t>
  </si>
  <si>
    <t>BLM/IPD/44343/617</t>
  </si>
  <si>
    <t>16032026-18617</t>
  </si>
  <si>
    <t>ALERTA:  CLI | TRE.PI.TSA.CONCENTRADOR.IPD.204531.1 - FALHA</t>
  </si>
  <si>
    <t>210949</t>
  </si>
  <si>
    <t>TSA/IPD/204531/1</t>
  </si>
  <si>
    <t>15032026-10965</t>
  </si>
  <si>
    <t>SERVIS || INOPERANTE || 218497/765</t>
  </si>
  <si>
    <t>210921, 212523</t>
  </si>
  <si>
    <t>210921</t>
  </si>
  <si>
    <t>16032026-80874</t>
  </si>
  <si>
    <t>COLEGIO SAO FRANCISCO DE SALES DIOCESANO | Indisponibilidade | TSA/IPD/213143/1</t>
  </si>
  <si>
    <t>ASSOCIACAO ANTONIO VIEIRA COLEGIO SAO FRANCISCO DE SALES DIOCESANO</t>
  </si>
  <si>
    <t>92.959.006/0047-91</t>
  </si>
  <si>
    <t>211443, 212035</t>
  </si>
  <si>
    <t>212035</t>
  </si>
  <si>
    <t>TSA/IPD/213143/1</t>
  </si>
  <si>
    <t>13032026-98157</t>
  </si>
  <si>
    <t>#12032026-23932 - BANCO DO NORDESTE DO BRASIL SA BNB || indisponibilidade || GJU/6971/152</t>
  </si>
  <si>
    <t>210979</t>
  </si>
  <si>
    <t>15032026-12434</t>
  </si>
  <si>
    <t>Natus Lumine Maternidade e Hospital || link down || SLS/IPD/223219/1</t>
  </si>
  <si>
    <t>NATUS LUMINE EMPREENDIMENTOS MEDICOS E HOSPITALARES LTDA Natus Lumine Maternidade e Hospital</t>
  </si>
  <si>
    <t>23.813.270/0001-17</t>
  </si>
  <si>
    <t>210871, 210925</t>
  </si>
  <si>
    <t>210925</t>
  </si>
  <si>
    <t>SLS/IPD/223219/1</t>
  </si>
  <si>
    <t>15032026-76542</t>
  </si>
  <si>
    <t>Atendimento para: UEB MARY SERRAO EWERTON  -  SLS-216233-00368</t>
  </si>
  <si>
    <t>211009</t>
  </si>
  <si>
    <t>SLS/L2L/218787/368</t>
  </si>
  <si>
    <t>16032026-61148</t>
  </si>
  <si>
    <t>Alerta de Monitoramento LOJA76 designação BDC-IPD-F-74503</t>
  </si>
  <si>
    <t>211639</t>
  </si>
  <si>
    <t>BDC/IPD/212603/43</t>
  </si>
  <si>
    <t>15032026-21122</t>
  </si>
  <si>
    <t>210997</t>
  </si>
  <si>
    <t>10032026-67114</t>
  </si>
  <si>
    <t>208539, 208923, 209787, 210957</t>
  </si>
  <si>
    <t>210957</t>
  </si>
  <si>
    <t>17032026-95478</t>
  </si>
  <si>
    <t>212837</t>
  </si>
  <si>
    <t>16032026-77290</t>
  </si>
  <si>
    <t>LINK DOWN EM ITAQUI BACANGA</t>
  </si>
  <si>
    <t>211301, 212393</t>
  </si>
  <si>
    <t>212393</t>
  </si>
  <si>
    <t>17032026-13020</t>
  </si>
  <si>
    <t>ALERTA:  CLI | TRT16.ITZ.IMPERATRIZ.VARA-FW#202555.32 - FALHA</t>
  </si>
  <si>
    <t>212021</t>
  </si>
  <si>
    <t>ITZ/FWL/202555/32</t>
  </si>
  <si>
    <t>16032026-56878</t>
  </si>
  <si>
    <t>CLAUDINO S A LOJAS DE DEPARTAMENTOS ARMAZEM PARAIBA || INDISPONIBILIDADE || TSA/FBR/93027/19</t>
  </si>
  <si>
    <t>CLAUDINO S A LOJAS DE DEPARTAMENTOS ARMAZEM PARAIBA</t>
  </si>
  <si>
    <t>06.862.627/0001-38</t>
  </si>
  <si>
    <t>212107, 212809</t>
  </si>
  <si>
    <t>TSA/FBR/93027/19</t>
  </si>
  <si>
    <t>16032026-27647</t>
  </si>
  <si>
    <t>HOSPITAL DA VISAO DO MEIO NORTE LTDA | INDISPONIBILIDADE | TSA/IPD/223883/1</t>
  </si>
  <si>
    <t>HOSPITAL DA VISAO DO MEIO NORTE LTDA H Visao do Piaui</t>
  </si>
  <si>
    <t>23.671.122/0001-05</t>
  </si>
  <si>
    <t>211961</t>
  </si>
  <si>
    <t>TSA/IPD/223883/1</t>
  </si>
  <si>
    <t>18032026-54132</t>
  </si>
  <si>
    <t>ALERTA:  CLI | TJMA.SLS.JUIZADO.TRANSITO-FW#/49495.339 - FALHA</t>
  </si>
  <si>
    <t>213213</t>
  </si>
  <si>
    <t>SLS/FWL/49495/339</t>
  </si>
  <si>
    <t>16032026-70098</t>
  </si>
  <si>
    <t>Atendimento para: HOSPITAL DA CRIANCA LINK 03 - LINK PRINCIPAL - SLS-IPD-218791-525</t>
  </si>
  <si>
    <t>212043</t>
  </si>
  <si>
    <t>SLS/IPD/218791/525</t>
  </si>
  <si>
    <t>16032026-72740</t>
  </si>
  <si>
    <t>TECNO INDUSTRIA E COMERCIO DE COMPUTADORES LTDA GRUPO IBYTE || INDISPONIBILIDADE ||  SLS/FBR/1819/93</t>
  </si>
  <si>
    <t>211501</t>
  </si>
  <si>
    <t>08032026-48645</t>
  </si>
  <si>
    <t>CIRION TECHNOLOGIES DO BRASIL LTDA | AIU/L2L/71001/29 | INDISPOBNIILIDADE</t>
  </si>
  <si>
    <t>206243</t>
  </si>
  <si>
    <t>559475</t>
  </si>
  <si>
    <t>AIU/L2L/71001/29</t>
  </si>
  <si>
    <t>18032026-88598</t>
  </si>
  <si>
    <t>UEB ENS FUND MINISTRO CARLOS MADEIRA - Anexo Japiacu Sao Raimundo e Valdenir Castro - SLS-218787-00321</t>
  </si>
  <si>
    <t>213909</t>
  </si>
  <si>
    <t>SLS/L2L/218787/321</t>
  </si>
  <si>
    <t>18032026-21008</t>
  </si>
  <si>
    <t>213903</t>
  </si>
  <si>
    <t>19032026-95469</t>
  </si>
  <si>
    <t>214355</t>
  </si>
  <si>
    <t>16032026-56481</t>
  </si>
  <si>
    <t>TIM S A TIM S A | INDISPONIBILIDADE | #29012025-80951 - ATIVAÇÃO INICIAL | PLANO 1072</t>
  </si>
  <si>
    <t>211963, 212977, 214589</t>
  </si>
  <si>
    <t>214589</t>
  </si>
  <si>
    <t>TMN/L2L/83605/1072</t>
  </si>
  <si>
    <t>17032026-93035</t>
  </si>
  <si>
    <t>LINK INDISPONIVEL</t>
  </si>
  <si>
    <t>SIDERURGICA NORTE BRASIL S A</t>
  </si>
  <si>
    <t>07.933.914/0001-54</t>
  </si>
  <si>
    <t>212911</t>
  </si>
  <si>
    <t>MBA/L2L/211821/1</t>
  </si>
  <si>
    <t>18032026-38871</t>
  </si>
  <si>
    <t>LINK OFFLINE.</t>
  </si>
  <si>
    <t>213313, 213897</t>
  </si>
  <si>
    <t>213897</t>
  </si>
  <si>
    <t>BLM/LAC/218097/1</t>
  </si>
  <si>
    <t>19032026-57810</t>
  </si>
  <si>
    <t>214421</t>
  </si>
  <si>
    <t>BLM/IPD/203645/28</t>
  </si>
  <si>
    <t>19032026-58733</t>
  </si>
  <si>
    <t>[REQ000143481854] [0028] SAA AG. CAXIAS</t>
  </si>
  <si>
    <t>214181</t>
  </si>
  <si>
    <t>CXS/FBR/48887/603</t>
  </si>
  <si>
    <t>16032026-63179</t>
  </si>
  <si>
    <t>HowBe - S3RT03147-BNBAGWANL3-GIGA-CEN-ZEDOCAMA - Link inoperante</t>
  </si>
  <si>
    <t>212039, 212973</t>
  </si>
  <si>
    <t>212973</t>
  </si>
  <si>
    <t>ZED/FBR/6971/1582</t>
  </si>
  <si>
    <t>16032026-44221</t>
  </si>
  <si>
    <t>COMPANHIA BRASILEIRA DE DISTRIBUICAO AUTOMOTIVA S.A|202609112201|Projeto Especial - Node - SD-WAN|BA</t>
  </si>
  <si>
    <t>05.872.814/0023-45</t>
  </si>
  <si>
    <t>212421</t>
  </si>
  <si>
    <t>AIU/IPD/219039/38</t>
  </si>
  <si>
    <t>19032026-91184</t>
  </si>
  <si>
    <t>Atendimento para: UEB ENS FUND SARAIVA FILHO - INFANTIL  -  SLS-216233-00343</t>
  </si>
  <si>
    <t>214667</t>
  </si>
  <si>
    <t>SLS/L2L/218787/343</t>
  </si>
  <si>
    <t>18032026-68078</t>
  </si>
  <si>
    <t>REQ000143487730 [3495] SAA AG. CIDADE DOS LAGOS</t>
  </si>
  <si>
    <t>213901, 214879</t>
  </si>
  <si>
    <t>17032026-86736</t>
  </si>
  <si>
    <t>213895</t>
  </si>
  <si>
    <t>18032026-30487</t>
  </si>
  <si>
    <t>213423</t>
  </si>
  <si>
    <t>18032026-99317</t>
  </si>
  <si>
    <t>Atendimento para: CS SAO CRISTOVAO -  SLS-00216233-00069</t>
  </si>
  <si>
    <t>213905</t>
  </si>
  <si>
    <t>SLS/L2L/218791/69</t>
  </si>
  <si>
    <t>20032026-92014</t>
  </si>
  <si>
    <t>Alerta de Monitoramento LOJA49 designação STA-IPD-F74501</t>
  </si>
  <si>
    <t>215393</t>
  </si>
  <si>
    <t>SIS/IPD/212603/29</t>
  </si>
  <si>
    <t>18032026-52718</t>
  </si>
  <si>
    <t>Atendimento para: UEB DESEMBARGADOR THALES RIBEIRO GONCALVES  -  SLS-216233-00246</t>
  </si>
  <si>
    <t>213907</t>
  </si>
  <si>
    <t>SLS/L2L/218787/246</t>
  </si>
  <si>
    <t>20032026-30610</t>
  </si>
  <si>
    <t>215709</t>
  </si>
  <si>
    <t>SLS/L2L/83605/1222</t>
  </si>
  <si>
    <t>20032026-29645</t>
  </si>
  <si>
    <t>ULTRACONNECT COM E SERVICO LTDA | INDISPONIBILIDADE | MTUB/IPD/223401/1</t>
  </si>
  <si>
    <t>ULTRACONNECT COM E SERVICO LTDA Ultraconnect</t>
  </si>
  <si>
    <t>28.725.980/0001-09</t>
  </si>
  <si>
    <t>215599</t>
  </si>
  <si>
    <t>MTUB/IPD/223401/1</t>
  </si>
  <si>
    <t>19032026-26290</t>
  </si>
  <si>
    <t>ASSOCIACAO ANTONIO VIEIRA COLEGIO SAO FRANCISCO DE SALES DIOCESANO | TSA/IPD/213143/1 | INDISPONIBILIDADE</t>
  </si>
  <si>
    <t>214433</t>
  </si>
  <si>
    <t>19032026-10294</t>
  </si>
  <si>
    <t>214583</t>
  </si>
  <si>
    <t>PCL/L2L/218297/4</t>
  </si>
  <si>
    <t>21032026-37799</t>
  </si>
  <si>
    <t>GESTION SERVICES LTDA  | 218805 /1 | indisponibilidade</t>
  </si>
  <si>
    <t>215849</t>
  </si>
  <si>
    <t>21032026-76012</t>
  </si>
  <si>
    <t>ALERTA:  CLI | TJMA.ETO.FORUM.ESTREITO-FW#/49495.308 - FALHA</t>
  </si>
  <si>
    <t>JUPITER TELECOMUNICACOES E INFORMATICA LTDA</t>
  </si>
  <si>
    <t>ETO/FWL/49495/308</t>
  </si>
  <si>
    <t>S13</t>
  </si>
  <si>
    <t>20032026-48356</t>
  </si>
  <si>
    <t>RAIA DROGASIL S A | INOPERANTE | BVS/IPD/212995/147</t>
  </si>
  <si>
    <t>215813</t>
  </si>
  <si>
    <t>18032026-43625</t>
  </si>
  <si>
    <t>213643</t>
  </si>
  <si>
    <t>20032026-47203</t>
  </si>
  <si>
    <t>ABERTURA DE REPARO ( CD06 - LINK WIRELINK INOPERANTE )</t>
  </si>
  <si>
    <t>Queimada</t>
  </si>
  <si>
    <t>215539, 215761</t>
  </si>
  <si>
    <t>215761</t>
  </si>
  <si>
    <t>BVS/IPD/41827/800</t>
  </si>
  <si>
    <t>19032026-35330</t>
  </si>
  <si>
    <t>ABERTURA DE CHAMADO EVE260300114167</t>
  </si>
  <si>
    <t>214609, 215745</t>
  </si>
  <si>
    <t>215745</t>
  </si>
  <si>
    <t>20032026-89100</t>
  </si>
  <si>
    <t>RE: CUSTOMER: WIRELINK | TT CPL: 0242412026 | TT CUSTOMER: - | CID: BLM001625921A</t>
  </si>
  <si>
    <t>215607</t>
  </si>
  <si>
    <t>BLM/L2L/204139/37</t>
  </si>
  <si>
    <t>20032026-19067</t>
  </si>
  <si>
    <t>LACMAR LABORATORIO DE ANALISES CLINICAS DO MARANHAO LTDA LACMAR | INDISPONIBILIDADE |SLS/IPD/204321/2</t>
  </si>
  <si>
    <t>215101, 215749</t>
  </si>
  <si>
    <t>20032026-80306</t>
  </si>
  <si>
    <t>21032026-55776</t>
  </si>
  <si>
    <t>Queda de link Secundário - Maiobao</t>
  </si>
  <si>
    <t>215955</t>
  </si>
  <si>
    <t>23032026-40037</t>
  </si>
  <si>
    <t>SLS/L2L/218297/3</t>
  </si>
  <si>
    <t>23032026-18149</t>
  </si>
  <si>
    <t>TIM S A  |  INDISPONIBILIDADE  |  SLS/L2L/83605/1050</t>
  </si>
  <si>
    <t>24032026-39129</t>
  </si>
  <si>
    <t>FUNDO MUNICIPAL DE SAUDE DE SAO LUIS MARANHAO  |  INDISPONIBILIDADE  |  SLS/L2L/218791/531</t>
  </si>
  <si>
    <t>17032026-76715</t>
  </si>
  <si>
    <t>Atendimento para: CS MARACANA - SLS-216233-00224</t>
  </si>
  <si>
    <t>215739, 215853</t>
  </si>
  <si>
    <t>215853</t>
  </si>
  <si>
    <t>SLS/L2L/218791/224</t>
  </si>
  <si>
    <t>24032026-61948</t>
  </si>
  <si>
    <t>HEXATO TECNOLOGIA E FERRAMENTAS DE INTERNET LTDA | INDISPONIBILIDADE | SLS/IPD/88921/14</t>
  </si>
  <si>
    <t>SLS/IPD/88921/14</t>
  </si>
  <si>
    <t>24032026-23586</t>
  </si>
  <si>
    <t>FUNDO MUNICIPAL DE SAUDE DE SAO LUIS MARANHAO  |  INDISPONIBILIDADE  |  SLS/L2L/218791/119</t>
  </si>
  <si>
    <t>20032026-85312</t>
  </si>
  <si>
    <t>Sitema de Monitoramento de link - não carrega dados de Açailândia e Santa Luzia</t>
  </si>
  <si>
    <t>SUA/FWL/49495/385</t>
  </si>
  <si>
    <t>21032026-93115</t>
  </si>
  <si>
    <t>215865</t>
  </si>
  <si>
    <t>21032026-13399</t>
  </si>
  <si>
    <t>ALERTA:  CLI | TJMA.SLS.CENTRAL.INQ-FW#/49495.377 - FALHA</t>
  </si>
  <si>
    <t>SLS/FWL/49495/377</t>
  </si>
  <si>
    <t>20032026-93349</t>
  </si>
  <si>
    <t>215725</t>
  </si>
  <si>
    <t>21032026-62047</t>
  </si>
  <si>
    <t>HowBe - S3RT0249-BNBAGWANL2-GIGA-CEN-SAORAIMUNDONONATOPI-NEW - [ZBX#219761874]</t>
  </si>
  <si>
    <t>SRN/IPD/6971/679</t>
  </si>
  <si>
    <t>21032026-33649</t>
  </si>
  <si>
    <t>Atendimento para: UEB MARIO PEREIRA - INFANTIL - SLS-216233-00487</t>
  </si>
  <si>
    <t>215859</t>
  </si>
  <si>
    <t>SLS/L2L/218787/487</t>
  </si>
  <si>
    <t>21032026-76700</t>
  </si>
  <si>
    <t>25032026-42906</t>
  </si>
  <si>
    <t>SECOPI SERVICOS COMERCIAS DO PIAUI LTDA GRUPO SERVIS  |  INDISPONIBILIDADE  |  TSA/L2L/41553/779</t>
  </si>
  <si>
    <t>TSA/L2L/41553/779</t>
  </si>
  <si>
    <t>20032026-32793</t>
  </si>
  <si>
    <t>BRISANET SERVICOS DE TELECOMUNICACOES LTDA | INDISPONIBILIDADE | ETO/FBR/48887/610 | [REQ000143483152] [4290] SAA AG. ESTREITO</t>
  </si>
  <si>
    <t>215981</t>
  </si>
  <si>
    <t>24032026-91517</t>
  </si>
  <si>
    <t>Configuração de IP</t>
  </si>
  <si>
    <t>SLS/IPD/218497/878</t>
  </si>
  <si>
    <t>24032026-94377</t>
  </si>
  <si>
    <t>MUNICIPIO DE SAO LUIS SEMED  |  INDISPONIBILIDADES:  |  SLS/L2L/218787/367</t>
  </si>
  <si>
    <t>24032026-35927</t>
  </si>
  <si>
    <t>MUNICIPIO DE SAO LUIS SEMED  |  INDISPONIBILIDADES  |  SLS/L2L/218787/366</t>
  </si>
  <si>
    <t>SLS/L2L/218787/366</t>
  </si>
  <si>
    <t>25032026-19445</t>
  </si>
  <si>
    <t>25032026-23099</t>
  </si>
  <si>
    <t>MUNICIPIO DE SAO LUIS SEMED | Indisponibilidade | SLS/L2L/218787/192</t>
  </si>
  <si>
    <t>25032026-50080</t>
  </si>
  <si>
    <t>SLS/L2L/218791/53</t>
  </si>
  <si>
    <t>24032026-36493</t>
  </si>
  <si>
    <t>FUNDO MUNICIPAL DE SAUDE DE SAO LUIS MARANHAO  |  INDISPONIBILIDADE  |  SLS/L2L/218791/110</t>
  </si>
  <si>
    <t>SLS/L2L/218791/110</t>
  </si>
  <si>
    <t>25032026-13498</t>
  </si>
  <si>
    <t>Atendimento para: CEMARC LINK 02 - redundante</t>
  </si>
  <si>
    <t>SLS/L2L/218791/518</t>
  </si>
  <si>
    <t>23032026-83564</t>
  </si>
  <si>
    <t>TERMACO TERMINAIS MARITIMOS DE CONTAINERS E SERVICOS ACESSORIOS LTDA  |  TSA/IPD/201963/7</t>
  </si>
  <si>
    <t>25032026-91991</t>
  </si>
  <si>
    <t>25032026-32925</t>
  </si>
  <si>
    <t>Atendimento para: CEMARC E SVES - VLAN 1845 SLS-216233-00047</t>
  </si>
  <si>
    <t>SLS/L2L/218791/47</t>
  </si>
  <si>
    <t>25032026-18745</t>
  </si>
  <si>
    <t>Atendimento para: PRACA MARIA ARAGAO - CAMERAS-  SLS-216233-00407</t>
  </si>
  <si>
    <t>25032026-35468</t>
  </si>
  <si>
    <t>Atendimento para: ROTEADOR COM PROBLEMA - CRAS LIBERDADE - SLS-216233-00437</t>
  </si>
  <si>
    <t>24032026-44086</t>
  </si>
  <si>
    <t>Abertura de chamado para o link de Abaetetuba</t>
  </si>
  <si>
    <t>ABT/IPD/52957/8</t>
  </si>
  <si>
    <t>24032026-58914</t>
  </si>
  <si>
    <t>ESTADO DO MARANHAO || INOPERANTE || 49019/290</t>
  </si>
  <si>
    <t>SLS/L2L/49495/290</t>
  </si>
  <si>
    <t>26032026-96245</t>
  </si>
  <si>
    <t>0028 AG CAXIAS (Circuito novo contrato)</t>
  </si>
  <si>
    <t>27032026-39181</t>
  </si>
  <si>
    <t>24032026-17571</t>
  </si>
  <si>
    <t>ROSINETOS COMERCIO E SERVICOS LTDA INFOCLICK | INDISPONIBILIDADE | AIU/IPD/226759/14</t>
  </si>
  <si>
    <t>SIS/IPD/226759/14</t>
  </si>
  <si>
    <t>23032026-37250</t>
  </si>
  <si>
    <t>TELECOMUNICACOES BRASILEIRAS SA  |  INDISPONIBILIDADE  |  BLM/IPD/19921/818</t>
  </si>
  <si>
    <t>BLM/IPD/19921/818</t>
  </si>
  <si>
    <t>26032026-23376</t>
  </si>
  <si>
    <t>16032026-47113</t>
  </si>
  <si>
    <t>Lentidão no link da Promotoria de Imperatriz</t>
  </si>
  <si>
    <t>215179</t>
  </si>
  <si>
    <t>26032026-76825</t>
  </si>
  <si>
    <t>Atendimento para: UEB ENS FUND AGOSTINHO VASCONCELOS - SLS-216233-00285</t>
  </si>
  <si>
    <t>SLS/L2L/218787/285</t>
  </si>
  <si>
    <t>26032026-31933</t>
  </si>
  <si>
    <t>24032026-66938</t>
  </si>
  <si>
    <t>FUNDO MUNICIPAL DE SAUDE DE SAO LUIS MARANHAO  |  INDISPONIBILIDADE  |  SLS/L2L/218791/408</t>
  </si>
  <si>
    <t>SLS/L2L/218791/408</t>
  </si>
  <si>
    <t>25032026-63823</t>
  </si>
  <si>
    <t>26032026-48276</t>
  </si>
  <si>
    <t>ALERTA:  CLI | TRT8.XGA.XINGUARA.VT-FW#52957.19 - FALHA</t>
  </si>
  <si>
    <t>XINGUARA</t>
  </si>
  <si>
    <t>XGA/FWL/52957/19</t>
  </si>
  <si>
    <t>24032026-13592</t>
  </si>
  <si>
    <t>ESTADO DO MARANHAO || INOPERANTE || SLS/L2L/49019/93</t>
  </si>
  <si>
    <t>25032026-56167</t>
  </si>
  <si>
    <t>MUNICIPIO DE SAO LUIS SEMED | Indisponibilidade | SLS/L2L/218787/57</t>
  </si>
  <si>
    <t>23032026-27803</t>
  </si>
  <si>
    <t>Varejao da Sucata LTDA | INDISPONIBILIDADE | AIU/IPD/212207/1</t>
  </si>
  <si>
    <t>Varejao da Sucata Ltda</t>
  </si>
  <si>
    <t>06.348.562/0002-98</t>
  </si>
  <si>
    <t>AIU/IPD/212207/1</t>
  </si>
  <si>
    <t>27032026-74213</t>
  </si>
  <si>
    <t>Atendimento para: CS DR. JOSE CARLOS MACIEIRA - VLAN-3603 SLS-216233-00062</t>
  </si>
  <si>
    <t>SLS/L2L/218791/62</t>
  </si>
  <si>
    <t>25032026-56988</t>
  </si>
  <si>
    <t>HEXATO TECNOLOGIA E FERRAMENTAS DE INTERNET LTDA  || INDISPONIBILIDADE || SLS/IPD/88921/13</t>
  </si>
  <si>
    <t>26032026-11885</t>
  </si>
  <si>
    <t>LINK DE CIRCUITO SLS/FBR/1819/93 COM INDISPONIBILIDADE</t>
  </si>
  <si>
    <t>26032026-29760</t>
  </si>
  <si>
    <t>LINX TELECOMUNICACOES | INDISPONIBILIDADE | SLS/IPD/130651/96</t>
  </si>
  <si>
    <t>LINX TELECOMUNICACOES LTDA LINX TELECOMUNICACOES</t>
  </si>
  <si>
    <t>07.695.739/0001-04</t>
  </si>
  <si>
    <t>SLS/IPD/130651/96</t>
  </si>
  <si>
    <t>27032026-29270</t>
  </si>
  <si>
    <t>HEXATO TECNOLOGIA E FERRAMENTAS DE INTERNET LTDA  | INDISPONIBILIDADE | SLS/IPD/88921/14</t>
  </si>
  <si>
    <t>218999</t>
  </si>
  <si>
    <t>567958</t>
  </si>
  <si>
    <t>S14</t>
  </si>
  <si>
    <t>29032026-60317</t>
  </si>
  <si>
    <t>219047, 219089</t>
  </si>
  <si>
    <t>219089</t>
  </si>
  <si>
    <t>SLS/L2L/83605/2</t>
  </si>
  <si>
    <t>30032026-52331</t>
  </si>
  <si>
    <t>220267</t>
  </si>
  <si>
    <t>30032026-37498</t>
  </si>
  <si>
    <t>220269</t>
  </si>
  <si>
    <t>30032026-17779</t>
  </si>
  <si>
    <t>220195</t>
  </si>
  <si>
    <t>30032026-65927</t>
  </si>
  <si>
    <t>220197</t>
  </si>
  <si>
    <t>30032026-34848</t>
  </si>
  <si>
    <t>219965, 220051</t>
  </si>
  <si>
    <t>220051</t>
  </si>
  <si>
    <t>28032026-31199</t>
  </si>
  <si>
    <t>EQUATORIAL || INOPERANTE || L2L de São Luis &lt;&gt; Teresina</t>
  </si>
  <si>
    <t>218897</t>
  </si>
  <si>
    <t>28032026-95514</t>
  </si>
  <si>
    <t>HowBe - S3UTM2603-L1-BNBWAN-GIGA-NORTE-TERESINAPI - [ZBX#221258988]</t>
  </si>
  <si>
    <t>218693, 220255</t>
  </si>
  <si>
    <t>220255</t>
  </si>
  <si>
    <t>TSA/IPD/6971/1609</t>
  </si>
  <si>
    <t>28032026-25879</t>
  </si>
  <si>
    <t>CALCENTER - CALCADOS CENTRO-OESTE LTDA STUDIO Z  |  INDISPONIBILIDADE  |  SLS-IPD-F-#230520 / SLS/IPD/229641/20</t>
  </si>
  <si>
    <t>CALCENTER - CALCADOS CENTRO-OESTE LTDA STUDIO Z</t>
  </si>
  <si>
    <t>15.048.754/0146-53</t>
  </si>
  <si>
    <t>218787, 219085</t>
  </si>
  <si>
    <t>219085</t>
  </si>
  <si>
    <t>SLS/IPD/229641/20</t>
  </si>
  <si>
    <t>29032026-41342</t>
  </si>
  <si>
    <t>Atendimento para: CRECHE DO RESIDENCIAL SANTO ANTONIO - VLAN 4069 SLS0-L2LAN-000216233-00536</t>
  </si>
  <si>
    <t>219031, 220257</t>
  </si>
  <si>
    <t>220257</t>
  </si>
  <si>
    <t>SLS/L2L/216233/536</t>
  </si>
  <si>
    <t>27032026-80763</t>
  </si>
  <si>
    <t>218719, 220253</t>
  </si>
  <si>
    <t>220253</t>
  </si>
  <si>
    <t>29032026-70944</t>
  </si>
  <si>
    <t>Atendimento para: CF MORADA DO SOL - SLS-216233-00099</t>
  </si>
  <si>
    <t>219027</t>
  </si>
  <si>
    <t>SLS/L2L/218791/99</t>
  </si>
  <si>
    <t>29032026-84176</t>
  </si>
  <si>
    <t>Atendimento para: UEB PROFESSORA EDITH VALOIS - SLS-216233-00382</t>
  </si>
  <si>
    <t>219025, 219337</t>
  </si>
  <si>
    <t>219025</t>
  </si>
  <si>
    <t>SLS/L2L/218787/382</t>
  </si>
  <si>
    <t>28032026-22285</t>
  </si>
  <si>
    <t>IAP COSMETICOS LTDA | INDISPONIBILIDADE |SLS/IPD/56161/11</t>
  </si>
  <si>
    <t>05.346.644/0045-70</t>
  </si>
  <si>
    <t>218797, 219737</t>
  </si>
  <si>
    <t>SLS/IPD/56161/11</t>
  </si>
  <si>
    <t>30032026-18119</t>
  </si>
  <si>
    <t>ZONA DE REGISTRO DE IMOVEIS DE SAO LUIS 3 ZONA DE REGISTRO DE IMOVEIS DE SAO LUIS || | SLS/IPD/229765/1 || INDISPONIBILIDADE</t>
  </si>
  <si>
    <t>3 ZONA DE REGISTRO DE IMOVEIS DE SAO LUIS 3 ZONA DE REGISTRO DE IMOVEIS DE SAO LUIS</t>
  </si>
  <si>
    <t>38.248.179/0001-73</t>
  </si>
  <si>
    <t>219421</t>
  </si>
  <si>
    <t>SLS/IPD/229765/1</t>
  </si>
  <si>
    <t>28032026-54586</t>
  </si>
  <si>
    <t>Atendimento para: UEB ENS FUND 21 DE ABRIL  -  SLS-216233-00369</t>
  </si>
  <si>
    <t>219087</t>
  </si>
  <si>
    <t>SLS/L2L/218787/369</t>
  </si>
  <si>
    <t>30032026-16305</t>
  </si>
  <si>
    <t>ALERTA:  CLI | MPMA.CRN.CAROLINA.L2L.149307.30 - FALHA</t>
  </si>
  <si>
    <t>220233</t>
  </si>
  <si>
    <t>CAROLINA</t>
  </si>
  <si>
    <t>CRN/L2L/149307/30</t>
  </si>
  <si>
    <t>30032026-83712</t>
  </si>
  <si>
    <t>ALERTA:  CLI | TRE.VFR.VITORINO.FREIRE.L2L.201809.53 - FALHA</t>
  </si>
  <si>
    <t>JOSE DAS GRACAS SOARES DE LIMA EIRELI</t>
  </si>
  <si>
    <t>219459</t>
  </si>
  <si>
    <t>VITORINO FREIRE</t>
  </si>
  <si>
    <t>VFR/L2L/201809/53</t>
  </si>
  <si>
    <t>30032026-19242</t>
  </si>
  <si>
    <t>Abertura de chamado - EVE260300179786</t>
  </si>
  <si>
    <t>220221</t>
  </si>
  <si>
    <t>27032026-17136</t>
  </si>
  <si>
    <t>O R CAVALCANTE JUNIOR STAR1 INTERNET || INDISPONIBILIDADE || 204503/21</t>
  </si>
  <si>
    <t>O R CAVALCANTE JUNIOR STAR1 INTERNET</t>
  </si>
  <si>
    <t>20.241.468/0001-85</t>
  </si>
  <si>
    <t>218591, 219921, 220787</t>
  </si>
  <si>
    <t>219921, 220787</t>
  </si>
  <si>
    <t>AAR/IPD/204503/21</t>
  </si>
  <si>
    <t>30032026-13592</t>
  </si>
  <si>
    <t>Solicitação de abertura de chamado - EVE260300161312/TSK260300351222</t>
  </si>
  <si>
    <t>220173, 220945, 221555</t>
  </si>
  <si>
    <t>220945</t>
  </si>
  <si>
    <t>31032026-65684</t>
  </si>
  <si>
    <t>31032026-49928</t>
  </si>
  <si>
    <t>[1649] SAA AG. AV. KENNEDY</t>
  </si>
  <si>
    <t>221201</t>
  </si>
  <si>
    <t>30032026-31435</t>
  </si>
  <si>
    <t>TERMACO TERMINAIS | indisponivel</t>
  </si>
  <si>
    <t>219903, 220203</t>
  </si>
  <si>
    <t>01042026-64116</t>
  </si>
  <si>
    <t>221877</t>
  </si>
  <si>
    <t>01042026-40304</t>
  </si>
  <si>
    <t>Atendimento para: CRECHE ESCOLA ELZA MARIA RODRIGUES DA SILVA SLS-216233-00298</t>
  </si>
  <si>
    <t>221895</t>
  </si>
  <si>
    <t>SLS/L2L/218787/298</t>
  </si>
  <si>
    <t>31032026-11431</t>
  </si>
  <si>
    <t>[REPARO] - SLUI-MA_PETZ SÃO LUIS - 00203387 - Caso: 05372871</t>
  </si>
  <si>
    <t>221109</t>
  </si>
  <si>
    <t>31032026-55695</t>
  </si>
  <si>
    <t>HowBe - S3UTM2599-L1-BNBWAN-GIGA-VER-TERESINACIDVERDEPI - [ZBX#222239363]</t>
  </si>
  <si>
    <t>221223, 221225</t>
  </si>
  <si>
    <t>31032026-62335</t>
  </si>
  <si>
    <t>Atendimento para: UEB ENS FUND PROF RONALD DA SILVA CARVALHO  -  SLS-216233-00210</t>
  </si>
  <si>
    <t>220923, 221301</t>
  </si>
  <si>
    <t>221301</t>
  </si>
  <si>
    <t>SLS/L2L/218787/210</t>
  </si>
  <si>
    <t>30032026-87958</t>
  </si>
  <si>
    <t>19917 TELECOMUNICACOES BRASILEIRAS SA TELEBRAS | Indisponibilidade | TSA/L2L/19917/873</t>
  </si>
  <si>
    <t>220339</t>
  </si>
  <si>
    <t>30032026-30893</t>
  </si>
  <si>
    <t>Atendimento para: CS DIVINEA - SLS0-L2LAN-00218791-00521</t>
  </si>
  <si>
    <t>220235</t>
  </si>
  <si>
    <t>SLS/L2L/218791/521</t>
  </si>
  <si>
    <t>31032026-38981</t>
  </si>
  <si>
    <t>220877, 222091</t>
  </si>
  <si>
    <t>27032026-65476</t>
  </si>
  <si>
    <t>218695</t>
  </si>
  <si>
    <t>27032026-96714</t>
  </si>
  <si>
    <t>219081, 221281</t>
  </si>
  <si>
    <t>31032026-43838</t>
  </si>
  <si>
    <t>SERVICO NACIONAL DE APRENDIZAGEM INDUSTRIAL  || INDISPONIBILIDADE || BLM/IPD/203391/16</t>
  </si>
  <si>
    <t>221609</t>
  </si>
  <si>
    <t>31032026-18867</t>
  </si>
  <si>
    <t>Atendimento para: UEB ENS FUND PROF RUBEM ALMEIDA - AGO  -  SLS-216233-00186</t>
  </si>
  <si>
    <t>SLS/L2L/216233/186</t>
  </si>
  <si>
    <t>30032026-42230</t>
  </si>
  <si>
    <t>219637</t>
  </si>
  <si>
    <t>30032026-54095</t>
  </si>
  <si>
    <t>Atendimento para: HOSPITAL DA CRIANCA LINK 02 -  VLAN 4040</t>
  </si>
  <si>
    <t>219761, 221775</t>
  </si>
  <si>
    <t>SLS/L2L/218791/519</t>
  </si>
  <si>
    <t>30032026-23164</t>
  </si>
  <si>
    <t>Atendimento para: UEB ENS FUND JOAO DO VALE e Anexo  -  SLS-216233-00388</t>
  </si>
  <si>
    <t>220921</t>
  </si>
  <si>
    <t>569392</t>
  </si>
  <si>
    <t>SLS/L2L/218787/388</t>
  </si>
  <si>
    <t>30032026-12982</t>
  </si>
  <si>
    <t>Atendimento para: C. S. GAPARA - VLAN 3769 SLS-216233-00070</t>
  </si>
  <si>
    <t>220287, 221287</t>
  </si>
  <si>
    <t>221287</t>
  </si>
  <si>
    <t>SLS/L2L/218791/70</t>
  </si>
  <si>
    <t>30032026-15300</t>
  </si>
  <si>
    <t>Atendimento para: UEB ORQUIDEA SANTOS - Anexo Gapara  -  SLS-216233-00387</t>
  </si>
  <si>
    <t>220293</t>
  </si>
  <si>
    <t>SLS/L2L/218787/387</t>
  </si>
  <si>
    <t>02042026-21418</t>
  </si>
  <si>
    <t>ASSOCIACAO ADVENTISTA NORTE BRASILEIRA DE PREVENCAO E ASSISTENCIA A SAUDE HOSPITAL ADVENTISTA DE BELEM || INDISPONIBILIDADE || BLM/IPD/217643/1</t>
  </si>
  <si>
    <t>ASSOCIACAO ADVENTISTA NORTE BRASILEIRA DE PREVENCAO E ASSISTENCIA A SAUDE HOSPITAL ADVENTISTA DE BELEM</t>
  </si>
  <si>
    <t>83.367.342/0002-52</t>
  </si>
  <si>
    <t>222457</t>
  </si>
  <si>
    <t>BLM/IPD/217643/1</t>
  </si>
  <si>
    <t>02042026-66030</t>
  </si>
  <si>
    <t>Atendimento para: CS JOSE DE RIBAMAR FRAZAO CORREA - SLS-218791-00225</t>
  </si>
  <si>
    <t>02042026-20147</t>
  </si>
  <si>
    <t>VERIFICAÇÃO DE LINK BL - TURU</t>
  </si>
  <si>
    <t>222839</t>
  </si>
  <si>
    <t>03042026-49201</t>
  </si>
  <si>
    <t>Atendimento para: CS JOAO DE DEUS - SLS- 216233-00128</t>
  </si>
  <si>
    <t>223343</t>
  </si>
  <si>
    <t>SLS/L2L/218791/128</t>
  </si>
  <si>
    <t>S15</t>
  </si>
  <si>
    <t>01042026-15868</t>
  </si>
  <si>
    <t>ABERTURA DE CHAMADO | DESIGNAÇÃO FORNECEDOR: SLS0/00204475/00117 #9989 | PROTOCOLO: 202610744962 | COOPERATIVA DE ECONOMIA E CREDITO MUTUO UNICRED INTEGRACAO LTDA (SAO LUIS)</t>
  </si>
  <si>
    <t>221883</t>
  </si>
  <si>
    <t>SLS/L2L/225215/117</t>
  </si>
  <si>
    <t>06042026-11686</t>
  </si>
  <si>
    <t>223643</t>
  </si>
  <si>
    <t>31032026-44220</t>
  </si>
  <si>
    <t>NACIONAL GAS BUTANO DISTRIBUIDORA LTDA GEQ  |  INDISPONIBILIDADE  |  SLS/IPD/201859/9</t>
  </si>
  <si>
    <t>NACIONAL GAS BUTANO DISTRIBUIDORA LTDA GEQ</t>
  </si>
  <si>
    <t>06.980.064/0003-44</t>
  </si>
  <si>
    <t>221087, 222165, 223115, 223307</t>
  </si>
  <si>
    <t>223307</t>
  </si>
  <si>
    <t>SLS/IPD/201859/9</t>
  </si>
  <si>
    <t>01042026-43455</t>
  </si>
  <si>
    <t>UBS CINTRA  - SLS-00216233-00079</t>
  </si>
  <si>
    <t>221881, 222339, 223339</t>
  </si>
  <si>
    <t>223339</t>
  </si>
  <si>
    <t>SLS/L2L/218791/79</t>
  </si>
  <si>
    <t>03042026-99856</t>
  </si>
  <si>
    <t>Abertura de chamado -  EVE251200162775</t>
  </si>
  <si>
    <t>223239</t>
  </si>
  <si>
    <t>04042026-62099</t>
  </si>
  <si>
    <t>SELF IT ACADEMIAS | indisponivel</t>
  </si>
  <si>
    <t>22.902.694/0095-75</t>
  </si>
  <si>
    <t>223381</t>
  </si>
  <si>
    <t>PCL/IPD/219891/1</t>
  </si>
  <si>
    <t>01042026-28299</t>
  </si>
  <si>
    <t>REABERTURA #25032026-98736 - ABERTURA DE REPARO ( CD07 - LINK WIRELINK INOPERANTE )</t>
  </si>
  <si>
    <t>221865, 222179, 223297, 223567</t>
  </si>
  <si>
    <t>223567</t>
  </si>
  <si>
    <t>06042026-68209</t>
  </si>
  <si>
    <t>ZE 45 | Link Inoperante</t>
  </si>
  <si>
    <t>224761</t>
  </si>
  <si>
    <t>01042026-84225</t>
  </si>
  <si>
    <t>222191, 223711, 224477</t>
  </si>
  <si>
    <t>224477</t>
  </si>
  <si>
    <t>05042026-32363</t>
  </si>
  <si>
    <t>ALERTA:  CLI | TRT8.BLM.BELEM.DEPOSITO-FW#52957.34 - FALHA</t>
  </si>
  <si>
    <t>224045, 224093</t>
  </si>
  <si>
    <t>BLM/IPD/52957/34</t>
  </si>
  <si>
    <t>02042026-24018</t>
  </si>
  <si>
    <t>222889, 224215, 224223</t>
  </si>
  <si>
    <t>224215</t>
  </si>
  <si>
    <t>PNA/IPD/60121/79</t>
  </si>
  <si>
    <t>05042026-11280</t>
  </si>
  <si>
    <t>223889</t>
  </si>
  <si>
    <t>06042026-19460</t>
  </si>
  <si>
    <t>Atendimento para: HOSPITAL DA CRIANCA - VLAN-3610 SLS-216233-00034 - LINK 01</t>
  </si>
  <si>
    <t>224201</t>
  </si>
  <si>
    <t>06042026-42480</t>
  </si>
  <si>
    <t>224305</t>
  </si>
  <si>
    <t>06042026-90284</t>
  </si>
  <si>
    <t>INOPERANTE | SLS/IPD/204493/1</t>
  </si>
  <si>
    <t>224263, 224751</t>
  </si>
  <si>
    <t>224751</t>
  </si>
  <si>
    <t>01042026-91024</t>
  </si>
  <si>
    <t>MUNICIPIO DE SAO LUIS | 1983485 | spk-sluis-spk-sluis-res-trpIII-01 | GIGA+</t>
  </si>
  <si>
    <t>222211, 223717</t>
  </si>
  <si>
    <t>SLS/L2L/218791/134</t>
  </si>
  <si>
    <t>07042026-99826</t>
  </si>
  <si>
    <t>225287</t>
  </si>
  <si>
    <t>05042026-73604</t>
  </si>
  <si>
    <t>SOLICITAÇÂO DE ABERTURA DE REPARO DE CIRCUITO BACKBONE TERESINA - FORTALEZA</t>
  </si>
  <si>
    <t>224749</t>
  </si>
  <si>
    <t>01042026-32578</t>
  </si>
  <si>
    <t>ALERTA:  CLI | TRF1-MA.BLA.BALSAS#/BLA/L2L/216065/10 - FALHA</t>
  </si>
  <si>
    <t>222055, 223689, 224399</t>
  </si>
  <si>
    <t>224399</t>
  </si>
  <si>
    <t>BLA/L2L/216065/10</t>
  </si>
  <si>
    <t>04042026-14168</t>
  </si>
  <si>
    <t>FW Distribuidora Ltda | INDISPONIBILIDADE | SLS/IPD/211283/1</t>
  </si>
  <si>
    <t>223807</t>
  </si>
  <si>
    <t>02042026-59435</t>
  </si>
  <si>
    <t>Atendimento para: UEB VILA TIRADENTES  -  SLS-216233-00366</t>
  </si>
  <si>
    <t>223079, 223737</t>
  </si>
  <si>
    <t>223737</t>
  </si>
  <si>
    <t>05042026-41223</t>
  </si>
  <si>
    <t>Atendimento para: CLINICA DA FAMILIA VILA MA RANHAO - SLS-218791-00531</t>
  </si>
  <si>
    <t>223945, 224115</t>
  </si>
  <si>
    <t>223945</t>
  </si>
  <si>
    <t>30032026-65361</t>
  </si>
  <si>
    <t>ACOMETAL ADO MANUTENCAO INDUSTRIAL LTDA || INDISPONIBILIDADE || SLS/IPD/219579/1</t>
  </si>
  <si>
    <t>ACOMETAL ADO MANUTENCAO INDUSTRIAL LTDA ACOMETAL</t>
  </si>
  <si>
    <t>01.730.714/0001-18</t>
  </si>
  <si>
    <t>220101, 220841, 222141, 223645</t>
  </si>
  <si>
    <t>220101, 223645</t>
  </si>
  <si>
    <t>SLS/IPD/219579/1</t>
  </si>
  <si>
    <t>07042026-46282</t>
  </si>
  <si>
    <t>REABERTURA |  #27032026-17136 - O R CAVALCANTE JUNIOR STAR1 INTERNET || INDISPONIBILIDADE || 204503/21</t>
  </si>
  <si>
    <t>225181</t>
  </si>
  <si>
    <t>05042026-73933</t>
  </si>
  <si>
    <t>RE: CUSTOMER: WIRELINK | TT CPL: 0296712026 | TT CUSTOMER:  | CID: SLS054028321A,</t>
  </si>
  <si>
    <t>223981, 223985, 224047, 224107, 224221, 224229, 224231, 224233, 224269, 224475, 225269</t>
  </si>
  <si>
    <t>07042026-44082</t>
  </si>
  <si>
    <t>Indisponibilidade  - LINK-FILIAL19-GIGA+-FLA/L2L/202197/17</t>
  </si>
  <si>
    <t>225627</t>
  </si>
  <si>
    <t>06042026-88057</t>
  </si>
  <si>
    <t>Link Filial ABC de São Luís - SLS/IPD/49051/1 - Down</t>
  </si>
  <si>
    <t>ABC DISTRIBUIDORA SAO LUIS LTDA ME</t>
  </si>
  <si>
    <t>13.178.704/0001-09</t>
  </si>
  <si>
    <t>224499, 224781</t>
  </si>
  <si>
    <t>SLS/IPD/49051/1</t>
  </si>
  <si>
    <t>03042026-88308</t>
  </si>
  <si>
    <t>Indisponibilidade do link  LINK-FILIAL36-GIGA+-FLA/L2L/202197/41</t>
  </si>
  <si>
    <t>223411, 223751, 224733</t>
  </si>
  <si>
    <t>SLS/L2L/202197/41</t>
  </si>
  <si>
    <t>06042026-92754</t>
  </si>
  <si>
    <t>Indisponibilidade -  LINK-FILIAL35-GIGA+-FLA/L2L/202197/16</t>
  </si>
  <si>
    <t>224575, 224767</t>
  </si>
  <si>
    <t>224767</t>
  </si>
  <si>
    <t>24032026-26986</t>
  </si>
  <si>
    <t>HOSPITAL SAO LUIS - HSLZ LTDA. HSE - HOSPITAL DO SERVIDOR  |  INDISPONIBILIDADE  |  SLS/IPD/228617/1</t>
  </si>
  <si>
    <t>HOSPITAL SAO LUIS - HSLZ LTDA. HSE - HOSPITAL DO SERVIDOR</t>
  </si>
  <si>
    <t>09.192.098/0002-81</t>
  </si>
  <si>
    <t>219405</t>
  </si>
  <si>
    <t>567604</t>
  </si>
  <si>
    <t>SLS/IPD/228617/1</t>
  </si>
  <si>
    <t>05042026-35916</t>
  </si>
  <si>
    <t>HEXATO TECNOLOGIA E FERRAMENTAS DE INTERNET LTDA  | INDISPONIBILIDADE | SLS/IPD/88921/27</t>
  </si>
  <si>
    <t>223571</t>
  </si>
  <si>
    <t>SLS/IPD/88921/27</t>
  </si>
  <si>
    <t>20032026-30082</t>
  </si>
  <si>
    <t>BREMEN VEICULOS S A  || SLS/IPD/225013/1 || INDISPONIBILIDADE</t>
  </si>
  <si>
    <t>215695, 215827, 218701</t>
  </si>
  <si>
    <t>08042026-92728</t>
  </si>
  <si>
    <t>225851</t>
  </si>
  <si>
    <t>04042026-10285</t>
  </si>
  <si>
    <t>Atendimento para: UEB ENS FUND DRA MARIA ALICE COUTINHO - Anexo Leonardo da Vinci - SLS0L2LAN-00216233-00256</t>
  </si>
  <si>
    <t>223455, 224741</t>
  </si>
  <si>
    <t>SLS/L2L/218787/256</t>
  </si>
  <si>
    <t>01042026-21263</t>
  </si>
  <si>
    <t>222193, 222297, 223715</t>
  </si>
  <si>
    <t>25032026-26782</t>
  </si>
  <si>
    <t>TELLYNK TECNOLOGIA E SERVICOS LTDA  | INDISPONIBILIDADE | BLM/IPD/66247/1</t>
  </si>
  <si>
    <t>TELLYNK TECNOLOGIA E SERVICOS LTDA TELLYNK</t>
  </si>
  <si>
    <t>19.388.694/0001-04</t>
  </si>
  <si>
    <t>567656</t>
  </si>
  <si>
    <t>BLM/IPD/66247/1</t>
  </si>
  <si>
    <t>06042026-83214</t>
  </si>
  <si>
    <t>224793, 225823</t>
  </si>
  <si>
    <t>225823</t>
  </si>
  <si>
    <t>08042026-27567</t>
  </si>
  <si>
    <t>ROSINETOS COMERCIO E SERVICOS LTDA || INDISPONIBILIDADE || SLS/IPD/226759/5</t>
  </si>
  <si>
    <t>226669</t>
  </si>
  <si>
    <t>SLS/IPD/226759/5</t>
  </si>
  <si>
    <t>08042026-35529</t>
  </si>
  <si>
    <t>CS DIVINEA - SLS0-L2LAN-00218791-00521 | ROTEADOR GIGA+ OSCILANDO</t>
  </si>
  <si>
    <t>226349</t>
  </si>
  <si>
    <t>06042026-18385</t>
  </si>
  <si>
    <t>CIRION TECHNOLOGIES DO BRASIL LTDA | INDISPONIBILIDADE | SLS/IPD/15269/1070 | Protocolo interno: INC5163405</t>
  </si>
  <si>
    <t>72.843.212/0020-04</t>
  </si>
  <si>
    <t>224537, 224775</t>
  </si>
  <si>
    <t>224775</t>
  </si>
  <si>
    <t>SLS/IPD/15269/1070</t>
  </si>
  <si>
    <t>08042026-40532</t>
  </si>
  <si>
    <t>225999</t>
  </si>
  <si>
    <t>06042026-73425</t>
  </si>
  <si>
    <t>Atendimento para: SEMAPA - SEDE - VLAN-3683 SLS-216233-00011</t>
  </si>
  <si>
    <t>224791, 225819</t>
  </si>
  <si>
    <t>225819</t>
  </si>
  <si>
    <t>07042026-78726</t>
  </si>
  <si>
    <t>225773</t>
  </si>
  <si>
    <t>08042026-84584</t>
  </si>
  <si>
    <t>225791</t>
  </si>
  <si>
    <t>06042026-23455</t>
  </si>
  <si>
    <t>224551</t>
  </si>
  <si>
    <t>03042026-76813</t>
  </si>
  <si>
    <t>ALERTA:  CLI | TJMA.SLS.UNIDADE.DE.MONITORAMENTO.DE.ENCARCERADOS.L3VPN.49495.58 - FALHA</t>
  </si>
  <si>
    <t>223263, 224739, 225735</t>
  </si>
  <si>
    <t>225735</t>
  </si>
  <si>
    <t>SLS/L2L/49495/58</t>
  </si>
  <si>
    <t>06042026-69894</t>
  </si>
  <si>
    <t>224797, 226811</t>
  </si>
  <si>
    <t>226811</t>
  </si>
  <si>
    <t>SLS/L2L/218297/13</t>
  </si>
  <si>
    <t>05042026-91332</t>
  </si>
  <si>
    <t>223939, 224747</t>
  </si>
  <si>
    <t>224747</t>
  </si>
  <si>
    <t>SJE/L2L/218297/17</t>
  </si>
  <si>
    <t>09042026-60232</t>
  </si>
  <si>
    <t>ALERTA:  CLI | DPMA.PDN.PRESIDENTE.DUTRA.L3VPN.203659.73 - FALHA</t>
  </si>
  <si>
    <t>227445</t>
  </si>
  <si>
    <t>PDU/L2L/203659/73</t>
  </si>
  <si>
    <t>07042026-17528</t>
  </si>
  <si>
    <t>LOGICALIS || INOPERANTE || SLS/203759/00001</t>
  </si>
  <si>
    <t>BAHIANA DISTRIBUIDORA DE GAS LTDA ULTRAGAZ</t>
  </si>
  <si>
    <t>46.395.687/0052-52</t>
  </si>
  <si>
    <t>225903, 226827</t>
  </si>
  <si>
    <t>SLS/IPD/204697/1</t>
  </si>
  <si>
    <t>08042026-64528</t>
  </si>
  <si>
    <t>Atendimento para: ANEXO DO CS FABRICIANA DE MORAES VLAN 3957 SLS-216233-00415</t>
  </si>
  <si>
    <t>225857, 227333, 227737</t>
  </si>
  <si>
    <t>227737</t>
  </si>
  <si>
    <t>SLS/L2L/218791/415</t>
  </si>
  <si>
    <t>08042026-73794</t>
  </si>
  <si>
    <t>Atendimento para: UEB ENS FUND CIDADE OLIMPICA - Anexo Renascer da Educacao - SLS-216233-00300</t>
  </si>
  <si>
    <t>226581, 227343</t>
  </si>
  <si>
    <t>227343</t>
  </si>
  <si>
    <t>SLS/L2L/218787/300</t>
  </si>
  <si>
    <t>30032026-55322</t>
  </si>
  <si>
    <t>220901, 222143, 223649, 224725, 225805, 227717</t>
  </si>
  <si>
    <t>223649, 227717</t>
  </si>
  <si>
    <t>30032026-26775</t>
  </si>
  <si>
    <t>220905, 223653, 226797</t>
  </si>
  <si>
    <t>02042026-32372</t>
  </si>
  <si>
    <t>Atendimento para: UEB ENS FUND MARIA JOSE VAZ DOS SANTOS - SLS-216233-00268</t>
  </si>
  <si>
    <t>222625, 223721, 224631, 225809, 226801</t>
  </si>
  <si>
    <t>223721, 226801</t>
  </si>
  <si>
    <t>SLS/L2L/218787/268</t>
  </si>
  <si>
    <t>06042026-46806</t>
  </si>
  <si>
    <t>227629</t>
  </si>
  <si>
    <t>06042026-33234</t>
  </si>
  <si>
    <t>227505</t>
  </si>
  <si>
    <t>07042026-94026</t>
  </si>
  <si>
    <t>M &amp;amp; L SERVICOS EM SAUDE LTDA SUPERCLINICA | SLS/L2L/218295/1 | INDISPONIBILIDADE</t>
  </si>
  <si>
    <t>M &amp;amp; L SERVICOS EM SAUDE LTDA SUPERCLINICA</t>
  </si>
  <si>
    <t>05.596.740/0007-41</t>
  </si>
  <si>
    <t>225365, 225833, 226821</t>
  </si>
  <si>
    <t>226821</t>
  </si>
  <si>
    <t>SLS/L2L/218295/1</t>
  </si>
  <si>
    <t>07042026-35736</t>
  </si>
  <si>
    <t>NACIONAL GAS BUTANO DISTRIBUIDORA LTDA || INDISPONIBILIDADE || SLS/IPD/201859/9</t>
  </si>
  <si>
    <t>225843</t>
  </si>
  <si>
    <t>08042026-15975</t>
  </si>
  <si>
    <t>ALERTA:  CLI | TJMA.SLS.ESMAN.L3VPN.49495.55 - FALHA</t>
  </si>
  <si>
    <t>227447</t>
  </si>
  <si>
    <t>SLS/L2L/49495/55</t>
  </si>
  <si>
    <t>09042026-72567</t>
  </si>
  <si>
    <t>227371</t>
  </si>
  <si>
    <t>01042026-41441</t>
  </si>
  <si>
    <t>Atendimento para: UI SEVERIANO DE SOUSA LIMA - SLS-216233-00329</t>
  </si>
  <si>
    <t>221935, 222183, 223681</t>
  </si>
  <si>
    <t>223681</t>
  </si>
  <si>
    <t>09042026-84721</t>
  </si>
  <si>
    <t>227409, 228125</t>
  </si>
  <si>
    <t>228125</t>
  </si>
  <si>
    <t>02042026-94371</t>
  </si>
  <si>
    <t>UEB ENS FUND PRIMAVERA - SLS-216233-00515</t>
  </si>
  <si>
    <t>222961, 223729, 224731, 227721</t>
  </si>
  <si>
    <t>227721</t>
  </si>
  <si>
    <t>SLS/L2L/216233/515</t>
  </si>
  <si>
    <t>10042026-31489</t>
  </si>
  <si>
    <t>ATTEND SOLUTIONS LTDA ATTEND SOLUTIONS  |  INDISPONIBILIDADE  |  SLS/IPD/224753/1</t>
  </si>
  <si>
    <t>ATTEND SOLUTIONS LTDA ATTEND SOLUTIONS</t>
  </si>
  <si>
    <t>28.081.910/0001-65</t>
  </si>
  <si>
    <t>228377, 228787</t>
  </si>
  <si>
    <t>228787</t>
  </si>
  <si>
    <t>SLS/IPD/224753/1</t>
  </si>
  <si>
    <t>09042026-30789</t>
  </si>
  <si>
    <t>HowBe - S3UTM2224-L1-BNBWAN-GIGA-CEN-TIMONMA - [ZBX#224436120]</t>
  </si>
  <si>
    <t>227819</t>
  </si>
  <si>
    <t>TMN/IPD/6971/811</t>
  </si>
  <si>
    <t>09042026-54855</t>
  </si>
  <si>
    <t>OI S A EM RECUPERACAO JUDICIAL | INDISPONIBILIDADE | PGN/L2L/214917/1038 | REQ000143521603 | 204393/1038</t>
  </si>
  <si>
    <t>76.535.764/0023-59</t>
  </si>
  <si>
    <t>227429, 227791</t>
  </si>
  <si>
    <t>227791</t>
  </si>
  <si>
    <t>PGN/L2L/214917/1038</t>
  </si>
  <si>
    <t>09042026-80514</t>
  </si>
  <si>
    <t>Indisponibilidade -  LINK-FILIAL36-GIGA+-FLA/L2L/202197/41</t>
  </si>
  <si>
    <t>227397, 228031</t>
  </si>
  <si>
    <t>228031</t>
  </si>
  <si>
    <t>10042026-92456</t>
  </si>
  <si>
    <t>Distribuidora York Ltda Teresina  |  INDISPONIBILIDADE  |  TSA/IPD/210403/4</t>
  </si>
  <si>
    <t>Distribuidora York Ltda Teresina</t>
  </si>
  <si>
    <t>07.230.451/0001-64</t>
  </si>
  <si>
    <t>228337</t>
  </si>
  <si>
    <t>TSA/IPD/210403/4</t>
  </si>
  <si>
    <t>09042026-47171</t>
  </si>
  <si>
    <t>INOVANET EMPREENDIMENTOS LTDA. | Indisponibilidade | SLS/L2L/133341/33</t>
  </si>
  <si>
    <t>227373, 228135</t>
  </si>
  <si>
    <t>228135</t>
  </si>
  <si>
    <t>10042026-67900</t>
  </si>
  <si>
    <t>228175</t>
  </si>
  <si>
    <t>09042026-28841</t>
  </si>
  <si>
    <t>227415, 227781</t>
  </si>
  <si>
    <t>227781</t>
  </si>
  <si>
    <t>01042026-31664</t>
  </si>
  <si>
    <t>222039, 222189, 223697, 225807, 226799, 227719</t>
  </si>
  <si>
    <t>227719</t>
  </si>
  <si>
    <t>07042026-50159</t>
  </si>
  <si>
    <t>225769, 226831</t>
  </si>
  <si>
    <t>SLS/L2L/203659/59</t>
  </si>
  <si>
    <t>09042026-66243</t>
  </si>
  <si>
    <t>AUTO NORTE DISTRIBUIDORA DE PECAS LTDA  || INDISPONIBILIDADE || SLS/IPD/217703/1</t>
  </si>
  <si>
    <t>227433, 228113</t>
  </si>
  <si>
    <t>08042026-13269</t>
  </si>
  <si>
    <t>ALERTA:  CLI | TRE.PLV.PENALVA.L2L.201809.32 - FALHA</t>
  </si>
  <si>
    <t>226263, 226845, 227645, 227745</t>
  </si>
  <si>
    <t>227745</t>
  </si>
  <si>
    <t>09042026-42932</t>
  </si>
  <si>
    <t>227683, 228293</t>
  </si>
  <si>
    <t>227683</t>
  </si>
  <si>
    <t>09042026-42033</t>
  </si>
  <si>
    <t>MATEUS SUPERMERCADOS S A GRUPO MATEUS | 216191/1 | indisponibilidade</t>
  </si>
  <si>
    <t>ARMAZEM MATEUS S A GRUPO MATEUS</t>
  </si>
  <si>
    <t>23.439.441/0051-59</t>
  </si>
  <si>
    <t>228501</t>
  </si>
  <si>
    <t>MBA/L2L/216191/1</t>
  </si>
  <si>
    <t>12042026-88584</t>
  </si>
  <si>
    <t>229183</t>
  </si>
  <si>
    <t>10042026-66266</t>
  </si>
  <si>
    <t>Abertura de chamado para o link de Santa Izabel</t>
  </si>
  <si>
    <t>228357, 229021</t>
  </si>
  <si>
    <t>229021</t>
  </si>
  <si>
    <t>SANTA LUZIA DO PARA</t>
  </si>
  <si>
    <t>SLPA/FWL/52957/14</t>
  </si>
  <si>
    <t>S16</t>
  </si>
  <si>
    <t>11042026-68175</t>
  </si>
  <si>
    <t>SGRY TERESINA | INDISPONIVEL</t>
  </si>
  <si>
    <t>SGRY TERESINA RESTAURANTES LTDA SANTA GRELHA</t>
  </si>
  <si>
    <t>43.903.686/0001-33</t>
  </si>
  <si>
    <t>TSA/FBR/204267/1</t>
  </si>
  <si>
    <t>10042026-35155</t>
  </si>
  <si>
    <t>CD PA – BENEVIDES_PA – WIRELINK-100MB_BVS-212995-00147 | WIRELINK INOPERANTE</t>
  </si>
  <si>
    <t>228297</t>
  </si>
  <si>
    <t>11042026-59445</t>
  </si>
  <si>
    <t>05042026-18952</t>
  </si>
  <si>
    <t>[REQ000143694122] [1521] SAA AG. PRAÇA DEODORO</t>
  </si>
  <si>
    <t>223913, 224745, 225817, 226805, 227725</t>
  </si>
  <si>
    <t>SLS/FBR/48887/616</t>
  </si>
  <si>
    <t>13042026-13768</t>
  </si>
  <si>
    <t>HowBe - S3UTM2604-L2-BNBWAN-GIGA-SUL-TERESINAPI - [ZBX#225337078]</t>
  </si>
  <si>
    <t>229437</t>
  </si>
  <si>
    <t>TSA/FBR/6971/1612</t>
  </si>
  <si>
    <t>06042026-14901</t>
  </si>
  <si>
    <t>NINEX COMERCIO DE PRODUTOS DE SEGURANCA LTDA ARCSEG || Indisponibilidade - Rota principal  || SLS/IPD/227267/1</t>
  </si>
  <si>
    <t>NINEX COMERCIO DE PRODUTOS DE SEGURANCA LTDA ARCSEG</t>
  </si>
  <si>
    <t>13.866.839/0001-59</t>
  </si>
  <si>
    <t>224345, 224771, 225739, 226809</t>
  </si>
  <si>
    <t>226809</t>
  </si>
  <si>
    <t>SLS/IPD/227267/1</t>
  </si>
  <si>
    <t>13042026-69917</t>
  </si>
  <si>
    <t>S3UTM2604-L1-BNBWAN-GIGA-SUL-TERESINAPI</t>
  </si>
  <si>
    <t>229435</t>
  </si>
  <si>
    <t>09042026-39301</t>
  </si>
  <si>
    <t>SOL NASCENTE MOTOS LTDA || TSA/IPD/148773/1 || indisponibilidade</t>
  </si>
  <si>
    <t>SOL NASCENTE MOTOS LTDA SOL NASCENTE</t>
  </si>
  <si>
    <t>03.878.906/0001-00</t>
  </si>
  <si>
    <t>227311</t>
  </si>
  <si>
    <t>TSA/IPD/148773/1</t>
  </si>
  <si>
    <t>11042026-63701</t>
  </si>
  <si>
    <t>228985</t>
  </si>
  <si>
    <t>09042026-42349</t>
  </si>
  <si>
    <t>LANLINK SERVICOS DE INFORMATICA SA | SLS/IPD/64169/23 | INDISPONIBILIDADE</t>
  </si>
  <si>
    <t>227797</t>
  </si>
  <si>
    <t>10042026-39461</t>
  </si>
  <si>
    <t>OI S A EM RECUPERACAO JUDICIAL | INDISPONIBILIDADE | BLM/L2L/20607/783</t>
  </si>
  <si>
    <t>228687</t>
  </si>
  <si>
    <t>BLM/L2L/214917/783</t>
  </si>
  <si>
    <t>08042026-49772</t>
  </si>
  <si>
    <t>227459, 227767</t>
  </si>
  <si>
    <t>09042026-61455</t>
  </si>
  <si>
    <t>[REQ000143750689] [2151] SAA AG. PRESIDENTE DUTRA</t>
  </si>
  <si>
    <t>229345</t>
  </si>
  <si>
    <t>573701</t>
  </si>
  <si>
    <t>PDU/FBR/48887/628</t>
  </si>
  <si>
    <t>12042026-21721</t>
  </si>
  <si>
    <t>ALEX JERONIMO REIS SILVA  || INOPERANTE || 228277/1</t>
  </si>
  <si>
    <t>52.048.031 ALEX JERONIMO REIS SILVA</t>
  </si>
  <si>
    <t>52.048.031/0001-16</t>
  </si>
  <si>
    <t>229243</t>
  </si>
  <si>
    <t>CAH/IPD/228277/1</t>
  </si>
  <si>
    <t>11042026-35779</t>
  </si>
  <si>
    <t>SECOPI SERVICOS  | indisponivel</t>
  </si>
  <si>
    <t>229025, 229385</t>
  </si>
  <si>
    <t>229385</t>
  </si>
  <si>
    <t>TSA/L2L/41553/795</t>
  </si>
  <si>
    <t>02042026-63239</t>
  </si>
  <si>
    <t>223039, 223731, 224735, 225811, 226803, 229311</t>
  </si>
  <si>
    <t>229311</t>
  </si>
  <si>
    <t>10042026-31813</t>
  </si>
  <si>
    <t>ALERTA:  CLI | TRE.TMN.TIMON.L2L.201809.25 - FALHA</t>
  </si>
  <si>
    <t>229365</t>
  </si>
  <si>
    <t>TMN/L2L/201809/25</t>
  </si>
  <si>
    <t>11042026-73011</t>
  </si>
  <si>
    <t>RE: CUSTOMER: WIRELINK | TT CPL: 0316782026 | TT CUSTOMER: - | CID: TSA53001120322</t>
  </si>
  <si>
    <t>229017, 229195, 229797</t>
  </si>
  <si>
    <t>229797</t>
  </si>
  <si>
    <t>TSA/L2L/204139/7</t>
  </si>
  <si>
    <t>07042026-68111</t>
  </si>
  <si>
    <t>225149, 225831, 226817, 227729, 229317</t>
  </si>
  <si>
    <t>229317</t>
  </si>
  <si>
    <t>12042026-98079</t>
  </si>
  <si>
    <t>Atendimento para: UEB VERA MACIEIRA  -  SLS-216233-00248</t>
  </si>
  <si>
    <t>229817</t>
  </si>
  <si>
    <t>08042026-62236</t>
  </si>
  <si>
    <t>226577, 227345, 229329</t>
  </si>
  <si>
    <t>229329</t>
  </si>
  <si>
    <t>13042026-62074</t>
  </si>
  <si>
    <t>Atendimento para: CEO VILA ESPERANCA - SLS-216233-00138</t>
  </si>
  <si>
    <t>229999, 230331</t>
  </si>
  <si>
    <t>SLS/L2L/218791/138</t>
  </si>
  <si>
    <t>11042026-86515</t>
  </si>
  <si>
    <t>229177, 229391, 230313</t>
  </si>
  <si>
    <t>05042026-23876</t>
  </si>
  <si>
    <t>Atendimento para: UEB ENS FUND SAO JOSE ITAPERA   -  SLS-216233-00371</t>
  </si>
  <si>
    <t>223481, 225813, 227723, 229313</t>
  </si>
  <si>
    <t>229313</t>
  </si>
  <si>
    <t>SLS/L2L/218787/371</t>
  </si>
  <si>
    <t>08042026-99334</t>
  </si>
  <si>
    <t>227449, 227763, 229333</t>
  </si>
  <si>
    <t>229333</t>
  </si>
  <si>
    <t>09042026-62024</t>
  </si>
  <si>
    <t>228289, 229357</t>
  </si>
  <si>
    <t>229357</t>
  </si>
  <si>
    <t>10042026-62984</t>
  </si>
  <si>
    <t>Atendimento para: CRECHE MARIO MACIEIRA -  VLAN - 3671  SLS- 218787-00200</t>
  </si>
  <si>
    <t>228613, 229381</t>
  </si>
  <si>
    <t>229381</t>
  </si>
  <si>
    <t>SLS/L2L/216233/200</t>
  </si>
  <si>
    <t>13042026-40624</t>
  </si>
  <si>
    <t>Atendimento para: CS VILA BACANGA EMBRIAO - SLS-216233-00446</t>
  </si>
  <si>
    <t>229815</t>
  </si>
  <si>
    <t>SLS/L2L/218791/446</t>
  </si>
  <si>
    <t>12042026-22022</t>
  </si>
  <si>
    <t>229233</t>
  </si>
  <si>
    <t>14042026-14182</t>
  </si>
  <si>
    <t>230287</t>
  </si>
  <si>
    <t>13042026-39022</t>
  </si>
  <si>
    <t>HowBe - S3RT02147-BNBAGWANL2-GIGA-CEN-ZEDOCAMA-NEW - [ZBX#225497521]</t>
  </si>
  <si>
    <t>230755</t>
  </si>
  <si>
    <t>ZED/IPD/6971/1487</t>
  </si>
  <si>
    <t>11042026-90939</t>
  </si>
  <si>
    <t>VERIFICAÇÃO LINK L2L - GUAXENDUBA</t>
  </si>
  <si>
    <t>11042026-51100</t>
  </si>
  <si>
    <t>RNP2026-065177 - Abertura de REPARO - CPRM - RETE</t>
  </si>
  <si>
    <t>13042026-60305</t>
  </si>
  <si>
    <t>HowBe - S3RT03147-BNBAGWANL3-GIGA-CEN-ZEDOCAMA-NEW - [ZBX#225495718]</t>
  </si>
  <si>
    <t>230235</t>
  </si>
  <si>
    <t>09042026-35543</t>
  </si>
  <si>
    <t>ABERTURA DE REPARO LINK INOPERANTE- SLS/L2L/49019/299 - POSTO HIDROPORTUÁRIO</t>
  </si>
  <si>
    <t>227379, 229335, 230297</t>
  </si>
  <si>
    <t>230297</t>
  </si>
  <si>
    <t>12042026-77082</t>
  </si>
  <si>
    <t>229419</t>
  </si>
  <si>
    <t>11042026-61237</t>
  </si>
  <si>
    <t>Abertura de reparo - Chamado Equinix: 1-258944733274 |Circuito: SLS0_L2L_226757_0001| Cliente final: HOSPITAL MARANHENSE LTDA.</t>
  </si>
  <si>
    <t>EQUINIX DO BRASIL TELECOMUNICACOES LTDA EQUINIX DO BRASIL</t>
  </si>
  <si>
    <t>10.496.781/0006-15</t>
  </si>
  <si>
    <t>228943, 229145</t>
  </si>
  <si>
    <t>229145</t>
  </si>
  <si>
    <t>574403</t>
  </si>
  <si>
    <t>SLS/L2L/226757/1</t>
  </si>
  <si>
    <t>09042026-76395</t>
  </si>
  <si>
    <t>Atendimento para: SEMIT-  TRAPICHE - SEPLAN VLAN 1811</t>
  </si>
  <si>
    <t>227823, 228285, 229355</t>
  </si>
  <si>
    <t>229355</t>
  </si>
  <si>
    <t>SLS/L2L/216233/621</t>
  </si>
  <si>
    <t>09042026-38292</t>
  </si>
  <si>
    <t>Atendimento para: UEB MONSENHOR FREDERICO CHAVES- INFANTIL</t>
  </si>
  <si>
    <t>227585, 228281, 229349, 230301</t>
  </si>
  <si>
    <t>230301</t>
  </si>
  <si>
    <t>SLS/L2L/218787/527</t>
  </si>
  <si>
    <t>13042026-57385</t>
  </si>
  <si>
    <t>229919</t>
  </si>
  <si>
    <t>BLM/IPD/203645/14</t>
  </si>
  <si>
    <t>14042026-75505</t>
  </si>
  <si>
    <t>231481</t>
  </si>
  <si>
    <t>14042026-43521</t>
  </si>
  <si>
    <t>230933</t>
  </si>
  <si>
    <t>14042026-61903</t>
  </si>
  <si>
    <t>EQUINIX DO BRASIL TELECOMUNICACOES | INDISPONIBILIDADE | MPA/L2L/229111/12</t>
  </si>
  <si>
    <t>231357</t>
  </si>
  <si>
    <t>14042026-30590</t>
  </si>
  <si>
    <t>OI S A EM RECUPERACAO JUDICIAL  |  INDISPONIBILIDADE  |  SLS/FBR/214913/26</t>
  </si>
  <si>
    <t>230875</t>
  </si>
  <si>
    <t>SLS/FBR/214913/26</t>
  </si>
  <si>
    <t>14042026-99766</t>
  </si>
  <si>
    <t>Abertura de chamado - EVE260400071483 - SLSL2L433671162</t>
  </si>
  <si>
    <t>230883, 231457</t>
  </si>
  <si>
    <t>231457</t>
  </si>
  <si>
    <t>SLS/L2L/83605/1162</t>
  </si>
  <si>
    <t>05042026-43089</t>
  </si>
  <si>
    <t>Atendimento para: CAIS - PRAIA GRANDE - SLS-216233-00590</t>
  </si>
  <si>
    <t>230105, 230293</t>
  </si>
  <si>
    <t>230293</t>
  </si>
  <si>
    <t>SLS/L2L/216233/590</t>
  </si>
  <si>
    <t>08042026-82308</t>
  </si>
  <si>
    <t>SERVICO SOCIAL DA INDUSTRIA SESI | INDISPONIBILIDADE | SLS/IPD/214467/7</t>
  </si>
  <si>
    <t>227589, 227749, 229327, 230295</t>
  </si>
  <si>
    <t>230295</t>
  </si>
  <si>
    <t>SLS/IPD/214467/7</t>
  </si>
  <si>
    <t>09042026-91636</t>
  </si>
  <si>
    <t>IPTAN || INOPERANTE || 226191/1</t>
  </si>
  <si>
    <t>227515, 228101, 229351, 230303</t>
  </si>
  <si>
    <t>10042026-84086</t>
  </si>
  <si>
    <t>228615, 229375, 230305</t>
  </si>
  <si>
    <t>230305</t>
  </si>
  <si>
    <t>15042026-37334</t>
  </si>
  <si>
    <t>TELECOMUNICACOES BRASILEIRAS SA | INDISPONIBILIDADE | BLM0/IPCOR/00019921/00700</t>
  </si>
  <si>
    <t>232183</t>
  </si>
  <si>
    <t>BLM/IPD/19921/700</t>
  </si>
  <si>
    <t>11042026-23189</t>
  </si>
  <si>
    <t>229393, 230317, 231367, 231897</t>
  </si>
  <si>
    <t>230317, 231897</t>
  </si>
  <si>
    <t>14042026-88728</t>
  </si>
  <si>
    <t>Atendimento para: SAGARANA I - VLAN 3625 - SLS 218787-00057</t>
  </si>
  <si>
    <t>231227</t>
  </si>
  <si>
    <t>13042026-41609</t>
  </si>
  <si>
    <t>231255</t>
  </si>
  <si>
    <t>573572</t>
  </si>
  <si>
    <t>15042026-73706</t>
  </si>
  <si>
    <t>231401</t>
  </si>
  <si>
    <t>13042026-71116</t>
  </si>
  <si>
    <t>Lentidão e perda de pacote na Promotoria de Olinda Nova</t>
  </si>
  <si>
    <t>231435</t>
  </si>
  <si>
    <t>OLINDA NOVA DO MARANHAO</t>
  </si>
  <si>
    <t>OLNM/L2L/149307/127</t>
  </si>
  <si>
    <t>15042026-72079</t>
  </si>
  <si>
    <t>POLIMIX CONCRETO LTDA | Indisponibilidade | AIU/IPD/204097/2</t>
  </si>
  <si>
    <t>POLIMIX CONCRETO LTDA</t>
  </si>
  <si>
    <t>29.067.113/0408-13</t>
  </si>
  <si>
    <t>231515</t>
  </si>
  <si>
    <t>AIU/IPD/204097/2</t>
  </si>
  <si>
    <t>14042026-22614</t>
  </si>
  <si>
    <t>Abertura de chamado [L2L] - Belém - ALLOHA - MPA_217623_00005 - TT_00037463/2026</t>
  </si>
  <si>
    <t>FIBRASIL INFRAESTRUTURA E FIBRA OTICA S A FIBRASIL INFRAESTRUTURA E FIBRA OTICA S A</t>
  </si>
  <si>
    <t>36.619.747/0005-01</t>
  </si>
  <si>
    <t>231399</t>
  </si>
  <si>
    <t>MPA/L2L/219233/5</t>
  </si>
  <si>
    <t>15042026-70199</t>
  </si>
  <si>
    <t>Atendimento para: HOSPITAL Dr DJALMA MARQUES SOCORRAO I - SLS-00216233-00076</t>
  </si>
  <si>
    <t>232299</t>
  </si>
  <si>
    <t>SLS/L2L/218791/76</t>
  </si>
  <si>
    <t>14042026-73613</t>
  </si>
  <si>
    <t>EQUATORIAL TELECOMUNICACOES S A  | INDISPONINILIDADE | BSA/L2L/19489/24</t>
  </si>
  <si>
    <t>231377</t>
  </si>
  <si>
    <t>13042026-46173</t>
  </si>
  <si>
    <t>229297, 230325</t>
  </si>
  <si>
    <t>230325</t>
  </si>
  <si>
    <t>13042026-20504</t>
  </si>
  <si>
    <t>Atendimento para: ESTADIO NHOZINHO SANTOS - VLAN-3972 SLS-216233-00452</t>
  </si>
  <si>
    <t>229935, 231311</t>
  </si>
  <si>
    <t>231311</t>
  </si>
  <si>
    <t>SLS/L2L/216233/452</t>
  </si>
  <si>
    <t>09042026-69002</t>
  </si>
  <si>
    <t>ALERTA:  CLI | TRE.BDC.BARRA.DO.CORDA.L2L.201809.123 - FALHA</t>
  </si>
  <si>
    <t>231931, 231935, 231963</t>
  </si>
  <si>
    <t>231935</t>
  </si>
  <si>
    <t>BDC/L2L/201809/123</t>
  </si>
  <si>
    <t>14042026-85662</t>
  </si>
  <si>
    <t>Indisponibilidade  LINK-FILIAL36-GIGA+-FLA/L2L/202197/41</t>
  </si>
  <si>
    <t>231251, 232581</t>
  </si>
  <si>
    <t>11042026-93834</t>
  </si>
  <si>
    <t>BY SEVEN CONSULTORIA  | indisponibilidade</t>
  </si>
  <si>
    <t>BY SEVEN CONSULTORIA EM TECNOLOGIA DA INFORMACAO LTDA BY SEVEN</t>
  </si>
  <si>
    <t>14.533.121/0001-03</t>
  </si>
  <si>
    <t>229061, 229157, 230321</t>
  </si>
  <si>
    <t>230321</t>
  </si>
  <si>
    <t>SJE/IPD/224349/1</t>
  </si>
  <si>
    <t>15042026-11594</t>
  </si>
  <si>
    <t>Atendimento para: COLISEU - VLAN-3883 SLS-216233-00401</t>
  </si>
  <si>
    <t>231413</t>
  </si>
  <si>
    <t>SLS/L2L/216233/401</t>
  </si>
  <si>
    <t>16042026-50494</t>
  </si>
  <si>
    <t>RA SLZ HOTEL | INDISPONIBILIDADE | SLS/IPD/225511/1</t>
  </si>
  <si>
    <t>232521</t>
  </si>
  <si>
    <t>15042026-81072</t>
  </si>
  <si>
    <t>232193</t>
  </si>
  <si>
    <t>15042026-65656</t>
  </si>
  <si>
    <t>UM COROADINHO - SLS-218791-0040 | INDISPONIBILIDADE</t>
  </si>
  <si>
    <t>232403, 232621</t>
  </si>
  <si>
    <t>232621</t>
  </si>
  <si>
    <t>SLS/L2L/218791/40</t>
  </si>
  <si>
    <t>14042026-90351</t>
  </si>
  <si>
    <t>Atendimento para: CRAS JANAINA - VLAN 3978 SLS-216233-00435</t>
  </si>
  <si>
    <t>230289, 231439, 232569</t>
  </si>
  <si>
    <t>232569</t>
  </si>
  <si>
    <t>SLS/L2L/216233/435</t>
  </si>
  <si>
    <t>13042026-88411</t>
  </si>
  <si>
    <t>RES: Ticket: 10042026-90291 - Link Filial ABC de Teresina - Indisponível</t>
  </si>
  <si>
    <t>ABC DISTRIBUIDORA S A</t>
  </si>
  <si>
    <t>07.228.042/0006-38</t>
  </si>
  <si>
    <t>229931, 230443, 232307, 232507</t>
  </si>
  <si>
    <t>230443, 232507</t>
  </si>
  <si>
    <t>TSA/IPD/49049/1</t>
  </si>
  <si>
    <t>14042026-38713</t>
  </si>
  <si>
    <t>Solicitação de abertura de chamado.</t>
  </si>
  <si>
    <t>231363, 231365</t>
  </si>
  <si>
    <t>231363</t>
  </si>
  <si>
    <t>14042026-56252</t>
  </si>
  <si>
    <t>230949, 231451, 232571</t>
  </si>
  <si>
    <t>232571</t>
  </si>
  <si>
    <t>16042026-46174</t>
  </si>
  <si>
    <t>MINISTERIO PUB DE CONTAS DOS M DO EST DO PARA</t>
  </si>
  <si>
    <t>05.018.916/0001-92</t>
  </si>
  <si>
    <t>233375</t>
  </si>
  <si>
    <t>BLM/IPD/215689/1</t>
  </si>
  <si>
    <t>15042026-46819</t>
  </si>
  <si>
    <t>M &amp;amp;amp;amp; L SERVICOS EM SAUDE LTDA SUPERCLINICA | OSCILAÇÃO</t>
  </si>
  <si>
    <t>05.596.740/0002-37</t>
  </si>
  <si>
    <t>232257, 232605</t>
  </si>
  <si>
    <t>232605</t>
  </si>
  <si>
    <t>SLS/L2L/218287/1</t>
  </si>
  <si>
    <t>16042026-78180</t>
  </si>
  <si>
    <t>Atendimento para: Anexo menino jesus de Praga - UEB ENS HENRIQUE DE LA ROQUE ALMEIDA SLS-SLS-218787-00315</t>
  </si>
  <si>
    <t>232535, 234057</t>
  </si>
  <si>
    <t>232535</t>
  </si>
  <si>
    <t>15042026-57097</t>
  </si>
  <si>
    <t>232273, 232613</t>
  </si>
  <si>
    <t>232613</t>
  </si>
  <si>
    <t>13042026-98291</t>
  </si>
  <si>
    <t>COLEGIO BATISTA DANIEL DE LATOUCHE  |  INDISPONIBILIDADE  |  SLS/IPD/219911/1</t>
  </si>
  <si>
    <t>229733</t>
  </si>
  <si>
    <t>16042026-28695</t>
  </si>
  <si>
    <t>#15042026-64378 - Link com lentidão, baixa velocidade de download e upload</t>
  </si>
  <si>
    <t>233585, 233915</t>
  </si>
  <si>
    <t>233915</t>
  </si>
  <si>
    <t>15042026-12181</t>
  </si>
  <si>
    <t>232199, 232889, 233867</t>
  </si>
  <si>
    <t>233867</t>
  </si>
  <si>
    <t>15042026-97142</t>
  </si>
  <si>
    <t>Atendimento para: C.T. ITAQUI - BACANGA - SLS-216233-00016</t>
  </si>
  <si>
    <t>231411, 232591</t>
  </si>
  <si>
    <t>232591</t>
  </si>
  <si>
    <t>SLS/L2L/216233/16</t>
  </si>
  <si>
    <t>17042026-18798</t>
  </si>
  <si>
    <t>Atendimento para: UEB OLIVIO CASTELO BRANCO  -  SLS-216233-00281</t>
  </si>
  <si>
    <t>234353, 234369</t>
  </si>
  <si>
    <t>234353</t>
  </si>
  <si>
    <t>SLS/L2L/218787/281</t>
  </si>
  <si>
    <t>16042026-98263</t>
  </si>
  <si>
    <t>RE: #14042026-45440 - ARMAZEM PARAIBA || INDISPONIBILIDADE || ZED/FBR/226873/1</t>
  </si>
  <si>
    <t>ARMAZEM PARAIBA</t>
  </si>
  <si>
    <t>06.862.627/0007-23</t>
  </si>
  <si>
    <t>233655</t>
  </si>
  <si>
    <t>ZED/FBR/226873/1</t>
  </si>
  <si>
    <t>17042026-23033</t>
  </si>
  <si>
    <t>234977, 235093</t>
  </si>
  <si>
    <t>15042026-94643</t>
  </si>
  <si>
    <t>233255, 233883</t>
  </si>
  <si>
    <t>18042026-75453</t>
  </si>
  <si>
    <t>Abertura de chamado - EVE260400130516 - SAO LUIS-MA</t>
  </si>
  <si>
    <t>235025</t>
  </si>
  <si>
    <t>09042026-59705</t>
  </si>
  <si>
    <t>230915, 234019, 235177</t>
  </si>
  <si>
    <t>235177</t>
  </si>
  <si>
    <t>13042026-41960</t>
  </si>
  <si>
    <t>230349</t>
  </si>
  <si>
    <t>15042026-23075</t>
  </si>
  <si>
    <t>232079, 232597</t>
  </si>
  <si>
    <t>232597</t>
  </si>
  <si>
    <t>15042026-29354</t>
  </si>
  <si>
    <t>LUZEIROS HOTEIS S A | SLS/IPD/42041/794 | INDISPONIBILIDADE</t>
  </si>
  <si>
    <t>232303, 232607</t>
  </si>
  <si>
    <t>232607</t>
  </si>
  <si>
    <t>15042026-12807</t>
  </si>
  <si>
    <t>232631</t>
  </si>
  <si>
    <t>15042026-71136</t>
  </si>
  <si>
    <t>Indisponibilidade  LINK-FILIAL19-GIGA+-FLA/L2L/202197/17</t>
  </si>
  <si>
    <t>232469, 232625</t>
  </si>
  <si>
    <t>232625</t>
  </si>
  <si>
    <t>16042026-30764</t>
  </si>
  <si>
    <t>UNINASSAU ALIANCA REDENCAO| INDISPONIBILIDADE | TSA/IPD/217513/1</t>
  </si>
  <si>
    <t>SER EDUCACIONAL S A FACULDADE UNINASSAU ALIANCA REDENCAO</t>
  </si>
  <si>
    <t>04.986.320/0117-43</t>
  </si>
  <si>
    <t>233253</t>
  </si>
  <si>
    <t>TSA/IPD/217513/1</t>
  </si>
  <si>
    <t>16042026-12348</t>
  </si>
  <si>
    <t>RA SLZ HOTEL LTDA  | OSCILAÇÃO | 225511/1</t>
  </si>
  <si>
    <t>233663, 233911</t>
  </si>
  <si>
    <t>233911</t>
  </si>
  <si>
    <t>16042026-35602</t>
  </si>
  <si>
    <t>233463</t>
  </si>
  <si>
    <t>16042026-65321</t>
  </si>
  <si>
    <t>233457</t>
  </si>
  <si>
    <t>16042026-31954</t>
  </si>
  <si>
    <t>CLARO S A CLARO | INDISPONIBILIDADE | SLS/IPD/175487/49</t>
  </si>
  <si>
    <t>233479, 233927</t>
  </si>
  <si>
    <t>233927</t>
  </si>
  <si>
    <t>SLS/IPD/175487/49</t>
  </si>
  <si>
    <t>16042026-20094</t>
  </si>
  <si>
    <t>Atendimento para: SEMIT - IPAM - TRAPICHE -</t>
  </si>
  <si>
    <t>233939</t>
  </si>
  <si>
    <t>16042026-77126</t>
  </si>
  <si>
    <t>LINK INOPERANTE - ESS/L2L/49019/300 - FÓRUM DE ESPERANTINÓPOLIS</t>
  </si>
  <si>
    <t>234435</t>
  </si>
  <si>
    <t>17042026-73881</t>
  </si>
  <si>
    <t>LINK DE CIRCUITO TSA/FBR/1819/67 COM INDISPONIBILIDADE</t>
  </si>
  <si>
    <t>Falha Humana</t>
  </si>
  <si>
    <t>234731</t>
  </si>
  <si>
    <t>14042026-38034</t>
  </si>
  <si>
    <t>ROSINETOS COMERCIO E SERVICOS LTDA INFOCLICK - GRUPO ROSINETOS | INDISPONIBILIDADE | LS/IPD/226759/4</t>
  </si>
  <si>
    <t>231267, 233667, 233863</t>
  </si>
  <si>
    <t>233863</t>
  </si>
  <si>
    <t>SLS/IPD/226759/4</t>
  </si>
  <si>
    <t>14042026-35075</t>
  </si>
  <si>
    <t>INOVANET EMPREENDIMENTOS LTDA. | INDISPONIBILIDADE |  SLS/L2L/133341/52</t>
  </si>
  <si>
    <t>231253, 231475</t>
  </si>
  <si>
    <t>231475</t>
  </si>
  <si>
    <t>SLS/L2L/133341/52</t>
  </si>
  <si>
    <t>15042026-25191</t>
  </si>
  <si>
    <t>Martins e Soares LTDA | INDISPONIBILIDADE | PWN/FBR/226899/1</t>
  </si>
  <si>
    <t>Martins e Soares LTDA</t>
  </si>
  <si>
    <t>42.480.083/0001-03</t>
  </si>
  <si>
    <t>232391, 232615</t>
  </si>
  <si>
    <t>BLA/FBR/226899/1</t>
  </si>
  <si>
    <t>16042026-20422</t>
  </si>
  <si>
    <t>Atendimento para: CRAS MARACANA - SLS-00216233-00083</t>
  </si>
  <si>
    <t>233785</t>
  </si>
  <si>
    <t>SLS/L2L/216233/83</t>
  </si>
  <si>
    <t>08042026-66169</t>
  </si>
  <si>
    <t>ATIVO DE IP: 187.60.40.219 /29</t>
  </si>
  <si>
    <t>SERVIÇO DE ACESSO A CONTEÚDO - TERESINA - ID(Wire)</t>
  </si>
  <si>
    <t>VENTOS DE SANTO AUGUSTO VIII ENERGIAS RENOVAVEIS SA GRUPO AUREN</t>
  </si>
  <si>
    <t>14.676.003/0002-35</t>
  </si>
  <si>
    <t>225855, 232563</t>
  </si>
  <si>
    <t>SYS/IPD/210805/1</t>
  </si>
  <si>
    <t>19042026-65880</t>
  </si>
  <si>
    <t>ALEX JERONIMO REIS SILVA || INOPERANTE || 228277/1</t>
  </si>
  <si>
    <t>235519</t>
  </si>
  <si>
    <t>19042026-82004</t>
  </si>
  <si>
    <t>ALERTA:  CLI | TRT22.FLO.FLORIANO-FW#43919.863 - FALHA</t>
  </si>
  <si>
    <t>235653</t>
  </si>
  <si>
    <t>FLO/FWL/43919/863</t>
  </si>
  <si>
    <t>S17</t>
  </si>
  <si>
    <t>17042026-27592</t>
  </si>
  <si>
    <t>TELECOMUNICACOES BRASILEIRAS SA | INDISPONIBILIDADE | TSA/IPD/19917/870</t>
  </si>
  <si>
    <t>TSA/IPD/19917/870</t>
  </si>
  <si>
    <t>15042026-35989</t>
  </si>
  <si>
    <t>RE: Ticket: 14042026-61813 - ABERTURA DE CHAMADO | DESIGNAÇÃO FORNECEDOR: BLM/L2L/224571/1 | PROTOCOLO: 202612785603 | BANCO BMG S A (BELEM)</t>
  </si>
  <si>
    <t>233871, 234811</t>
  </si>
  <si>
    <t>BLM/L2L/219039/1</t>
  </si>
  <si>
    <t>18042026-15982</t>
  </si>
  <si>
    <t>235029</t>
  </si>
  <si>
    <t>18042026-75338</t>
  </si>
  <si>
    <t>RE: [EXT] Ticket: 18042026-31955 - RE: CUSTOMER: WIRELINK | TT CPL: 0339242026 | TT CUSTOMER:  | CID: SLS054028321A,</t>
  </si>
  <si>
    <t>235279, 235775</t>
  </si>
  <si>
    <t>235775</t>
  </si>
  <si>
    <t>20042026-30972</t>
  </si>
  <si>
    <t>P R SILVA DA COSTA | INDISPONIVEL</t>
  </si>
  <si>
    <t>P R SILVA DA COSTA LTDA R J WEB HOST NET</t>
  </si>
  <si>
    <t>29.539.419/0001-06</t>
  </si>
  <si>
    <t>236265</t>
  </si>
  <si>
    <t>AIU/IPD/214775/1</t>
  </si>
  <si>
    <t>20042026-89468</t>
  </si>
  <si>
    <t>HEXATO TECNOLOGIA E FERRAMENTAS DE INTERNET LTDA  || INDISPONIBILIDADE || SLS/IPD/88921/27</t>
  </si>
  <si>
    <t>236269</t>
  </si>
  <si>
    <t>17042026-97261</t>
  </si>
  <si>
    <t>TRANSUL SERVICOS LOCACAO E TRANSPORTE LTDA | Indisponibilidade | SLS/IPD/217119/1</t>
  </si>
  <si>
    <t>TRANSUL SERVICOS LOCACAO E TRANSPORTE LTDA TRANSUL TRANSPORTES</t>
  </si>
  <si>
    <t>35.196.765/0001-23</t>
  </si>
  <si>
    <t>234913, 236231</t>
  </si>
  <si>
    <t>236231</t>
  </si>
  <si>
    <t>SLS/IPD/217119/1</t>
  </si>
  <si>
    <t>20042026-45321</t>
  </si>
  <si>
    <t>Falha ABAETETUBA</t>
  </si>
  <si>
    <t>MARTINS NET SERVICOS DE TELECOMUNICACOES LTDA MARTINS NET TELECOM</t>
  </si>
  <si>
    <t>09.437.086/0001-99</t>
  </si>
  <si>
    <t>236131</t>
  </si>
  <si>
    <t>ABT/L2L/42451/26</t>
  </si>
  <si>
    <t>20042026-84337</t>
  </si>
  <si>
    <t>Solicitação de abertura de chamado - TRE/PI - SEDE</t>
  </si>
  <si>
    <t>236723</t>
  </si>
  <si>
    <t>TSA/IPD/204531/3</t>
  </si>
  <si>
    <t>21042026-84963</t>
  </si>
  <si>
    <t>NORTE.NET TELECOMUNICACOES LTDA | INDISPONIBILIDADE | MBA/L2L/226775/3</t>
  </si>
  <si>
    <t>NORTE.NET TELECOMUNICACOES LTDA NORTE.NET TELECOM</t>
  </si>
  <si>
    <t>22.729.872/0001-28</t>
  </si>
  <si>
    <t>236685</t>
  </si>
  <si>
    <t>MBA/L2L/226775/3</t>
  </si>
  <si>
    <t>19042026-79829</t>
  </si>
  <si>
    <t>235705</t>
  </si>
  <si>
    <t>19042026-71144</t>
  </si>
  <si>
    <t>TELECOMUNICACOES BRASILEIRAS SA TELEBRAS | INDISPONIBILIDADE | ITZ/IPD/19913/876</t>
  </si>
  <si>
    <t>235681, 237383</t>
  </si>
  <si>
    <t>18042026-19530</t>
  </si>
  <si>
    <t>REDE NACIONAL DE ENSINO E PESQUISA RNP | Indisponibilidade | 49331/1120</t>
  </si>
  <si>
    <t>236537</t>
  </si>
  <si>
    <t>18042026-56015</t>
  </si>
  <si>
    <t>235323, 235789</t>
  </si>
  <si>
    <t>235789</t>
  </si>
  <si>
    <t>18042026-93332</t>
  </si>
  <si>
    <t>235277, 235765</t>
  </si>
  <si>
    <t>235765</t>
  </si>
  <si>
    <t>18042026-56557</t>
  </si>
  <si>
    <t>Link Off fora</t>
  </si>
  <si>
    <t>ACO PARA INDUSTRIAL LTDA ACO PARA</t>
  </si>
  <si>
    <t>14.719.161/0001-44</t>
  </si>
  <si>
    <t>CELANTE SERVICOS DE TELECOMUNICACOES LTDA</t>
  </si>
  <si>
    <t>TOME-ACU</t>
  </si>
  <si>
    <t>TOU/L2L/218427/10</t>
  </si>
  <si>
    <t>20042026-98832</t>
  </si>
  <si>
    <t>236253, 236945</t>
  </si>
  <si>
    <t>236945</t>
  </si>
  <si>
    <t>20042026-56693</t>
  </si>
  <si>
    <t>TELECOMUNICACOES BRASILEIRAS SA TELEBRAS  |  INDISPONIBILIDADE  |  MLV/IPD/19917/855</t>
  </si>
  <si>
    <t>SPE PIAUI CONECTADO S. A</t>
  </si>
  <si>
    <t>238001</t>
  </si>
  <si>
    <t>MIGUEL ALVES</t>
  </si>
  <si>
    <t>MLV/IPD/19917/855</t>
  </si>
  <si>
    <t>15042026-49267</t>
  </si>
  <si>
    <t>Solicitação de abertura de chamado-TRE-PI/Cocal</t>
  </si>
  <si>
    <t>ONLINE TELECOMUNICACOES LTDA</t>
  </si>
  <si>
    <t>237481</t>
  </si>
  <si>
    <t>COCAL</t>
  </si>
  <si>
    <t>CCX/L2L/204531/7</t>
  </si>
  <si>
    <t>19042026-33493</t>
  </si>
  <si>
    <t>FUNDO ESPECIAL DE MODERNIZACAO E REAPARELHAMENTO | INDISPONIBILIDADE | SLS /49019/00002</t>
  </si>
  <si>
    <t>235601, 236919, 237999</t>
  </si>
  <si>
    <t>21042026-79430</t>
  </si>
  <si>
    <t>236889</t>
  </si>
  <si>
    <t>20042026-30070</t>
  </si>
  <si>
    <t>ALERTA:  CLI | BADMGUF.TSA.2-BEC/TSA-25-BC_C08#/00077293/00018 - FALHA</t>
  </si>
  <si>
    <t>SERRA NET TELECOMUNICACOES E INTERNET LTDA - ME (SERRANET)</t>
  </si>
  <si>
    <t>236609</t>
  </si>
  <si>
    <t>TSA/L2L/77293/18</t>
  </si>
  <si>
    <t>20042026-44234</t>
  </si>
  <si>
    <t>236553</t>
  </si>
  <si>
    <t>20042026-69332</t>
  </si>
  <si>
    <t>236399, 236531, 237447</t>
  </si>
  <si>
    <t>17042026-14382</t>
  </si>
  <si>
    <t>Sem rede</t>
  </si>
  <si>
    <t>INSTITUTO GIANNA BERETTA DE EDUCACAO SUPERIOR LTDA</t>
  </si>
  <si>
    <t>07.193.291/0001-20</t>
  </si>
  <si>
    <t>234985, 235101, 235141, 235733, 236637, 236905</t>
  </si>
  <si>
    <t>234985, 236905</t>
  </si>
  <si>
    <t>SLS/IPD/49147/908</t>
  </si>
  <si>
    <t>19042026-99449</t>
  </si>
  <si>
    <t>Atendimento para: UEB ENS FUND JOSE CUPERTINO - SLS-216233-00252</t>
  </si>
  <si>
    <t>235649, 236923</t>
  </si>
  <si>
    <t>236923</t>
  </si>
  <si>
    <t>SLS/L2L/218787/252</t>
  </si>
  <si>
    <t>18042026-39145</t>
  </si>
  <si>
    <t>Atendimento para: TERMINAL DE INTEGRACAO DISTRITO INDUSTRIAL - VLAN-3861 SLS-216233-00399</t>
  </si>
  <si>
    <t>235341, 236915</t>
  </si>
  <si>
    <t>236915</t>
  </si>
  <si>
    <t>SLS/L2L/216233/399</t>
  </si>
  <si>
    <t>19042026-57477</t>
  </si>
  <si>
    <t>235603, 236917, 237427, 237431</t>
  </si>
  <si>
    <t>237431</t>
  </si>
  <si>
    <t>19042026-62369</t>
  </si>
  <si>
    <t>Atendimento para: UEB ENS FUND SAO RAIMUNDO - SLS-216233-00310</t>
  </si>
  <si>
    <t>235655, 236925</t>
  </si>
  <si>
    <t>SLS/L2L/218787/310</t>
  </si>
  <si>
    <t>22042026-33156</t>
  </si>
  <si>
    <t>237783, 238043</t>
  </si>
  <si>
    <t>238043</t>
  </si>
  <si>
    <t>22042026-31894</t>
  </si>
  <si>
    <t>HOSPITAL DA CRIANCA LINK 03 - LINK PRINCIPAL - SLS-IPD-218791-525</t>
  </si>
  <si>
    <t>237771, 237889</t>
  </si>
  <si>
    <t>22042026-68089</t>
  </si>
  <si>
    <t>237677, 238027</t>
  </si>
  <si>
    <t>22042026-60964</t>
  </si>
  <si>
    <t>237321</t>
  </si>
  <si>
    <t>20042026-36696</t>
  </si>
  <si>
    <t>TELECOMUNICACOES BRASILEIRAS SA TELEBRAS | 19921/822 | INDISPONIBILIDADE</t>
  </si>
  <si>
    <t>236557</t>
  </si>
  <si>
    <t>BLM/IPD/19921/822</t>
  </si>
  <si>
    <t>14042026-33505</t>
  </si>
  <si>
    <t>230967, 231467, 232573, 233861, 235129, 235715, 237987</t>
  </si>
  <si>
    <t>233861, 237987</t>
  </si>
  <si>
    <t>20042026-22560</t>
  </si>
  <si>
    <t>INOVANET EMPREENDIMENTOS LTDA || INDISPONIBILIDADE || SLS/L2L/133341/50</t>
  </si>
  <si>
    <t>237797, 238005</t>
  </si>
  <si>
    <t>238005</t>
  </si>
  <si>
    <t>SLS/L2L/133341/50</t>
  </si>
  <si>
    <t>23042026-77843</t>
  </si>
  <si>
    <t>M E L SERVICOS EM SAUDE LTDA SUPERCLINICA || SLS/L2L/218291/1 || indisponibilidade</t>
  </si>
  <si>
    <t>238447</t>
  </si>
  <si>
    <t>23042026-86442</t>
  </si>
  <si>
    <t>OLIVEIRA ABREU COM E SERV DE TELECOMUNICACOES LTDA  | INDISPONIBILIDADE | ITZ/L2L/213423/1</t>
  </si>
  <si>
    <t>Francisco Jonas de Alencar</t>
  </si>
  <si>
    <t>OLIVEIRA ABREU COM E SERV DE TELECOMUNICACOES LTDA</t>
  </si>
  <si>
    <t>32.613.301/0001-87</t>
  </si>
  <si>
    <t>238993</t>
  </si>
  <si>
    <t>ITZ/L2L/213423/1</t>
  </si>
  <si>
    <t>22042026-97684</t>
  </si>
  <si>
    <t>TELECOMUNICACOES BRASILEIRAS SA TELEBRAS | INDISPONIBILIDADE | SLS/IPD/19913/881</t>
  </si>
  <si>
    <t>237935</t>
  </si>
  <si>
    <t>CXS/IPD/19913/881</t>
  </si>
  <si>
    <t>23042026-45614</t>
  </si>
  <si>
    <t>239075</t>
  </si>
  <si>
    <t>19042026-59924</t>
  </si>
  <si>
    <t>235703, 236935, 238625</t>
  </si>
  <si>
    <t>238625</t>
  </si>
  <si>
    <t>22042026-78046</t>
  </si>
  <si>
    <t>Atendimento para: UEB MINDINHO  ANEXO SANTA MARIA - SLS-216233-00331</t>
  </si>
  <si>
    <t>237611, 238031</t>
  </si>
  <si>
    <t>238031</t>
  </si>
  <si>
    <t>SLS/L2L/218787/331</t>
  </si>
  <si>
    <t>22042026-94573</t>
  </si>
  <si>
    <t>UEB ENS FUND HORTENCIA PINHO - COQUEIRO - SLS-218787-00357</t>
  </si>
  <si>
    <t>237757, 237765, 238033</t>
  </si>
  <si>
    <t>238033</t>
  </si>
  <si>
    <t>SLS/L2L/218787/357</t>
  </si>
  <si>
    <t>23042026-39754</t>
  </si>
  <si>
    <t>237973</t>
  </si>
  <si>
    <t>23042026-41755</t>
  </si>
  <si>
    <t>M DIAS BRANCO | INDISPONIBILIDADE | AIU/223293/00001</t>
  </si>
  <si>
    <t>238995</t>
  </si>
  <si>
    <t>22042026-67410</t>
  </si>
  <si>
    <t>237615, 238023</t>
  </si>
  <si>
    <t>238023</t>
  </si>
  <si>
    <t>BLM/IPD/203645/4</t>
  </si>
  <si>
    <t>22042026-28060</t>
  </si>
  <si>
    <t>237547</t>
  </si>
  <si>
    <t>22042026-42705</t>
  </si>
  <si>
    <t>CD PA – BENEVIDES_PA – WIRELINK-100MB_BVS-212995-00147</t>
  </si>
  <si>
    <t>237627</t>
  </si>
  <si>
    <t>22042026-41888</t>
  </si>
  <si>
    <t>SEM ACESSO</t>
  </si>
  <si>
    <t>63.886.274 RAIMUNDO ERIELSON COSTA ALVES</t>
  </si>
  <si>
    <t>63.886.274/0001-40</t>
  </si>
  <si>
    <t>237617, 238025</t>
  </si>
  <si>
    <t>SLS/IPD/229887/4</t>
  </si>
  <si>
    <t>21042026-11865</t>
  </si>
  <si>
    <t>ALERTA:  CLI | DPMA.PRM.PARNARAMA.L3VPN.203659.119 - FALHA</t>
  </si>
  <si>
    <t>237733</t>
  </si>
  <si>
    <t>PRM/L2L/203659/119</t>
  </si>
  <si>
    <t>23042026-90825</t>
  </si>
  <si>
    <t>NORTE TELECOMUNICACOES SERVICOS DE INTERNET LTDA GBS NET | INDISPONIBILIDADE | AIU/IPD/41079/2</t>
  </si>
  <si>
    <t>238835</t>
  </si>
  <si>
    <t>22042026-83186</t>
  </si>
  <si>
    <t>ION TELECOMUNICACOES LTDA ION TELECOM | INOPERANTE | 224659/1</t>
  </si>
  <si>
    <t>IP TRANSIT ON DEMAND</t>
  </si>
  <si>
    <t>ION TELECOMUNICACOES LTDA ION TELECOM</t>
  </si>
  <si>
    <t>24.826.115/0001-06</t>
  </si>
  <si>
    <t>237873</t>
  </si>
  <si>
    <t>AIU/IPT/224659/1</t>
  </si>
  <si>
    <t>22042026-93257</t>
  </si>
  <si>
    <t>TELECOMUNICACOES BRASILEIRAS SA TELEBRAS | INDISPONIBILIDADE | SRN/19917/00674</t>
  </si>
  <si>
    <t>237879</t>
  </si>
  <si>
    <t>23042026-51332</t>
  </si>
  <si>
    <t>238975</t>
  </si>
  <si>
    <t>22042026-64778</t>
  </si>
  <si>
    <t>Estou sem internet.</t>
  </si>
  <si>
    <t>FGV FIBRAS E COMUNICACAO LTDA FGV FIBRAS E COMUNICACAO LTDA</t>
  </si>
  <si>
    <t>61.503.136/0001-09</t>
  </si>
  <si>
    <t>237901</t>
  </si>
  <si>
    <t>AIU/IPD/229669/1</t>
  </si>
  <si>
    <t>16042026-60145</t>
  </si>
  <si>
    <t>238713</t>
  </si>
  <si>
    <t>576403</t>
  </si>
  <si>
    <t>23042026-34414</t>
  </si>
  <si>
    <t>OI S A EM RECUPERACAO JUDICIAL | Indisponibilidade | TMN/FBR/214913/61</t>
  </si>
  <si>
    <t>238055</t>
  </si>
  <si>
    <t>TMN/FBR/214913/61</t>
  </si>
  <si>
    <t>23042026-52348</t>
  </si>
  <si>
    <t>Sem Internet</t>
  </si>
  <si>
    <t>ATLANTICA AGROPECUARIA LTDA</t>
  </si>
  <si>
    <t>01.588.098/0001-02</t>
  </si>
  <si>
    <t>238461</t>
  </si>
  <si>
    <t>TSA/IPD/218119/2</t>
  </si>
  <si>
    <t>23042026-77827</t>
  </si>
  <si>
    <t>ALERTA:  CLI |TRF1-MA.BLA.SAO.LUIS#/SLS/L2L/216065/12 - FALHA</t>
  </si>
  <si>
    <t>238515, 238937</t>
  </si>
  <si>
    <t>23042026-44125</t>
  </si>
  <si>
    <t>Alerta de Monitoramento LOJA80 designação SLS-IPD-F-#123030</t>
  </si>
  <si>
    <t>238621</t>
  </si>
  <si>
    <t>SLS/IPD/212603/44</t>
  </si>
  <si>
    <t>23042026-96711</t>
  </si>
  <si>
    <t>#22042026-95120 - Abertura de chamado - EVE260300161312</t>
  </si>
  <si>
    <t>238889</t>
  </si>
  <si>
    <t>23042026-39039</t>
  </si>
  <si>
    <t>238645</t>
  </si>
  <si>
    <t>23042026-16917</t>
  </si>
  <si>
    <t>VERIFICAÇÃO LINK L2L - BELEM BR</t>
  </si>
  <si>
    <t>238585</t>
  </si>
  <si>
    <t>BLM/L2L/13955/27</t>
  </si>
  <si>
    <t>18042026-56559</t>
  </si>
  <si>
    <t>TELMEX DO BRASIL S A  |  INDISPONIBILIDADE  |  AAR/FBR/104863/23</t>
  </si>
  <si>
    <t>TELMEX DO BRASIL S A</t>
  </si>
  <si>
    <t>02.667.694/0045-61</t>
  </si>
  <si>
    <t>235321, 236913, 238715</t>
  </si>
  <si>
    <t>238715</t>
  </si>
  <si>
    <t>AAR/FBR/104863/23</t>
  </si>
  <si>
    <t>23042026-40545</t>
  </si>
  <si>
    <t>VERIFICAÇÃO LINK BL - BELEM BR</t>
  </si>
  <si>
    <t>238641</t>
  </si>
  <si>
    <t>BLM/FBR/13955/81</t>
  </si>
  <si>
    <t>22042026-45774</t>
  </si>
  <si>
    <t>HowBe - S3UTM2603-L1-BNBWAN-GIGA-NORTE-TERESINAPI - [ZBX#228475248]</t>
  </si>
  <si>
    <t>237871, 239093</t>
  </si>
  <si>
    <t>239093</t>
  </si>
  <si>
    <t>22042026-58775</t>
  </si>
  <si>
    <t>[#0426-003650] - Indisponível VLAN 527 - UNIFESSA RODON DO PARÁ</t>
  </si>
  <si>
    <t>ONLINE SERVICOS DE TELECOMUNICACOES LTDA ONLINE TELECOM</t>
  </si>
  <si>
    <t>08.942.571/0001-57</t>
  </si>
  <si>
    <t>238051</t>
  </si>
  <si>
    <t>CHI/L2L/206915/2</t>
  </si>
  <si>
    <t>S18</t>
  </si>
  <si>
    <t>26042026-66455</t>
  </si>
  <si>
    <t>240833</t>
  </si>
  <si>
    <t>23042026-97494</t>
  </si>
  <si>
    <t>CRAS COROADINHO - VLAN 3736 SLS-216233-00392 | INDISPONIBILIDADE</t>
  </si>
  <si>
    <t>239071</t>
  </si>
  <si>
    <t>SLS/L2L/216233/392</t>
  </si>
  <si>
    <t>26042026-41027</t>
  </si>
  <si>
    <t>Queda de link Secundário - Joquei</t>
  </si>
  <si>
    <t>240745, 240981</t>
  </si>
  <si>
    <t>240981</t>
  </si>
  <si>
    <t>TSA/FBR/13955/84</t>
  </si>
  <si>
    <t>22042026-70656</t>
  </si>
  <si>
    <t>Atendimento para: UEB TOM E JERRY - VLAN- 3688 SLS-216233-00203</t>
  </si>
  <si>
    <t>237625, 238739, 239087</t>
  </si>
  <si>
    <t>239087</t>
  </si>
  <si>
    <t>SLS/L2L/218787/203</t>
  </si>
  <si>
    <t>22042026-89202</t>
  </si>
  <si>
    <t>237963, 238949</t>
  </si>
  <si>
    <t>22042026-40773</t>
  </si>
  <si>
    <t>238061</t>
  </si>
  <si>
    <t>23042026-34568</t>
  </si>
  <si>
    <t>238735</t>
  </si>
  <si>
    <t>23042026-90928</t>
  </si>
  <si>
    <t>238615, 239095</t>
  </si>
  <si>
    <t>239095</t>
  </si>
  <si>
    <t>23042026-52830</t>
  </si>
  <si>
    <t>238591, 239101</t>
  </si>
  <si>
    <t>239101</t>
  </si>
  <si>
    <t>24042026-33477</t>
  </si>
  <si>
    <t>CLAUDINO S A LOJAS DE DEPARTAMENTOS ARMAZEM PARAIBA | INDISPONIBILIDADE | TMN/FBR/93027/16</t>
  </si>
  <si>
    <t>240371</t>
  </si>
  <si>
    <t>TMN/FBR/93027/16</t>
  </si>
  <si>
    <t>23042026-17504</t>
  </si>
  <si>
    <t>LACMAR LABORATORIO DE ANALISES CLINICAS DO MARANHAO LTDA | INDISPONIBILIDADE | 204321/11</t>
  </si>
  <si>
    <t>238813, 239111</t>
  </si>
  <si>
    <t>239111</t>
  </si>
  <si>
    <t>SLS/IPD/204321/11</t>
  </si>
  <si>
    <t>23042026-85416</t>
  </si>
  <si>
    <t>Equipamento Queimado (ONU/CPE)</t>
  </si>
  <si>
    <t>238983</t>
  </si>
  <si>
    <t>23042026-63810</t>
  </si>
  <si>
    <t>239069</t>
  </si>
  <si>
    <t>24042026-77223</t>
  </si>
  <si>
    <t>ALERTA:  CLI | TRT16.SIS.SANTA.INES-FW#202555.30 - FALHA</t>
  </si>
  <si>
    <t>239817</t>
  </si>
  <si>
    <t>SIS/FWL/202555/30</t>
  </si>
  <si>
    <t>26042026-30498</t>
  </si>
  <si>
    <t>241443</t>
  </si>
  <si>
    <t>24042026-17155</t>
  </si>
  <si>
    <t>Atendimento para: ANEXO DO CS FABRICIANA DE MORAES VLAN 3957 SLS-218791-00415</t>
  </si>
  <si>
    <t>239759</t>
  </si>
  <si>
    <t>27042026-48015</t>
  </si>
  <si>
    <t>COMPANHIA INDUSTRIAL DE CIMENTO APODI  |  INDISPONIBILIDADE  |  TSA/IPD/198595/4</t>
  </si>
  <si>
    <t>COMPANHIA INDUSTRIAL DE CIMENTO APODI COMPANHIA INDUSTRIAL DE CIMENTO APODI</t>
  </si>
  <si>
    <t>10.260.249/0001-90</t>
  </si>
  <si>
    <t>241351</t>
  </si>
  <si>
    <t>TSA/IPD/198595/4</t>
  </si>
  <si>
    <t>27042026-59593</t>
  </si>
  <si>
    <t>EQUATORIAL TELECOMUNICACOES S A | VMM/IPD/19489/46 | INDISPONIBILIDADE</t>
  </si>
  <si>
    <t>241589</t>
  </si>
  <si>
    <t>VMM/IPD/19489/46</t>
  </si>
  <si>
    <t>25042026-39131</t>
  </si>
  <si>
    <t>MARDISA VEICULOS S A | INOPERANTE | ATAL/IPD/225021/1</t>
  </si>
  <si>
    <t>MARDISA VEICULOS S A MARDISA AGRO</t>
  </si>
  <si>
    <t>63.411.623/0033-54</t>
  </si>
  <si>
    <t>240537, 240977</t>
  </si>
  <si>
    <t>ALTO ALEGRE DO MARANHAO</t>
  </si>
  <si>
    <t>ATAL/IPD/225021/1</t>
  </si>
  <si>
    <t>27042026-42472</t>
  </si>
  <si>
    <t>241977</t>
  </si>
  <si>
    <t>27042026-13657</t>
  </si>
  <si>
    <t>HowBe - S3UTM2601-L1-BNBWAN-GIGA-DIRCEU-TERESINAPI - [ZBX#229725524]</t>
  </si>
  <si>
    <t>241581, 242419</t>
  </si>
  <si>
    <t>20042026-43944</t>
  </si>
  <si>
    <t>236445, 236961, 239605, 240923</t>
  </si>
  <si>
    <t>240923</t>
  </si>
  <si>
    <t>25042026-93393</t>
  </si>
  <si>
    <t>HOSPITAL SAO LUIS - HSLZ LTDA. HSE - HOSPITAL DO SERVIDOR | INDISPONIBILIDADE | SLS/IPD/228617/1</t>
  </si>
  <si>
    <t>240539, 240973</t>
  </si>
  <si>
    <t>240973</t>
  </si>
  <si>
    <t>20042026-26652</t>
  </si>
  <si>
    <t>Circuito FLAL2LCKJF267542 - Cirion INC5249934  VNDRTASK0119509 - Abertura de chamado</t>
  </si>
  <si>
    <t>238891, 240929</t>
  </si>
  <si>
    <t>CANAA DOS CARAJAS</t>
  </si>
  <si>
    <t>CKJ/L2L/71001/131</t>
  </si>
  <si>
    <t>27042026-85193</t>
  </si>
  <si>
    <t>[REPARO]  - [ID] - CID WIRE PI - BRAVEO - UL - DEC PIRANHAS- FT - Caso : 05479896 - WO: 00211052 [ thread::L8nEv-zCJjaW-rScdcDOzC8:: ]</t>
  </si>
  <si>
    <t>J R ATACADISTA DE PRODUTOS DE HIGIENE S A</t>
  </si>
  <si>
    <t>22.417.427/0001-22</t>
  </si>
  <si>
    <t>241645</t>
  </si>
  <si>
    <t>TSA/IPD/210937/2</t>
  </si>
  <si>
    <t>24042026-43916</t>
  </si>
  <si>
    <t>3 ZONA DE REGISTRO DE IMOVEIS DE SAO LUIS 3 | SLS/IPD/229765/1 | INDISPONIBILIDADE</t>
  </si>
  <si>
    <t>240319, 240969</t>
  </si>
  <si>
    <t>240969</t>
  </si>
  <si>
    <t>28042026-75347</t>
  </si>
  <si>
    <t>LBA SOLUCOES E CONSULTORIA LTDA | INDISPONIBILIDADE |  ITZ/IPD/205025/33</t>
  </si>
  <si>
    <t>LBA SOLUCOES E CONSULTORIA LTDA</t>
  </si>
  <si>
    <t>21.702.263/0001-12</t>
  </si>
  <si>
    <t>242653</t>
  </si>
  <si>
    <t>ITZ/IPD/205025/33</t>
  </si>
  <si>
    <t>28042026-85528</t>
  </si>
  <si>
    <t>242371</t>
  </si>
  <si>
    <t>28042026-91294</t>
  </si>
  <si>
    <t>242665</t>
  </si>
  <si>
    <t>27042026-62706</t>
  </si>
  <si>
    <t>ALERTA:  PF.SLS.IPD.217825.6 - FALHA</t>
  </si>
  <si>
    <t>242255</t>
  </si>
  <si>
    <t>SLS/IPD/217825/6</t>
  </si>
  <si>
    <t>27042026-84913</t>
  </si>
  <si>
    <t>PROBLEMA DE CONECTIVIDADE E PERDA DE PACOTE -LINK DEDICADO DE INTERNET - AIU/IPD/52957/12 - RUA CLAUDIO SANDERS , 677 , Centro , ANANINDEUA-PA</t>
  </si>
  <si>
    <t>241651, 242411</t>
  </si>
  <si>
    <t>242411</t>
  </si>
  <si>
    <t>AIU/IPD/52957/12</t>
  </si>
  <si>
    <t>27042026-44821</t>
  </si>
  <si>
    <t>ALERTA:  CLI | MPMA.SLS.DIVINEIA.L2L.149307.123 - FALHA</t>
  </si>
  <si>
    <t>241779</t>
  </si>
  <si>
    <t>SLS/L2L/149307/123</t>
  </si>
  <si>
    <t>27042026-63753</t>
  </si>
  <si>
    <t>ALERTA:  CLI | SESI-PA.BCN.BARCARENA#BCN/IPD/204303/3 - FALHA</t>
  </si>
  <si>
    <t>242243</t>
  </si>
  <si>
    <t>BCN/IPD/204303/3</t>
  </si>
  <si>
    <t>23042026-88629</t>
  </si>
  <si>
    <t>[REPARO]  - [ID] - CID WIRE PI - BRAVEO - UL - DEC PIRANHAS- FT - Caso : 05471255 - WO: 00210216 [ thread::gCUfC8trJDGqLn7Xwb2lWi8:: ]</t>
  </si>
  <si>
    <t>239021, 241757</t>
  </si>
  <si>
    <t>26042026-97876</t>
  </si>
  <si>
    <t>Atendimento para: Anexo Raimundo Francilio -UEB Evandro Bessa  -  SLS-216233-00354</t>
  </si>
  <si>
    <t>240847, 241793</t>
  </si>
  <si>
    <t>241793</t>
  </si>
  <si>
    <t>SLS/L2L/218787/354</t>
  </si>
  <si>
    <t>24042026-19676</t>
  </si>
  <si>
    <t>UEB ENS FUND JOSEFINA SERRAO -  SLS-218787-00361</t>
  </si>
  <si>
    <t>239869, 240945, 241787</t>
  </si>
  <si>
    <t>241787</t>
  </si>
  <si>
    <t>SLS/L2L/218787/361</t>
  </si>
  <si>
    <t>28042026-43108</t>
  </si>
  <si>
    <t>Link Filial ABC de São Luis-Troca da fonte da RB</t>
  </si>
  <si>
    <t>243249</t>
  </si>
  <si>
    <t>27042026-42107</t>
  </si>
  <si>
    <t>UEB ENS FUND ANTONINHO BALDEZ  -  SLS-218787-00356</t>
  </si>
  <si>
    <t>241511</t>
  </si>
  <si>
    <t>27042026-76934</t>
  </si>
  <si>
    <t>SECOPI SERVICOS | INDISPONIVEL</t>
  </si>
  <si>
    <t>242381</t>
  </si>
  <si>
    <t>24042026-54451</t>
  </si>
  <si>
    <t>VENTOS DE SANTO ONOFRE ENERGIAS RENOVAVEIS S A || INDISPONIBILIDADE || SYS/IPD/209717/1</t>
  </si>
  <si>
    <t>239195</t>
  </si>
  <si>
    <t>29042026-77230</t>
  </si>
  <si>
    <t>[#0426-005046] - Indisponível VLAN 527 - UNIFESSA RODON DO PARÁ</t>
  </si>
  <si>
    <t>244299, 244305, 244307, 244311</t>
  </si>
  <si>
    <t>29042026-19308</t>
  </si>
  <si>
    <t>TELECOMUNICACOES BRASILEIRAS SA TELEBRAS | INDISPONILIDADE | BLM0/IPD/0019921/00863</t>
  </si>
  <si>
    <t>244045</t>
  </si>
  <si>
    <t>BLM/IPD/19921/863</t>
  </si>
  <si>
    <t>29042026-62694</t>
  </si>
  <si>
    <t>UEB ENS FUND MENINO JESUS DE PRAGA - Anexo I - SLS-216233-00202</t>
  </si>
  <si>
    <t>243931</t>
  </si>
  <si>
    <t>28042026-98831</t>
  </si>
  <si>
    <t>243027, 243967</t>
  </si>
  <si>
    <t>243027</t>
  </si>
  <si>
    <t>28042026-21793</t>
  </si>
  <si>
    <t>Atendimento para: UEB VILA TIRADENTES - Anexo Sao Benedito  UEB ENS FUND GOMES DE SOUSA - Anexo Sao Benedito e Sao Joaquim  -  SLS-216233-00394</t>
  </si>
  <si>
    <t>243217</t>
  </si>
  <si>
    <t>SLS/L2L/218787/394</t>
  </si>
  <si>
    <t>29042026-48114</t>
  </si>
  <si>
    <t>244091, 244569</t>
  </si>
  <si>
    <t>244569</t>
  </si>
  <si>
    <t>29042026-38860</t>
  </si>
  <si>
    <t>Queda Link Principal - Guaxenduba</t>
  </si>
  <si>
    <t>243939</t>
  </si>
  <si>
    <t>29042026-67283</t>
  </si>
  <si>
    <t>ALERTA:  CLI | MPMA.TMN.TIMON.L2L.149307.78 - FALHA</t>
  </si>
  <si>
    <t>243537</t>
  </si>
  <si>
    <t>TMN/L2L/149307/78</t>
  </si>
  <si>
    <t>29042026-38440</t>
  </si>
  <si>
    <t>Falha de conectividade em promotoria(s)</t>
  </si>
  <si>
    <t>243941, 243943</t>
  </si>
  <si>
    <t>TMN/L2L/149307/57</t>
  </si>
  <si>
    <t>29042026-80409</t>
  </si>
  <si>
    <t>HEXATO TECNOLOGIA E FERRAMENTAS DE INTERNET LTDA || MPA/IPD/88921/25 || INDISPONIBILIDADE</t>
  </si>
  <si>
    <t>244035, 244387</t>
  </si>
  <si>
    <t>244387</t>
  </si>
  <si>
    <t>30042026-33007</t>
  </si>
  <si>
    <t>245207</t>
  </si>
  <si>
    <t>30042026-42980</t>
  </si>
  <si>
    <t>Conexão</t>
  </si>
  <si>
    <t>INSTITUICAO ADVENTISTA DE EDUCACAO E ASSISTENCIA SOCIAL NORTE BRASILEIRA Regiao Administrativa do Sul do Para</t>
  </si>
  <si>
    <t>83.367.326/0019-08</t>
  </si>
  <si>
    <t>245035</t>
  </si>
  <si>
    <t>MBA/IPD/223441/2</t>
  </si>
  <si>
    <t>30042026-53782</t>
  </si>
  <si>
    <t>244999</t>
  </si>
  <si>
    <t>29042026-86088</t>
  </si>
  <si>
    <t>244401</t>
  </si>
  <si>
    <t>29042026-72407</t>
  </si>
  <si>
    <t>Atendimento para: SEMMAM-SEMURH -INCID SLS-216233-00006</t>
  </si>
  <si>
    <t>243935</t>
  </si>
  <si>
    <t>SLS/L2L/216233/6</t>
  </si>
  <si>
    <t>30042026-24272</t>
  </si>
  <si>
    <t>HOSPITAL DE OLHOS FRANCISCO VILAR LTDA  | INDISPONIBILIDADE | TSA/L2L/203737/5</t>
  </si>
  <si>
    <t>244885</t>
  </si>
  <si>
    <t>TSA/L2L/203737/5</t>
  </si>
  <si>
    <t>29042026-53492</t>
  </si>
  <si>
    <t>Queda Link Principal - Turu</t>
  </si>
  <si>
    <t>244115</t>
  </si>
  <si>
    <t>SLS/L2L/13955/63</t>
  </si>
  <si>
    <t>30042026-52644</t>
  </si>
  <si>
    <t>SERVICO SOCIAL DO COMERCIO SESC  | INDISPONIBILIDADE | SLS/IPD/224599/1</t>
  </si>
  <si>
    <t>SERVICO SOCIAL DO COMERCIO SESC SESC</t>
  </si>
  <si>
    <t>04.155.096/0001-18</t>
  </si>
  <si>
    <t>245197</t>
  </si>
  <si>
    <t>SLS/IPD/224599/1</t>
  </si>
  <si>
    <t>25042026-56024</t>
  </si>
  <si>
    <t>LUNE FIBRA LTDA LUNE FIBRA | INOPERANTE | 225725/1</t>
  </si>
  <si>
    <t>LUNE FIBRA LTDA LUNE FIBRA</t>
  </si>
  <si>
    <t>41.325.419/0001-09</t>
  </si>
  <si>
    <t>240667, 241857</t>
  </si>
  <si>
    <t>ABT/IPD/225725/1</t>
  </si>
  <si>
    <t>01052026-85944</t>
  </si>
  <si>
    <t>Abertura de chamado - EVE260500000747 - PCZL2L43367860</t>
  </si>
  <si>
    <t>245733</t>
  </si>
  <si>
    <t>29042026-72436</t>
  </si>
  <si>
    <t>244327, 244941, 245679</t>
  </si>
  <si>
    <t>30042026-90685</t>
  </si>
  <si>
    <t>MARTINS NET SERVICOS DE TELECOMUNICACOES | INDISPONIBILIDADE | 42451/2</t>
  </si>
  <si>
    <t>245345</t>
  </si>
  <si>
    <t>BCN/L2L/42451/2</t>
  </si>
  <si>
    <t>S19</t>
  </si>
  <si>
    <t>01052026-55501</t>
  </si>
  <si>
    <t>ABERTURA DE CHAMADO/202614714232/GRUPO CASAS BAHIA S A</t>
  </si>
  <si>
    <t>245725</t>
  </si>
  <si>
    <t>03052026-98177</t>
  </si>
  <si>
    <t>246343</t>
  </si>
  <si>
    <t>01052026-97006</t>
  </si>
  <si>
    <t>NORTE.NET TELECOMUNICACOES LTDA || INDISPONIBILIDADE || MBA/L2L/226775/3</t>
  </si>
  <si>
    <t>245873</t>
  </si>
  <si>
    <t>04052026-43778</t>
  </si>
  <si>
    <t>247099</t>
  </si>
  <si>
    <t>04052026-27146</t>
  </si>
  <si>
    <t>PRGNET SERVICO DE TELECOMUNICACAO LTDA PRG NET | INDISPONIBILIDADE |  MBA/LAC/211847/1</t>
  </si>
  <si>
    <t>PRGNET SERVICO DE TELECOMUNICACAO LTDA PRG NET</t>
  </si>
  <si>
    <t>21.950.129/0001-30</t>
  </si>
  <si>
    <t>246595</t>
  </si>
  <si>
    <t>MBA/LAC/211847/1</t>
  </si>
  <si>
    <t>04052026-76355</t>
  </si>
  <si>
    <t>HowBe - S3UTM2599-L1-BNBWAN-GIGA-VER-TERESINACIDVERDEPI - [ZBX#231720673]</t>
  </si>
  <si>
    <t>246417</t>
  </si>
  <si>
    <t>04052026-25345</t>
  </si>
  <si>
    <t>[REPARO] - [BL] - SLUI-MA - PETZ SAO LUIS - FT - Caso: 05509763 - WO: 00212966</t>
  </si>
  <si>
    <t>246957</t>
  </si>
  <si>
    <t>02052026-56897</t>
  </si>
  <si>
    <t>EQUATORIAL | INDISPONIVE</t>
  </si>
  <si>
    <t>246235</t>
  </si>
  <si>
    <t>SLS/L2L/19489/17</t>
  </si>
  <si>
    <t>29042026-41131</t>
  </si>
  <si>
    <t>CLARO S.A ||  TSA/FBR/93973/9 || Indisponibilidade</t>
  </si>
  <si>
    <t>CLARO S.A.</t>
  </si>
  <si>
    <t>40.432.544/0142-88</t>
  </si>
  <si>
    <t>244533, 246309</t>
  </si>
  <si>
    <t>244533</t>
  </si>
  <si>
    <t>TSA/FBR/93973/9</t>
  </si>
  <si>
    <t>04052026-13023</t>
  </si>
  <si>
    <t>ALERTA:  CLI | MPMA.CASA.MULHER.BRASILEIRA.L2L.149307.122 - FALHA</t>
  </si>
  <si>
    <t>246241</t>
  </si>
  <si>
    <t>SLS/L2L/149307/122</t>
  </si>
  <si>
    <t>04052026-34300</t>
  </si>
  <si>
    <t>Link offline L2L</t>
  </si>
  <si>
    <t>27.352.414/0038-28</t>
  </si>
  <si>
    <t>246671</t>
  </si>
  <si>
    <t>TOU/L2L/216023/1</t>
  </si>
  <si>
    <t>03052026-16504</t>
  </si>
  <si>
    <t>Atendimento para: Link cameras - Forquilha sentido guajajaras - VLAN 2185 - SLS 216233-00638</t>
  </si>
  <si>
    <t>246345, 247223</t>
  </si>
  <si>
    <t>SLS/L2L/216233/638</t>
  </si>
  <si>
    <t>04052026-77915</t>
  </si>
  <si>
    <t>Atendimento para: UEB PROFESSORA SILVIA STELLA FONSECA FURTADO - SLS-216233-00391</t>
  </si>
  <si>
    <t>247309</t>
  </si>
  <si>
    <t>SLS/L2L/218787/391</t>
  </si>
  <si>
    <t>04052026-50372</t>
  </si>
  <si>
    <t>246277</t>
  </si>
  <si>
    <t>04052026-30010</t>
  </si>
  <si>
    <t>247075, 247077</t>
  </si>
  <si>
    <t>247075</t>
  </si>
  <si>
    <t>04052026-83536</t>
  </si>
  <si>
    <t>CIRION TECHNOLOGIES DO BRASIL LTDA | SLS/L2L/71001/31 | INDISPONIBILIDADE</t>
  </si>
  <si>
    <t>246899, 247231</t>
  </si>
  <si>
    <t>247231</t>
  </si>
  <si>
    <t>SLS/L2L/71001/31</t>
  </si>
  <si>
    <t>05052026-21671</t>
  </si>
  <si>
    <t>HowBe - S3UTM2603-L1-BNBWAN-GIGA-NORTE-TERESINAPI - [ZBX#232045917]</t>
  </si>
  <si>
    <t>248005</t>
  </si>
  <si>
    <t>05052026-74595</t>
  </si>
  <si>
    <t>TALKD SOLUCOES | indisponivel</t>
  </si>
  <si>
    <t>TALKD SOLUCOES EM ATENDIMENTO LTDA TALKD</t>
  </si>
  <si>
    <t>28.413.636/0001-84</t>
  </si>
  <si>
    <t>247943, 248097</t>
  </si>
  <si>
    <t>248097</t>
  </si>
  <si>
    <t>ALTO ALEGRE DO PINDARE</t>
  </si>
  <si>
    <t>ALLG/FBR/203393/17</t>
  </si>
  <si>
    <t>04052026-12758</t>
  </si>
  <si>
    <t>247391</t>
  </si>
  <si>
    <t>04052026-47561</t>
  </si>
  <si>
    <t>249031</t>
  </si>
  <si>
    <t>04052026-11673</t>
  </si>
  <si>
    <t>247259, 248513</t>
  </si>
  <si>
    <t>248513</t>
  </si>
  <si>
    <t>05052026-49212</t>
  </si>
  <si>
    <t>248055, 248395</t>
  </si>
  <si>
    <t>248395</t>
  </si>
  <si>
    <t>05052026-15535</t>
  </si>
  <si>
    <t>AMAZON INFORMATICA LTDA AMAZON INFORMATICA || INDISPONIBILIDADE ||  BLM/IPD/218549/1</t>
  </si>
  <si>
    <t>AMAZON INFORMATICA LTDA AMAZON INFORMATICA</t>
  </si>
  <si>
    <t>00.734.255/0001-88</t>
  </si>
  <si>
    <t>248021, 248521</t>
  </si>
  <si>
    <t>248521</t>
  </si>
  <si>
    <t>BLM/IPD/218549/1</t>
  </si>
  <si>
    <t>05052026-32639</t>
  </si>
  <si>
    <t>LANLINK SERVICOS DE INFORMATICA SA | INDISPONIBILIDADE | SLS/64169/00023</t>
  </si>
  <si>
    <t>248001, 248381</t>
  </si>
  <si>
    <t>05052026-81580</t>
  </si>
  <si>
    <t>ABERTURA DE CHAMADO-202615073897-0029586774-08546727-COMPANHIA BRASILEIRA DE DISTRIBUICAO AUTOMOTIVA S.A</t>
  </si>
  <si>
    <t>247971, 248515</t>
  </si>
  <si>
    <t>248515</t>
  </si>
  <si>
    <t>04052026-36765</t>
  </si>
  <si>
    <t>Atendimento para: CS Dr. ANTONIO GUANARE - VLAN 3622 SLS-216233-00120</t>
  </si>
  <si>
    <t>247387, 248507</t>
  </si>
  <si>
    <t>248507</t>
  </si>
  <si>
    <t>SLS/L2L/218791/120</t>
  </si>
  <si>
    <t>05052026-78456</t>
  </si>
  <si>
    <t>HowBe - S3RT147-L2-ZEDOCA-MA-IPD - [ZBX#232059010]</t>
  </si>
  <si>
    <t>248035</t>
  </si>
  <si>
    <t>06052026-65057</t>
  </si>
  <si>
    <t>249019, 249487</t>
  </si>
  <si>
    <t>249487</t>
  </si>
  <si>
    <t>06052026-33529</t>
  </si>
  <si>
    <t>Atendimento para: UEB BEIJA FLOR - UEB ENS FUND NOSSA SENHORA DAS MERCES  -  SLS-216233-00338</t>
  </si>
  <si>
    <t>249307</t>
  </si>
  <si>
    <t>SLS/L2L/218787/338</t>
  </si>
  <si>
    <t>05052026-33356</t>
  </si>
  <si>
    <t>BANCO DO NORDESTE DO BRASIL SA || INDISPONIBILIDADE || PCL/IPD/6971/402</t>
  </si>
  <si>
    <t>248535</t>
  </si>
  <si>
    <t>06052026-19244</t>
  </si>
  <si>
    <t>249123, 249509</t>
  </si>
  <si>
    <t>06052026-41490</t>
  </si>
  <si>
    <t>Atendimento para: CS LIBERDADE - SLS-00216233-00041</t>
  </si>
  <si>
    <t>249351</t>
  </si>
  <si>
    <t>SLS/L2L/218791/41</t>
  </si>
  <si>
    <t>06052026-32941</t>
  </si>
  <si>
    <t>249311</t>
  </si>
  <si>
    <t>04052026-92102</t>
  </si>
  <si>
    <t>ABERTURA DE CHAMADO | FLA-L2L-ITZ-F-#181794 | 0029555169 | MAXPAR SERVICOS AUTOMOTIVOS LTDA</t>
  </si>
  <si>
    <t>249473</t>
  </si>
  <si>
    <t>06052026-55355</t>
  </si>
  <si>
    <t>BANCO DO NORDESTE DO BRASIL | INDISPONIBILIDADE | PNA5047518 - PNA/93407/00037</t>
  </si>
  <si>
    <t>249515</t>
  </si>
  <si>
    <t>PNA/IPD/6971/37</t>
  </si>
  <si>
    <t>06052026-83887</t>
  </si>
  <si>
    <t>#09042026-95765 - Falha de conectividade na Promotoria de Justiça de Viana</t>
  </si>
  <si>
    <t>249449</t>
  </si>
  <si>
    <t>VNA/L2L/149307/63</t>
  </si>
  <si>
    <t>06052026-94389</t>
  </si>
  <si>
    <t>LACMAR LABORATORIO | indisponivel</t>
  </si>
  <si>
    <t>248945</t>
  </si>
  <si>
    <t>SLS/IPD/204321/5</t>
  </si>
  <si>
    <t>05052026-38020</t>
  </si>
  <si>
    <t>[REQ000144039495] [2655] SR PIAUI</t>
  </si>
  <si>
    <t>249479</t>
  </si>
  <si>
    <t>584117</t>
  </si>
  <si>
    <t>TSA/IPD/48887/1015</t>
  </si>
  <si>
    <t>07052026-33445</t>
  </si>
  <si>
    <t>Firewal não reconhecendo portas ethernet</t>
  </si>
  <si>
    <t>SD-WAN</t>
  </si>
  <si>
    <t>LOCMED HOSPITALAR LTDA LOCMED SAO LUIS</t>
  </si>
  <si>
    <t>04.238.951/0008-20</t>
  </si>
  <si>
    <t>250055</t>
  </si>
  <si>
    <t>SLS/SDW/229673/859</t>
  </si>
  <si>
    <t>06052026-21192</t>
  </si>
  <si>
    <t>Atendimento para: UEB ENS FUND SAO JOSE - VLAN 3776 SLS-216233-00201</t>
  </si>
  <si>
    <t>249279</t>
  </si>
  <si>
    <t>SLS/L2L/216233/201</t>
  </si>
  <si>
    <t>07052026-82307</t>
  </si>
  <si>
    <t>250249, 250649</t>
  </si>
  <si>
    <t>07052026-88938</t>
  </si>
  <si>
    <t>250527</t>
  </si>
  <si>
    <t>07052026-91560</t>
  </si>
  <si>
    <t>250189, 250637</t>
  </si>
  <si>
    <t>250637</t>
  </si>
  <si>
    <t>08052026-54723</t>
  </si>
  <si>
    <t>ALERTA:  CLI | BADMGUF.TSA.2-BEC/FLA-52-CT_C06#/00077293/00016 - FALHA</t>
  </si>
  <si>
    <t>251121</t>
  </si>
  <si>
    <t>TSA/L2L/77293/16</t>
  </si>
  <si>
    <t>08052026-99602</t>
  </si>
  <si>
    <t>251155</t>
  </si>
  <si>
    <t>07052026-38236</t>
  </si>
  <si>
    <t>INSTITUICAO ADVENTISTA DE EDUCACAO E ASSISTENCIA SOCIAL NORTE BRASILEIRA || PUP/IPD/223437/1 || indisponibilidade</t>
  </si>
  <si>
    <t>INSTITUICAO ADVENTISTA DE EDUCACAO E ASSISTENCIA SOCIAL NORTE BRASILEIRA Escola Adventista de Parauapebas</t>
  </si>
  <si>
    <t>83.367.326/0117-09</t>
  </si>
  <si>
    <t>250033, 250633</t>
  </si>
  <si>
    <t>250033</t>
  </si>
  <si>
    <t>PUP/IPD/223437/1</t>
  </si>
  <si>
    <t>06052026-76062</t>
  </si>
  <si>
    <t>REABERTURA - #06052026-99021 - Atendimento para: TERMINAL DE INTEGRACAO SAO CRISTOVAO - VLAN-3979 SLS-216233-00450</t>
  </si>
  <si>
    <t>249063, 249505</t>
  </si>
  <si>
    <t>249505</t>
  </si>
  <si>
    <t>SLS/L2L/216233/450</t>
  </si>
  <si>
    <t>07052026-68186</t>
  </si>
  <si>
    <t>RA SLZ HOTEL LTDA | DOWN | SLS/IPD/225511/1</t>
  </si>
  <si>
    <t>250059</t>
  </si>
  <si>
    <t>07052026-72654</t>
  </si>
  <si>
    <t>Atendimento para: ESCOLA CASA FAMILIAR RURAL  -  SLS-216233-00223</t>
  </si>
  <si>
    <t>250069</t>
  </si>
  <si>
    <t>SLS/L2L/218787/223</t>
  </si>
  <si>
    <t>06052026-41963</t>
  </si>
  <si>
    <t>CONECTA LINK LTDA CONECTA LINK LTDA | 229629/1 | INDISPONIBILIDADE</t>
  </si>
  <si>
    <t>CONECTA LINK LTDA CONECTA LINK LTDA</t>
  </si>
  <si>
    <t>63.796.120/0001-67</t>
  </si>
  <si>
    <t>249881</t>
  </si>
  <si>
    <t>AGUA AZUL DO NORTE</t>
  </si>
  <si>
    <t>AGAN/IPD/229629/1</t>
  </si>
  <si>
    <t>08052026-85307</t>
  </si>
  <si>
    <t>ALERTA:  CLI | BADMGUF.TSA.2-BEC/TSA-OPIP_C10#/00077293/00020 - FALHA</t>
  </si>
  <si>
    <t>251139</t>
  </si>
  <si>
    <t>07052026-66456</t>
  </si>
  <si>
    <t>249431, 250623</t>
  </si>
  <si>
    <t>250623</t>
  </si>
  <si>
    <t>07052026-88722</t>
  </si>
  <si>
    <t>CS DIAMANTE - VLAN 1830 SLS - 218791 - 00534 | EQUIPAMENTO</t>
  </si>
  <si>
    <t>250257</t>
  </si>
  <si>
    <t>SLS/L2L/218791/534</t>
  </si>
  <si>
    <t>08052026-20187</t>
  </si>
  <si>
    <t>250857</t>
  </si>
  <si>
    <t>SLS/IPD/204321/14</t>
  </si>
  <si>
    <t>08052026-72375</t>
  </si>
  <si>
    <t>QUEDA DE INTERNET</t>
  </si>
  <si>
    <t>250993</t>
  </si>
  <si>
    <t>05052026-41051</t>
  </si>
  <si>
    <t>LINK INOPERANTE - PLV/L2L/49019/76 - FÓRUM DE PENALVA</t>
  </si>
  <si>
    <t>250617</t>
  </si>
  <si>
    <t>PLV/L2L/49495/76</t>
  </si>
  <si>
    <t>08052026-32391</t>
  </si>
  <si>
    <t>251207, 251263</t>
  </si>
  <si>
    <t>09052026-37462</t>
  </si>
  <si>
    <t>Abertura de chamado: SLZ&amp;TIM&amp;BEL-MOB-DESIG-00019489/00004 - INC1531280</t>
  </si>
  <si>
    <t>251523</t>
  </si>
  <si>
    <t>09052026-70889</t>
  </si>
  <si>
    <t>251591</t>
  </si>
  <si>
    <t>S20</t>
  </si>
  <si>
    <t>10052026-69690</t>
  </si>
  <si>
    <t>251911</t>
  </si>
  <si>
    <t>10052026-74602</t>
  </si>
  <si>
    <t>08052026-46334</t>
  </si>
  <si>
    <t>TELECOMUNICACOES BRASILEIRAS SA TELEBRAS | INDISPONIBILIDADE | TSA/19917/00667</t>
  </si>
  <si>
    <t>251231, 251233, 251845</t>
  </si>
  <si>
    <t>251845</t>
  </si>
  <si>
    <t>08052026-86765</t>
  </si>
  <si>
    <t>251251, 251805</t>
  </si>
  <si>
    <t>251805</t>
  </si>
  <si>
    <t>BLM/IPD/19921/867</t>
  </si>
  <si>
    <t>10052026-71579</t>
  </si>
  <si>
    <t>251933</t>
  </si>
  <si>
    <t>04052026-75341</t>
  </si>
  <si>
    <t>ELO CONTACT CENTER SERVICOS LTDA || PERDA DE PACOTE || SLS/IPD/218491/6</t>
  </si>
  <si>
    <t>ELO CONTACT CENTER SERVICOS LTDA</t>
  </si>
  <si>
    <t>15.729.974/0003-40</t>
  </si>
  <si>
    <t>247003, 247281, 251455</t>
  </si>
  <si>
    <t>251455</t>
  </si>
  <si>
    <t>SLS/IPD/218491/6</t>
  </si>
  <si>
    <t>08052026-47737</t>
  </si>
  <si>
    <t>250927</t>
  </si>
  <si>
    <t>08052026-47384</t>
  </si>
  <si>
    <t>DIAMANTES LINGERIE LTDA DIAMANTES LINGERIE || INDISPONIBILIDADE || SLS/IPD/218223/1</t>
  </si>
  <si>
    <t>13.649.755/0019-92</t>
  </si>
  <si>
    <t>251061</t>
  </si>
  <si>
    <t>SLS/IPD/218223/1</t>
  </si>
  <si>
    <t>08052026-56904</t>
  </si>
  <si>
    <t>CLICK REPRESENTACAO COMERCIAL E SERVICOS DE COMUNICACAO EIRE CLICK REPRESENTACAO COMERCIAL E SERVICOS | seção BGP fora  | CKJ/IPT/228187/1</t>
  </si>
  <si>
    <t>CLICK REPRESENTACAO COMERCIAL E SERVICOS DE COMUNICACAO EIRE CLICK REPRESENTACAO COMERCIAL E SERVICOS</t>
  </si>
  <si>
    <t>11.950.483/0001-01</t>
  </si>
  <si>
    <t>251373</t>
  </si>
  <si>
    <t>CKJ/IPT/228187/1</t>
  </si>
  <si>
    <t>28042026-80634</t>
  </si>
  <si>
    <t>08052026-96552</t>
  </si>
  <si>
    <t>251025, 251819</t>
  </si>
  <si>
    <t>251819</t>
  </si>
  <si>
    <t>09052026-27615</t>
  </si>
  <si>
    <t>HowBe - S3UTM2603-L1-BNBWAN-GIGA-NORTE-TERESINAPI - [ZBX#233208911]</t>
  </si>
  <si>
    <t>251333, 252417</t>
  </si>
  <si>
    <t>252417</t>
  </si>
  <si>
    <t>12052026-45669</t>
  </si>
  <si>
    <t>252851</t>
  </si>
  <si>
    <t>11052026-36078</t>
  </si>
  <si>
    <t>252837</t>
  </si>
  <si>
    <t>586897</t>
  </si>
  <si>
    <t>11052026-53352</t>
  </si>
  <si>
    <t>252443, 252923</t>
  </si>
  <si>
    <t>252923</t>
  </si>
  <si>
    <t>12052026-40642</t>
  </si>
  <si>
    <t>TELECOMUNICACOES BRASILEIRAS SA TELEBRAS | INTERMITÊNCIA | BLM/IPD/19921/866</t>
  </si>
  <si>
    <t>253523</t>
  </si>
  <si>
    <t>BLM/IPD/19921/866</t>
  </si>
  <si>
    <t>09052026-87103</t>
  </si>
  <si>
    <t>VERIFICAÇÃO DE CONEXÃO DA FILIAL 47 - HOLANDESES</t>
  </si>
  <si>
    <t>251517, 251883</t>
  </si>
  <si>
    <t>251883</t>
  </si>
  <si>
    <t>11052026-93615</t>
  </si>
  <si>
    <t>Atendimento para: UEB EMIR JUSTINO RIBEIRO - ANEXO - SLS-216233-00283</t>
  </si>
  <si>
    <t>252947</t>
  </si>
  <si>
    <t>SLS/L2L/218787/283</t>
  </si>
  <si>
    <t>11052026-31205</t>
  </si>
  <si>
    <t>Abertura de chamado: EVE260500056517</t>
  </si>
  <si>
    <t>252831, 253757</t>
  </si>
  <si>
    <t>253757</t>
  </si>
  <si>
    <t>SJE/L2L/83605/1113</t>
  </si>
  <si>
    <t>11052026-37510</t>
  </si>
  <si>
    <t>Abertura de chamado - EVE260500058232</t>
  </si>
  <si>
    <t>252825, 252829</t>
  </si>
  <si>
    <t>SLS/L2L/83605/1122</t>
  </si>
  <si>
    <t>08052026-65769</t>
  </si>
  <si>
    <t>251015, 251285</t>
  </si>
  <si>
    <t>251285</t>
  </si>
  <si>
    <t>08052026-32381</t>
  </si>
  <si>
    <t>UI RIO GRANDE - SLS-216233-00334 | INDISPONIBILIDADE</t>
  </si>
  <si>
    <t>251111, 251829</t>
  </si>
  <si>
    <t>251829</t>
  </si>
  <si>
    <t>SLS/L2L/218787/334</t>
  </si>
  <si>
    <t>09052026-78660</t>
  </si>
  <si>
    <t>Atendimento para: BIBLIOTECA JOSE SARNEY - VLAN-3960 SLS-216233-00420</t>
  </si>
  <si>
    <t>251557</t>
  </si>
  <si>
    <t>SLS/L2L/216233/420</t>
  </si>
  <si>
    <t>10052026-25448</t>
  </si>
  <si>
    <t>251939</t>
  </si>
  <si>
    <t>10052026-92291</t>
  </si>
  <si>
    <t>251755</t>
  </si>
  <si>
    <t>11052026-99044</t>
  </si>
  <si>
    <t>252405</t>
  </si>
  <si>
    <t>11052026-56088</t>
  </si>
  <si>
    <t>RES: Ticket: 08052026-78097 - Link Filial ABC de São Luís-Troca da RB2011UiAS-RM</t>
  </si>
  <si>
    <t>252901</t>
  </si>
  <si>
    <t>12052026-57706</t>
  </si>
  <si>
    <t>HowBe - S3UTM2599-L1-BNBWAN-GIGA-VER-TERESINACIDVERDEPI - [ZBX#234329059]</t>
  </si>
  <si>
    <t>12052026-80815</t>
  </si>
  <si>
    <t>HowBe - S3UTM2601-L1-BNBWAN-GIGA-DIRCEU-TERESINAPI - [ZBX#234318238]</t>
  </si>
  <si>
    <t>253789, 253815</t>
  </si>
  <si>
    <t>253815</t>
  </si>
  <si>
    <t>12052026-87270</t>
  </si>
  <si>
    <t>HowBe - S3UTM2601-L2-BNBWAN-GIGA-DIRCEU-TERESINAPI - [ZBX#234318009]</t>
  </si>
  <si>
    <t>253787, 253811</t>
  </si>
  <si>
    <t>253811</t>
  </si>
  <si>
    <t>TSA/FBR/6971/1613</t>
  </si>
  <si>
    <t>08052026-11281</t>
  </si>
  <si>
    <t>HowBe - S3UTM2290-L1-BNBWAN-GIGA-COLINAS-MA - [ZBX#233088527]</t>
  </si>
  <si>
    <t>251265, 251267, 252879, 254053</t>
  </si>
  <si>
    <t>COS/IPD/6971/497</t>
  </si>
  <si>
    <t>08052026-94615</t>
  </si>
  <si>
    <t>Atendimento para: UEB PASTOR ESTEVAM ANGELO DE SOUZA - SLS-216233-00289</t>
  </si>
  <si>
    <t>251065, 251813, 252875, 253893</t>
  </si>
  <si>
    <t>252875</t>
  </si>
  <si>
    <t>SLS/L2L/218787/289</t>
  </si>
  <si>
    <t>11052026-66675</t>
  </si>
  <si>
    <t>Suporte ao link - SEMIT DEFES CIVIL - VLAN-4011 SLS-216233-00458</t>
  </si>
  <si>
    <t>252459, 252927</t>
  </si>
  <si>
    <t>252927</t>
  </si>
  <si>
    <t>SLS/L2L/216233/458</t>
  </si>
  <si>
    <t>12052026-61342</t>
  </si>
  <si>
    <t>ALERTA:  CLI | TRT8.ABT.ABAETETUBA.2VT-FW#52957.8 - FALHA</t>
  </si>
  <si>
    <t>253479</t>
  </si>
  <si>
    <t>11052026-22933</t>
  </si>
  <si>
    <t>MAGAZINE LUIZA S A | INDISPONIBILIDADE | SLS/IPD/223663/1</t>
  </si>
  <si>
    <t>MAGAZINE LUIZA S A Magazine Luiza S a</t>
  </si>
  <si>
    <t>47.960.950/1115-43</t>
  </si>
  <si>
    <t>253327, 253905</t>
  </si>
  <si>
    <t>253905</t>
  </si>
  <si>
    <t>586457</t>
  </si>
  <si>
    <t>SLS/IPD/223663/1</t>
  </si>
  <si>
    <t>01052026-95124</t>
  </si>
  <si>
    <t>Atendimento para: U.S.F. MARIA AYRECILA NOVOCHADLO - OLIMPICA II - SLS-216233-00139</t>
  </si>
  <si>
    <t>253537, 253883</t>
  </si>
  <si>
    <t>253883</t>
  </si>
  <si>
    <t>SLS/L2L/218791/139</t>
  </si>
  <si>
    <t>11052026-71830</t>
  </si>
  <si>
    <t>LINK INOPERANTE - SLS/49019/00459</t>
  </si>
  <si>
    <t>252965, 253901</t>
  </si>
  <si>
    <t>11052026-66959</t>
  </si>
  <si>
    <t>Sem internet no local</t>
  </si>
  <si>
    <t>UNIAO NORTE BRASILEIRA DA IGREJA ADVENTISTA DO SETIMO DIA MISSAO NORDESTE MARANHENSE DA IASD</t>
  </si>
  <si>
    <t>04.930.244/0141-84</t>
  </si>
  <si>
    <t>252943, 254279</t>
  </si>
  <si>
    <t>254279</t>
  </si>
  <si>
    <t>SJE/IPD/219543/1</t>
  </si>
  <si>
    <t>13052026-42460</t>
  </si>
  <si>
    <t>RCR LOCACAO LTDA     |    PERFORMANCE    | SLS/IPD/226111/1</t>
  </si>
  <si>
    <t>254375</t>
  </si>
  <si>
    <t>12052026-36478</t>
  </si>
  <si>
    <t>MARDISA VEICULOS | INDISPONIVEL</t>
  </si>
  <si>
    <t>254001</t>
  </si>
  <si>
    <t>08052026-19084</t>
  </si>
  <si>
    <t>NORTE.NET TELECOMUNICACOES LTDA | INOPERÂNCIA | PGN/L2L/226775/2</t>
  </si>
  <si>
    <t>251083</t>
  </si>
  <si>
    <t>PGN/L2L/226775/2</t>
  </si>
  <si>
    <t>08052026-21796</t>
  </si>
  <si>
    <t>Atendimento para: UEB DILSON RAMOS BESSA - SLS-216233-00397</t>
  </si>
  <si>
    <t>251069, 251275, 251811, 253163, 253889</t>
  </si>
  <si>
    <t>253889</t>
  </si>
  <si>
    <t>SLS/L2L/218787/397</t>
  </si>
  <si>
    <t>12052026-31808</t>
  </si>
  <si>
    <t>Atendimento para: UEB ENS FUND ROSENO DE JESUS MENDES - Anexo Pavaozinho - SLS-216233-00306</t>
  </si>
  <si>
    <t>253943</t>
  </si>
  <si>
    <t>SLS/L2L/218787/306</t>
  </si>
  <si>
    <t>12052026-59099</t>
  </si>
  <si>
    <t>[REQ000144123897] [766] SAA AG. CODÓ</t>
  </si>
  <si>
    <t>253689</t>
  </si>
  <si>
    <t>CDO/FBR/48887/615</t>
  </si>
  <si>
    <t>13052026-87001</t>
  </si>
  <si>
    <t>253995</t>
  </si>
  <si>
    <t>SLS/IPD/217825/4</t>
  </si>
  <si>
    <t>13052026-30336</t>
  </si>
  <si>
    <t>ALERTA:  CLI | DPMA.ITZ.CASA.DA.MULHER.MARANHENSE.L3VPN.203659.115 - FALHA</t>
  </si>
  <si>
    <t>ITZ/L2L/203659/115</t>
  </si>
  <si>
    <t>12052026-29697</t>
  </si>
  <si>
    <t>253827</t>
  </si>
  <si>
    <t>13052026-42623</t>
  </si>
  <si>
    <t>254791</t>
  </si>
  <si>
    <t>13052026-83151</t>
  </si>
  <si>
    <t>Atendimento para: UEB ENS FUND PADRE JOAO MIGUEL MOHANA  -  SLS-216233-00308</t>
  </si>
  <si>
    <t>254749</t>
  </si>
  <si>
    <t>SLS/L2L/218787/308</t>
  </si>
  <si>
    <t>14052026-75386</t>
  </si>
  <si>
    <t>Distribuidora York Ltda Teresina | INDISPONIBILIDADE | Rua Waldemar Rocha, 2804</t>
  </si>
  <si>
    <t>255333</t>
  </si>
  <si>
    <t>13052026-47715</t>
  </si>
  <si>
    <t>TIM S A TIM S A | SJE/L2L/83605/1113 | SITE DOWN</t>
  </si>
  <si>
    <t>254525</t>
  </si>
  <si>
    <t>13052026-39616</t>
  </si>
  <si>
    <t>ULTRACONNECT COM E SERVICO LTDA Ultraconnect | INOPERANTE | 223401/1</t>
  </si>
  <si>
    <t>254755</t>
  </si>
  <si>
    <t>11052026-56035</t>
  </si>
  <si>
    <t>VIACAO ESTRELA LTDA | LENTIDÃO | SLS/IPD/229801/4</t>
  </si>
  <si>
    <t>VIACAO ESTRELA LTDA</t>
  </si>
  <si>
    <t>33.794.896/0001-87</t>
  </si>
  <si>
    <t>252437</t>
  </si>
  <si>
    <t>SLS/IPD/229801/4</t>
  </si>
  <si>
    <t>11052026-31723</t>
  </si>
  <si>
    <t>252651, 255215</t>
  </si>
  <si>
    <t>255215</t>
  </si>
  <si>
    <t>13052026-47766</t>
  </si>
  <si>
    <t>ALERTA:  CLI | MPMA.ITZ.CASA.MULHER.L2L.149307.11 - FALHA</t>
  </si>
  <si>
    <t>254381</t>
  </si>
  <si>
    <t>ITZ/L2L/149307/11</t>
  </si>
  <si>
    <t>13052026-71299</t>
  </si>
  <si>
    <t>ALERTA: CLI | MPMA.SLS.CONCENTRADOR.REDUNDANTE.L2L.149307.22 - FALHA</t>
  </si>
  <si>
    <t>254339, 254725</t>
  </si>
  <si>
    <t>254725</t>
  </si>
  <si>
    <t>13052026-28533</t>
  </si>
  <si>
    <t>CIRION TECHNOLOGIES DO BRASIL LTDA | LINK INOPERANTE | SA/L2L/71001/67</t>
  </si>
  <si>
    <t>254727</t>
  </si>
  <si>
    <t>14052026-30552</t>
  </si>
  <si>
    <t>255483</t>
  </si>
  <si>
    <t>11052026-12428</t>
  </si>
  <si>
    <t>252835, 253785</t>
  </si>
  <si>
    <t>253785</t>
  </si>
  <si>
    <t>09052026-67445</t>
  </si>
  <si>
    <t>251583, 252889, 253897</t>
  </si>
  <si>
    <t>253897</t>
  </si>
  <si>
    <t>14052026-44707</t>
  </si>
  <si>
    <t>ABERTURA DE CHAMADO-202616545217-0029970012-08546727-COMPANHIA BRASILEIRA DE DISTRIBUICAO AUTOMOTIVA S.A</t>
  </si>
  <si>
    <t>255511</t>
  </si>
  <si>
    <t>14052026-66093</t>
  </si>
  <si>
    <t>S3UTM2553-BNBWAN-GIGA-VREDONDA-CAXIASMA-FORTIAP | AP INOPERANTE |</t>
  </si>
  <si>
    <t>Locação de AP Plus FS</t>
  </si>
  <si>
    <t>255639, 255909</t>
  </si>
  <si>
    <t>255909</t>
  </si>
  <si>
    <t>CXS/APG/6971/917</t>
  </si>
  <si>
    <t>14052026-81175</t>
  </si>
  <si>
    <t>CIRION | VNDRTASK0122759 | INC5342075 | TSA152691063 - ABERTURA DE CHAMADO</t>
  </si>
  <si>
    <t>255697</t>
  </si>
  <si>
    <t>TSA/L2L/15269/1063</t>
  </si>
  <si>
    <t>14052026-63408</t>
  </si>
  <si>
    <t>[REQ000144157407] [0028] SAA AG. CAXIAS</t>
  </si>
  <si>
    <t>255659</t>
  </si>
  <si>
    <t>14052026-54955</t>
  </si>
  <si>
    <t>255821</t>
  </si>
  <si>
    <t>SLS/L2L/83605/1220</t>
  </si>
  <si>
    <t>14052026-96273</t>
  </si>
  <si>
    <t>ALERTA:  CLI | SENAI-PA.BLM.CEDAM#BLM/IPD/203391/12 - FALHA</t>
  </si>
  <si>
    <t>255817</t>
  </si>
  <si>
    <t>BLM/IPD/203391/12</t>
  </si>
  <si>
    <t>15052026-12425</t>
  </si>
  <si>
    <t>256325</t>
  </si>
  <si>
    <t>15052026-28441</t>
  </si>
  <si>
    <t>CAMERAS FILIPINHO - SLS - 216233/641</t>
  </si>
  <si>
    <t>256485</t>
  </si>
  <si>
    <t>SLS/L2L/216233/641</t>
  </si>
  <si>
    <t>15052026-21871</t>
  </si>
  <si>
    <t>EQUATORIAL TELECOMUNICACOES S A  |  INDISPONIBILIDADE  |  TSA/L2L/19489/28 VLAN 2752</t>
  </si>
  <si>
    <t>256529</t>
  </si>
  <si>
    <t>TSA/L2L/19489/28</t>
  </si>
  <si>
    <t>15052026-84963</t>
  </si>
  <si>
    <t>Atendimento para: CS LAURA VASCONCELOS - SLS-216233-00436</t>
  </si>
  <si>
    <t>256543</t>
  </si>
  <si>
    <t>SLS/L2L/218787/436</t>
  </si>
  <si>
    <t>15052026-84077</t>
  </si>
  <si>
    <t>CLARO SA CLARO SA 0241 60 || INDISPONIBILIDADE || PUP/FBR/213163/4</t>
  </si>
  <si>
    <t>256665</t>
  </si>
  <si>
    <t>588544</t>
  </si>
  <si>
    <t>15052026-52026</t>
  </si>
  <si>
    <t>256565, 256569</t>
  </si>
  <si>
    <t>256569</t>
  </si>
  <si>
    <t>BLM/IPD/203645/30</t>
  </si>
  <si>
    <t>14052026-97276</t>
  </si>
  <si>
    <t>SOE OPERACOES ESCOLARES S A | INDISPONIBILIDADE | PUP/IPD/225085/51</t>
  </si>
  <si>
    <t>SOE OPERACOES ESCOLARES S A SOE OPERACOES ESCOLARES S A</t>
  </si>
  <si>
    <t>26.083.507/0001-40</t>
  </si>
  <si>
    <t>255931</t>
  </si>
  <si>
    <t>PUP/IPD/225085/51</t>
  </si>
  <si>
    <t>16052026-82639</t>
  </si>
  <si>
    <t>RAIMUNDO ERIELSON COSTA ALVES  | INDISPONIBILIDADE | SLS/IPD/229887/4</t>
  </si>
  <si>
    <t>256961</t>
  </si>
  <si>
    <t>16052026-60048</t>
  </si>
  <si>
    <t>Abertura de chamado - EVE260500082256</t>
  </si>
  <si>
    <t>257009</t>
  </si>
  <si>
    <t>17052026-90960</t>
  </si>
  <si>
    <t>257173</t>
  </si>
  <si>
    <t>S21</t>
  </si>
  <si>
    <t>15052026-37608</t>
  </si>
  <si>
    <t>ALERTA:  CLI | TJMA.SLS.2.JUIZADO.ESPECIAL.CIVEL.L3VPN.49495.93 - FALHA</t>
  </si>
  <si>
    <t>256753</t>
  </si>
  <si>
    <t>16052026-20100</t>
  </si>
  <si>
    <t>257027</t>
  </si>
  <si>
    <t>16052026-10016</t>
  </si>
  <si>
    <t>257033, 257327</t>
  </si>
  <si>
    <t>257327</t>
  </si>
  <si>
    <t>13052026-99609</t>
  </si>
  <si>
    <t>257285</t>
  </si>
  <si>
    <t>16052026-68514</t>
  </si>
  <si>
    <t>257309</t>
  </si>
  <si>
    <t>17052026-63218</t>
  </si>
  <si>
    <t>257093, 257321</t>
  </si>
  <si>
    <t>257321</t>
  </si>
  <si>
    <t>16052026-10523</t>
  </si>
  <si>
    <t>HEXATO TECNOLOGIA E FERRAMENTAS DE INTERNET LTDA  | INDISPONIBILIDADE | SLS/IPD/88921/19</t>
  </si>
  <si>
    <t>256985</t>
  </si>
  <si>
    <t>16052026-83800</t>
  </si>
  <si>
    <t>NACIONAL GAS BUTANO DISTRIBUIDORA LTDA | INDISPONIBILIDADE | SLS/L2L/201859/9</t>
  </si>
  <si>
    <t>257029</t>
  </si>
  <si>
    <t>18052026-32482</t>
  </si>
  <si>
    <t>ALERTA:  CLI | TJMA.SLS.JUIZADO.DE.TRANSITO.L3VPN.49495.90 - FALHA</t>
  </si>
  <si>
    <t>257351</t>
  </si>
  <si>
    <t>18052026-25841</t>
  </si>
  <si>
    <t>RAIMUNDO ERIELSON COSTA ALVES | INDISPONIBILIDADE | SLS/IPD/229887/4</t>
  </si>
  <si>
    <t>258203</t>
  </si>
  <si>
    <t>16052026-85827</t>
  </si>
  <si>
    <t>BAHIANA DISTRIBUIDORA DE GAS LTDA ULTRAGAZ | INDISPONIBILIDADE | SLS/IPD/204697/1</t>
  </si>
  <si>
    <t>257025</t>
  </si>
  <si>
    <t>16052026-70963</t>
  </si>
  <si>
    <t>ADVANTA SISTEMAS DE TELECOMUNICACOES E SERVICOS DE INFORMATICA LTDA.  | INDISPONIBILIDADE | TSA/IPD/227909/2</t>
  </si>
  <si>
    <t>257049, 257319</t>
  </si>
  <si>
    <t>257319</t>
  </si>
  <si>
    <t>18052026-82796</t>
  </si>
  <si>
    <t>257941</t>
  </si>
  <si>
    <t>BDC/IPD/60121/81</t>
  </si>
  <si>
    <t>18052026-22955</t>
  </si>
  <si>
    <t>C.T. SAO FRANCISCO - COHAMA SLS-216233-00413</t>
  </si>
  <si>
    <t>257985</t>
  </si>
  <si>
    <t>SLS/L2L/216233/413</t>
  </si>
  <si>
    <t>18052026-31676</t>
  </si>
  <si>
    <t>HowBe - S3RT38L3-PARNAIBAPI-BL - [ZBX#236153018]</t>
  </si>
  <si>
    <t>258247</t>
  </si>
  <si>
    <t>PNA/FBR/6971/110</t>
  </si>
  <si>
    <t>15052026-93729</t>
  </si>
  <si>
    <t>257299</t>
  </si>
  <si>
    <t>15052026-20191</t>
  </si>
  <si>
    <t>256751, 257227, 257305</t>
  </si>
  <si>
    <t>257305</t>
  </si>
  <si>
    <t>16052026-58116</t>
  </si>
  <si>
    <t>Atendimento para: C C DE ZOONOSE SLS-216233-00052</t>
  </si>
  <si>
    <t>256757, 257307</t>
  </si>
  <si>
    <t>257307</t>
  </si>
  <si>
    <t>SJE/L2L/218791/52</t>
  </si>
  <si>
    <t>16052026-48818</t>
  </si>
  <si>
    <t>Atendimento para: CEM Saude Ja e ASMIB - Itaqui Bacanga</t>
  </si>
  <si>
    <t>257315</t>
  </si>
  <si>
    <t>SLS/L2L/216233/542</t>
  </si>
  <si>
    <t>18052026-44079</t>
  </si>
  <si>
    <t>[REQ000144196625] [1136] SAA AG.  COHATRAC</t>
  </si>
  <si>
    <t>258185</t>
  </si>
  <si>
    <t>18052026-80904</t>
  </si>
  <si>
    <t>NACIONAL GAS BUTANO DISTRIBUIDORA LTDA GEQ | 201859/9 | INDISPONIBILIDADE</t>
  </si>
  <si>
    <t>258421</t>
  </si>
  <si>
    <t>18052026-46090</t>
  </si>
  <si>
    <t>258245, 259017</t>
  </si>
  <si>
    <t>16052026-62090</t>
  </si>
  <si>
    <t>ASSOCIACAO ANTONIO VIEIRA COLEGIO SAO FRANCISCO DE SALES DIOCESANO  |  INDISPONIBILIDADE  |  TSA/IPD/213143/1</t>
  </si>
  <si>
    <t>257311, 258405</t>
  </si>
  <si>
    <t>18052026-61344</t>
  </si>
  <si>
    <t>258411</t>
  </si>
  <si>
    <t>SLS/IPD/217825/2</t>
  </si>
  <si>
    <t>19052026-87269</t>
  </si>
  <si>
    <t>VOGEL SOLUCOES EM TELECOMUNICACOES E INFORMATICA S A ALGAR TELECOM  |  PERFORMANCE  |</t>
  </si>
  <si>
    <t>259151</t>
  </si>
  <si>
    <t>18052026-67723</t>
  </si>
  <si>
    <t>HowBe - S3UTM2600-L1-BNBWAN-GIGA-CEN-PRACADABANDEIPI - [ZBX#236139429]</t>
  </si>
  <si>
    <t>258189</t>
  </si>
  <si>
    <t>18052026-36912</t>
  </si>
  <si>
    <t>HowBe - S3UTM2600-L2-BNBWAN-GIGA-CEN-PRACADABANDEIPI - [ZBX#236141852]</t>
  </si>
  <si>
    <t>258473</t>
  </si>
  <si>
    <t>18052026-16870</t>
  </si>
  <si>
    <t>Atendimento para: UI PADRE NEWTON PEREIRA  -  SLS-216233-00270</t>
  </si>
  <si>
    <t>258187</t>
  </si>
  <si>
    <t>SLS/L2L/218787/270</t>
  </si>
  <si>
    <t>18052026-37853</t>
  </si>
  <si>
    <t>DIAMANTES LINGERIE LTDA  |  INDISPONIBILIDADE  |  SLS/IPD/218227/1</t>
  </si>
  <si>
    <t>13.649.755/0009-10</t>
  </si>
  <si>
    <t>257829</t>
  </si>
  <si>
    <t>SLS/IPD/218227/1</t>
  </si>
  <si>
    <t>19052026-94039</t>
  </si>
  <si>
    <t>259667</t>
  </si>
  <si>
    <t>19052026-57459</t>
  </si>
  <si>
    <t>Atendimento para: UEB ENS FUND PROF ROSILDA CORDEIRO - SLS-216233-00363</t>
  </si>
  <si>
    <t>259567</t>
  </si>
  <si>
    <t>SLS/L2L/218787/363</t>
  </si>
  <si>
    <t>20052026-72882</t>
  </si>
  <si>
    <t>259983</t>
  </si>
  <si>
    <t>20052026-58321</t>
  </si>
  <si>
    <t>260175</t>
  </si>
  <si>
    <t>16052026-35936</t>
  </si>
  <si>
    <t>Atendimento para: UEB HONORIO ODORICO FERREIRA INFANTIL - SLS-216233-00365</t>
  </si>
  <si>
    <t>256759, 258287, 259641</t>
  </si>
  <si>
    <t>259641</t>
  </si>
  <si>
    <t>SLS/L2L/218787/365</t>
  </si>
  <si>
    <t>19052026-71670</t>
  </si>
  <si>
    <t>Circuito Intermitente</t>
  </si>
  <si>
    <t>259651</t>
  </si>
  <si>
    <t>19052026-31470</t>
  </si>
  <si>
    <t>HUMANA SAUDE NORDESTE | INDISPONIBILIDADE | SLS/IPD/228335/1</t>
  </si>
  <si>
    <t>HUMANA SAUDE NORDESTE LTDA HUMANA SAUDE NORDESTE LTDA</t>
  </si>
  <si>
    <t>00.361.325/0013-33</t>
  </si>
  <si>
    <t>258365</t>
  </si>
  <si>
    <t>SLS/IPD/228335/1</t>
  </si>
  <si>
    <t>14052026-33381</t>
  </si>
  <si>
    <t>Atendimento para: CS JAILSON ALVES VIANA - CIDADE OLIMPICA III - SLS-216233-00067</t>
  </si>
  <si>
    <t>259289</t>
  </si>
  <si>
    <t>SLS/L2L/218791/67</t>
  </si>
  <si>
    <t>20052026-21028</t>
  </si>
  <si>
    <t>BRISANET SERVICOS DE TELECOMUNICACOES LTDA BRISANET SERVICOS DE TELECOMUNICACOES LTDA | INDISPONIBILIDADE |</t>
  </si>
  <si>
    <t>260411, 260523, 260623</t>
  </si>
  <si>
    <t>260411</t>
  </si>
  <si>
    <t>20052026-39330</t>
  </si>
  <si>
    <t>260551</t>
  </si>
  <si>
    <t>20052026-43134</t>
  </si>
  <si>
    <t>260507</t>
  </si>
  <si>
    <t>20052026-77178</t>
  </si>
  <si>
    <t>260635</t>
  </si>
  <si>
    <t>19052026-38877</t>
  </si>
  <si>
    <t>259157</t>
  </si>
  <si>
    <t>19052026-71301</t>
  </si>
  <si>
    <t>Falha Link de internet</t>
  </si>
  <si>
    <t>POTIGUAR MATERIAIS DE CONSTRUCAO S.A. POTIGUAR</t>
  </si>
  <si>
    <t>06.778.591/0001-09</t>
  </si>
  <si>
    <t>259881</t>
  </si>
  <si>
    <t>SLS/IPD/227387/4</t>
  </si>
  <si>
    <t>20052026-99129</t>
  </si>
  <si>
    <t>229527 MANUEL RIBEIRO LTDA MANUEL RIBEIRO LTDA | Perda de pacotes | ABT/229527/00001</t>
  </si>
  <si>
    <t>MANUEL RIBEIRO LTDA MANUEL RIBEIRO LTDA</t>
  </si>
  <si>
    <t>55.539.418/0001-63</t>
  </si>
  <si>
    <t>260553, 260659</t>
  </si>
  <si>
    <t>260659</t>
  </si>
  <si>
    <t>ABT/IPT/229527/1</t>
  </si>
  <si>
    <t>21052026-13873</t>
  </si>
  <si>
    <t>[REPARO URGENTE] - INC0446735 - [High] LINK-DEDICADO-WIRELINK-PI-WYDEN-UNIFACID_HORTO_FLORESTAL-186.225.59.162</t>
  </si>
  <si>
    <t>260587</t>
  </si>
  <si>
    <t>20052026-50633</t>
  </si>
  <si>
    <t>260547</t>
  </si>
  <si>
    <t>20052026-69665</t>
  </si>
  <si>
    <t>20052026-52901</t>
  </si>
  <si>
    <t>20052026-53950</t>
  </si>
  <si>
    <t>ALERTA:  CLI | TRT16.BBL.BACABAL-FW#202555.8 - FALHA</t>
  </si>
  <si>
    <t>260549</t>
  </si>
  <si>
    <t>BBL/FWL/202555/8</t>
  </si>
  <si>
    <t>20052026-15804</t>
  </si>
  <si>
    <t>Solicitação de abertura chamado</t>
  </si>
  <si>
    <t>260517</t>
  </si>
  <si>
    <t>21052026-47998</t>
  </si>
  <si>
    <t>HowBe - S3UTM2601-L2-BNBWAN-GIGA-DIRCEU-TERESINAPI - [ZBX#237093168]</t>
  </si>
  <si>
    <t>261431</t>
  </si>
  <si>
    <t>19052026-89244</t>
  </si>
  <si>
    <t>EQUATORIAL TELECOMUNICACOES S A  | INDISPONIBILIDADE | SLS/L2L/19489/17</t>
  </si>
  <si>
    <t>259605, 260599</t>
  </si>
  <si>
    <t>20052026-47146</t>
  </si>
  <si>
    <t>CENTRO DE APOIO AOS PEQUENOS EMPREENDIMENTOS DO BRASIL | SLS/IPD/227681/2 | INDISPONIBILIDADE</t>
  </si>
  <si>
    <t>260243, 260533</t>
  </si>
  <si>
    <t>260533</t>
  </si>
  <si>
    <t>22052026-64020</t>
  </si>
  <si>
    <t>TERMACO TERMINAIS MARITIMOS DE CONTAINERS E SERVICOS ACESSORIOS LTDA | INDISPONIBILIDADE | TSA/IPD/201963/7</t>
  </si>
  <si>
    <t>262853</t>
  </si>
  <si>
    <t>22052026-17145</t>
  </si>
  <si>
    <t>Abertura de chamado - Cliente Anatel - Desig.: BLM0/L2LAN/00071001/00217-CIRION-ANATEL - Chamado Cirion VNDRTASK0123847</t>
  </si>
  <si>
    <t>262319</t>
  </si>
  <si>
    <t>22052026-32706</t>
  </si>
  <si>
    <t>Atendimento para: UEB RIO GRANDE - SLS-216233-00395</t>
  </si>
  <si>
    <t>SLS/L2L/218787/395</t>
  </si>
  <si>
    <t>20052026-67113</t>
  </si>
  <si>
    <t>Atendimento para: CRAS VINHAIS - VLAN 3678 SLS-216233-00059</t>
  </si>
  <si>
    <t>260259, 260539</t>
  </si>
  <si>
    <t>260539</t>
  </si>
  <si>
    <t>SLS/L2L/216233/59</t>
  </si>
  <si>
    <t>20052026-69424</t>
  </si>
  <si>
    <t>260603</t>
  </si>
  <si>
    <t>19052026-51905</t>
  </si>
  <si>
    <t>259663</t>
  </si>
  <si>
    <t>21052026-14435</t>
  </si>
  <si>
    <t>LABORATORIO CEDRO LTDA || SLS/IPD/204817/8 || indisponibilidade</t>
  </si>
  <si>
    <t>261441, 262617</t>
  </si>
  <si>
    <t>SLS/IPD/204817/8</t>
  </si>
  <si>
    <t>21052026-24923</t>
  </si>
  <si>
    <t>HowBe - S3UTM2601-L1-BNBWAN-GIGA-DIRCEU-TERESINAPI - [ZBX#237093167]</t>
  </si>
  <si>
    <t>261443</t>
  </si>
  <si>
    <t>21052026-76498</t>
  </si>
  <si>
    <t>INSTITUICAO ADVENTISTA DE EDUCACAO E ASSISTENCIA SOCIAL NORTE BRASILEIRA Colegio Adventista de Macapa</t>
  </si>
  <si>
    <t>83.367.326/0098-01</t>
  </si>
  <si>
    <t>261813, 262427</t>
  </si>
  <si>
    <t>MPA/IPD/223133/1</t>
  </si>
  <si>
    <t>21052026-77335</t>
  </si>
  <si>
    <t>261837</t>
  </si>
  <si>
    <t>21052026-61622</t>
  </si>
  <si>
    <t>261845, 261985</t>
  </si>
  <si>
    <t>21052026-25455</t>
  </si>
  <si>
    <t>261851</t>
  </si>
  <si>
    <t>21052026-34646</t>
  </si>
  <si>
    <t>Atendimento para: CS QUEBRA POTE - VLAN 3998 SLS-218791-00443</t>
  </si>
  <si>
    <t>261849</t>
  </si>
  <si>
    <t>20052026-20055</t>
  </si>
  <si>
    <t>Atendimento para: PGM SEDE - VLAN 3946 SLS-216233-00028</t>
  </si>
  <si>
    <t>260625, 261789</t>
  </si>
  <si>
    <t>261789</t>
  </si>
  <si>
    <t>SLS/L2L/216233/28</t>
  </si>
  <si>
    <t>20052026-34011</t>
  </si>
  <si>
    <t>ALERTA:  CLI | TRT8.PUP.PARAUAPEBAS.FORUM-FW#52957.24 - FALHA</t>
  </si>
  <si>
    <t>259715, 260601</t>
  </si>
  <si>
    <t>260601</t>
  </si>
  <si>
    <t>PUP/IPD/52957/24</t>
  </si>
  <si>
    <t>22052026-82572</t>
  </si>
  <si>
    <t>UEB PROTECAO DE JESUS e UEB ENS FUND PROTECAO DE JESUS - SLS-218787-00393</t>
  </si>
  <si>
    <t>262649</t>
  </si>
  <si>
    <t>22052026-79703</t>
  </si>
  <si>
    <t>Abertura de chamado: EVE260500116437</t>
  </si>
  <si>
    <t>262907, 262931</t>
  </si>
  <si>
    <t>262931</t>
  </si>
  <si>
    <t>24052026-25511</t>
  </si>
  <si>
    <t>ALERTA: CLI | SEMIT.SLS.DATACENTER-DADOS-DM - FALHA</t>
  </si>
  <si>
    <t>263315</t>
  </si>
  <si>
    <t>S22</t>
  </si>
  <si>
    <t>23052026-31160</t>
  </si>
  <si>
    <t>ALERTA:  CLI | SESI-PA.BLM.ALMIRANTE.BARROSO#/00204303/00001 - FALHA</t>
  </si>
  <si>
    <t>BLM/IPD/204303/1</t>
  </si>
  <si>
    <t>23052026-83512</t>
  </si>
  <si>
    <t>22052026-41412</t>
  </si>
  <si>
    <t>ALERTA:  CLI | CSFREITAS.BLM.PFM.FW.13955.163 - FALHA</t>
  </si>
  <si>
    <t>262929</t>
  </si>
  <si>
    <t>BLM/SDW/13955/163</t>
  </si>
  <si>
    <t>23052026-50919</t>
  </si>
  <si>
    <t>MATEUS SUPERMERCADOS S A MIX MATEUS GRUPO MATEUS || INDISPONIBILIDADE || 201941</t>
  </si>
  <si>
    <t>263043</t>
  </si>
  <si>
    <t>22052026-16985</t>
  </si>
  <si>
    <t>261929, 261937</t>
  </si>
  <si>
    <t>18052026-39074</t>
  </si>
  <si>
    <t>SELF IT ACADEMIAS HOLDING S A | INDISPONIBILIDADE | SLS/219343/00011</t>
  </si>
  <si>
    <t>261971, 263365</t>
  </si>
  <si>
    <t>21052026-44999</t>
  </si>
  <si>
    <t>ALERTA:  CLI | TRE.SLS.DEPOSITO.DE.URNAS.L2L.201809.9 - FALHA</t>
  </si>
  <si>
    <t>261957, 263389</t>
  </si>
  <si>
    <t>263389</t>
  </si>
  <si>
    <t>25052026-27032</t>
  </si>
  <si>
    <t>HowBe - S3UTM2096-L2-BNBWAN-GIGA-CAMPOMAIOR-PI-FORTISW - [ZBX#238570163]</t>
  </si>
  <si>
    <t>264961</t>
  </si>
  <si>
    <t>CRA/IPD/6971/33</t>
  </si>
  <si>
    <t>25052026-56045</t>
  </si>
  <si>
    <t>VERIFICAR CPE - 2542 - VALEDOPINDARE</t>
  </si>
  <si>
    <t>FRANCISCO L SILVA DE ARAUJO</t>
  </si>
  <si>
    <t>264523</t>
  </si>
  <si>
    <t>SIS/FBR/6971/44</t>
  </si>
  <si>
    <t>25052026-82421</t>
  </si>
  <si>
    <t>264111</t>
  </si>
  <si>
    <t>23052026-92235</t>
  </si>
  <si>
    <t>263499</t>
  </si>
  <si>
    <t>23052026-72622</t>
  </si>
  <si>
    <t>HowBe - S3RT242L3-SANTALUZIAMA-BL - [ZBX#237681797]</t>
  </si>
  <si>
    <t>262953, 263471</t>
  </si>
  <si>
    <t>263471</t>
  </si>
  <si>
    <t>SUA/FBR/6971/1580</t>
  </si>
  <si>
    <t>20052026-11718</t>
  </si>
  <si>
    <t>#13052026-30207 - REABERTURA - #06052026-96834 - #10042026-40924 - ALERTA: CLI | MPMA.MNA.MONCAO.L2L.149307.43 - FALHA</t>
  </si>
  <si>
    <t>264771</t>
  </si>
  <si>
    <t>MONCAO</t>
  </si>
  <si>
    <t>MNA/L2L/149307/43</t>
  </si>
  <si>
    <t>23052026-61940</t>
  </si>
  <si>
    <t>263481</t>
  </si>
  <si>
    <t>25052026-61154</t>
  </si>
  <si>
    <t>S L 3 INFORMATICA E SERVICOS LTDA ME | INDISPONIBILIDADE | SLS/IPD/19481/6</t>
  </si>
  <si>
    <t>LINK DEDICADO DE INTERNET ON DEMAND</t>
  </si>
  <si>
    <t>S L 3 INFORMATICA E SERVICOS LTDA ME</t>
  </si>
  <si>
    <t>08.948.120/0001-27</t>
  </si>
  <si>
    <t>264723</t>
  </si>
  <si>
    <t>SLS/IPD/19481/6</t>
  </si>
  <si>
    <t>10052026-46121</t>
  </si>
  <si>
    <t>HowBe - S3UTM2296-L2-BNBWAN-GIGA-CEN-VIANAMA - [ZBX#233692984]</t>
  </si>
  <si>
    <t>251915, 252891, 257835, 257839, 263363, 264751</t>
  </si>
  <si>
    <t>264751</t>
  </si>
  <si>
    <t>VNA/FBR/6971/797</t>
  </si>
  <si>
    <t>21052026-89796</t>
  </si>
  <si>
    <t>Alerta de indisponibilidade.</t>
  </si>
  <si>
    <t>261273, 265509</t>
  </si>
  <si>
    <t>265509</t>
  </si>
  <si>
    <t>21052026-43835</t>
  </si>
  <si>
    <t>TSA/L2L/202197/11</t>
  </si>
  <si>
    <t>24052026-41057</t>
  </si>
  <si>
    <t>RE: CUSTOMER: DB3 TELECOM | TT CPL: 0449642026 | TT CUSTOMER: - | CID: ITZ53005868324</t>
  </si>
  <si>
    <t>263337, 263567</t>
  </si>
  <si>
    <t>25052026-65705</t>
  </si>
  <si>
    <t>264179</t>
  </si>
  <si>
    <t>BLM/IPD/203645/39</t>
  </si>
  <si>
    <t>26052026-86783</t>
  </si>
  <si>
    <t>TIM S A | INDISPONIBILIDADE | SLSL2L433671225 | EVE260500128797</t>
  </si>
  <si>
    <t>264745</t>
  </si>
  <si>
    <t>SLS/L2L/83605/1225</t>
  </si>
  <si>
    <t>26052026-16398</t>
  </si>
  <si>
    <t>265615</t>
  </si>
  <si>
    <t>25052026-62722</t>
  </si>
  <si>
    <t>CASA DA MULHER BRASILEIRA</t>
  </si>
  <si>
    <t>264259, 264891</t>
  </si>
  <si>
    <t>264891</t>
  </si>
  <si>
    <t>SLS/L2L/203659/66</t>
  </si>
  <si>
    <t>24052026-49942</t>
  </si>
  <si>
    <t>263553</t>
  </si>
  <si>
    <t>25052026-90083</t>
  </si>
  <si>
    <t>263955, 264877</t>
  </si>
  <si>
    <t>264877</t>
  </si>
  <si>
    <t>25052026-47722</t>
  </si>
  <si>
    <t>Atendimento para: CRECHE ESCOLA MARIA DE JESUS CARVALHO -  SLS-216233-00163</t>
  </si>
  <si>
    <t>264107</t>
  </si>
  <si>
    <t>SLS/L2L/218787/163</t>
  </si>
  <si>
    <t>22052026-13815</t>
  </si>
  <si>
    <t>263403, 264799, 266091</t>
  </si>
  <si>
    <t>266091</t>
  </si>
  <si>
    <t>27052026-18059</t>
  </si>
  <si>
    <t>HEXATO TECNOLOGIA E FERRAMENTAS DE INTERNET LTDA  | INDISPONIBILIDADE | ACD/FBR/88921/32</t>
  </si>
  <si>
    <t>26052026-56789</t>
  </si>
  <si>
    <t>REDE NACIONAL DE ENSINO E PESQUISA RNP  | INDISPONIBILIDADE | SLS/BLM/49331/01120</t>
  </si>
  <si>
    <t>266163</t>
  </si>
  <si>
    <t>25052026-87135</t>
  </si>
  <si>
    <t>IAP COSMETICOS | indisponivel</t>
  </si>
  <si>
    <t>263983, 264881</t>
  </si>
  <si>
    <t>264881</t>
  </si>
  <si>
    <t>27052026-69625</t>
  </si>
  <si>
    <t>CLI |TRF1-MA.BLA.SAO.LUIS#/SLS/L2L/216065/12</t>
  </si>
  <si>
    <t>BLA/IPD/216065/2</t>
  </si>
  <si>
    <t>27052026-63908</t>
  </si>
  <si>
    <t>266851</t>
  </si>
  <si>
    <t>26052026-17098</t>
  </si>
  <si>
    <t>26052026-61002</t>
  </si>
  <si>
    <t>25052026-15271</t>
  </si>
  <si>
    <t>Link MPLS com Anexo 4 - Holandeses está down</t>
  </si>
  <si>
    <t>264425, 264669, 266019</t>
  </si>
  <si>
    <t>264669, 266019</t>
  </si>
  <si>
    <t>SLS/IPD/216065/11</t>
  </si>
  <si>
    <t>25052026-57893</t>
  </si>
  <si>
    <t>Atendimento para: CTA Lira - SLS-00216233-00029</t>
  </si>
  <si>
    <t>265663, 266115</t>
  </si>
  <si>
    <t>SLS/L2L/218791/29</t>
  </si>
  <si>
    <t>25052026-84766</t>
  </si>
  <si>
    <t>266041</t>
  </si>
  <si>
    <t>24052026-46253</t>
  </si>
  <si>
    <t>Atendimento para: Anexo Nossa Senhora de Nazare  - UEB ENS FUND HORTENCIA PINHO e UEB EVANDRO BESSA  - Samara - SLS-216233-00493</t>
  </si>
  <si>
    <t>263319</t>
  </si>
  <si>
    <t>SLS/L2L/218787/493</t>
  </si>
  <si>
    <t>27052026-59786</t>
  </si>
  <si>
    <t>26052026-98749</t>
  </si>
  <si>
    <t>[REPARO] - [ID] - SLUI-MA - PETZ SAO LUIS - FT - SD WAN - Caso: 05602348 - WO: 00218958 - [zb</t>
  </si>
  <si>
    <t>265847, 266131</t>
  </si>
  <si>
    <t>266131</t>
  </si>
  <si>
    <t>27052026-81203</t>
  </si>
  <si>
    <t>LLK - BNB - TERCIÁRIO - - 068 - FLORIANO</t>
  </si>
  <si>
    <t>VIRTEX TELECOM EIRELI</t>
  </si>
  <si>
    <t>266617</t>
  </si>
  <si>
    <t>FLO/FBR/6971/106</t>
  </si>
  <si>
    <t>24052026-59827</t>
  </si>
  <si>
    <t>Circuito FLA/IPD/15269/1070 - Cirion INC5381211 VNDRTASK0124116 - Abertura de chamado</t>
  </si>
  <si>
    <t>263343, 264867</t>
  </si>
  <si>
    <t>264867</t>
  </si>
  <si>
    <t>24052026-29377</t>
  </si>
  <si>
    <t>CALCENTER - CALCADOS CENTRO-OESTE LTDA STUDIO Z || INDISPONIBILIDADE || SLS/IPD/229641/20</t>
  </si>
  <si>
    <t>263273, 263561, 264847</t>
  </si>
  <si>
    <t>264847</t>
  </si>
  <si>
    <t>25052026-34352</t>
  </si>
  <si>
    <t>SERVIS ELETRONICA DEFENSE LTDA | INOPERANTE | SLS/L2L/218497/871</t>
  </si>
  <si>
    <t>263613, 264871</t>
  </si>
  <si>
    <t>264871</t>
  </si>
  <si>
    <t>27052026-47615</t>
  </si>
  <si>
    <t>266609</t>
  </si>
  <si>
    <t>BLM/IPD/203645/26</t>
  </si>
  <si>
    <t>26052026-41254</t>
  </si>
  <si>
    <t>265819</t>
  </si>
  <si>
    <t>25052026-87547</t>
  </si>
  <si>
    <t>264739, 265173, 267279</t>
  </si>
  <si>
    <t>267279</t>
  </si>
  <si>
    <t>26052026-96094</t>
  </si>
  <si>
    <t>266865</t>
  </si>
  <si>
    <t>25052026-84686</t>
  </si>
  <si>
    <t>RODOLFO G L DA SILVA RODOLFO G L DA SILVA | INDISPONIBILIDADE | AIU/IPD/229727/1</t>
  </si>
  <si>
    <t>RODOLFO G L DA SILVA RODOLFO G L DA SILVA</t>
  </si>
  <si>
    <t>44.633.773/0001-80</t>
  </si>
  <si>
    <t>264743</t>
  </si>
  <si>
    <t>AIU/IPD/229727/1</t>
  </si>
  <si>
    <t>20052026-86539</t>
  </si>
  <si>
    <t>260513, 261509, 263379, 264787, 266087, 267249</t>
  </si>
  <si>
    <t>261509, 263379, 267249</t>
  </si>
  <si>
    <t>26052026-93623</t>
  </si>
  <si>
    <t>Alerta de Monitoramento LOJA16 designação AIU-IPD-F-#144740</t>
  </si>
  <si>
    <t>266175</t>
  </si>
  <si>
    <t>AIU/IPD/212603/69</t>
  </si>
  <si>
    <t>26052026-25474</t>
  </si>
  <si>
    <t>TSA/IPD/204531/1 | INDISPONIBILIDADE</t>
  </si>
  <si>
    <t>266185</t>
  </si>
  <si>
    <t>27052026-53276</t>
  </si>
  <si>
    <t>Link Down — ALEX JERONIMO REIS SILVA (187.84.66.138)</t>
  </si>
  <si>
    <t>267201</t>
  </si>
  <si>
    <t>27052026-70599</t>
  </si>
  <si>
    <t>266855</t>
  </si>
  <si>
    <t>27052026-75630</t>
  </si>
  <si>
    <t>266063</t>
  </si>
  <si>
    <t>28052026-60669</t>
  </si>
  <si>
    <t>268575</t>
  </si>
  <si>
    <t>23052026-75813</t>
  </si>
  <si>
    <t>RCR LOCACAO LTDA R C R LOCACAO LTDA | INOPERANTE | /226111/1 |</t>
  </si>
  <si>
    <t>263191, 263547, 264807, 268617</t>
  </si>
  <si>
    <t>264807, 268617</t>
  </si>
  <si>
    <t>25052026-29930</t>
  </si>
  <si>
    <t>Atendimento para: TERMINAL DE INTEGRACAO COHAB - VLAN-3973 SLS-216233-00425</t>
  </si>
  <si>
    <t>267845</t>
  </si>
  <si>
    <t>SLS/L2L/216233/425</t>
  </si>
  <si>
    <t>25052026-83095</t>
  </si>
  <si>
    <t>[GLPI #0029619] Você foi Mencionado 0029619 - TIC | Problema com link de dados.</t>
  </si>
  <si>
    <t>268621</t>
  </si>
  <si>
    <t>ETO/L2L/201809/91</t>
  </si>
  <si>
    <t>26052026-57036</t>
  </si>
  <si>
    <t>AERTURA DE CHAMADO - EVE260500133499</t>
  </si>
  <si>
    <t>265673</t>
  </si>
  <si>
    <t>27052026-79932</t>
  </si>
  <si>
    <t>266875</t>
  </si>
  <si>
    <t>27052026-17224</t>
  </si>
  <si>
    <t>267059</t>
  </si>
  <si>
    <t>28052026-59964</t>
  </si>
  <si>
    <t>268067</t>
  </si>
  <si>
    <t>26052026-94055</t>
  </si>
  <si>
    <t>Perda na conexão</t>
  </si>
  <si>
    <t>266179</t>
  </si>
  <si>
    <t>SLS/L2L/218297/16</t>
  </si>
  <si>
    <t>26052026-16626</t>
  </si>
  <si>
    <t>265657</t>
  </si>
  <si>
    <t>27052026-81375</t>
  </si>
  <si>
    <t>Queda no link de internet</t>
  </si>
  <si>
    <t>266739, 267075</t>
  </si>
  <si>
    <t>27052026-17394</t>
  </si>
  <si>
    <t>267399, 267417, 268673</t>
  </si>
  <si>
    <t>28052026-37879</t>
  </si>
  <si>
    <t>M DIAS BRANCO S A INDUSTRIA E COMERCIO DE ALIMENTOS FILIAL || INDISPONIBILIDADE ||  AIU/223293/00001</t>
  </si>
  <si>
    <t>268075</t>
  </si>
  <si>
    <t>27052026-36289</t>
  </si>
  <si>
    <t>SERVICO NACIONAL DE APRENDIZAGEM INDUSTRIAL || Indisponibilidade || #143338</t>
  </si>
  <si>
    <t>SERVICO NACIONAL DE APRENDIZAGEM INDUSTRIAL</t>
  </si>
  <si>
    <t>03.775.543/0001-79</t>
  </si>
  <si>
    <t>266915, 267365</t>
  </si>
  <si>
    <t>267365</t>
  </si>
  <si>
    <t>SLS/IPD/214465/9</t>
  </si>
  <si>
    <t>27052026-75731</t>
  </si>
  <si>
    <t>SERVIS ELETRONICA DEFENSE LTDA | INDISPONIBILIDADE | 218497/870</t>
  </si>
  <si>
    <t>266083</t>
  </si>
  <si>
    <t>28052026-58806</t>
  </si>
  <si>
    <t>SOE OPERACOES ESCOLARES S A  | INDISPONIBILDIDADE | GUAMA 69</t>
  </si>
  <si>
    <t>267429</t>
  </si>
  <si>
    <t>26052026-93206</t>
  </si>
  <si>
    <t>267859</t>
  </si>
  <si>
    <t>27052026-65347</t>
  </si>
  <si>
    <t>Problema de Conectividade e Perda de Pacote. - LINK DEDICADO DE INTERNET - AIU/IPD/52957/12 - RUA CLAUDIO SANDERS , 677 , Centro , ANANINDEUA-PA</t>
  </si>
  <si>
    <t>266225, 268023</t>
  </si>
  <si>
    <t>268023</t>
  </si>
  <si>
    <t>28052026-53621</t>
  </si>
  <si>
    <t>Abertura de chamado - EVE260500144801  - SJEL2L433671113</t>
  </si>
  <si>
    <t>267985</t>
  </si>
  <si>
    <t>25052026-34583</t>
  </si>
  <si>
    <t>ALERTA:  CLI | TRE.ATH.AMARANTE.DO.MARANHAO.L2L.201809.93 - FALHA</t>
  </si>
  <si>
    <t>268047</t>
  </si>
  <si>
    <t>AMARANTE DO MARANHAO</t>
  </si>
  <si>
    <t>ATH/L2L/201809/93</t>
  </si>
  <si>
    <t>26052026-51790</t>
  </si>
  <si>
    <t>[REQ000144215757] [3495] SAA AG. CIDADE DOS LAGOS</t>
  </si>
  <si>
    <t>267205, 267319, 268633</t>
  </si>
  <si>
    <t>267319</t>
  </si>
  <si>
    <t>593529</t>
  </si>
  <si>
    <t>28052026-50622</t>
  </si>
  <si>
    <t>Atendimento para: CRAS SAO FRANCISCO - VLAN 3963 SLS-216233-00429</t>
  </si>
  <si>
    <t>268701</t>
  </si>
  <si>
    <t>SLS/L2L/216233/429</t>
  </si>
  <si>
    <t>28052026-22045</t>
  </si>
  <si>
    <t>268705</t>
  </si>
  <si>
    <t>29052026-49226</t>
  </si>
  <si>
    <t>268729</t>
  </si>
  <si>
    <t>29052026-26292</t>
  </si>
  <si>
    <t>CLARO S A || INDISPONIBILIDADE  || PUP/L2L/213163/8</t>
  </si>
  <si>
    <t>269619, 269625, 269739</t>
  </si>
  <si>
    <t>PUP/L2L/213163/8</t>
  </si>
  <si>
    <t>27052026-91504</t>
  </si>
  <si>
    <t>CLARO SA 0241 60 | INOPERÂNCIA | PUP/IPD/213163/13</t>
  </si>
  <si>
    <t>268129, 268651</t>
  </si>
  <si>
    <t>PUP/IPD/213163/13</t>
  </si>
  <si>
    <t>26052026-66994</t>
  </si>
  <si>
    <t>Internet Lenta Demais</t>
  </si>
  <si>
    <t>268231, 269735</t>
  </si>
  <si>
    <t>27052026-89537</t>
  </si>
  <si>
    <t>UNIDADE INEC - SAO JOSE DE RIBAMAR OFFLINE</t>
  </si>
  <si>
    <t>268039</t>
  </si>
  <si>
    <t>SJE/FBR/6971/155</t>
  </si>
  <si>
    <t>28052026-46861</t>
  </si>
  <si>
    <t>link de internet giga mais são luiz</t>
  </si>
  <si>
    <t>268073</t>
  </si>
  <si>
    <t>SLS/FBR/229673/869</t>
  </si>
  <si>
    <t>29052026-16374</t>
  </si>
  <si>
    <t>LLK - BNB - TERCIARIO - FLO5022714 - 068 - FLORIANO</t>
  </si>
  <si>
    <t>269511</t>
  </si>
  <si>
    <t>30052026-73677</t>
  </si>
  <si>
    <t>REDE NACIONAL DE ENSINO  | INDISPONIVEL</t>
  </si>
  <si>
    <t>269837</t>
  </si>
  <si>
    <t>29052026-51155</t>
  </si>
  <si>
    <t>Link Down — EDILSON DENIS FARIAS DE ARAGAO FILHO - ME (200.50.196.46)</t>
  </si>
  <si>
    <t>42.214.567 EDILSON DENIS FARIAS DE ARAGAO FILHO</t>
  </si>
  <si>
    <t>42.214.567/0001-00</t>
  </si>
  <si>
    <t>269363, 269365</t>
  </si>
  <si>
    <t>ALQ/IPT/224993/2</t>
  </si>
  <si>
    <t>30052026-91572</t>
  </si>
  <si>
    <t>ADVANTA SISTEMAS DE TELECOMUNICACOES E SERVICOS DE INFORMATICA LTDA | LINK INOPERANTE | TSA/IPD/227909/2</t>
  </si>
  <si>
    <t>269917</t>
  </si>
  <si>
    <t>28052026-48566</t>
  </si>
  <si>
    <t>LLK - BNB - TERCIÁRIO - TSA5293751 - 194 - TERESINA JOAO XXIII</t>
  </si>
  <si>
    <t>268051</t>
  </si>
  <si>
    <t>TSA/FBR/6971/46</t>
  </si>
  <si>
    <t>S23</t>
  </si>
  <si>
    <t>30052026-84176</t>
  </si>
  <si>
    <t>HowBe - S3UTM2604-L1-BNBWAN-GIGA-SUL-TERESINAPI - [ZBX#240249443]</t>
  </si>
  <si>
    <t>269833</t>
  </si>
  <si>
    <t>31052026-22700</t>
  </si>
  <si>
    <t>EXPRESSO GUANABARA LTDA | INDISPONIBILIDADE | IP: 201.20.72.146</t>
  </si>
  <si>
    <t>269937</t>
  </si>
  <si>
    <t>TSA/IPD/3869/16</t>
  </si>
  <si>
    <t>01062026-88766</t>
  </si>
  <si>
    <t>COMPANHIA INDUSTRIAL DE CIMENTO APODI \ INDISPONIBILIDADE \ 198595/4</t>
  </si>
  <si>
    <t>270547, 270945</t>
  </si>
  <si>
    <t>270945</t>
  </si>
  <si>
    <t>31052026-49106</t>
  </si>
  <si>
    <t>271529</t>
  </si>
  <si>
    <t>26052026-68918</t>
  </si>
  <si>
    <t>INDISPONIBILIDADE - INEC_Esperantinopolis</t>
  </si>
  <si>
    <t>FIGUEIREDO &amp; SILVA LTDA</t>
  </si>
  <si>
    <t>270123, 270337</t>
  </si>
  <si>
    <t>270337</t>
  </si>
  <si>
    <t>ESS/FBR/6971/36</t>
  </si>
  <si>
    <t>01062026-48985</t>
  </si>
  <si>
    <t>271781</t>
  </si>
  <si>
    <t>31052026-18776</t>
  </si>
  <si>
    <t>Atendimento para: CREAS COROADINHO - VLAN 3737 SLS-216233-00150</t>
  </si>
  <si>
    <t>270185</t>
  </si>
  <si>
    <t>SLS/L2L/216233/150</t>
  </si>
  <si>
    <t>29052026-25755</t>
  </si>
  <si>
    <t>Atendimento para: RESIDENCIA INCLUSIVA - VLAN-3784 SLS-216233-00144</t>
  </si>
  <si>
    <t>269517, 270155, 271511</t>
  </si>
  <si>
    <t>269517, 271511</t>
  </si>
  <si>
    <t>SLS/L2L/216233/144</t>
  </si>
  <si>
    <t>02062026-94024</t>
  </si>
  <si>
    <t>ABERTURA DE CHAMADO EVE260600001159</t>
  </si>
  <si>
    <t>271767</t>
  </si>
  <si>
    <t>SLS/L2L/83605/1221</t>
  </si>
  <si>
    <t>📋  CONTROLE DE CHAMADOS — GESTÃO SEMANAL B2B</t>
  </si>
  <si>
    <t>Atualização automática via BASE BI | Selecione a semana para filtrar todos os indicadores</t>
  </si>
  <si>
    <t>SELEÇÃO DE SEMANA</t>
  </si>
  <si>
    <t>METAS EDITÁVEIS</t>
  </si>
  <si>
    <t>Semana do Ano:</t>
  </si>
  <si>
    <t>B2B Reparo ≤8h (meta ≥):</t>
  </si>
  <si>
    <t>B2B Outlier &gt;24h (teto ≤):</t>
  </si>
  <si>
    <t>Data Início:</t>
  </si>
  <si>
    <t>* Edite diretamente as células I5 e I6 para alterar as metas</t>
  </si>
  <si>
    <t>Data Fim:</t>
  </si>
  <si>
    <t>Total chamados na semana:</t>
  </si>
  <si>
    <t>INDICADORES DA SEMANA SELECIONADA</t>
  </si>
  <si>
    <t>B2B Reparo ≤8h
(Aderência)</t>
  </si>
  <si>
    <t>B2B Outlier &gt;24h
(% casos fora)</t>
  </si>
  <si>
    <t>Total Chamados
Semana</t>
  </si>
  <si>
    <t>Casos ≤8h
(qtd)</t>
  </si>
  <si>
    <t>Casos &gt;24h
(qtd)</t>
  </si>
  <si>
    <t>RESUMO POR CLUSTER / UF — SEMANA SELECIONADA</t>
  </si>
  <si>
    <t>Cluster / UF</t>
  </si>
  <si>
    <t>Total</t>
  </si>
  <si>
    <t>Casos ≤8h</t>
  </si>
  <si>
    <t>Ader. ≤8h</t>
  </si>
  <si>
    <t>Meta 85%</t>
  </si>
  <si>
    <t>Status ≤8h</t>
  </si>
  <si>
    <t>Casos &gt;24h</t>
  </si>
  <si>
    <t>% Outlier</t>
  </si>
  <si>
    <t>Teto 2%</t>
  </si>
  <si>
    <t>Status &gt;24h</t>
  </si>
  <si>
    <t>MA CAP (São Luís, Paço, SJR)</t>
  </si>
  <si>
    <t>MA INT (demais cidades MA)</t>
  </si>
  <si>
    <t>PA CAP (Belém, Ananindeua)</t>
  </si>
  <si>
    <t>PA INT (demais cidades PA)</t>
  </si>
  <si>
    <t>TOTAL GERAL</t>
  </si>
  <si>
    <t>RELATÓRIO EXECUTIVO — TEXTO NARRATIVO A NÍVEL DE DIRETORIA</t>
  </si>
  <si>
    <t>Semana selecionada em CONTROLE | Gerado automaticamente com base nos dados da BASE BI</t>
  </si>
  <si>
    <t>Total chamados</t>
  </si>
  <si>
    <t>B2B Reparo ≤8h</t>
  </si>
  <si>
    <t>Outlier &gt;24h</t>
  </si>
  <si>
    <t>Localidades c/ desvio</t>
  </si>
  <si>
    <t>▼  B2B Reparo 8h — Desvio de prazo | 64 casos de 108 (59,26%)</t>
  </si>
  <si>
    <t>DESVIO CRÍTICO</t>
  </si>
  <si>
    <t>B2B Reparo 8h – Desvio em 14 localidades representando (64 /108) casos - 59% das perdas de prazo de 8 horas, Sao Luis - MA (45 Casos - 41,67%) devido demais causas de rompimento, Sao Jose De Ribamar - MA (3 Casos - 2,78%) devido demais causas de rompimento, Teresina - PI (3 Casos - 2,78%) devido demais causas configuração, Castanhal - PA (2 Casos - 1,85%) devido demais causas de rompimento, Macapa - AP (2 Casos - 1,85%) devido demais causas de rompimento, Ananindeua - PA (1 Caso - 0,93%) devido demais causas de rompimento, Balsas - MA (1 Caso - 0,93%) devido sem ação, Barra Do Corda - MA (1 Caso - 0,93%) devido demais causas de atenuação, Benevides - PA (1 Caso - 0,93%) devido demais causas de rompimento, Itaporanga - MA (1 Caso - 0,93%) devido demais causas de rompimento, Olinda Nova Do Maranhao - MA (1 Caso - 0,93%) devido demais causas de atenuação, Presidente Dutra - MA (1 Caso - 0,93%) devido demais causas de elétrica, Santa Ines - MA (1 Caso - 0,93%) devido sem ação, Simoes - PI (1 Caso - 0,93%) devido demais causas configuração.</t>
  </si>
  <si>
    <t>Este texto é gerado automaticamente pela aba RELATÓRIO EXECUTIVO com base nos dados da semana selecionada em CONTROLE. O campo é editável pelo gestor para acrescentar contexto operacional (ex.: obras COP30, condições climáticas, ações de parceiros).</t>
  </si>
  <si>
    <t>Localidade</t>
  </si>
  <si>
    <t>UF</t>
  </si>
  <si>
    <t>Cluster</t>
  </si>
  <si>
    <t>Casos Fora ≤8h</t>
  </si>
  <si>
    <t>% do Total</t>
  </si>
  <si>
    <t>Causa Principal</t>
  </si>
  <si>
    <t>Parceiro</t>
  </si>
  <si>
    <t>AP CAP</t>
  </si>
  <si>
    <t>ITAPORANGA</t>
  </si>
  <si>
    <t>▲  B2B Outlier &gt;24h — 28 casos de 108 (25,93%) | Teto: 2%</t>
  </si>
  <si>
    <t>B2B Outlier &gt;24h – Semana S16 apresentou performance de 25,93% (28/108) devido às causas concentradas nas localidades: Sao Luis - MA (20 Casos - 18,52%) devido demais causas de rompimento, Barra Do Corda - MA (1 Caso - 0,93%) devido demais causas de atenuação, Itaporanga - MA (1 Caso - 0,93%) devido demais causas de rompimento, Olinda Nova Do Maranhao - MA (1 Caso - 0,93%) devido demais causas de atenuação, Presidente Dutra - MA (1 Caso - 0,93%) devido demais causas de elétrica, Santa Ines - MA (1 Caso - 0,93%) devido sem ação, Sao Jose De Ribamar - MA (1 Caso - 0,93%) devido demais causas de rompimento, Simoes - PI (1 Caso - 0,93%) devido demais causas configuração, Teresina - PI (1 Caso - 0,93%) devido demais causas configuração.</t>
  </si>
  <si>
    <t>Campo editável. O gestor deve incluir contexto executivo adicional como: negociações em andamento com parceiros, planos de contingência, comprometimentos com prazos de normalização e impacto financeiro estimado.</t>
  </si>
  <si>
    <t>🔄  ANÁLISE DE CHAMADOS REINCIDENTES</t>
  </si>
  <si>
    <t>Referência: Coluna F (numplan/id serviço) + Coluna J (cliente_id) da BASE BI — Período INDEPENDENTE da aba Controle</t>
  </si>
  <si>
    <t>FILTRO DE PERÍODO</t>
  </si>
  <si>
    <t>Data Inicial:</t>
  </si>
  <si>
    <t>← Edite a data inicial (célula B5)</t>
  </si>
  <si>
    <t>Data Final:</t>
  </si>
  <si>
    <t>← Edite a data final (célula B6)</t>
  </si>
  <si>
    <t>Total chamados no período:</t>
  </si>
  <si>
    <t>Casos &gt;24h:</t>
  </si>
  <si>
    <t>Casos ≤8h:</t>
  </si>
  <si>
    <t>% Outlier &gt;24h:</t>
  </si>
  <si>
    <t>INDICADORES DE REINCIDÊNCIA NO PERÍODO</t>
  </si>
  <si>
    <t>ℹ️  Dados calculados sobre todo o banco. Para filtrar por período, ajuste as datas em B5 e B6 — os dados abaixo refletem ocorrências com 2+ chamados no cliente.</t>
  </si>
  <si>
    <t>RANKING DE CLIENTES REINCIDENTES NO PERÍODO</t>
  </si>
  <si>
    <t>REINCID. POR UF</t>
  </si>
  <si>
    <t>Rank</t>
  </si>
  <si>
    <t>ID Cliente</t>
  </si>
  <si>
    <t>Cód. Cliente</t>
  </si>
  <si>
    <t>Nome Cliente</t>
  </si>
  <si>
    <t>Cidade</t>
  </si>
  <si>
    <t>Ocorrências</t>
  </si>
  <si>
    <t>1ª Abertura</t>
  </si>
  <si>
    <t>Última Abertura</t>
  </si>
  <si>
    <t>Causa Mais Freq.</t>
  </si>
  <si>
    <t>Ocorr.</t>
  </si>
  <si>
    <t>19/01/2026</t>
  </si>
  <si>
    <t>07/03/2026</t>
  </si>
  <si>
    <t>27/02/2026</t>
  </si>
  <si>
    <t>22/04/2026</t>
  </si>
  <si>
    <t>16/01/2026</t>
  </si>
  <si>
    <t>19/04/2026</t>
  </si>
  <si>
    <t>02/01/2026</t>
  </si>
  <si>
    <t>25/03/2026</t>
  </si>
  <si>
    <t>03/01/2026</t>
  </si>
  <si>
    <t>06/03/2026</t>
  </si>
  <si>
    <t>CONDOMINIO DO SHOPPING METROPOLE ANANINDEUA CONDOM</t>
  </si>
  <si>
    <t>06/01/2026</t>
  </si>
  <si>
    <t>23/04/2026</t>
  </si>
  <si>
    <t>07/01/2026</t>
  </si>
  <si>
    <t>16/04/2026</t>
  </si>
  <si>
    <t>30/03/2026</t>
  </si>
  <si>
    <t>14/04/2026</t>
  </si>
  <si>
    <t>12/01/2026</t>
  </si>
  <si>
    <t>27/03/2026</t>
  </si>
  <si>
    <t>08/01/2026</t>
  </si>
  <si>
    <t>11/04/2026</t>
  </si>
  <si>
    <t>01/02/2026</t>
  </si>
  <si>
    <t>NORTE BRASIL NETWORK TELECOMUNICACOES LTDA NBN TEL</t>
  </si>
  <si>
    <t>05/02/2026</t>
  </si>
  <si>
    <t>13/02/2026</t>
  </si>
  <si>
    <t xml:space="preserve">SERVICO NACIONAL DE APRENDIZAGEM INDUSTRIAL SENAI </t>
  </si>
  <si>
    <t>10/01/2026</t>
  </si>
  <si>
    <t>26/04/2026</t>
  </si>
  <si>
    <t>AUTO PECAS PADRE CICERO LTDA</t>
  </si>
  <si>
    <t>20/04/2026</t>
  </si>
  <si>
    <t>04/01/2026</t>
  </si>
  <si>
    <t>01/03/2026</t>
  </si>
  <si>
    <t>21/01/2026</t>
  </si>
  <si>
    <t>06/04/2026</t>
  </si>
  <si>
    <t>03/02/2026</t>
  </si>
  <si>
    <t>19/02/2026</t>
  </si>
  <si>
    <t>24/01/2026</t>
  </si>
  <si>
    <t>08/04/2026</t>
  </si>
  <si>
    <t>16/03/2026</t>
  </si>
  <si>
    <t>28/01/2026</t>
  </si>
  <si>
    <t>15/04/2026</t>
  </si>
  <si>
    <t>TECNO INDUSTRIA E COMERCIO DE COMPUTADORES LTDA GR</t>
  </si>
  <si>
    <t>13/01/2026</t>
  </si>
  <si>
    <t>26/03/2026</t>
  </si>
  <si>
    <t>16/02/2026</t>
  </si>
  <si>
    <t>05/01/2026</t>
  </si>
  <si>
    <t>24/02/2026</t>
  </si>
  <si>
    <t>15/01/2026</t>
  </si>
  <si>
    <t>12/04/2026</t>
  </si>
  <si>
    <t>14/01/2026</t>
  </si>
  <si>
    <t>21/03/2026</t>
  </si>
  <si>
    <t>05/04/2026</t>
  </si>
  <si>
    <t>29/01/2026</t>
  </si>
  <si>
    <t>10/04/2026</t>
  </si>
  <si>
    <t>TRIBUNAL REGIONAL DO TRABALHO DA 8 REGIAO TRIBUNAL</t>
  </si>
  <si>
    <t>23/02/2026</t>
  </si>
  <si>
    <t>02/03/2026</t>
  </si>
  <si>
    <t>30/01/2026</t>
  </si>
  <si>
    <t>10/02/2026</t>
  </si>
  <si>
    <t>04/02/2026</t>
  </si>
  <si>
    <t>13/03/2026</t>
  </si>
  <si>
    <t>30/12/2025</t>
  </si>
  <si>
    <t>11/03/2026</t>
  </si>
  <si>
    <t>28/03/2026</t>
  </si>
  <si>
    <t>17/04/2026</t>
  </si>
  <si>
    <t>08/03/2026</t>
  </si>
  <si>
    <t>18/02/2026</t>
  </si>
  <si>
    <t>📈  EVOLUÇÃO MENSAL — INDICADORES B2B | Gráficos de Barras com Linha de Tendência</t>
  </si>
  <si>
    <t>MÊS</t>
  </si>
  <si>
    <t>TOTAL</t>
  </si>
  <si>
    <t>DENTRO 8H</t>
  </si>
  <si>
    <t>% ADER 8H</t>
  </si>
  <si>
    <t>META 8H</t>
  </si>
  <si>
    <t>OUTLIER &gt;24H</t>
  </si>
  <si>
    <t>% OUTLIER</t>
  </si>
  <si>
    <t>TETO 24H</t>
  </si>
  <si>
    <t>Janeiro</t>
  </si>
  <si>
    <t>Fevereiro</t>
  </si>
  <si>
    <t>Março</t>
  </si>
  <si>
    <t>Abril</t>
  </si>
  <si>
    <t>📋  FCA — FATO / CAUSA / AÇÃO — TEXTO EXECUTIVO A NÍVEL DE DIRETORIA</t>
  </si>
  <si>
    <t>● B2B REPARO ≤8H — Meta: ≥85%</t>
  </si>
  <si>
    <t>FATO</t>
  </si>
  <si>
    <t>Na semana selecionada, o indicador B2B Reparo ≤8h registrou aderência abaixo da meta corporativa de 85%. Ver dados detalhados na aba RELATÓRIO EXECUTIVO e CONTROLE. Preencha abaixo a análise executiva para o período.</t>
  </si>
  <si>
    <t>CAUSA</t>
  </si>
  <si>
    <t>DESCREVA AQUI as principais causas identificadas para o desvio no indicador B2B Reparo ≤8h:
Ex: Obras de readequação da postação pela concessionária Equatorial (COP30) em Belém-PA e Ananindeua-PA; Rompimentos de fibra em múltiplas localidades; Demora em tratativas com parceiros terceirizados (Online Telecom, Interling).</t>
  </si>
  <si>
    <t>AÇÃO</t>
  </si>
  <si>
    <t>DESCREVA AQUI as ações corretivas e preventivas planejadas:
(1) Escalonamento junto à Equatorial para priorização de obras impactantes no SLA;
(2) Revisão de SLA com parceiros Online e Interling;
(3) Reforço de equipes de campo nas regiões PA CAP e MA CAP;
(4) Mapeamento preventivo de redes críticas expostas a rompimentos.</t>
  </si>
  <si>
    <t>● B2B OUTLIER &gt;24H — Teto: ≤2% dos chamados</t>
  </si>
  <si>
    <t>Na semana selecionada, o indicador B2B Outlier &gt;24h registrou percentual de casos fora do prazo acima do teto de 2%. Ver dados detalhados na aba RELATÓRIO EXECUTIVO e CONTROLE. Preencha abaixo a análise executiva para o período.</t>
  </si>
  <si>
    <t>DESCREVA AQUI as principais causas dos outliers &gt;24h:
Ex: Obras Equatorial/COP30 em Ananindeua-PA (maior concentração); Rompimentos de rede em Belém-PA; Demoras operacionais com parceiro Online em Moju-PA; Atenuações e rompimento em São Luís-MA.</t>
  </si>
  <si>
    <t>DESCREVA AQUI as ações corretivas:
(1) Criação de sala de situação dedicada às obras COP30;
(2) Acompanhamento diário de aging por gestor responsável;
(3) Aplicação de penalidades contratuais a parceiros com SLA recorrentemente violado;
(4) Apresentação de plano de recuperação à diretoria na semana seguinte.</t>
  </si>
  <si>
    <t>INDICADORES AUTOMÁTICOS DA SEMANA (referência)</t>
  </si>
  <si>
    <t>Semana</t>
  </si>
  <si>
    <t>Período</t>
  </si>
  <si>
    <t>Total Chamados</t>
  </si>
  <si>
    <t>B2B ≤8h</t>
  </si>
  <si>
    <t>B2B Outlier &gt;24h</t>
  </si>
  <si>
    <t>🎯  DASHBOARD EXECUTIVO B2B — VISÃO GERAL SEMANAL</t>
  </si>
  <si>
    <t>INDICADORES PRINCIPAIS</t>
  </si>
  <si>
    <t>B2B Reparo
≤8h</t>
  </si>
  <si>
    <t>Outlier
&gt;24h</t>
  </si>
  <si>
    <t>Total
Chamados</t>
  </si>
  <si>
    <t>Casos
&gt;24h</t>
  </si>
  <si>
    <t>META: 85%</t>
  </si>
  <si>
    <t>TETO: 2%</t>
  </si>
  <si>
    <t>SEMANA</t>
  </si>
  <si>
    <t>LIMITE: ≤2%</t>
  </si>
  <si>
    <t>SEMÁFORO CONSOLIDADO POR CLUSTER</t>
  </si>
  <si>
    <t>Indicador / Meta</t>
  </si>
  <si>
    <t>GERAL</t>
  </si>
  <si>
    <t>Reparo ≤8h
(meta ≥85%)</t>
  </si>
  <si>
    <t>Outlier &gt;24h
(teto ≤2%)</t>
  </si>
  <si>
    <t>TOP CAUSAS RAIZ — ACUMULADO</t>
  </si>
  <si>
    <t>Causa Raiz</t>
  </si>
  <si>
    <t>Qtd</t>
  </si>
  <si>
    <t>MAPA DE INTEGRAÇÃO — VERIFICAÇÃO AUTOMÁTICA</t>
  </si>
  <si>
    <t>Esta aba confirma que todos os vínculos estão ativos. Ao atualizar a BASE BI ou trocar a semana em CONTROLE, os dados propagam automaticamente.</t>
  </si>
  <si>
    <t>Aba</t>
  </si>
  <si>
    <t>Fonte</t>
  </si>
  <si>
    <t>Ligação</t>
  </si>
  <si>
    <t>Células-chave</t>
  </si>
  <si>
    <t>BASE BI?</t>
  </si>
  <si>
    <t>Semana?</t>
  </si>
  <si>
    <t>Verificação ao vivo</t>
  </si>
  <si>
    <t>Status</t>
  </si>
  <si>
    <t>BASE BI</t>
  </si>
  <si>
    <t>Fonte primária</t>
  </si>
  <si>
    <t>Banco de dados</t>
  </si>
  <si>
    <t>Colunas A:BV</t>
  </si>
  <si>
    <t>—</t>
  </si>
  <si>
    <t>CONTROLE</t>
  </si>
  <si>
    <t>COUNTIFS dinâmico</t>
  </si>
  <si>
    <t>D7,D8,D9,B13,E13,K13,N13</t>
  </si>
  <si>
    <t>SIM</t>
  </si>
  <si>
    <t>REINCIDENTES</t>
  </si>
  <si>
    <t>BASE BI+datas B5:B6</t>
  </si>
  <si>
    <t>COUNTIFS por período</t>
  </si>
  <si>
    <t>D7,G7,J7,M7</t>
  </si>
  <si>
    <t>NÃO</t>
  </si>
  <si>
    <t>RELATÓRIO EXEC.</t>
  </si>
  <si>
    <t>Referência direta</t>
  </si>
  <si>
    <t>B5,B6,B7,B8,B9,B10</t>
  </si>
  <si>
    <t>EVOLUÇÃO</t>
  </si>
  <si>
    <t>COUNTIFS por mês</t>
  </si>
  <si>
    <t>B4:H7 (cada mês)</t>
  </si>
  <si>
    <t>OK — 309 em Jan</t>
  </si>
  <si>
    <t>FCA</t>
  </si>
  <si>
    <t>A2, células de indicadores</t>
  </si>
  <si>
    <t>DASHBOARD</t>
  </si>
  <si>
    <t>A6,E6,I6,M6</t>
  </si>
  <si>
    <t>COMO ATUALIZAR OS DADOS</t>
  </si>
  <si>
    <t>Atualizar BASE BI →</t>
  </si>
  <si>
    <t>Adicione/remova linhas na aba BASE BI. CONTROLE, RELATÓRIO EXECUTIVO, EVOLUÇÃO, REINCIDENTES e DASHBOARD recalculam automaticamente via COUNTIFS. Nas novas linhas, preencha as colunas BT (cluster), BU (dentro_8h: TRUE se tempo_b2b ≤ 8) e BV (outlier_24h: TRUE se tempo_b2b &gt; 24).</t>
  </si>
  <si>
    <t>Trocar Semana →</t>
  </si>
  <si>
    <t>Altere o valor em CONTROLE!D5 (dropdown S1–S52). CONTROLE, RELATÓRIO EXECUTIVO, FCA e DASHBOARD atualizam instantaneamente. EVOLUÇÃO usa meses e REINCIDENTES usa seu próprio período (B5:B6) — ambos independentes da seleção de semana.</t>
  </si>
  <si>
    <t>Editar Metas →</t>
  </si>
  <si>
    <t>Altere CONTROLE!I5 (meta ≤8h, padrão 85%) e CONTROLE!I6 (teto &gt;24h, padrão 2%). Todas as abas que referenciam essas células atualizam automaticamente em cascata.</t>
  </si>
  <si>
    <t>Relatório Executivo →</t>
  </si>
  <si>
    <t>O texto automático (fundo colorido) atualiza sozinho. Preencha os campos âmbar semanalmente com o contexto operacional: cidades, causas específicas, obras, parceiros e ações corretivas.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</si>
</sst>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yy\ h:mm:ss\ AM/PM"/>
    <numFmt numFmtId="166" formatCode="d/m/yy\ h:mm;@"/>
  </numFmts>
  <fonts count="57" x14ac:knownFonts="1">
    <font>
      <sz val="11"/>
      <color theme="1"/>
      <name val="Calibri"/>
    </font>
    <font>
      <b/>
      <sz val="10"/>
      <color rgb="FFFFFFFF"/>
      <name val="Arial"/>
    </font>
    <font>
      <sz val="9"/>
      <color rgb="FF000000"/>
      <name val="Arial"/>
    </font>
    <font>
      <b/>
      <sz val="14"/>
      <color rgb="FFFFFFFF"/>
      <name val="Arial"/>
    </font>
    <font>
      <i/>
      <sz val="10"/>
      <color rgb="FF185FA5"/>
      <name val="Arial"/>
    </font>
    <font>
      <b/>
      <sz val="10"/>
      <color rgb="FF444441"/>
      <name val="Arial"/>
    </font>
    <font>
      <b/>
      <sz val="10"/>
      <color rgb="FF3B6D11"/>
      <name val="Arial"/>
    </font>
    <font>
      <sz val="11"/>
      <color rgb="FF444441"/>
      <name val="Arial"/>
    </font>
    <font>
      <b/>
      <sz val="13"/>
      <color rgb="FF185FA5"/>
      <name val="Arial"/>
    </font>
    <font>
      <sz val="10"/>
      <color rgb="FF444441"/>
      <name val="Arial"/>
    </font>
    <font>
      <b/>
      <sz val="13"/>
      <color rgb="FF3B6D11"/>
      <name val="Arial"/>
    </font>
    <font>
      <sz val="9"/>
      <color rgb="FF888780"/>
      <name val="Arial"/>
    </font>
    <font>
      <b/>
      <sz val="11"/>
      <color rgb="FF185FA5"/>
      <name val="Arial"/>
    </font>
    <font>
      <i/>
      <sz val="9"/>
      <color rgb="FF888780"/>
      <name val="Arial"/>
    </font>
    <font>
      <b/>
      <sz val="14"/>
      <color rgb="FF185FA5"/>
      <name val="Arial"/>
    </font>
    <font>
      <b/>
      <sz val="11"/>
      <color rgb="FFFFFFFF"/>
      <name val="Arial"/>
    </font>
    <font>
      <sz val="9"/>
      <color rgb="FF3B6D11"/>
      <name val="Arial"/>
    </font>
    <font>
      <sz val="9"/>
      <color rgb="FF185FA5"/>
      <name val="Arial"/>
    </font>
    <font>
      <sz val="9"/>
      <color rgb="FF444441"/>
      <name val="Arial"/>
    </font>
    <font>
      <sz val="9"/>
      <color rgb="FFA32D2D"/>
      <name val="Arial"/>
    </font>
    <font>
      <b/>
      <sz val="20"/>
      <color rgb="FF3B6D11"/>
      <name val="Arial"/>
    </font>
    <font>
      <b/>
      <sz val="20"/>
      <color rgb="FF185FA5"/>
      <name val="Arial"/>
    </font>
    <font>
      <b/>
      <sz val="20"/>
      <color rgb="FF444441"/>
      <name val="Arial"/>
    </font>
    <font>
      <b/>
      <sz val="20"/>
      <color rgb="FFA32D2D"/>
      <name val="Arial"/>
    </font>
    <font>
      <b/>
      <sz val="9"/>
      <color rgb="FF3B6D11"/>
      <name val="Arial"/>
    </font>
    <font>
      <b/>
      <sz val="9"/>
      <color rgb="FF185FA5"/>
      <name val="Arial"/>
    </font>
    <font>
      <b/>
      <sz val="9"/>
      <color rgb="FF444441"/>
      <name val="Arial"/>
    </font>
    <font>
      <b/>
      <sz val="9"/>
      <color rgb="FFA32D2D"/>
      <name val="Arial"/>
    </font>
    <font>
      <b/>
      <sz val="9"/>
      <color rgb="FFFFFFFF"/>
      <name val="Arial"/>
    </font>
    <font>
      <sz val="10"/>
      <color rgb="FF000000"/>
      <name val="Arial"/>
    </font>
    <font>
      <i/>
      <sz val="9"/>
      <color rgb="FF185FA5"/>
      <name val="Arial"/>
    </font>
    <font>
      <b/>
      <sz val="12"/>
      <color rgb="FF854F0B"/>
      <name val="Arial"/>
    </font>
    <font>
      <b/>
      <sz val="13"/>
      <color rgb="FFA32D2D"/>
      <name val="Arial"/>
    </font>
    <font>
      <b/>
      <sz val="11"/>
      <color rgb="FFA32D2D"/>
      <name val="Arial"/>
    </font>
    <font>
      <b/>
      <sz val="10"/>
      <color rgb="FF000000"/>
      <name val="Arial"/>
    </font>
    <font>
      <b/>
      <sz val="11"/>
      <color rgb="FF854F0B"/>
      <name val="Arial"/>
    </font>
    <font>
      <b/>
      <sz val="13"/>
      <color rgb="FFFFFFFF"/>
      <name val="Arial"/>
    </font>
    <font>
      <b/>
      <sz val="22"/>
      <color rgb="FF444441"/>
      <name val="Arial"/>
    </font>
    <font>
      <b/>
      <sz val="22"/>
      <color rgb="FFA32D2D"/>
      <name val="Arial"/>
    </font>
    <font>
      <b/>
      <sz val="10"/>
      <color rgb="FFA32D2D"/>
      <name val="Arial"/>
    </font>
    <font>
      <b/>
      <sz val="10"/>
      <color rgb="FF2C2C2A"/>
      <name val="Arial"/>
    </font>
    <font>
      <sz val="10"/>
      <color rgb="FF888780"/>
      <name val="Arial"/>
    </font>
    <font>
      <b/>
      <sz val="10"/>
      <color rgb="FF854F0B"/>
      <name val="Arial"/>
    </font>
    <font>
      <sz val="10"/>
      <color rgb="FF2C2C2A"/>
      <name val="Arial"/>
    </font>
    <font>
      <b/>
      <sz val="10"/>
      <color rgb="FF185FA5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3B6D11"/>
      <name val="Arial"/>
    </font>
    <font>
      <sz val="11"/>
      <color rgb="FF888780"/>
      <name val="Arial"/>
    </font>
    <font>
      <b/>
      <sz val="12"/>
      <color rgb="FFFFFFFF"/>
      <name val="Arial"/>
    </font>
    <font>
      <b/>
      <sz val="26"/>
      <color rgb="FF3B6D11"/>
      <name val="Arial"/>
    </font>
    <font>
      <b/>
      <sz val="26"/>
      <color rgb="FF185FA5"/>
      <name val="Arial"/>
    </font>
    <font>
      <b/>
      <sz val="26"/>
      <color rgb="FF444441"/>
      <name val="Arial"/>
    </font>
    <font>
      <b/>
      <sz val="26"/>
      <color rgb="FFA32D2D"/>
      <name val="Arial"/>
    </font>
    <font>
      <b/>
      <sz val="10"/>
      <color rgb="FFFF0000"/>
      <name val="Arial"/>
    </font>
    <font>
      <sz val="9"/>
      <color rgb="FFFF0000"/>
      <name val="Arial"/>
    </font>
    <font>
      <sz val="11"/>
      <color rgb="FFFF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F1EFE8"/>
      </patternFill>
    </fill>
    <fill>
      <patternFill patternType="solid">
        <fgColor rgb="FFE6F1FB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444441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378ADD"/>
      </patternFill>
    </fill>
    <fill>
      <patternFill patternType="solid">
        <fgColor rgb="FFF4F4F4"/>
      </patternFill>
    </fill>
    <fill>
      <patternFill patternType="solid">
        <fgColor rgb="FFE24B4A"/>
      </patternFill>
    </fill>
  </fills>
  <borders count="10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medium">
        <color rgb="FF888780"/>
      </left>
      <right style="medium">
        <color rgb="FF888780"/>
      </right>
      <top style="medium">
        <color rgb="FF888780"/>
      </top>
      <bottom style="medium">
        <color rgb="FF888780"/>
      </bottom>
      <diagonal/>
    </border>
    <border>
      <left style="medium">
        <color rgb="FF888780"/>
      </left>
      <right/>
      <top style="medium">
        <color rgb="FF888780"/>
      </top>
      <bottom style="medium">
        <color rgb="FF88878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/>
      <right/>
      <top style="medium">
        <color rgb="FF888780"/>
      </top>
      <bottom style="medium">
        <color rgb="FF888780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9" fontId="10" fillId="5" borderId="3" xfId="0" applyNumberFormat="1" applyFont="1" applyFill="1" applyBorder="1" applyAlignment="1">
      <alignment horizontal="center" vertical="center"/>
    </xf>
    <xf numFmtId="1" fontId="11" fillId="0" borderId="0" xfId="0" applyNumberFormat="1" applyFont="1"/>
    <xf numFmtId="9" fontId="8" fillId="4" borderId="3" xfId="0" applyNumberFormat="1" applyFont="1" applyFill="1" applyBorder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1" fontId="29" fillId="3" borderId="1" xfId="0" applyNumberFormat="1" applyFont="1" applyFill="1" applyBorder="1" applyAlignment="1">
      <alignment horizontal="center" vertical="center"/>
    </xf>
    <xf numFmtId="9" fontId="29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164" fontId="29" fillId="3" borderId="1" xfId="0" applyNumberFormat="1" applyFont="1" applyFill="1" applyBorder="1" applyAlignment="1">
      <alignment horizontal="center" vertical="center"/>
    </xf>
    <xf numFmtId="1" fontId="29" fillId="8" borderId="1" xfId="0" applyNumberFormat="1" applyFont="1" applyFill="1" applyBorder="1" applyAlignment="1">
      <alignment horizontal="center" vertical="center"/>
    </xf>
    <xf numFmtId="9" fontId="29" fillId="8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164" fontId="29" fillId="8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4" fontId="31" fillId="9" borderId="3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1" fontId="8" fillId="4" borderId="3" xfId="0" applyNumberFormat="1" applyFont="1" applyFill="1" applyBorder="1" applyAlignment="1">
      <alignment horizontal="center" vertical="center"/>
    </xf>
    <xf numFmtId="1" fontId="32" fillId="6" borderId="3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164" fontId="32" fillId="6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3" fillId="6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4" fillId="8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39" fillId="8" borderId="6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left" vertical="center"/>
    </xf>
    <xf numFmtId="0" fontId="39" fillId="11" borderId="6" xfId="0" applyFont="1" applyFill="1" applyBorder="1" applyAlignment="1">
      <alignment horizontal="left" vertical="center"/>
    </xf>
    <xf numFmtId="0" fontId="42" fillId="8" borderId="6" xfId="0" applyFont="1" applyFill="1" applyBorder="1" applyAlignment="1">
      <alignment horizontal="left" vertical="center"/>
    </xf>
    <xf numFmtId="0" fontId="42" fillId="11" borderId="6" xfId="0" applyFont="1" applyFill="1" applyBorder="1" applyAlignment="1">
      <alignment horizontal="left" vertical="center"/>
    </xf>
    <xf numFmtId="0" fontId="44" fillId="8" borderId="6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1" fontId="46" fillId="3" borderId="1" xfId="0" applyNumberFormat="1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164" fontId="33" fillId="3" borderId="1" xfId="0" applyNumberFormat="1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left" vertical="center"/>
    </xf>
    <xf numFmtId="1" fontId="46" fillId="8" borderId="1" xfId="0" applyNumberFormat="1" applyFont="1" applyFill="1" applyBorder="1" applyAlignment="1">
      <alignment horizontal="center" vertical="center"/>
    </xf>
    <xf numFmtId="164" fontId="47" fillId="8" borderId="1" xfId="0" applyNumberFormat="1" applyFont="1" applyFill="1" applyBorder="1" applyAlignment="1">
      <alignment horizontal="center" vertical="center"/>
    </xf>
    <xf numFmtId="164" fontId="33" fillId="8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42" fillId="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164" fontId="48" fillId="3" borderId="1" xfId="0" applyNumberFormat="1" applyFont="1" applyFill="1" applyBorder="1" applyAlignment="1">
      <alignment horizontal="center" vertical="center"/>
    </xf>
    <xf numFmtId="164" fontId="48" fillId="8" borderId="1" xfId="0" applyNumberFormat="1" applyFont="1" applyFill="1" applyBorder="1" applyAlignment="1">
      <alignment horizontal="center" vertical="center"/>
    </xf>
    <xf numFmtId="164" fontId="41" fillId="3" borderId="1" xfId="0" applyNumberFormat="1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left" vertical="center"/>
    </xf>
    <xf numFmtId="10" fontId="9" fillId="11" borderId="6" xfId="0" applyNumberFormat="1" applyFont="1" applyFill="1" applyBorder="1" applyAlignment="1">
      <alignment horizontal="left" vertical="center"/>
    </xf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0" fontId="54" fillId="2" borderId="1" xfId="0" applyFont="1" applyFill="1" applyBorder="1" applyAlignment="1">
      <alignment horizontal="center" vertical="center"/>
    </xf>
    <xf numFmtId="0" fontId="55" fillId="3" borderId="0" xfId="0" applyFont="1" applyFill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/>
    <xf numFmtId="166" fontId="0" fillId="0" borderId="0" xfId="0" applyNumberFormat="1"/>
    <xf numFmtId="49" fontId="55" fillId="3" borderId="0" xfId="0" applyNumberFormat="1" applyFont="1" applyFill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0" fillId="0" borderId="7" xfId="0" applyBorder="1"/>
    <xf numFmtId="0" fontId="24" fillId="5" borderId="0" xfId="0" applyFont="1" applyFill="1" applyAlignment="1">
      <alignment horizontal="center" vertical="center"/>
    </xf>
    <xf numFmtId="0" fontId="0" fillId="0" borderId="0" xfId="0"/>
    <xf numFmtId="164" fontId="21" fillId="4" borderId="4" xfId="0" applyNumberFormat="1" applyFont="1" applyFill="1" applyBorder="1" applyAlignment="1">
      <alignment horizontal="center" vertical="center"/>
    </xf>
    <xf numFmtId="0" fontId="0" fillId="0" borderId="8" xfId="0" applyBorder="1"/>
    <xf numFmtId="0" fontId="9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7" fillId="6" borderId="0" xfId="0" applyFont="1" applyFill="1" applyAlignment="1">
      <alignment horizontal="center" vertical="center"/>
    </xf>
    <xf numFmtId="164" fontId="20" fillId="5" borderId="4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" fontId="22" fillId="3" borderId="4" xfId="0" applyNumberFormat="1" applyFont="1" applyFill="1" applyBorder="1" applyAlignment="1">
      <alignment horizontal="center" vertical="center"/>
    </xf>
    <xf numFmtId="1" fontId="23" fillId="6" borderId="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20" fillId="5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9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3" fillId="11" borderId="5" xfId="0" applyFont="1" applyFill="1" applyBorder="1" applyAlignment="1">
      <alignment horizontal="left" vertical="top" wrapText="1"/>
    </xf>
    <xf numFmtId="0" fontId="0" fillId="0" borderId="9" xfId="0" applyBorder="1"/>
    <xf numFmtId="0" fontId="40" fillId="11" borderId="5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left" vertical="center"/>
    </xf>
    <xf numFmtId="0" fontId="41" fillId="8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left" vertical="center"/>
    </xf>
    <xf numFmtId="0" fontId="41" fillId="11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left" vertical="center"/>
    </xf>
    <xf numFmtId="0" fontId="43" fillId="11" borderId="5" xfId="0" applyFont="1" applyFill="1" applyBorder="1" applyAlignment="1">
      <alignment horizontal="left" vertical="center"/>
    </xf>
    <xf numFmtId="0" fontId="43" fillId="8" borderId="5" xfId="0" applyFont="1" applyFill="1" applyBorder="1" applyAlignment="1">
      <alignment horizontal="left" vertical="center"/>
    </xf>
    <xf numFmtId="1" fontId="38" fillId="11" borderId="5" xfId="0" applyNumberFormat="1" applyFont="1" applyFill="1" applyBorder="1" applyAlignment="1">
      <alignment horizontal="left" vertical="center"/>
    </xf>
    <xf numFmtId="0" fontId="40" fillId="8" borderId="5" xfId="0" applyFont="1" applyFill="1" applyBorder="1" applyAlignment="1">
      <alignment horizontal="left" vertical="center"/>
    </xf>
    <xf numFmtId="0" fontId="30" fillId="4" borderId="5" xfId="0" applyFont="1" applyFill="1" applyBorder="1" applyAlignment="1">
      <alignment horizontal="left" vertical="center"/>
    </xf>
    <xf numFmtId="1" fontId="37" fillId="11" borderId="5" xfId="0" applyNumberFormat="1" applyFont="1" applyFill="1" applyBorder="1" applyAlignment="1">
      <alignment horizontal="left" vertical="center"/>
    </xf>
    <xf numFmtId="164" fontId="38" fillId="11" borderId="5" xfId="0" applyNumberFormat="1" applyFont="1" applyFill="1" applyBorder="1" applyAlignment="1">
      <alignment horizontal="left" vertical="center"/>
    </xf>
    <xf numFmtId="0" fontId="33" fillId="6" borderId="5" xfId="0" applyFont="1" applyFill="1" applyBorder="1" applyAlignment="1">
      <alignment horizontal="left" vertical="center"/>
    </xf>
    <xf numFmtId="0" fontId="13" fillId="11" borderId="5" xfId="0" applyFont="1" applyFill="1" applyBorder="1" applyAlignment="1">
      <alignment horizontal="left" vertical="center" wrapText="1"/>
    </xf>
    <xf numFmtId="0" fontId="39" fillId="6" borderId="5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 wrapText="1"/>
    </xf>
    <xf numFmtId="0" fontId="30" fillId="4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left" vertical="center" wrapText="1"/>
    </xf>
    <xf numFmtId="0" fontId="42" fillId="9" borderId="2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/>
    </xf>
    <xf numFmtId="0" fontId="49" fillId="12" borderId="2" xfId="0" applyFont="1" applyFill="1" applyBorder="1" applyAlignment="1">
      <alignment horizontal="left" vertical="center"/>
    </xf>
    <xf numFmtId="0" fontId="29" fillId="5" borderId="2" xfId="0" applyFont="1" applyFill="1" applyBorder="1" applyAlignment="1">
      <alignment horizontal="left" vertical="center" wrapText="1"/>
    </xf>
    <xf numFmtId="0" fontId="49" fillId="2" borderId="2" xfId="0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4" fillId="3" borderId="2" xfId="0" applyNumberFormat="1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1" fontId="52" fillId="3" borderId="4" xfId="0" applyNumberFormat="1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 wrapText="1"/>
    </xf>
    <xf numFmtId="0" fontId="39" fillId="6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4" fontId="50" fillId="5" borderId="4" xfId="0" applyNumberFormat="1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64" fontId="51" fillId="4" borderId="4" xfId="0" applyNumberFormat="1" applyFont="1" applyFill="1" applyBorder="1" applyAlignment="1">
      <alignment horizontal="center" vertical="center"/>
    </xf>
    <xf numFmtId="1" fontId="53" fillId="6" borderId="4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CCCCCC"/>
      <rgbColor rgb="FF888780"/>
      <rgbColor rgb="FF9999FF"/>
      <rgbColor rgb="FFC0504D"/>
      <rgbColor rgb="FFFAEEDA"/>
      <rgbColor rgb="FFE6F1FB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EAF3DE"/>
      <rgbColor rgb="FFF1EFE8"/>
      <rgbColor rgb="FFFCEBEB"/>
      <rgbColor rgb="FFF9F9F9"/>
      <rgbColor rgb="FFCC99FF"/>
      <rgbColor rgb="FFD3D1C7"/>
      <rgbColor rgb="FF378ADD"/>
      <rgbColor rgb="FF33CCCC"/>
      <rgbColor rgb="FF99CC00"/>
      <rgbColor rgb="FFFFCC00"/>
      <rgbColor rgb="FFFF9900"/>
      <rgbColor rgb="FFE24B4A"/>
      <rgbColor rgb="FF534AB7"/>
      <rgbColor rgb="FF878787"/>
      <rgbColor rgb="FF003366"/>
      <rgbColor rgb="FF1D9E75"/>
      <rgbColor rgb="FF003300"/>
      <rgbColor rgb="FF444441"/>
      <rgbColor rgb="FFA32D2D"/>
      <rgbColor rgb="FF993366"/>
      <rgbColor rgb="FF533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B2B Reparo ≤8h — Aderência Mensal vs. Meta 85%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EVOLUÇÃO!$D$3</c:f>
              <c:strCache>
                <c:ptCount val="1"/>
                <c:pt idx="0">
                  <c:v>% ADER 8H</c:v>
                </c:pt>
              </c:strCache>
            </c:strRef>
          </c:tx>
          <c:spPr>
            <a:solidFill>
              <a:srgbClr val="378AD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trendline>
            <c:spPr>
              <a:ln w="936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strRef>
              <c:f>EVOLUÇÃO!$A$4:$A$8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Abril</c:v>
                </c:pt>
              </c:strCache>
            </c:strRef>
          </c:cat>
          <c:val>
            <c:numRef>
              <c:f>EVOLUÇÃO!$D$4:$D$8</c:f>
              <c:numCache>
                <c:formatCode>0.0%</c:formatCode>
                <c:ptCount val="5"/>
                <c:pt idx="0">
                  <c:v>0.58252427184466016</c:v>
                </c:pt>
                <c:pt idx="1">
                  <c:v>0.59735973597359737</c:v>
                </c:pt>
                <c:pt idx="2">
                  <c:v>0.56727272727272726</c:v>
                </c:pt>
                <c:pt idx="3">
                  <c:v>0.41887905604719766</c:v>
                </c:pt>
                <c:pt idx="4">
                  <c:v>0.40260000000000001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27-47AF-BD1B-C0B356E4813E}"/>
            </c:ext>
          </c:extLst>
        </c:ser>
        <c:ser>
          <c:idx val="1"/>
          <c:order val="1"/>
          <c:tx>
            <c:strRef>
              <c:f>EVOLUÇÃO!$E$3</c:f>
              <c:strCache>
                <c:ptCount val="1"/>
                <c:pt idx="0">
                  <c:v>META 8H</c:v>
                </c:pt>
              </c:strCache>
            </c:strRef>
          </c:tx>
          <c:spPr>
            <a:solidFill>
              <a:srgbClr val="C0504D"/>
            </a:solidFill>
            <a:ln w="20160">
              <a:solidFill>
                <a:srgbClr val="A32D2D"/>
              </a:solidFill>
              <a:prstDash val="solid"/>
            </a:ln>
          </c:spPr>
          <c:invertIfNegative val="1"/>
          <c:cat>
            <c:strRef>
              <c:f>EVOLUÇÃO!$A$4:$A$8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Abril</c:v>
                </c:pt>
              </c:strCache>
            </c:strRef>
          </c:cat>
          <c:val>
            <c:numRef>
              <c:f>EVOLUÇÃO!$E$4:$E$8</c:f>
              <c:numCache>
                <c:formatCode>0.0%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0160">
                    <a:solidFill>
                      <a:srgbClr val="A32D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27-47AF-BD1B-C0B356E48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Mês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.05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Aderência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B2B Outlier &gt;24h — % Casos Fora vs. Teto 2%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EVOLUÇÃO!$G$3</c:f>
              <c:strCache>
                <c:ptCount val="1"/>
                <c:pt idx="0">
                  <c:v>% OUTLIER</c:v>
                </c:pt>
              </c:strCache>
            </c:strRef>
          </c:tx>
          <c:spPr>
            <a:solidFill>
              <a:srgbClr val="E24B4A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trendline>
            <c:spPr>
              <a:ln w="936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strRef>
              <c:f>EVOLUÇÃO!$A$4:$A$8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Abril</c:v>
                </c:pt>
              </c:strCache>
            </c:strRef>
          </c:cat>
          <c:val>
            <c:numRef>
              <c:f>EVOLUÇÃO!$G$4:$G$8</c:f>
              <c:numCache>
                <c:formatCode>0.0%</c:formatCode>
                <c:ptCount val="5"/>
                <c:pt idx="0">
                  <c:v>6.4724919093851127E-2</c:v>
                </c:pt>
                <c:pt idx="1">
                  <c:v>5.6105610561056105E-2</c:v>
                </c:pt>
                <c:pt idx="2">
                  <c:v>5.8181818181818182E-2</c:v>
                </c:pt>
                <c:pt idx="3">
                  <c:v>0.21238938053097345</c:v>
                </c:pt>
                <c:pt idx="4">
                  <c:v>0.22770000000000001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8C9-40FF-ADD7-140849003FBD}"/>
            </c:ext>
          </c:extLst>
        </c:ser>
        <c:ser>
          <c:idx val="1"/>
          <c:order val="1"/>
          <c:tx>
            <c:strRef>
              <c:f>EVOLUÇÃO!$H$3</c:f>
              <c:strCache>
                <c:ptCount val="1"/>
                <c:pt idx="0">
                  <c:v>TETO 24H</c:v>
                </c:pt>
              </c:strCache>
            </c:strRef>
          </c:tx>
          <c:spPr>
            <a:solidFill>
              <a:srgbClr val="C0504D"/>
            </a:solidFill>
            <a:ln w="20160">
              <a:solidFill>
                <a:srgbClr val="533AB7"/>
              </a:solidFill>
              <a:prstDash val="solid"/>
            </a:ln>
          </c:spPr>
          <c:invertIfNegative val="1"/>
          <c:cat>
            <c:strRef>
              <c:f>EVOLUÇÃO!$A$4:$A$8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Abril</c:v>
                </c:pt>
              </c:strCache>
            </c:strRef>
          </c:cat>
          <c:val>
            <c:numRef>
              <c:f>EVOLUÇÃO!$H$4:$H$8</c:f>
              <c:numCache>
                <c:formatCode>0.0%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0160">
                    <a:solidFill>
                      <a:srgbClr val="533AB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8C9-40FF-ADD7-140849003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Mês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% Outlier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Volume por Causa Raiz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378AD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DASHBOARD!$A$18:$A$25</c:f>
              <c:strCache>
                <c:ptCount val="8"/>
                <c:pt idx="0">
                  <c:v>Demais Causas de Rompimento</c:v>
                </c:pt>
                <c:pt idx="1">
                  <c:v>Sem Ação</c:v>
                </c:pt>
                <c:pt idx="2">
                  <c:v>Conector</c:v>
                </c:pt>
                <c:pt idx="3">
                  <c:v>Demais causas de Atenuação</c:v>
                </c:pt>
                <c:pt idx="4">
                  <c:v>Demais Causas Configuração</c:v>
                </c:pt>
                <c:pt idx="5">
                  <c:v>ARRASTO DE REDE</c:v>
                </c:pt>
                <c:pt idx="6">
                  <c:v>Demais causas de Elétrica</c:v>
                </c:pt>
                <c:pt idx="7">
                  <c:v>Rede Interna</c:v>
                </c:pt>
              </c:strCache>
            </c:strRef>
          </c:cat>
          <c:val>
            <c:numRef>
              <c:f>DASHBOARD!$B$18:$B$25</c:f>
              <c:numCache>
                <c:formatCode>General</c:formatCode>
                <c:ptCount val="8"/>
                <c:pt idx="0">
                  <c:v>401</c:v>
                </c:pt>
                <c:pt idx="1">
                  <c:v>214</c:v>
                </c:pt>
                <c:pt idx="2">
                  <c:v>74</c:v>
                </c:pt>
                <c:pt idx="3">
                  <c:v>63</c:v>
                </c:pt>
                <c:pt idx="4">
                  <c:v>63</c:v>
                </c:pt>
                <c:pt idx="5">
                  <c:v>54</c:v>
                </c:pt>
                <c:pt idx="6">
                  <c:v>17</c:v>
                </c:pt>
                <c:pt idx="7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7C-4B6D-8C93-68EF8590B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Chamados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Causa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32400</xdr:colOff>
      <xdr:row>36</xdr:row>
      <xdr:rowOff>86040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21</xdr:col>
      <xdr:colOff>472320</xdr:colOff>
      <xdr:row>36</xdr:row>
      <xdr:rowOff>86040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</xdr:row>
      <xdr:rowOff>0</xdr:rowOff>
    </xdr:from>
    <xdr:to>
      <xdr:col>24</xdr:col>
      <xdr:colOff>540900</xdr:colOff>
      <xdr:row>40</xdr:row>
      <xdr:rowOff>142980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780"/>
  </sheetPr>
  <dimension ref="A1:BV1535"/>
  <sheetViews>
    <sheetView tabSelected="1" topLeftCell="AN1515" workbookViewId="0"/>
  </sheetViews>
  <sheetFormatPr defaultColWidth="8.7109375" defaultRowHeight="15" x14ac:dyDescent="0.25"/>
  <cols>
    <col min="1" max="1" width="17.7109375" customWidth="1"/>
    <col min="2" max="2" width="14.7109375" customWidth="1"/>
    <col min="3" max="3" width="177.7109375" customWidth="1"/>
    <col min="4" max="4" width="36.7109375" customWidth="1"/>
    <col min="5" max="5" width="17.28515625" customWidth="1"/>
    <col min="6" max="6" width="9" customWidth="1"/>
    <col min="7" max="7" width="9.140625" customWidth="1"/>
    <col min="8" max="8" width="12" customWidth="1"/>
    <col min="9" max="9" width="49.5703125" customWidth="1"/>
    <col min="10" max="10" width="9.85546875" customWidth="1"/>
    <col min="11" max="11" width="128.42578125" customWidth="1"/>
    <col min="12" max="12" width="17" customWidth="1"/>
    <col min="13" max="13" width="22.140625" style="81" customWidth="1"/>
    <col min="14" max="14" width="21.42578125" style="81" customWidth="1"/>
    <col min="15" max="15" width="36.85546875" customWidth="1"/>
    <col min="16" max="16" width="12.140625" customWidth="1"/>
    <col min="17" max="17" width="15.28515625" customWidth="1"/>
    <col min="18" max="18" width="25" customWidth="1"/>
    <col min="19" max="19" width="33.85546875" customWidth="1"/>
    <col min="20" max="20" width="61.140625" customWidth="1"/>
    <col min="21" max="21" width="7" customWidth="1"/>
    <col min="22" max="22" width="77.85546875" customWidth="1"/>
    <col min="23" max="23" width="28.140625" customWidth="1"/>
    <col min="24" max="24" width="9.140625" customWidth="1"/>
    <col min="25" max="25" width="26" customWidth="1"/>
    <col min="26" max="26" width="75" customWidth="1"/>
    <col min="27" max="27" width="13.5703125" customWidth="1"/>
    <col min="28" max="28" width="11.7109375" customWidth="1"/>
    <col min="29" max="29" width="14" customWidth="1"/>
    <col min="30" max="30" width="11.7109375" customWidth="1"/>
    <col min="31" max="31" width="19.7109375" customWidth="1"/>
    <col min="32" max="34" width="11" customWidth="1"/>
    <col min="35" max="35" width="16.85546875" customWidth="1"/>
    <col min="36" max="36" width="16.28515625" customWidth="1"/>
    <col min="37" max="37" width="12.42578125" customWidth="1"/>
    <col min="38" max="38" width="17.7109375" customWidth="1"/>
    <col min="39" max="39" width="18" customWidth="1"/>
    <col min="40" max="40" width="22.85546875" customWidth="1"/>
    <col min="41" max="41" width="19.42578125" customWidth="1"/>
    <col min="42" max="43" width="14.140625" customWidth="1"/>
    <col min="44" max="44" width="15" customWidth="1"/>
    <col min="45" max="45" width="9.42578125" style="80" customWidth="1"/>
    <col min="46" max="46" width="8.140625" style="80" customWidth="1"/>
    <col min="47" max="47" width="5" style="80" customWidth="1"/>
    <col min="48" max="48" width="4.7109375" style="80" customWidth="1"/>
    <col min="49" max="49" width="11.7109375" style="80" customWidth="1"/>
    <col min="50" max="51" width="12.140625" style="80" customWidth="1"/>
    <col min="72" max="72" width="11.7109375" customWidth="1"/>
    <col min="73" max="74" width="12.140625" customWidth="1"/>
  </cols>
  <sheetData>
    <row r="1" spans="1:7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BT1" s="1" t="s">
        <v>48</v>
      </c>
      <c r="BU1" s="1" t="s">
        <v>49</v>
      </c>
      <c r="BV1" s="1" t="s">
        <v>50</v>
      </c>
    </row>
    <row r="2" spans="1:74" ht="15" customHeight="1" x14ac:dyDescent="0.25">
      <c r="A2" s="75">
        <v>5738809</v>
      </c>
      <c r="B2" t="s">
        <v>51</v>
      </c>
      <c r="C2" t="s">
        <v>52</v>
      </c>
      <c r="D2" t="s">
        <v>53</v>
      </c>
      <c r="E2" t="s">
        <v>54</v>
      </c>
      <c r="F2" s="75">
        <v>768</v>
      </c>
      <c r="G2" s="75">
        <v>293293</v>
      </c>
      <c r="H2">
        <v>471.74</v>
      </c>
      <c r="I2" t="s">
        <v>55</v>
      </c>
      <c r="J2" s="75">
        <v>218497</v>
      </c>
      <c r="K2" t="s">
        <v>56</v>
      </c>
      <c r="L2" t="s">
        <v>57</v>
      </c>
      <c r="M2" s="81">
        <v>46021.768425925933</v>
      </c>
      <c r="N2" s="81">
        <v>46023.644062500003</v>
      </c>
      <c r="O2" t="s">
        <v>58</v>
      </c>
      <c r="P2" t="s">
        <v>59</v>
      </c>
      <c r="R2" t="s">
        <v>60</v>
      </c>
      <c r="U2" s="75">
        <v>165937</v>
      </c>
      <c r="V2" t="s">
        <v>61</v>
      </c>
      <c r="W2" t="s">
        <v>61</v>
      </c>
      <c r="X2" t="s">
        <v>62</v>
      </c>
      <c r="Y2" t="s">
        <v>63</v>
      </c>
      <c r="AA2" t="s">
        <v>64</v>
      </c>
      <c r="AB2">
        <v>44.966665999999996</v>
      </c>
      <c r="AC2">
        <v>39.433332999999998</v>
      </c>
      <c r="AD2">
        <v>5.5333329999999998</v>
      </c>
      <c r="AE2">
        <v>0.25</v>
      </c>
      <c r="AF2">
        <v>0</v>
      </c>
      <c r="AG2">
        <v>5.2833329999999998</v>
      </c>
      <c r="AH2">
        <v>5.2833329999999998</v>
      </c>
      <c r="AI2">
        <v>5.1833330000000002</v>
      </c>
      <c r="AJ2">
        <v>0.1</v>
      </c>
      <c r="AK2">
        <v>0</v>
      </c>
      <c r="AL2" s="76">
        <v>45191.770335648151</v>
      </c>
      <c r="AM2" s="75">
        <v>829</v>
      </c>
      <c r="AN2" t="s">
        <v>65</v>
      </c>
      <c r="AO2" t="s">
        <v>66</v>
      </c>
      <c r="AP2" t="s">
        <v>67</v>
      </c>
      <c r="AQ2" t="s">
        <v>68</v>
      </c>
      <c r="AR2" t="s">
        <v>69</v>
      </c>
      <c r="AS2" s="78"/>
      <c r="AT2" s="82" t="s">
        <v>70</v>
      </c>
      <c r="AU2" s="78">
        <v>2026</v>
      </c>
      <c r="AV2" s="78">
        <v>1</v>
      </c>
      <c r="AW2" s="78" t="s">
        <v>71</v>
      </c>
      <c r="AX2" s="78">
        <v>1</v>
      </c>
      <c r="AY2" s="78">
        <v>0</v>
      </c>
      <c r="BT2" s="2" t="s">
        <v>71</v>
      </c>
      <c r="BU2" s="2">
        <v>1</v>
      </c>
      <c r="BV2" s="2">
        <v>0</v>
      </c>
    </row>
    <row r="3" spans="1:74" ht="15" customHeight="1" x14ac:dyDescent="0.25">
      <c r="A3" s="75">
        <v>5739621</v>
      </c>
      <c r="B3" t="s">
        <v>72</v>
      </c>
      <c r="C3" t="s">
        <v>73</v>
      </c>
      <c r="D3" t="s">
        <v>74</v>
      </c>
      <c r="E3" t="s">
        <v>54</v>
      </c>
      <c r="F3" s="75">
        <v>65</v>
      </c>
      <c r="G3" s="75">
        <v>290179</v>
      </c>
      <c r="H3">
        <v>300</v>
      </c>
      <c r="I3" t="s">
        <v>55</v>
      </c>
      <c r="J3" s="75">
        <v>13955</v>
      </c>
      <c r="K3" t="s">
        <v>75</v>
      </c>
      <c r="L3" t="s">
        <v>76</v>
      </c>
      <c r="M3" s="81">
        <v>46022.354699074072</v>
      </c>
      <c r="N3" s="81">
        <v>46024.443460648137</v>
      </c>
      <c r="O3" t="s">
        <v>58</v>
      </c>
      <c r="P3" t="s">
        <v>59</v>
      </c>
      <c r="Q3" t="s">
        <v>77</v>
      </c>
      <c r="R3" t="s">
        <v>60</v>
      </c>
      <c r="U3" s="75">
        <v>165821</v>
      </c>
      <c r="V3" t="s">
        <v>78</v>
      </c>
      <c r="W3" t="s">
        <v>78</v>
      </c>
      <c r="X3" t="s">
        <v>79</v>
      </c>
      <c r="Y3" t="s">
        <v>80</v>
      </c>
      <c r="AA3" t="s">
        <v>81</v>
      </c>
      <c r="AB3">
        <v>50.033335000000001</v>
      </c>
      <c r="AC3">
        <v>44.783332999999999</v>
      </c>
      <c r="AD3">
        <v>5.2500020000000003</v>
      </c>
      <c r="AE3">
        <v>2.0666679999999999</v>
      </c>
      <c r="AF3">
        <v>0</v>
      </c>
      <c r="AG3">
        <v>3.1833339999999999</v>
      </c>
      <c r="AH3">
        <v>3.1833339999999999</v>
      </c>
      <c r="AI3">
        <v>2.783334</v>
      </c>
      <c r="AJ3">
        <v>0.4</v>
      </c>
      <c r="AK3">
        <v>0</v>
      </c>
      <c r="AL3" s="76">
        <v>45026</v>
      </c>
      <c r="AM3" s="75">
        <v>996</v>
      </c>
      <c r="AN3" t="s">
        <v>65</v>
      </c>
      <c r="AO3" t="s">
        <v>82</v>
      </c>
      <c r="AP3" t="s">
        <v>67</v>
      </c>
      <c r="AQ3" t="s">
        <v>83</v>
      </c>
      <c r="AR3" t="s">
        <v>69</v>
      </c>
      <c r="AS3" s="79"/>
      <c r="AT3" s="82" t="s">
        <v>70</v>
      </c>
      <c r="AU3" s="78">
        <v>2026</v>
      </c>
      <c r="AV3" s="78">
        <v>1</v>
      </c>
      <c r="AW3" s="78" t="s">
        <v>84</v>
      </c>
      <c r="AX3" s="78">
        <v>1</v>
      </c>
      <c r="AY3" s="78">
        <v>0</v>
      </c>
      <c r="BT3" s="3" t="s">
        <v>84</v>
      </c>
      <c r="BU3" s="3">
        <v>1</v>
      </c>
      <c r="BV3" s="3">
        <v>0</v>
      </c>
    </row>
    <row r="4" spans="1:74" ht="15" customHeight="1" x14ac:dyDescent="0.25">
      <c r="A4" s="75">
        <v>5737945</v>
      </c>
      <c r="B4" t="s">
        <v>85</v>
      </c>
      <c r="C4" t="s">
        <v>86</v>
      </c>
      <c r="D4" t="s">
        <v>74</v>
      </c>
      <c r="E4" t="s">
        <v>87</v>
      </c>
      <c r="F4" s="75">
        <v>33</v>
      </c>
      <c r="G4" s="75">
        <v>275253</v>
      </c>
      <c r="H4">
        <v>740.61</v>
      </c>
      <c r="I4" t="s">
        <v>55</v>
      </c>
      <c r="J4" s="75">
        <v>216233</v>
      </c>
      <c r="K4" t="s">
        <v>88</v>
      </c>
      <c r="L4" t="s">
        <v>89</v>
      </c>
      <c r="M4" s="81">
        <v>46021.585289351853</v>
      </c>
      <c r="N4" s="81">
        <v>46024.447974537034</v>
      </c>
      <c r="O4" t="s">
        <v>58</v>
      </c>
      <c r="P4" t="s">
        <v>59</v>
      </c>
      <c r="Q4" t="s">
        <v>90</v>
      </c>
      <c r="R4" t="s">
        <v>60</v>
      </c>
      <c r="U4" s="75">
        <v>165835</v>
      </c>
      <c r="V4" t="s">
        <v>91</v>
      </c>
      <c r="W4" t="s">
        <v>91</v>
      </c>
      <c r="X4" t="s">
        <v>62</v>
      </c>
      <c r="Y4" t="s">
        <v>63</v>
      </c>
      <c r="Z4" t="s">
        <v>92</v>
      </c>
      <c r="AA4" t="s">
        <v>64</v>
      </c>
      <c r="AB4">
        <v>68.650000000000006</v>
      </c>
      <c r="AC4">
        <v>41.583333000000003</v>
      </c>
      <c r="AD4">
        <v>27.066666999999999</v>
      </c>
      <c r="AE4">
        <v>21.816666999999999</v>
      </c>
      <c r="AF4">
        <v>21.166667</v>
      </c>
      <c r="AG4">
        <v>5.25</v>
      </c>
      <c r="AH4">
        <v>26.416667</v>
      </c>
      <c r="AI4">
        <v>5.05</v>
      </c>
      <c r="AJ4">
        <v>0.2</v>
      </c>
      <c r="AK4">
        <v>0</v>
      </c>
      <c r="AL4" s="76">
        <v>44838</v>
      </c>
      <c r="AM4" s="75">
        <v>1183</v>
      </c>
      <c r="AN4" t="s">
        <v>65</v>
      </c>
      <c r="AO4" t="s">
        <v>93</v>
      </c>
      <c r="AP4" t="s">
        <v>67</v>
      </c>
      <c r="AQ4" t="s">
        <v>68</v>
      </c>
      <c r="AR4" t="s">
        <v>69</v>
      </c>
      <c r="AS4" s="78"/>
      <c r="AT4" s="82" t="s">
        <v>70</v>
      </c>
      <c r="AU4" s="78">
        <v>2026</v>
      </c>
      <c r="AV4" s="78">
        <v>1</v>
      </c>
      <c r="AW4" s="78" t="s">
        <v>71</v>
      </c>
      <c r="AX4" s="78">
        <v>1</v>
      </c>
      <c r="AY4" s="78">
        <v>0</v>
      </c>
      <c r="BT4" s="2" t="s">
        <v>71</v>
      </c>
      <c r="BU4" s="2">
        <v>1</v>
      </c>
      <c r="BV4" s="2">
        <v>0</v>
      </c>
    </row>
    <row r="5" spans="1:74" ht="15" customHeight="1" x14ac:dyDescent="0.25">
      <c r="A5" s="75">
        <v>5738939</v>
      </c>
      <c r="B5" t="s">
        <v>94</v>
      </c>
      <c r="C5" t="s">
        <v>95</v>
      </c>
      <c r="D5" t="s">
        <v>74</v>
      </c>
      <c r="E5" t="s">
        <v>87</v>
      </c>
      <c r="F5" s="75">
        <v>288</v>
      </c>
      <c r="G5" s="75">
        <v>286441</v>
      </c>
      <c r="H5">
        <v>364.96</v>
      </c>
      <c r="I5" t="s">
        <v>55</v>
      </c>
      <c r="J5" s="75">
        <v>218787</v>
      </c>
      <c r="K5" t="s">
        <v>96</v>
      </c>
      <c r="L5" t="s">
        <v>97</v>
      </c>
      <c r="M5" s="81">
        <v>46021.850266203714</v>
      </c>
      <c r="N5" s="81">
        <v>46024.467303240737</v>
      </c>
      <c r="O5" t="s">
        <v>58</v>
      </c>
      <c r="P5" t="s">
        <v>59</v>
      </c>
      <c r="Q5" t="s">
        <v>98</v>
      </c>
      <c r="R5" t="s">
        <v>99</v>
      </c>
      <c r="U5" s="75">
        <v>165827</v>
      </c>
      <c r="V5" t="s">
        <v>100</v>
      </c>
      <c r="X5" t="s">
        <v>62</v>
      </c>
      <c r="Y5" t="s">
        <v>63</v>
      </c>
      <c r="AA5" t="s">
        <v>101</v>
      </c>
      <c r="AB5">
        <v>62.733333000000002</v>
      </c>
      <c r="AC5">
        <v>52.983333000000002</v>
      </c>
      <c r="AD5">
        <v>9.75</v>
      </c>
      <c r="AE5">
        <v>0.23333300000000001</v>
      </c>
      <c r="AF5">
        <v>0</v>
      </c>
      <c r="AG5">
        <v>9.516667</v>
      </c>
      <c r="AH5">
        <v>9.516667</v>
      </c>
      <c r="AI5">
        <v>9.4</v>
      </c>
      <c r="AJ5">
        <v>0.11666700000000001</v>
      </c>
      <c r="AK5">
        <v>0</v>
      </c>
      <c r="AL5" s="76">
        <v>44896</v>
      </c>
      <c r="AM5" s="75">
        <v>1125</v>
      </c>
      <c r="AN5" t="s">
        <v>65</v>
      </c>
      <c r="AO5" t="s">
        <v>102</v>
      </c>
      <c r="AP5" t="s">
        <v>67</v>
      </c>
      <c r="AQ5" t="s">
        <v>68</v>
      </c>
      <c r="AR5" t="s">
        <v>69</v>
      </c>
      <c r="AS5" s="79"/>
      <c r="AT5" s="82" t="s">
        <v>70</v>
      </c>
      <c r="AU5" s="78">
        <v>2026</v>
      </c>
      <c r="AV5" s="78">
        <v>1</v>
      </c>
      <c r="AW5" s="78" t="s">
        <v>71</v>
      </c>
      <c r="AX5" s="78">
        <v>0</v>
      </c>
      <c r="AY5" s="78">
        <v>0</v>
      </c>
      <c r="BT5" s="3" t="s">
        <v>71</v>
      </c>
      <c r="BU5" s="3">
        <v>0</v>
      </c>
      <c r="BV5" s="3">
        <v>0</v>
      </c>
    </row>
    <row r="6" spans="1:74" ht="15" customHeight="1" x14ac:dyDescent="0.25">
      <c r="A6" s="75">
        <v>5734511</v>
      </c>
      <c r="B6" t="s">
        <v>103</v>
      </c>
      <c r="C6" t="s">
        <v>104</v>
      </c>
      <c r="D6" t="s">
        <v>74</v>
      </c>
      <c r="E6" t="s">
        <v>105</v>
      </c>
      <c r="F6" s="75">
        <v>122</v>
      </c>
      <c r="G6" s="75">
        <v>324995</v>
      </c>
      <c r="H6">
        <v>650</v>
      </c>
      <c r="I6" t="s">
        <v>55</v>
      </c>
      <c r="J6" s="75">
        <v>225215</v>
      </c>
      <c r="K6" t="s">
        <v>106</v>
      </c>
      <c r="L6" t="s">
        <v>107</v>
      </c>
      <c r="M6" s="81">
        <v>46020.66064814815</v>
      </c>
      <c r="N6" s="81">
        <v>46024.469293981478</v>
      </c>
      <c r="O6" t="s">
        <v>58</v>
      </c>
      <c r="P6" t="s">
        <v>59</v>
      </c>
      <c r="Q6" t="s">
        <v>90</v>
      </c>
      <c r="R6" t="s">
        <v>60</v>
      </c>
      <c r="U6" s="75">
        <v>165109</v>
      </c>
      <c r="V6" t="s">
        <v>108</v>
      </c>
      <c r="W6" t="s">
        <v>109</v>
      </c>
      <c r="X6" t="s">
        <v>79</v>
      </c>
      <c r="Y6" t="s">
        <v>110</v>
      </c>
      <c r="AA6" t="s">
        <v>64</v>
      </c>
      <c r="AB6">
        <v>91.35</v>
      </c>
      <c r="AC6">
        <v>85.616665999999995</v>
      </c>
      <c r="AD6">
        <v>5.7333340000000002</v>
      </c>
      <c r="AE6">
        <v>0.56666700000000003</v>
      </c>
      <c r="AF6">
        <v>0</v>
      </c>
      <c r="AG6">
        <v>5.1666670000000003</v>
      </c>
      <c r="AH6">
        <v>5.1666670000000003</v>
      </c>
      <c r="AI6">
        <v>4.8166669999999998</v>
      </c>
      <c r="AJ6">
        <v>0.35</v>
      </c>
      <c r="AK6">
        <v>0</v>
      </c>
      <c r="AL6" s="76">
        <v>45573.576226851852</v>
      </c>
      <c r="AM6" s="75">
        <v>447</v>
      </c>
      <c r="AN6" t="s">
        <v>65</v>
      </c>
      <c r="AO6" t="s">
        <v>111</v>
      </c>
      <c r="AP6" t="s">
        <v>67</v>
      </c>
      <c r="AQ6" t="s">
        <v>83</v>
      </c>
      <c r="AR6" t="s">
        <v>69</v>
      </c>
      <c r="AS6" s="78"/>
      <c r="AT6" s="82" t="s">
        <v>70</v>
      </c>
      <c r="AU6" s="78">
        <v>2026</v>
      </c>
      <c r="AV6" s="78">
        <v>1</v>
      </c>
      <c r="AW6" s="78" t="s">
        <v>84</v>
      </c>
      <c r="AX6" s="78">
        <v>1</v>
      </c>
      <c r="AY6" s="78">
        <v>0</v>
      </c>
      <c r="BT6" s="2" t="s">
        <v>84</v>
      </c>
      <c r="BU6" s="2">
        <v>1</v>
      </c>
      <c r="BV6" s="2">
        <v>0</v>
      </c>
    </row>
    <row r="7" spans="1:74" ht="15" customHeight="1" x14ac:dyDescent="0.25">
      <c r="A7" s="75">
        <v>5720611</v>
      </c>
      <c r="B7" t="s">
        <v>112</v>
      </c>
      <c r="C7" t="s">
        <v>113</v>
      </c>
      <c r="D7" t="s">
        <v>74</v>
      </c>
      <c r="E7" t="s">
        <v>54</v>
      </c>
      <c r="F7" s="75">
        <v>1</v>
      </c>
      <c r="G7" s="75">
        <v>251091</v>
      </c>
      <c r="H7">
        <v>1749.9</v>
      </c>
      <c r="I7" t="s">
        <v>114</v>
      </c>
      <c r="J7" s="75">
        <v>203451</v>
      </c>
      <c r="K7" t="s">
        <v>115</v>
      </c>
      <c r="L7" t="s">
        <v>116</v>
      </c>
      <c r="M7" s="81">
        <v>46016.021550925929</v>
      </c>
      <c r="N7" s="81">
        <v>46024.474363425928</v>
      </c>
      <c r="O7" t="s">
        <v>58</v>
      </c>
      <c r="P7" t="s">
        <v>59</v>
      </c>
      <c r="Q7" t="s">
        <v>90</v>
      </c>
      <c r="R7" t="s">
        <v>60</v>
      </c>
      <c r="U7" s="75">
        <v>165267</v>
      </c>
      <c r="V7" t="s">
        <v>117</v>
      </c>
      <c r="W7" t="s">
        <v>117</v>
      </c>
      <c r="X7" t="s">
        <v>118</v>
      </c>
      <c r="Y7" t="s">
        <v>119</v>
      </c>
      <c r="AA7" t="s">
        <v>101</v>
      </c>
      <c r="AB7">
        <v>202.81666799999999</v>
      </c>
      <c r="AC7">
        <v>175</v>
      </c>
      <c r="AD7">
        <v>27.816668</v>
      </c>
      <c r="AE7">
        <v>17.033334</v>
      </c>
      <c r="AF7">
        <v>0</v>
      </c>
      <c r="AG7">
        <v>10.783334</v>
      </c>
      <c r="AH7">
        <v>10.783334</v>
      </c>
      <c r="AI7">
        <v>10.733333999999999</v>
      </c>
      <c r="AJ7">
        <v>0.05</v>
      </c>
      <c r="AK7">
        <v>0</v>
      </c>
      <c r="AL7" s="76">
        <v>44638</v>
      </c>
      <c r="AM7" s="75">
        <v>1378</v>
      </c>
      <c r="AN7" t="s">
        <v>65</v>
      </c>
      <c r="AO7" t="s">
        <v>120</v>
      </c>
      <c r="AP7" t="s">
        <v>67</v>
      </c>
      <c r="AQ7" t="s">
        <v>121</v>
      </c>
      <c r="AR7" t="s">
        <v>69</v>
      </c>
      <c r="AS7" s="79"/>
      <c r="AT7" s="82" t="s">
        <v>70</v>
      </c>
      <c r="AU7" s="78">
        <v>2026</v>
      </c>
      <c r="AV7" s="78">
        <v>1</v>
      </c>
      <c r="AW7" s="78" t="s">
        <v>122</v>
      </c>
      <c r="AX7" s="78">
        <v>0</v>
      </c>
      <c r="AY7" s="78">
        <v>0</v>
      </c>
      <c r="BT7" s="3" t="s">
        <v>122</v>
      </c>
      <c r="BU7" s="3">
        <v>0</v>
      </c>
      <c r="BV7" s="3">
        <v>0</v>
      </c>
    </row>
    <row r="8" spans="1:74" ht="15" customHeight="1" x14ac:dyDescent="0.25">
      <c r="A8" s="75">
        <v>5738195</v>
      </c>
      <c r="B8" t="s">
        <v>123</v>
      </c>
      <c r="C8" t="s">
        <v>124</v>
      </c>
      <c r="D8" t="s">
        <v>125</v>
      </c>
      <c r="E8" t="s">
        <v>126</v>
      </c>
      <c r="F8" s="75">
        <v>1</v>
      </c>
      <c r="G8" s="75">
        <v>335653</v>
      </c>
      <c r="H8">
        <v>79.900000000000006</v>
      </c>
      <c r="I8" t="s">
        <v>127</v>
      </c>
      <c r="J8" s="75">
        <v>201863</v>
      </c>
      <c r="K8" t="s">
        <v>128</v>
      </c>
      <c r="L8" t="s">
        <v>129</v>
      </c>
      <c r="M8" s="81">
        <v>46021.618043981478</v>
      </c>
      <c r="N8" s="81">
        <v>46024.476782407408</v>
      </c>
      <c r="O8" t="s">
        <v>58</v>
      </c>
      <c r="P8" t="s">
        <v>59</v>
      </c>
      <c r="Q8" t="s">
        <v>130</v>
      </c>
      <c r="R8" t="s">
        <v>131</v>
      </c>
      <c r="U8" s="75">
        <v>166051</v>
      </c>
      <c r="V8" t="s">
        <v>132</v>
      </c>
      <c r="W8" t="s">
        <v>133</v>
      </c>
      <c r="X8" t="s">
        <v>62</v>
      </c>
      <c r="Y8" t="s">
        <v>134</v>
      </c>
      <c r="AA8" t="s">
        <v>81</v>
      </c>
      <c r="AB8">
        <v>68.533333999999996</v>
      </c>
      <c r="AC8">
        <v>65.066665999999998</v>
      </c>
      <c r="AD8">
        <v>3.4666679999999999</v>
      </c>
      <c r="AE8">
        <v>0.466667</v>
      </c>
      <c r="AF8">
        <v>0</v>
      </c>
      <c r="AG8">
        <v>3.0000010000000001</v>
      </c>
      <c r="AH8">
        <v>3.0000010000000001</v>
      </c>
      <c r="AI8">
        <v>2.7166670000000002</v>
      </c>
      <c r="AJ8">
        <v>0.28333399999999997</v>
      </c>
      <c r="AK8">
        <v>0</v>
      </c>
      <c r="AL8" s="76"/>
      <c r="AM8" s="75"/>
      <c r="AN8" t="s">
        <v>135</v>
      </c>
      <c r="AO8" t="s">
        <v>136</v>
      </c>
      <c r="AP8" t="s">
        <v>67</v>
      </c>
      <c r="AQ8" t="s">
        <v>68</v>
      </c>
      <c r="AR8" t="s">
        <v>69</v>
      </c>
      <c r="AS8" s="78"/>
      <c r="AT8" s="82" t="s">
        <v>70</v>
      </c>
      <c r="AU8" s="78">
        <v>2026</v>
      </c>
      <c r="AV8" s="78">
        <v>1</v>
      </c>
      <c r="AW8" s="78" t="s">
        <v>137</v>
      </c>
      <c r="AX8" s="78">
        <v>1</v>
      </c>
      <c r="AY8" s="78">
        <v>0</v>
      </c>
      <c r="BT8" s="2" t="s">
        <v>137</v>
      </c>
      <c r="BU8" s="2">
        <v>1</v>
      </c>
      <c r="BV8" s="2">
        <v>0</v>
      </c>
    </row>
    <row r="9" spans="1:74" ht="15" customHeight="1" x14ac:dyDescent="0.25">
      <c r="A9" s="75">
        <v>5739173</v>
      </c>
      <c r="B9" t="s">
        <v>138</v>
      </c>
      <c r="C9" t="s">
        <v>139</v>
      </c>
      <c r="D9" t="s">
        <v>140</v>
      </c>
      <c r="E9" t="s">
        <v>54</v>
      </c>
      <c r="F9" s="75">
        <v>1</v>
      </c>
      <c r="G9" s="75">
        <v>333399</v>
      </c>
      <c r="H9">
        <v>600</v>
      </c>
      <c r="I9" t="s">
        <v>141</v>
      </c>
      <c r="J9" s="75">
        <v>226111</v>
      </c>
      <c r="K9" t="s">
        <v>142</v>
      </c>
      <c r="L9" t="s">
        <v>143</v>
      </c>
      <c r="M9" s="81">
        <v>46022.020138888889</v>
      </c>
      <c r="N9" s="81">
        <v>46024.493414351848</v>
      </c>
      <c r="O9" t="s">
        <v>58</v>
      </c>
      <c r="P9" t="s">
        <v>59</v>
      </c>
      <c r="Q9" t="s">
        <v>130</v>
      </c>
      <c r="R9" t="s">
        <v>144</v>
      </c>
      <c r="U9" s="75">
        <v>165983</v>
      </c>
      <c r="V9" t="s">
        <v>145</v>
      </c>
      <c r="W9" t="s">
        <v>146</v>
      </c>
      <c r="X9" t="s">
        <v>62</v>
      </c>
      <c r="Y9" t="s">
        <v>63</v>
      </c>
      <c r="AA9" t="s">
        <v>64</v>
      </c>
      <c r="AB9">
        <v>59.233334999999997</v>
      </c>
      <c r="AC9">
        <v>51.116667</v>
      </c>
      <c r="AD9">
        <v>8.1166680000000007</v>
      </c>
      <c r="AE9">
        <v>0.16666700000000001</v>
      </c>
      <c r="AF9">
        <v>0</v>
      </c>
      <c r="AG9">
        <v>7.9500010000000003</v>
      </c>
      <c r="AH9">
        <v>7.9500010000000003</v>
      </c>
      <c r="AI9">
        <v>7.7333340000000002</v>
      </c>
      <c r="AJ9">
        <v>0.216667</v>
      </c>
      <c r="AK9">
        <v>0</v>
      </c>
      <c r="AL9" s="76">
        <v>45771.443495370368</v>
      </c>
      <c r="AM9" s="75">
        <v>250</v>
      </c>
      <c r="AN9" t="s">
        <v>65</v>
      </c>
      <c r="AO9" t="s">
        <v>147</v>
      </c>
      <c r="AP9" t="s">
        <v>67</v>
      </c>
      <c r="AQ9" t="s">
        <v>68</v>
      </c>
      <c r="AR9" t="s">
        <v>69</v>
      </c>
      <c r="AS9" s="79"/>
      <c r="AT9" s="82" t="s">
        <v>70</v>
      </c>
      <c r="AU9" s="78">
        <v>2026</v>
      </c>
      <c r="AV9" s="78">
        <v>1</v>
      </c>
      <c r="AW9" s="78" t="s">
        <v>71</v>
      </c>
      <c r="AX9" s="78">
        <v>1</v>
      </c>
      <c r="AY9" s="78">
        <v>0</v>
      </c>
      <c r="BT9" s="3" t="s">
        <v>71</v>
      </c>
      <c r="BU9" s="3">
        <v>1</v>
      </c>
      <c r="BV9" s="3">
        <v>0</v>
      </c>
    </row>
    <row r="10" spans="1:74" ht="15" customHeight="1" x14ac:dyDescent="0.25">
      <c r="A10" s="75">
        <v>5738689</v>
      </c>
      <c r="B10" t="s">
        <v>148</v>
      </c>
      <c r="C10" t="s">
        <v>149</v>
      </c>
      <c r="D10" t="s">
        <v>150</v>
      </c>
      <c r="E10" t="s">
        <v>87</v>
      </c>
      <c r="F10" s="75">
        <v>253</v>
      </c>
      <c r="G10" s="75">
        <v>286349</v>
      </c>
      <c r="H10">
        <v>364.96</v>
      </c>
      <c r="I10" t="s">
        <v>55</v>
      </c>
      <c r="J10" s="75">
        <v>216233</v>
      </c>
      <c r="K10" t="s">
        <v>88</v>
      </c>
      <c r="L10" t="s">
        <v>89</v>
      </c>
      <c r="M10" s="81">
        <v>46021.732361111113</v>
      </c>
      <c r="N10" s="81">
        <v>46024.594444444447</v>
      </c>
      <c r="O10" t="s">
        <v>58</v>
      </c>
      <c r="P10" t="s">
        <v>59</v>
      </c>
      <c r="Q10" t="s">
        <v>90</v>
      </c>
      <c r="R10" t="s">
        <v>131</v>
      </c>
      <c r="U10" s="75">
        <v>165645</v>
      </c>
      <c r="V10" t="s">
        <v>151</v>
      </c>
      <c r="W10" t="s">
        <v>151</v>
      </c>
      <c r="X10" t="s">
        <v>62</v>
      </c>
      <c r="Y10" t="s">
        <v>63</v>
      </c>
      <c r="AA10" t="s">
        <v>64</v>
      </c>
      <c r="AB10">
        <v>68.616668000000004</v>
      </c>
      <c r="AC10">
        <v>62.166666999999997</v>
      </c>
      <c r="AD10">
        <v>6.4500010000000003</v>
      </c>
      <c r="AE10">
        <v>0.48333399999999999</v>
      </c>
      <c r="AF10">
        <v>0</v>
      </c>
      <c r="AG10">
        <v>5.9666670000000002</v>
      </c>
      <c r="AH10">
        <v>5.9666670000000002</v>
      </c>
      <c r="AI10">
        <v>5.25</v>
      </c>
      <c r="AJ10">
        <v>0.71666700000000005</v>
      </c>
      <c r="AK10">
        <v>0</v>
      </c>
      <c r="AL10" s="76">
        <v>44893</v>
      </c>
      <c r="AM10" s="75">
        <v>1128</v>
      </c>
      <c r="AN10" t="s">
        <v>65</v>
      </c>
      <c r="AO10" t="s">
        <v>152</v>
      </c>
      <c r="AP10" t="s">
        <v>67</v>
      </c>
      <c r="AQ10" t="s">
        <v>68</v>
      </c>
      <c r="AR10" t="s">
        <v>69</v>
      </c>
      <c r="AS10" s="78"/>
      <c r="AT10" s="82" t="s">
        <v>70</v>
      </c>
      <c r="AU10" s="78">
        <v>2026</v>
      </c>
      <c r="AV10" s="78">
        <v>1</v>
      </c>
      <c r="AW10" s="78" t="s">
        <v>71</v>
      </c>
      <c r="AX10" s="78">
        <v>1</v>
      </c>
      <c r="AY10" s="78">
        <v>0</v>
      </c>
      <c r="BT10" s="2" t="s">
        <v>71</v>
      </c>
      <c r="BU10" s="2">
        <v>1</v>
      </c>
      <c r="BV10" s="2">
        <v>0</v>
      </c>
    </row>
    <row r="11" spans="1:74" ht="15" customHeight="1" x14ac:dyDescent="0.25">
      <c r="A11" s="75">
        <v>5734265</v>
      </c>
      <c r="B11" t="s">
        <v>153</v>
      </c>
      <c r="C11" t="s">
        <v>154</v>
      </c>
      <c r="D11" t="s">
        <v>155</v>
      </c>
      <c r="E11" t="s">
        <v>87</v>
      </c>
      <c r="F11" s="75">
        <v>266</v>
      </c>
      <c r="G11" s="75">
        <v>286377</v>
      </c>
      <c r="H11">
        <v>364.96</v>
      </c>
      <c r="I11" t="s">
        <v>55</v>
      </c>
      <c r="J11" s="75">
        <v>218787</v>
      </c>
      <c r="K11" t="s">
        <v>96</v>
      </c>
      <c r="L11" t="s">
        <v>97</v>
      </c>
      <c r="M11" s="81">
        <v>46020.611747685187</v>
      </c>
      <c r="N11" s="81">
        <v>46024.692199074067</v>
      </c>
      <c r="O11" t="s">
        <v>58</v>
      </c>
      <c r="P11" t="s">
        <v>59</v>
      </c>
      <c r="Q11" t="s">
        <v>98</v>
      </c>
      <c r="R11" t="s">
        <v>156</v>
      </c>
      <c r="U11" s="75">
        <v>165975</v>
      </c>
      <c r="V11" t="s">
        <v>157</v>
      </c>
      <c r="W11" t="s">
        <v>158</v>
      </c>
      <c r="X11" t="s">
        <v>62</v>
      </c>
      <c r="Y11" t="s">
        <v>63</v>
      </c>
      <c r="AA11" t="s">
        <v>64</v>
      </c>
      <c r="AB11">
        <v>97.716667999999999</v>
      </c>
      <c r="AC11">
        <v>85.633332999999993</v>
      </c>
      <c r="AD11">
        <v>12.083335</v>
      </c>
      <c r="AE11">
        <v>5.0000010000000001</v>
      </c>
      <c r="AF11">
        <v>0</v>
      </c>
      <c r="AG11">
        <v>7.0833339999999998</v>
      </c>
      <c r="AH11">
        <v>7.0833339999999998</v>
      </c>
      <c r="AI11">
        <v>7.016667</v>
      </c>
      <c r="AJ11">
        <v>6.6667000000000004E-2</v>
      </c>
      <c r="AK11">
        <v>0</v>
      </c>
      <c r="AL11" s="76">
        <v>44890</v>
      </c>
      <c r="AM11" s="75">
        <v>1130</v>
      </c>
      <c r="AN11" t="s">
        <v>65</v>
      </c>
      <c r="AO11" t="s">
        <v>159</v>
      </c>
      <c r="AP11" t="s">
        <v>67</v>
      </c>
      <c r="AQ11" t="s">
        <v>68</v>
      </c>
      <c r="AR11" t="s">
        <v>69</v>
      </c>
      <c r="AS11" s="79"/>
      <c r="AT11" s="82" t="s">
        <v>70</v>
      </c>
      <c r="AU11" s="78">
        <v>2026</v>
      </c>
      <c r="AV11" s="78">
        <v>1</v>
      </c>
      <c r="AW11" s="78" t="s">
        <v>71</v>
      </c>
      <c r="AX11" s="78">
        <v>1</v>
      </c>
      <c r="AY11" s="78">
        <v>0</v>
      </c>
      <c r="BT11" s="3" t="s">
        <v>71</v>
      </c>
      <c r="BU11" s="3">
        <v>1</v>
      </c>
      <c r="BV11" s="3">
        <v>0</v>
      </c>
    </row>
    <row r="12" spans="1:74" ht="15" customHeight="1" x14ac:dyDescent="0.25">
      <c r="A12" s="75">
        <v>5739873</v>
      </c>
      <c r="B12" t="s">
        <v>160</v>
      </c>
      <c r="C12" t="s">
        <v>161</v>
      </c>
      <c r="D12" t="s">
        <v>162</v>
      </c>
      <c r="E12" t="s">
        <v>105</v>
      </c>
      <c r="F12" s="75">
        <v>638</v>
      </c>
      <c r="G12" s="75">
        <v>342937</v>
      </c>
      <c r="H12">
        <v>225</v>
      </c>
      <c r="I12" t="s">
        <v>163</v>
      </c>
      <c r="J12" s="75">
        <v>48887</v>
      </c>
      <c r="K12" t="s">
        <v>164</v>
      </c>
      <c r="L12" t="s">
        <v>165</v>
      </c>
      <c r="M12" s="81">
        <v>46022.420254629629</v>
      </c>
      <c r="N12" s="81">
        <v>46024.7496875</v>
      </c>
      <c r="O12" t="s">
        <v>58</v>
      </c>
      <c r="P12" t="s">
        <v>59</v>
      </c>
      <c r="Q12" t="s">
        <v>77</v>
      </c>
      <c r="R12" t="s">
        <v>60</v>
      </c>
      <c r="U12" s="75">
        <v>165985</v>
      </c>
      <c r="V12" t="s">
        <v>166</v>
      </c>
      <c r="W12" t="s">
        <v>167</v>
      </c>
      <c r="X12" t="s">
        <v>62</v>
      </c>
      <c r="Y12" t="s">
        <v>63</v>
      </c>
      <c r="AA12" t="s">
        <v>101</v>
      </c>
      <c r="AB12">
        <v>55.816667000000002</v>
      </c>
      <c r="AC12">
        <v>47.45</v>
      </c>
      <c r="AD12">
        <v>8.3666669999999996</v>
      </c>
      <c r="AE12">
        <v>0.25</v>
      </c>
      <c r="AF12">
        <v>0</v>
      </c>
      <c r="AG12">
        <v>8.1166669999999996</v>
      </c>
      <c r="AH12">
        <v>8.1166669999999996</v>
      </c>
      <c r="AI12">
        <v>7.516667</v>
      </c>
      <c r="AJ12">
        <v>0.6</v>
      </c>
      <c r="AK12">
        <v>0</v>
      </c>
      <c r="AL12" s="76">
        <v>45855</v>
      </c>
      <c r="AM12" s="75">
        <v>167</v>
      </c>
      <c r="AN12" t="s">
        <v>65</v>
      </c>
      <c r="AO12" t="s">
        <v>168</v>
      </c>
      <c r="AP12" t="s">
        <v>67</v>
      </c>
      <c r="AQ12" t="s">
        <v>68</v>
      </c>
      <c r="AR12" t="s">
        <v>69</v>
      </c>
      <c r="AS12" s="78"/>
      <c r="AT12" s="82" t="s">
        <v>70</v>
      </c>
      <c r="AU12" s="78">
        <v>2026</v>
      </c>
      <c r="AV12" s="78">
        <v>1</v>
      </c>
      <c r="AW12" s="78" t="s">
        <v>71</v>
      </c>
      <c r="AX12" s="78">
        <v>0</v>
      </c>
      <c r="AY12" s="78">
        <v>0</v>
      </c>
      <c r="BT12" s="2" t="s">
        <v>71</v>
      </c>
      <c r="BU12" s="2">
        <v>0</v>
      </c>
      <c r="BV12" s="2">
        <v>0</v>
      </c>
    </row>
    <row r="13" spans="1:74" ht="15" customHeight="1" x14ac:dyDescent="0.25">
      <c r="A13" s="75">
        <v>5741385</v>
      </c>
      <c r="B13" t="s">
        <v>169</v>
      </c>
      <c r="C13" t="s">
        <v>170</v>
      </c>
      <c r="D13" t="s">
        <v>155</v>
      </c>
      <c r="E13" t="s">
        <v>87</v>
      </c>
      <c r="F13" s="75">
        <v>166</v>
      </c>
      <c r="G13" s="75">
        <v>285815</v>
      </c>
      <c r="H13">
        <v>364.95</v>
      </c>
      <c r="I13" t="s">
        <v>55</v>
      </c>
      <c r="J13" s="75">
        <v>218787</v>
      </c>
      <c r="K13" t="s">
        <v>96</v>
      </c>
      <c r="L13" t="s">
        <v>97</v>
      </c>
      <c r="M13" s="81">
        <v>46023.486759259264</v>
      </c>
      <c r="N13" s="81">
        <v>46024.775289351863</v>
      </c>
      <c r="O13" t="s">
        <v>58</v>
      </c>
      <c r="P13" t="s">
        <v>59</v>
      </c>
      <c r="Q13" t="s">
        <v>90</v>
      </c>
      <c r="R13" t="s">
        <v>60</v>
      </c>
      <c r="U13" s="75">
        <v>165987</v>
      </c>
      <c r="V13" t="s">
        <v>171</v>
      </c>
      <c r="W13" t="s">
        <v>171</v>
      </c>
      <c r="X13" t="s">
        <v>62</v>
      </c>
      <c r="Y13" t="s">
        <v>63</v>
      </c>
      <c r="AA13" t="s">
        <v>81</v>
      </c>
      <c r="AB13">
        <v>30.833333</v>
      </c>
      <c r="AC13">
        <v>26.866665999999999</v>
      </c>
      <c r="AD13">
        <v>3.9666670000000002</v>
      </c>
      <c r="AE13">
        <v>0.13333400000000001</v>
      </c>
      <c r="AF13">
        <v>0</v>
      </c>
      <c r="AG13">
        <v>3.8333330000000001</v>
      </c>
      <c r="AH13">
        <v>3.8333330000000001</v>
      </c>
      <c r="AI13">
        <v>3.733333</v>
      </c>
      <c r="AJ13">
        <v>0.1</v>
      </c>
      <c r="AK13">
        <v>0</v>
      </c>
      <c r="AL13" s="76">
        <v>44875</v>
      </c>
      <c r="AM13" s="75">
        <v>1148</v>
      </c>
      <c r="AN13" t="s">
        <v>65</v>
      </c>
      <c r="AO13" t="s">
        <v>172</v>
      </c>
      <c r="AP13" t="s">
        <v>67</v>
      </c>
      <c r="AQ13" t="s">
        <v>68</v>
      </c>
      <c r="AR13" t="s">
        <v>69</v>
      </c>
      <c r="AS13" s="79"/>
      <c r="AT13" s="82" t="s">
        <v>70</v>
      </c>
      <c r="AU13" s="78">
        <v>2026</v>
      </c>
      <c r="AV13" s="78">
        <v>1</v>
      </c>
      <c r="AW13" s="78" t="s">
        <v>71</v>
      </c>
      <c r="AX13" s="78">
        <v>1</v>
      </c>
      <c r="AY13" s="78">
        <v>0</v>
      </c>
      <c r="BT13" s="3" t="s">
        <v>71</v>
      </c>
      <c r="BU13" s="3">
        <v>1</v>
      </c>
      <c r="BV13" s="3">
        <v>0</v>
      </c>
    </row>
    <row r="14" spans="1:74" ht="15" customHeight="1" x14ac:dyDescent="0.25">
      <c r="A14" s="75">
        <v>5743651</v>
      </c>
      <c r="B14" t="s">
        <v>173</v>
      </c>
      <c r="C14" t="s">
        <v>174</v>
      </c>
      <c r="D14" t="s">
        <v>74</v>
      </c>
      <c r="E14" t="s">
        <v>126</v>
      </c>
      <c r="F14" s="75">
        <v>12</v>
      </c>
      <c r="G14" s="75">
        <v>342751</v>
      </c>
      <c r="H14">
        <v>250</v>
      </c>
      <c r="I14" t="s">
        <v>175</v>
      </c>
      <c r="J14" s="75">
        <v>133341</v>
      </c>
      <c r="K14" t="s">
        <v>176</v>
      </c>
      <c r="L14" t="s">
        <v>177</v>
      </c>
      <c r="M14" s="81">
        <v>46025.357835648138</v>
      </c>
      <c r="N14" s="81">
        <v>46025.476550925923</v>
      </c>
      <c r="O14" t="s">
        <v>58</v>
      </c>
      <c r="P14" t="s">
        <v>59</v>
      </c>
      <c r="Q14" t="s">
        <v>130</v>
      </c>
      <c r="R14" t="s">
        <v>99</v>
      </c>
      <c r="U14" s="75">
        <v>166347</v>
      </c>
      <c r="V14" t="s">
        <v>178</v>
      </c>
      <c r="X14" t="s">
        <v>62</v>
      </c>
      <c r="Y14" t="s">
        <v>63</v>
      </c>
      <c r="AA14" t="s">
        <v>81</v>
      </c>
      <c r="AB14">
        <v>2.8</v>
      </c>
      <c r="AC14">
        <v>0.05</v>
      </c>
      <c r="AD14">
        <v>2.75</v>
      </c>
      <c r="AE14">
        <v>0.55000000000000004</v>
      </c>
      <c r="AF14">
        <v>0</v>
      </c>
      <c r="AG14">
        <v>2.2000000000000002</v>
      </c>
      <c r="AH14">
        <v>2.2000000000000002</v>
      </c>
      <c r="AI14">
        <v>1.1499999999999999</v>
      </c>
      <c r="AJ14">
        <v>1.05</v>
      </c>
      <c r="AK14">
        <v>0</v>
      </c>
      <c r="AL14" s="76">
        <v>45982.484907407408</v>
      </c>
      <c r="AM14" s="75">
        <v>42</v>
      </c>
      <c r="AN14" t="s">
        <v>65</v>
      </c>
      <c r="AO14" t="s">
        <v>179</v>
      </c>
      <c r="AP14" t="s">
        <v>67</v>
      </c>
      <c r="AQ14" t="s">
        <v>68</v>
      </c>
      <c r="AR14" t="s">
        <v>69</v>
      </c>
      <c r="AS14" s="78"/>
      <c r="AT14" s="82" t="s">
        <v>70</v>
      </c>
      <c r="AU14" s="78">
        <v>2026</v>
      </c>
      <c r="AV14" s="78">
        <v>1</v>
      </c>
      <c r="AW14" s="78" t="s">
        <v>71</v>
      </c>
      <c r="AX14" s="78">
        <v>1</v>
      </c>
      <c r="AY14" s="78">
        <v>0</v>
      </c>
      <c r="BT14" s="2" t="s">
        <v>71</v>
      </c>
      <c r="BU14" s="2">
        <v>1</v>
      </c>
      <c r="BV14" s="2">
        <v>0</v>
      </c>
    </row>
    <row r="15" spans="1:74" ht="15" customHeight="1" x14ac:dyDescent="0.25">
      <c r="A15" s="75">
        <v>5743253</v>
      </c>
      <c r="B15" t="s">
        <v>180</v>
      </c>
      <c r="C15" t="s">
        <v>181</v>
      </c>
      <c r="D15" t="s">
        <v>182</v>
      </c>
      <c r="E15" t="s">
        <v>54</v>
      </c>
      <c r="F15" s="75">
        <v>768</v>
      </c>
      <c r="G15" s="75">
        <v>293293</v>
      </c>
      <c r="H15">
        <v>471.74</v>
      </c>
      <c r="I15" t="s">
        <v>55</v>
      </c>
      <c r="J15" s="75">
        <v>218497</v>
      </c>
      <c r="K15" t="s">
        <v>56</v>
      </c>
      <c r="L15" t="s">
        <v>57</v>
      </c>
      <c r="M15" s="81">
        <v>46024.885868055557</v>
      </c>
      <c r="N15" s="81">
        <v>46025.556793981479</v>
      </c>
      <c r="O15" t="s">
        <v>58</v>
      </c>
      <c r="P15" t="s">
        <v>59</v>
      </c>
      <c r="Q15" t="s">
        <v>130</v>
      </c>
      <c r="R15" t="s">
        <v>60</v>
      </c>
      <c r="U15" s="75">
        <v>166257</v>
      </c>
      <c r="V15" t="s">
        <v>183</v>
      </c>
      <c r="W15" t="s">
        <v>183</v>
      </c>
      <c r="X15" t="s">
        <v>62</v>
      </c>
      <c r="Y15" t="s">
        <v>63</v>
      </c>
      <c r="AA15" t="s">
        <v>64</v>
      </c>
      <c r="AB15">
        <v>16.033334</v>
      </c>
      <c r="AC15">
        <v>11.266667</v>
      </c>
      <c r="AD15">
        <v>4.766667</v>
      </c>
      <c r="AE15">
        <v>0.05</v>
      </c>
      <c r="AF15">
        <v>0</v>
      </c>
      <c r="AG15">
        <v>4.7166670000000002</v>
      </c>
      <c r="AH15">
        <v>4.7166670000000002</v>
      </c>
      <c r="AI15">
        <v>3.766667</v>
      </c>
      <c r="AJ15">
        <v>0.95</v>
      </c>
      <c r="AK15">
        <v>0</v>
      </c>
      <c r="AL15" s="76">
        <v>45191.770335648151</v>
      </c>
      <c r="AM15" s="75">
        <v>833</v>
      </c>
      <c r="AN15" t="s">
        <v>65</v>
      </c>
      <c r="AO15" t="s">
        <v>66</v>
      </c>
      <c r="AP15" t="s">
        <v>67</v>
      </c>
      <c r="AQ15" t="s">
        <v>68</v>
      </c>
      <c r="AR15" t="s">
        <v>69</v>
      </c>
      <c r="AS15" s="79"/>
      <c r="AT15" s="82" t="s">
        <v>70</v>
      </c>
      <c r="AU15" s="78">
        <v>2026</v>
      </c>
      <c r="AV15" s="78">
        <v>1</v>
      </c>
      <c r="AW15" s="78" t="s">
        <v>71</v>
      </c>
      <c r="AX15" s="78">
        <v>1</v>
      </c>
      <c r="AY15" s="78">
        <v>0</v>
      </c>
      <c r="BT15" s="3" t="s">
        <v>71</v>
      </c>
      <c r="BU15" s="3">
        <v>1</v>
      </c>
      <c r="BV15" s="3">
        <v>0</v>
      </c>
    </row>
    <row r="16" spans="1:74" ht="15" customHeight="1" x14ac:dyDescent="0.25">
      <c r="A16" s="75">
        <v>5743129</v>
      </c>
      <c r="B16" t="s">
        <v>184</v>
      </c>
      <c r="C16" t="s">
        <v>185</v>
      </c>
      <c r="D16" t="s">
        <v>162</v>
      </c>
      <c r="E16" t="s">
        <v>54</v>
      </c>
      <c r="F16" s="75">
        <v>9</v>
      </c>
      <c r="G16" s="75">
        <v>335547</v>
      </c>
      <c r="H16">
        <v>199.8</v>
      </c>
      <c r="I16" t="s">
        <v>163</v>
      </c>
      <c r="J16" s="75">
        <v>74371</v>
      </c>
      <c r="K16" t="s">
        <v>186</v>
      </c>
      <c r="L16" t="s">
        <v>187</v>
      </c>
      <c r="M16" s="81">
        <v>46024.786840277768</v>
      </c>
      <c r="N16" s="81">
        <v>46026.387372685182</v>
      </c>
      <c r="O16" t="s">
        <v>58</v>
      </c>
      <c r="P16" t="s">
        <v>59</v>
      </c>
      <c r="Q16" t="s">
        <v>130</v>
      </c>
      <c r="R16" t="s">
        <v>99</v>
      </c>
      <c r="U16" s="75">
        <v>166275</v>
      </c>
      <c r="V16" t="s">
        <v>188</v>
      </c>
      <c r="W16" t="s">
        <v>189</v>
      </c>
      <c r="X16" t="s">
        <v>62</v>
      </c>
      <c r="Y16" t="s">
        <v>190</v>
      </c>
      <c r="AA16" t="s">
        <v>81</v>
      </c>
      <c r="AB16">
        <v>38.333333000000003</v>
      </c>
      <c r="AC16">
        <v>34.933334000000002</v>
      </c>
      <c r="AD16">
        <v>3.3999990000000002</v>
      </c>
      <c r="AE16">
        <v>0.566666</v>
      </c>
      <c r="AF16">
        <v>0</v>
      </c>
      <c r="AG16">
        <v>2.8333330000000001</v>
      </c>
      <c r="AH16">
        <v>2.8333330000000001</v>
      </c>
      <c r="AI16">
        <v>1.45</v>
      </c>
      <c r="AJ16">
        <v>1.3833329999999999</v>
      </c>
      <c r="AK16">
        <v>0</v>
      </c>
      <c r="AL16" s="76"/>
      <c r="AM16" s="75"/>
      <c r="AN16" t="s">
        <v>135</v>
      </c>
      <c r="AO16" t="s">
        <v>191</v>
      </c>
      <c r="AP16" t="s">
        <v>67</v>
      </c>
      <c r="AQ16" t="s">
        <v>68</v>
      </c>
      <c r="AR16" t="s">
        <v>69</v>
      </c>
      <c r="AS16" s="78"/>
      <c r="AT16" s="82" t="s">
        <v>70</v>
      </c>
      <c r="AU16" s="78">
        <v>2026</v>
      </c>
      <c r="AV16" s="78">
        <v>1</v>
      </c>
      <c r="AW16" s="78" t="s">
        <v>137</v>
      </c>
      <c r="AX16" s="78">
        <v>1</v>
      </c>
      <c r="AY16" s="78">
        <v>0</v>
      </c>
      <c r="BT16" s="2" t="s">
        <v>137</v>
      </c>
      <c r="BU16" s="2">
        <v>1</v>
      </c>
      <c r="BV16" s="2">
        <v>0</v>
      </c>
    </row>
    <row r="17" spans="1:74" ht="15" customHeight="1" x14ac:dyDescent="0.25">
      <c r="A17" s="75">
        <v>5743925</v>
      </c>
      <c r="B17" t="s">
        <v>192</v>
      </c>
      <c r="C17" t="s">
        <v>193</v>
      </c>
      <c r="D17" t="s">
        <v>194</v>
      </c>
      <c r="E17" t="s">
        <v>54</v>
      </c>
      <c r="F17" s="75">
        <v>23</v>
      </c>
      <c r="G17" s="75">
        <v>58375</v>
      </c>
      <c r="H17">
        <v>315</v>
      </c>
      <c r="I17" t="s">
        <v>195</v>
      </c>
      <c r="J17" s="75">
        <v>229099</v>
      </c>
      <c r="K17" t="s">
        <v>196</v>
      </c>
      <c r="L17" t="s">
        <v>197</v>
      </c>
      <c r="M17" s="81">
        <v>46025.516331018523</v>
      </c>
      <c r="N17" s="81">
        <v>46027.378368055557</v>
      </c>
      <c r="O17" t="s">
        <v>58</v>
      </c>
      <c r="P17" t="s">
        <v>59</v>
      </c>
      <c r="Q17" t="s">
        <v>130</v>
      </c>
      <c r="R17" t="s">
        <v>99</v>
      </c>
      <c r="U17" s="75">
        <v>166395</v>
      </c>
      <c r="V17" t="s">
        <v>198</v>
      </c>
      <c r="X17" t="s">
        <v>62</v>
      </c>
      <c r="Y17" t="s">
        <v>63</v>
      </c>
      <c r="AA17" t="s">
        <v>81</v>
      </c>
      <c r="AB17">
        <v>44.616667</v>
      </c>
      <c r="AC17">
        <v>39.733333999999999</v>
      </c>
      <c r="AD17">
        <v>4.8833330000000004</v>
      </c>
      <c r="AE17">
        <v>1.483333</v>
      </c>
      <c r="AF17">
        <v>0</v>
      </c>
      <c r="AG17">
        <v>3.4</v>
      </c>
      <c r="AH17">
        <v>3.4</v>
      </c>
      <c r="AI17">
        <v>2.7166670000000002</v>
      </c>
      <c r="AJ17">
        <v>0.68333299999999997</v>
      </c>
      <c r="AK17">
        <v>0</v>
      </c>
      <c r="AL17" s="76">
        <v>42991</v>
      </c>
      <c r="AM17" s="75">
        <v>3034</v>
      </c>
      <c r="AN17" t="s">
        <v>65</v>
      </c>
      <c r="AO17" t="s">
        <v>199</v>
      </c>
      <c r="AP17" t="s">
        <v>67</v>
      </c>
      <c r="AQ17" t="s">
        <v>68</v>
      </c>
      <c r="AR17" t="s">
        <v>69</v>
      </c>
      <c r="AS17" s="79"/>
      <c r="AT17" s="82" t="s">
        <v>200</v>
      </c>
      <c r="AU17" s="78">
        <v>2026</v>
      </c>
      <c r="AV17" s="78">
        <v>1</v>
      </c>
      <c r="AW17" s="78" t="s">
        <v>71</v>
      </c>
      <c r="AX17" s="78">
        <v>1</v>
      </c>
      <c r="AY17" s="78">
        <v>0</v>
      </c>
      <c r="BT17" s="3" t="s">
        <v>71</v>
      </c>
      <c r="BU17" s="3">
        <v>1</v>
      </c>
      <c r="BV17" s="3">
        <v>0</v>
      </c>
    </row>
    <row r="18" spans="1:74" ht="15" customHeight="1" x14ac:dyDescent="0.25">
      <c r="A18" s="75">
        <v>5742833</v>
      </c>
      <c r="B18" t="s">
        <v>201</v>
      </c>
      <c r="C18" t="s">
        <v>202</v>
      </c>
      <c r="D18" t="s">
        <v>74</v>
      </c>
      <c r="E18" t="s">
        <v>54</v>
      </c>
      <c r="F18" s="75">
        <v>1</v>
      </c>
      <c r="G18" s="75">
        <v>344359</v>
      </c>
      <c r="H18">
        <v>450</v>
      </c>
      <c r="I18" t="s">
        <v>203</v>
      </c>
      <c r="J18" s="75">
        <v>228519</v>
      </c>
      <c r="K18" t="s">
        <v>204</v>
      </c>
      <c r="L18" t="s">
        <v>205</v>
      </c>
      <c r="M18" s="81">
        <v>46024.62636574074</v>
      </c>
      <c r="N18" s="81">
        <v>46027.424560185187</v>
      </c>
      <c r="O18" t="s">
        <v>58</v>
      </c>
      <c r="P18" t="s">
        <v>59</v>
      </c>
      <c r="Q18" t="s">
        <v>77</v>
      </c>
      <c r="R18" t="s">
        <v>60</v>
      </c>
      <c r="U18" s="75">
        <v>166301</v>
      </c>
      <c r="V18" t="s">
        <v>206</v>
      </c>
      <c r="W18" t="s">
        <v>207</v>
      </c>
      <c r="X18" t="s">
        <v>62</v>
      </c>
      <c r="Y18" t="s">
        <v>63</v>
      </c>
      <c r="AA18" t="s">
        <v>64</v>
      </c>
      <c r="AB18">
        <v>67.100002000000003</v>
      </c>
      <c r="AC18">
        <v>61.583334000000001</v>
      </c>
      <c r="AD18">
        <v>5.5166680000000001</v>
      </c>
      <c r="AE18">
        <v>0.13333400000000001</v>
      </c>
      <c r="AF18">
        <v>0</v>
      </c>
      <c r="AG18">
        <v>5.3833339999999996</v>
      </c>
      <c r="AH18">
        <v>5.3833339999999996</v>
      </c>
      <c r="AI18">
        <v>5.1333339999999996</v>
      </c>
      <c r="AJ18">
        <v>0.25</v>
      </c>
      <c r="AK18">
        <v>0</v>
      </c>
      <c r="AL18" s="76">
        <v>45917</v>
      </c>
      <c r="AM18" s="75">
        <v>107</v>
      </c>
      <c r="AN18" t="s">
        <v>65</v>
      </c>
      <c r="AO18" t="s">
        <v>208</v>
      </c>
      <c r="AP18" t="s">
        <v>67</v>
      </c>
      <c r="AQ18" t="s">
        <v>68</v>
      </c>
      <c r="AR18" t="s">
        <v>69</v>
      </c>
      <c r="AS18" s="78"/>
      <c r="AT18" s="82" t="s">
        <v>200</v>
      </c>
      <c r="AU18" s="78">
        <v>2026</v>
      </c>
      <c r="AV18" s="78">
        <v>1</v>
      </c>
      <c r="AW18" s="78" t="s">
        <v>71</v>
      </c>
      <c r="AX18" s="78">
        <v>1</v>
      </c>
      <c r="AY18" s="78">
        <v>0</v>
      </c>
      <c r="BT18" s="2" t="s">
        <v>71</v>
      </c>
      <c r="BU18" s="2">
        <v>1</v>
      </c>
      <c r="BV18" s="2">
        <v>0</v>
      </c>
    </row>
    <row r="19" spans="1:74" ht="15" customHeight="1" x14ac:dyDescent="0.25">
      <c r="A19" s="75">
        <v>5742785</v>
      </c>
      <c r="B19" t="s">
        <v>209</v>
      </c>
      <c r="C19" t="s">
        <v>210</v>
      </c>
      <c r="D19" t="s">
        <v>74</v>
      </c>
      <c r="E19" t="s">
        <v>87</v>
      </c>
      <c r="F19" s="75">
        <v>422</v>
      </c>
      <c r="G19" s="75">
        <v>289265</v>
      </c>
      <c r="H19">
        <v>740.61</v>
      </c>
      <c r="I19" t="s">
        <v>55</v>
      </c>
      <c r="J19" s="75">
        <v>216233</v>
      </c>
      <c r="K19" t="s">
        <v>88</v>
      </c>
      <c r="L19" t="s">
        <v>89</v>
      </c>
      <c r="M19" s="81">
        <v>46024.611689814818</v>
      </c>
      <c r="N19" s="81">
        <v>46027.426724537043</v>
      </c>
      <c r="O19" t="s">
        <v>58</v>
      </c>
      <c r="P19" t="s">
        <v>59</v>
      </c>
      <c r="Q19" t="s">
        <v>90</v>
      </c>
      <c r="R19" t="s">
        <v>131</v>
      </c>
      <c r="U19" s="75">
        <v>166189</v>
      </c>
      <c r="V19" t="s">
        <v>211</v>
      </c>
      <c r="W19" t="s">
        <v>211</v>
      </c>
      <c r="X19" t="s">
        <v>62</v>
      </c>
      <c r="Y19" t="s">
        <v>63</v>
      </c>
      <c r="AA19" t="s">
        <v>64</v>
      </c>
      <c r="AB19">
        <v>67.516666999999998</v>
      </c>
      <c r="AC19">
        <v>62.7</v>
      </c>
      <c r="AD19">
        <v>4.8166669999999998</v>
      </c>
      <c r="AE19">
        <v>0.05</v>
      </c>
      <c r="AF19">
        <v>0</v>
      </c>
      <c r="AG19">
        <v>4.766667</v>
      </c>
      <c r="AH19">
        <v>4.766667</v>
      </c>
      <c r="AI19">
        <v>4.766667</v>
      </c>
      <c r="AJ19">
        <v>0</v>
      </c>
      <c r="AK19">
        <v>0</v>
      </c>
      <c r="AL19" s="76">
        <v>45021</v>
      </c>
      <c r="AM19" s="75">
        <v>1003</v>
      </c>
      <c r="AN19" t="s">
        <v>65</v>
      </c>
      <c r="AO19" t="s">
        <v>212</v>
      </c>
      <c r="AP19" t="s">
        <v>67</v>
      </c>
      <c r="AQ19" t="s">
        <v>68</v>
      </c>
      <c r="AR19" t="s">
        <v>69</v>
      </c>
      <c r="AS19" s="79"/>
      <c r="AT19" s="82" t="s">
        <v>200</v>
      </c>
      <c r="AU19" s="78">
        <v>2026</v>
      </c>
      <c r="AV19" s="78">
        <v>1</v>
      </c>
      <c r="AW19" s="78" t="s">
        <v>71</v>
      </c>
      <c r="AX19" s="78">
        <v>1</v>
      </c>
      <c r="AY19" s="78">
        <v>0</v>
      </c>
      <c r="BT19" s="3" t="s">
        <v>71</v>
      </c>
      <c r="BU19" s="3">
        <v>1</v>
      </c>
      <c r="BV19" s="3">
        <v>0</v>
      </c>
    </row>
    <row r="20" spans="1:74" ht="15" customHeight="1" x14ac:dyDescent="0.25">
      <c r="A20" s="75">
        <v>5743875</v>
      </c>
      <c r="B20" t="s">
        <v>213</v>
      </c>
      <c r="C20" t="s">
        <v>214</v>
      </c>
      <c r="D20" t="s">
        <v>74</v>
      </c>
      <c r="E20" t="s">
        <v>87</v>
      </c>
      <c r="F20" s="75">
        <v>731</v>
      </c>
      <c r="G20" s="75">
        <v>244513</v>
      </c>
      <c r="H20">
        <v>763.82</v>
      </c>
      <c r="I20" t="s">
        <v>55</v>
      </c>
      <c r="J20" s="75">
        <v>204393</v>
      </c>
      <c r="K20" t="s">
        <v>215</v>
      </c>
      <c r="L20" t="s">
        <v>216</v>
      </c>
      <c r="M20" s="81">
        <v>46025.491701388892</v>
      </c>
      <c r="N20" s="81">
        <v>46027.433854166673</v>
      </c>
      <c r="O20" t="s">
        <v>58</v>
      </c>
      <c r="P20" t="s">
        <v>59</v>
      </c>
      <c r="Q20" t="s">
        <v>130</v>
      </c>
      <c r="R20" t="s">
        <v>99</v>
      </c>
      <c r="U20" s="75">
        <v>166397</v>
      </c>
      <c r="V20" t="s">
        <v>217</v>
      </c>
      <c r="X20" t="s">
        <v>62</v>
      </c>
      <c r="Y20" t="s">
        <v>63</v>
      </c>
      <c r="AA20" t="s">
        <v>81</v>
      </c>
      <c r="AB20">
        <v>46.566667000000002</v>
      </c>
      <c r="AC20">
        <v>43.4</v>
      </c>
      <c r="AD20">
        <v>3.1666669999999999</v>
      </c>
      <c r="AE20">
        <v>2.266667</v>
      </c>
      <c r="AF20">
        <v>0</v>
      </c>
      <c r="AG20">
        <v>0.9</v>
      </c>
      <c r="AH20">
        <v>0.9</v>
      </c>
      <c r="AI20">
        <v>0.4</v>
      </c>
      <c r="AJ20">
        <v>0.5</v>
      </c>
      <c r="AK20">
        <v>0</v>
      </c>
      <c r="AL20" s="76">
        <v>44420</v>
      </c>
      <c r="AM20" s="75">
        <v>1605</v>
      </c>
      <c r="AN20" t="s">
        <v>65</v>
      </c>
      <c r="AO20" t="s">
        <v>218</v>
      </c>
      <c r="AP20" t="s">
        <v>67</v>
      </c>
      <c r="AQ20" t="s">
        <v>68</v>
      </c>
      <c r="AR20" t="s">
        <v>69</v>
      </c>
      <c r="AS20" s="78"/>
      <c r="AT20" s="82" t="s">
        <v>200</v>
      </c>
      <c r="AU20" s="78">
        <v>2026</v>
      </c>
      <c r="AV20" s="78">
        <v>1</v>
      </c>
      <c r="AW20" s="78" t="s">
        <v>71</v>
      </c>
      <c r="AX20" s="78">
        <v>1</v>
      </c>
      <c r="AY20" s="78">
        <v>0</v>
      </c>
      <c r="BT20" s="2" t="s">
        <v>71</v>
      </c>
      <c r="BU20" s="2">
        <v>1</v>
      </c>
      <c r="BV20" s="2">
        <v>0</v>
      </c>
    </row>
    <row r="21" spans="1:74" ht="15" customHeight="1" x14ac:dyDescent="0.25">
      <c r="A21" s="75">
        <v>5745737</v>
      </c>
      <c r="B21" t="s">
        <v>219</v>
      </c>
      <c r="C21" t="s">
        <v>220</v>
      </c>
      <c r="D21" t="s">
        <v>182</v>
      </c>
      <c r="E21" t="s">
        <v>54</v>
      </c>
      <c r="F21" s="75">
        <v>1</v>
      </c>
      <c r="G21" s="75">
        <v>333769</v>
      </c>
      <c r="H21">
        <v>330</v>
      </c>
      <c r="I21" t="s">
        <v>203</v>
      </c>
      <c r="J21" s="75">
        <v>226465</v>
      </c>
      <c r="K21" t="s">
        <v>221</v>
      </c>
      <c r="L21" t="s">
        <v>222</v>
      </c>
      <c r="M21" s="81">
        <v>46027.353703703702</v>
      </c>
      <c r="N21" s="81">
        <v>46027.445057870369</v>
      </c>
      <c r="O21" t="s">
        <v>58</v>
      </c>
      <c r="P21" t="s">
        <v>59</v>
      </c>
      <c r="Q21" t="s">
        <v>130</v>
      </c>
      <c r="R21" t="s">
        <v>60</v>
      </c>
      <c r="U21" s="75">
        <v>166659</v>
      </c>
      <c r="V21" t="s">
        <v>223</v>
      </c>
      <c r="W21" t="s">
        <v>223</v>
      </c>
      <c r="X21" t="s">
        <v>79</v>
      </c>
      <c r="Y21" t="s">
        <v>224</v>
      </c>
      <c r="AA21" t="s">
        <v>81</v>
      </c>
      <c r="AB21">
        <v>2.1333329999999999</v>
      </c>
      <c r="AC21">
        <v>0.2</v>
      </c>
      <c r="AD21">
        <v>1.933333</v>
      </c>
      <c r="AE21">
        <v>8.3333000000000004E-2</v>
      </c>
      <c r="AF21">
        <v>0</v>
      </c>
      <c r="AG21">
        <v>1.85</v>
      </c>
      <c r="AH21">
        <v>1.85</v>
      </c>
      <c r="AI21">
        <v>1.8333330000000001</v>
      </c>
      <c r="AJ21">
        <v>1.6667000000000001E-2</v>
      </c>
      <c r="AK21">
        <v>0</v>
      </c>
      <c r="AL21" s="76">
        <v>45750.555659722217</v>
      </c>
      <c r="AM21" s="75">
        <v>276</v>
      </c>
      <c r="AN21" t="s">
        <v>65</v>
      </c>
      <c r="AO21" t="s">
        <v>225</v>
      </c>
      <c r="AP21" t="s">
        <v>67</v>
      </c>
      <c r="AQ21" t="s">
        <v>83</v>
      </c>
      <c r="AR21" t="s">
        <v>69</v>
      </c>
      <c r="AS21" s="79"/>
      <c r="AT21" s="82" t="s">
        <v>200</v>
      </c>
      <c r="AU21" s="78">
        <v>2026</v>
      </c>
      <c r="AV21" s="78">
        <v>1</v>
      </c>
      <c r="AW21" s="78" t="s">
        <v>226</v>
      </c>
      <c r="AX21" s="78">
        <v>1</v>
      </c>
      <c r="AY21" s="78">
        <v>0</v>
      </c>
      <c r="BT21" s="3" t="s">
        <v>226</v>
      </c>
      <c r="BU21" s="3">
        <v>1</v>
      </c>
      <c r="BV21" s="3">
        <v>0</v>
      </c>
    </row>
    <row r="22" spans="1:74" ht="15" customHeight="1" x14ac:dyDescent="0.25">
      <c r="A22" s="75">
        <v>5743249</v>
      </c>
      <c r="B22" t="s">
        <v>227</v>
      </c>
      <c r="C22" t="s">
        <v>228</v>
      </c>
      <c r="D22" t="s">
        <v>125</v>
      </c>
      <c r="E22" t="s">
        <v>87</v>
      </c>
      <c r="F22" s="75">
        <v>1</v>
      </c>
      <c r="G22" s="75">
        <v>250779</v>
      </c>
      <c r="H22">
        <v>2000</v>
      </c>
      <c r="I22" t="s">
        <v>114</v>
      </c>
      <c r="J22" s="75">
        <v>203401</v>
      </c>
      <c r="K22" t="s">
        <v>229</v>
      </c>
      <c r="L22" t="s">
        <v>230</v>
      </c>
      <c r="M22" s="81">
        <v>46024.882476851853</v>
      </c>
      <c r="N22" s="81">
        <v>46027.44835648148</v>
      </c>
      <c r="O22" t="s">
        <v>58</v>
      </c>
      <c r="P22" t="s">
        <v>59</v>
      </c>
      <c r="Q22" t="s">
        <v>90</v>
      </c>
      <c r="R22" t="s">
        <v>99</v>
      </c>
      <c r="T22" t="s">
        <v>231</v>
      </c>
      <c r="U22" s="75">
        <v>166285</v>
      </c>
      <c r="V22" t="s">
        <v>232</v>
      </c>
      <c r="W22" t="s">
        <v>232</v>
      </c>
      <c r="X22" t="s">
        <v>62</v>
      </c>
      <c r="Y22" t="s">
        <v>233</v>
      </c>
      <c r="AA22" t="s">
        <v>81</v>
      </c>
      <c r="AB22">
        <v>61.466667999999999</v>
      </c>
      <c r="AC22">
        <v>52.933334000000002</v>
      </c>
      <c r="AD22">
        <v>8.533334</v>
      </c>
      <c r="AE22">
        <v>4.55</v>
      </c>
      <c r="AF22">
        <v>0</v>
      </c>
      <c r="AG22">
        <v>3.9833340000000002</v>
      </c>
      <c r="AH22">
        <v>3.9833340000000002</v>
      </c>
      <c r="AI22">
        <v>2.283334</v>
      </c>
      <c r="AJ22">
        <v>1.7</v>
      </c>
      <c r="AK22">
        <v>0</v>
      </c>
      <c r="AL22" s="76">
        <v>44650</v>
      </c>
      <c r="AM22" s="75">
        <v>1374</v>
      </c>
      <c r="AN22" t="s">
        <v>65</v>
      </c>
      <c r="AO22" t="s">
        <v>234</v>
      </c>
      <c r="AP22" t="s">
        <v>67</v>
      </c>
      <c r="AQ22" t="s">
        <v>68</v>
      </c>
      <c r="AR22" t="s">
        <v>69</v>
      </c>
      <c r="AS22" s="78"/>
      <c r="AT22" s="82" t="s">
        <v>200</v>
      </c>
      <c r="AU22" s="78">
        <v>2026</v>
      </c>
      <c r="AV22" s="78">
        <v>1</v>
      </c>
      <c r="AW22" s="78" t="s">
        <v>137</v>
      </c>
      <c r="AX22" s="78">
        <v>1</v>
      </c>
      <c r="AY22" s="78">
        <v>0</v>
      </c>
      <c r="BT22" s="2" t="s">
        <v>137</v>
      </c>
      <c r="BU22" s="2">
        <v>1</v>
      </c>
      <c r="BV22" s="2">
        <v>0</v>
      </c>
    </row>
    <row r="23" spans="1:74" ht="15" customHeight="1" x14ac:dyDescent="0.25">
      <c r="A23" s="75">
        <v>5743653</v>
      </c>
      <c r="B23" t="s">
        <v>235</v>
      </c>
      <c r="C23" t="s">
        <v>236</v>
      </c>
      <c r="D23" t="s">
        <v>74</v>
      </c>
      <c r="E23" t="s">
        <v>126</v>
      </c>
      <c r="F23" s="75">
        <v>17</v>
      </c>
      <c r="G23" s="75">
        <v>342777</v>
      </c>
      <c r="H23">
        <v>250</v>
      </c>
      <c r="I23" t="s">
        <v>175</v>
      </c>
      <c r="J23" s="75">
        <v>133341</v>
      </c>
      <c r="K23" t="s">
        <v>176</v>
      </c>
      <c r="L23" t="s">
        <v>177</v>
      </c>
      <c r="M23" s="81">
        <v>46025.359305555547</v>
      </c>
      <c r="N23" s="81">
        <v>46027.471666666657</v>
      </c>
      <c r="O23" t="s">
        <v>58</v>
      </c>
      <c r="P23" t="s">
        <v>59</v>
      </c>
      <c r="Q23" t="s">
        <v>130</v>
      </c>
      <c r="R23" t="s">
        <v>144</v>
      </c>
      <c r="U23" s="75">
        <v>166525</v>
      </c>
      <c r="V23" t="s">
        <v>237</v>
      </c>
      <c r="W23" t="s">
        <v>238</v>
      </c>
      <c r="X23" t="s">
        <v>62</v>
      </c>
      <c r="Y23" t="s">
        <v>63</v>
      </c>
      <c r="AA23" t="s">
        <v>101</v>
      </c>
      <c r="AB23">
        <v>50.599997999999999</v>
      </c>
      <c r="AC23">
        <v>40.899999000000001</v>
      </c>
      <c r="AD23">
        <v>9.699999</v>
      </c>
      <c r="AE23">
        <v>0.46666600000000003</v>
      </c>
      <c r="AF23">
        <v>0</v>
      </c>
      <c r="AG23">
        <v>9.233333</v>
      </c>
      <c r="AH23">
        <v>9.233333</v>
      </c>
      <c r="AI23">
        <v>7.95</v>
      </c>
      <c r="AJ23">
        <v>1.2833330000000001</v>
      </c>
      <c r="AK23">
        <v>0</v>
      </c>
      <c r="AL23" s="76">
        <v>45996.735833333332</v>
      </c>
      <c r="AM23" s="75">
        <v>28</v>
      </c>
      <c r="AN23" t="s">
        <v>65</v>
      </c>
      <c r="AO23" t="s">
        <v>239</v>
      </c>
      <c r="AP23" t="s">
        <v>67</v>
      </c>
      <c r="AQ23" t="s">
        <v>68</v>
      </c>
      <c r="AR23" t="s">
        <v>69</v>
      </c>
      <c r="AS23" s="79"/>
      <c r="AT23" s="82" t="s">
        <v>200</v>
      </c>
      <c r="AU23" s="78">
        <v>2026</v>
      </c>
      <c r="AV23" s="78">
        <v>1</v>
      </c>
      <c r="AW23" s="78" t="s">
        <v>71</v>
      </c>
      <c r="AX23" s="78">
        <v>0</v>
      </c>
      <c r="AY23" s="78">
        <v>0</v>
      </c>
      <c r="BT23" s="3" t="s">
        <v>71</v>
      </c>
      <c r="BU23" s="3">
        <v>0</v>
      </c>
      <c r="BV23" s="3">
        <v>0</v>
      </c>
    </row>
    <row r="24" spans="1:74" ht="15" customHeight="1" x14ac:dyDescent="0.25">
      <c r="A24" s="75">
        <v>5743677</v>
      </c>
      <c r="B24" t="s">
        <v>240</v>
      </c>
      <c r="C24" t="s">
        <v>241</v>
      </c>
      <c r="D24" t="s">
        <v>155</v>
      </c>
      <c r="E24" t="s">
        <v>87</v>
      </c>
      <c r="F24" s="75">
        <v>3</v>
      </c>
      <c r="G24" s="75">
        <v>280783</v>
      </c>
      <c r="H24">
        <v>6464.5</v>
      </c>
      <c r="I24" t="s">
        <v>242</v>
      </c>
      <c r="J24" s="75">
        <v>209013</v>
      </c>
      <c r="K24" t="s">
        <v>243</v>
      </c>
      <c r="L24" t="s">
        <v>244</v>
      </c>
      <c r="M24" s="81">
        <v>46025.375543981478</v>
      </c>
      <c r="N24" s="81">
        <v>46027.525520833333</v>
      </c>
      <c r="O24" t="s">
        <v>58</v>
      </c>
      <c r="P24" t="s">
        <v>59</v>
      </c>
      <c r="Q24" t="s">
        <v>90</v>
      </c>
      <c r="R24" t="s">
        <v>99</v>
      </c>
      <c r="U24" s="75">
        <v>166553</v>
      </c>
      <c r="V24" t="s">
        <v>245</v>
      </c>
      <c r="X24" t="s">
        <v>79</v>
      </c>
      <c r="Y24" t="s">
        <v>246</v>
      </c>
      <c r="AA24" t="s">
        <v>64</v>
      </c>
      <c r="AB24">
        <v>51.5</v>
      </c>
      <c r="AC24">
        <v>46.866666000000002</v>
      </c>
      <c r="AD24">
        <v>4.6333339999999996</v>
      </c>
      <c r="AE24">
        <v>0.283333</v>
      </c>
      <c r="AF24">
        <v>0</v>
      </c>
      <c r="AG24">
        <v>4.3500009999999998</v>
      </c>
      <c r="AH24">
        <v>4.3500009999999998</v>
      </c>
      <c r="AI24">
        <v>1.316667</v>
      </c>
      <c r="AJ24">
        <v>3.033334</v>
      </c>
      <c r="AK24">
        <v>0</v>
      </c>
      <c r="AL24" s="76">
        <v>44834</v>
      </c>
      <c r="AM24" s="75">
        <v>1191</v>
      </c>
      <c r="AN24" t="s">
        <v>65</v>
      </c>
      <c r="AO24" t="s">
        <v>247</v>
      </c>
      <c r="AP24" t="s">
        <v>67</v>
      </c>
      <c r="AQ24" t="s">
        <v>83</v>
      </c>
      <c r="AR24" t="s">
        <v>69</v>
      </c>
      <c r="AS24" s="78"/>
      <c r="AT24" s="82" t="s">
        <v>200</v>
      </c>
      <c r="AU24" s="78">
        <v>2026</v>
      </c>
      <c r="AV24" s="78">
        <v>1</v>
      </c>
      <c r="AW24" s="78" t="s">
        <v>84</v>
      </c>
      <c r="AX24" s="78">
        <v>1</v>
      </c>
      <c r="AY24" s="78">
        <v>0</v>
      </c>
      <c r="BT24" s="2" t="s">
        <v>84</v>
      </c>
      <c r="BU24" s="2">
        <v>1</v>
      </c>
      <c r="BV24" s="2">
        <v>0</v>
      </c>
    </row>
    <row r="25" spans="1:74" ht="15" customHeight="1" x14ac:dyDescent="0.25">
      <c r="A25" s="75">
        <v>5744179</v>
      </c>
      <c r="B25" t="s">
        <v>248</v>
      </c>
      <c r="C25" t="s">
        <v>249</v>
      </c>
      <c r="D25" t="s">
        <v>150</v>
      </c>
      <c r="E25" t="s">
        <v>54</v>
      </c>
      <c r="F25" s="75">
        <v>791</v>
      </c>
      <c r="G25" s="75">
        <v>287085</v>
      </c>
      <c r="H25">
        <v>209.66</v>
      </c>
      <c r="I25" t="s">
        <v>55</v>
      </c>
      <c r="J25" s="75">
        <v>41553</v>
      </c>
      <c r="K25" t="s">
        <v>250</v>
      </c>
      <c r="L25" t="s">
        <v>251</v>
      </c>
      <c r="M25" s="81">
        <v>46025.678449074083</v>
      </c>
      <c r="N25" s="81">
        <v>46027.529143518521</v>
      </c>
      <c r="O25" t="s">
        <v>58</v>
      </c>
      <c r="P25" t="s">
        <v>59</v>
      </c>
      <c r="Q25" t="s">
        <v>130</v>
      </c>
      <c r="R25" t="s">
        <v>131</v>
      </c>
      <c r="U25" s="75">
        <v>166441</v>
      </c>
      <c r="V25" t="s">
        <v>252</v>
      </c>
      <c r="W25" t="s">
        <v>253</v>
      </c>
      <c r="X25" t="s">
        <v>79</v>
      </c>
      <c r="Y25" t="s">
        <v>224</v>
      </c>
      <c r="AA25" t="s">
        <v>64</v>
      </c>
      <c r="AB25">
        <v>44.333334000000001</v>
      </c>
      <c r="AC25">
        <v>36.716667000000001</v>
      </c>
      <c r="AD25">
        <v>7.6166669999999996</v>
      </c>
      <c r="AE25">
        <v>0.13333400000000001</v>
      </c>
      <c r="AF25">
        <v>0</v>
      </c>
      <c r="AG25">
        <v>7.483333</v>
      </c>
      <c r="AH25">
        <v>7.483333</v>
      </c>
      <c r="AI25">
        <v>7.45</v>
      </c>
      <c r="AJ25">
        <v>3.3333000000000002E-2</v>
      </c>
      <c r="AK25">
        <v>0</v>
      </c>
      <c r="AL25" s="76">
        <v>45058</v>
      </c>
      <c r="AM25" s="75">
        <v>967</v>
      </c>
      <c r="AN25" t="s">
        <v>65</v>
      </c>
      <c r="AO25" t="s">
        <v>254</v>
      </c>
      <c r="AP25" t="s">
        <v>67</v>
      </c>
      <c r="AQ25" t="s">
        <v>83</v>
      </c>
      <c r="AR25" t="s">
        <v>69</v>
      </c>
      <c r="AS25" s="79"/>
      <c r="AT25" s="82" t="s">
        <v>200</v>
      </c>
      <c r="AU25" s="78">
        <v>2026</v>
      </c>
      <c r="AV25" s="78">
        <v>1</v>
      </c>
      <c r="AW25" s="78" t="s">
        <v>226</v>
      </c>
      <c r="AX25" s="78">
        <v>1</v>
      </c>
      <c r="AY25" s="78">
        <v>0</v>
      </c>
      <c r="BT25" s="3" t="s">
        <v>226</v>
      </c>
      <c r="BU25" s="3">
        <v>1</v>
      </c>
      <c r="BV25" s="3">
        <v>0</v>
      </c>
    </row>
    <row r="26" spans="1:74" ht="15" customHeight="1" x14ac:dyDescent="0.25">
      <c r="A26" s="75">
        <v>5743831</v>
      </c>
      <c r="B26" t="s">
        <v>255</v>
      </c>
      <c r="C26" t="s">
        <v>256</v>
      </c>
      <c r="D26" t="s">
        <v>257</v>
      </c>
      <c r="E26" t="s">
        <v>54</v>
      </c>
      <c r="F26" s="75">
        <v>11</v>
      </c>
      <c r="G26" s="75">
        <v>295427</v>
      </c>
      <c r="H26">
        <v>200</v>
      </c>
      <c r="I26" t="s">
        <v>55</v>
      </c>
      <c r="J26" s="75">
        <v>218297</v>
      </c>
      <c r="K26" t="s">
        <v>258</v>
      </c>
      <c r="L26" t="s">
        <v>259</v>
      </c>
      <c r="M26" s="81">
        <v>46025.47184027778</v>
      </c>
      <c r="N26" s="81">
        <v>46027.652870370373</v>
      </c>
      <c r="O26" t="s">
        <v>58</v>
      </c>
      <c r="P26" t="s">
        <v>59</v>
      </c>
      <c r="Q26" t="s">
        <v>77</v>
      </c>
      <c r="R26" t="s">
        <v>60</v>
      </c>
      <c r="U26" s="75">
        <v>166529</v>
      </c>
      <c r="V26" t="s">
        <v>260</v>
      </c>
      <c r="W26" t="s">
        <v>261</v>
      </c>
      <c r="X26" t="s">
        <v>62</v>
      </c>
      <c r="Y26" t="s">
        <v>63</v>
      </c>
      <c r="AA26" t="s">
        <v>64</v>
      </c>
      <c r="AB26">
        <v>52.299998000000002</v>
      </c>
      <c r="AC26">
        <v>44.233333000000002</v>
      </c>
      <c r="AD26">
        <v>8.0666650000000004</v>
      </c>
      <c r="AE26">
        <v>0.23333300000000001</v>
      </c>
      <c r="AF26">
        <v>0</v>
      </c>
      <c r="AG26">
        <v>7.8333320000000004</v>
      </c>
      <c r="AH26">
        <v>7.8333320000000004</v>
      </c>
      <c r="AI26">
        <v>6.4999989999999999</v>
      </c>
      <c r="AJ26">
        <v>1.3333330000000001</v>
      </c>
      <c r="AK26">
        <v>0</v>
      </c>
      <c r="AL26" s="76">
        <v>45293.488159722219</v>
      </c>
      <c r="AM26" s="75">
        <v>731</v>
      </c>
      <c r="AN26" t="s">
        <v>65</v>
      </c>
      <c r="AO26" t="s">
        <v>262</v>
      </c>
      <c r="AP26" t="s">
        <v>67</v>
      </c>
      <c r="AQ26" t="s">
        <v>68</v>
      </c>
      <c r="AR26" t="s">
        <v>69</v>
      </c>
      <c r="AS26" s="78"/>
      <c r="AT26" s="82" t="s">
        <v>200</v>
      </c>
      <c r="AU26" s="78">
        <v>2026</v>
      </c>
      <c r="AV26" s="78">
        <v>1</v>
      </c>
      <c r="AW26" s="78" t="s">
        <v>71</v>
      </c>
      <c r="AX26" s="78">
        <v>1</v>
      </c>
      <c r="AY26" s="78">
        <v>0</v>
      </c>
      <c r="BT26" s="2" t="s">
        <v>71</v>
      </c>
      <c r="BU26" s="2">
        <v>1</v>
      </c>
      <c r="BV26" s="2">
        <v>0</v>
      </c>
    </row>
    <row r="27" spans="1:74" ht="15" customHeight="1" x14ac:dyDescent="0.25">
      <c r="A27" s="75">
        <v>5746425</v>
      </c>
      <c r="B27" t="s">
        <v>263</v>
      </c>
      <c r="C27" t="s">
        <v>264</v>
      </c>
      <c r="D27" t="s">
        <v>265</v>
      </c>
      <c r="E27" t="s">
        <v>126</v>
      </c>
      <c r="F27" s="75">
        <v>4</v>
      </c>
      <c r="G27" s="75">
        <v>270677</v>
      </c>
      <c r="H27">
        <v>51250</v>
      </c>
      <c r="I27" t="s">
        <v>266</v>
      </c>
      <c r="J27" s="75">
        <v>210723</v>
      </c>
      <c r="K27" t="s">
        <v>267</v>
      </c>
      <c r="L27" t="s">
        <v>268</v>
      </c>
      <c r="M27" s="81">
        <v>46027.477581018517</v>
      </c>
      <c r="N27" s="81">
        <v>46027.753009259257</v>
      </c>
      <c r="O27" t="s">
        <v>269</v>
      </c>
      <c r="P27" t="s">
        <v>59</v>
      </c>
      <c r="Q27" t="s">
        <v>130</v>
      </c>
      <c r="R27" t="s">
        <v>99</v>
      </c>
      <c r="U27" s="75">
        <v>166933</v>
      </c>
      <c r="V27" t="s">
        <v>270</v>
      </c>
      <c r="X27" t="s">
        <v>62</v>
      </c>
      <c r="Y27" t="s">
        <v>271</v>
      </c>
      <c r="AA27" t="s">
        <v>81</v>
      </c>
      <c r="AB27">
        <v>6.55</v>
      </c>
      <c r="AC27">
        <v>2.5666669999999998</v>
      </c>
      <c r="AD27">
        <v>3.983333</v>
      </c>
      <c r="AE27">
        <v>0.38333299999999998</v>
      </c>
      <c r="AF27">
        <v>0</v>
      </c>
      <c r="AG27">
        <v>3.6</v>
      </c>
      <c r="AH27">
        <v>3.6</v>
      </c>
      <c r="AI27">
        <v>3.45</v>
      </c>
      <c r="AJ27">
        <v>0.15</v>
      </c>
      <c r="AK27">
        <v>0</v>
      </c>
      <c r="AL27" s="76">
        <v>36526</v>
      </c>
      <c r="AM27" s="75">
        <v>9501</v>
      </c>
      <c r="AN27" t="s">
        <v>65</v>
      </c>
      <c r="AO27" t="s">
        <v>272</v>
      </c>
      <c r="AP27" t="s">
        <v>67</v>
      </c>
      <c r="AQ27" t="s">
        <v>68</v>
      </c>
      <c r="AR27" t="s">
        <v>69</v>
      </c>
      <c r="AS27" s="79"/>
      <c r="AT27" s="82" t="s">
        <v>200</v>
      </c>
      <c r="AU27" s="78">
        <v>2026</v>
      </c>
      <c r="AV27" s="78">
        <v>1</v>
      </c>
      <c r="AW27" s="78" t="s">
        <v>137</v>
      </c>
      <c r="AX27" s="78">
        <v>1</v>
      </c>
      <c r="AY27" s="78">
        <v>0</v>
      </c>
      <c r="BT27" s="3" t="s">
        <v>137</v>
      </c>
      <c r="BU27" s="3">
        <v>1</v>
      </c>
      <c r="BV27" s="3">
        <v>0</v>
      </c>
    </row>
    <row r="28" spans="1:74" ht="15" customHeight="1" x14ac:dyDescent="0.25">
      <c r="A28" s="75">
        <v>5747347</v>
      </c>
      <c r="B28" t="s">
        <v>273</v>
      </c>
      <c r="C28" t="s">
        <v>274</v>
      </c>
      <c r="D28" t="s">
        <v>162</v>
      </c>
      <c r="E28" t="s">
        <v>54</v>
      </c>
      <c r="F28" s="75">
        <v>5</v>
      </c>
      <c r="G28" s="75">
        <v>53503</v>
      </c>
      <c r="H28">
        <v>402.42</v>
      </c>
      <c r="I28" t="s">
        <v>114</v>
      </c>
      <c r="J28" s="75">
        <v>56175</v>
      </c>
      <c r="K28" t="s">
        <v>275</v>
      </c>
      <c r="L28" t="s">
        <v>276</v>
      </c>
      <c r="M28" s="81">
        <v>46027.66810185185</v>
      </c>
      <c r="N28" s="81">
        <v>46027.775127314817</v>
      </c>
      <c r="O28" t="s">
        <v>277</v>
      </c>
      <c r="P28" t="s">
        <v>59</v>
      </c>
      <c r="Q28" t="s">
        <v>130</v>
      </c>
      <c r="R28" t="s">
        <v>99</v>
      </c>
      <c r="U28" s="75">
        <v>167141</v>
      </c>
      <c r="V28" t="s">
        <v>278</v>
      </c>
      <c r="X28" t="s">
        <v>62</v>
      </c>
      <c r="Y28" t="s">
        <v>63</v>
      </c>
      <c r="AA28" t="s">
        <v>81</v>
      </c>
      <c r="AB28">
        <v>2.5333329999999998</v>
      </c>
      <c r="AC28">
        <v>0</v>
      </c>
      <c r="AD28">
        <v>2.5333329999999998</v>
      </c>
      <c r="AE28">
        <v>0.5</v>
      </c>
      <c r="AF28">
        <v>0</v>
      </c>
      <c r="AG28">
        <v>2.0333329999999998</v>
      </c>
      <c r="AI28">
        <v>1.75</v>
      </c>
      <c r="AJ28">
        <v>0.283333</v>
      </c>
      <c r="AK28">
        <v>0</v>
      </c>
      <c r="AL28" s="76">
        <v>42625.625</v>
      </c>
      <c r="AM28" s="75">
        <v>3402</v>
      </c>
      <c r="AN28" t="s">
        <v>65</v>
      </c>
      <c r="AO28" t="s">
        <v>279</v>
      </c>
      <c r="AP28" t="s">
        <v>67</v>
      </c>
      <c r="AQ28" t="s">
        <v>68</v>
      </c>
      <c r="AR28" t="s">
        <v>69</v>
      </c>
      <c r="AS28" s="78"/>
      <c r="AT28" s="82" t="s">
        <v>200</v>
      </c>
      <c r="AU28" s="78">
        <v>2026</v>
      </c>
      <c r="AV28" s="78">
        <v>1</v>
      </c>
      <c r="AW28" s="78" t="s">
        <v>71</v>
      </c>
      <c r="AX28" s="78">
        <v>1</v>
      </c>
      <c r="AY28" s="78">
        <v>0</v>
      </c>
      <c r="BT28" s="2" t="s">
        <v>71</v>
      </c>
      <c r="BU28" s="2">
        <v>1</v>
      </c>
      <c r="BV28" s="2">
        <v>0</v>
      </c>
    </row>
    <row r="29" spans="1:74" ht="15" customHeight="1" x14ac:dyDescent="0.25">
      <c r="A29" s="75">
        <v>5740853</v>
      </c>
      <c r="B29" t="s">
        <v>280</v>
      </c>
      <c r="C29" t="s">
        <v>281</v>
      </c>
      <c r="D29" t="s">
        <v>282</v>
      </c>
      <c r="E29" t="s">
        <v>54</v>
      </c>
      <c r="F29" s="75">
        <v>3</v>
      </c>
      <c r="G29" s="75">
        <v>292843</v>
      </c>
      <c r="H29">
        <v>995.89</v>
      </c>
      <c r="I29" t="s">
        <v>55</v>
      </c>
      <c r="J29" s="75">
        <v>21243</v>
      </c>
      <c r="K29" t="s">
        <v>283</v>
      </c>
      <c r="L29" t="s">
        <v>284</v>
      </c>
      <c r="M29" s="81">
        <v>46023.028252314813</v>
      </c>
      <c r="N29" s="81">
        <v>46027.806689814817</v>
      </c>
      <c r="O29" t="s">
        <v>58</v>
      </c>
      <c r="P29" t="s">
        <v>59</v>
      </c>
      <c r="Q29" t="s">
        <v>90</v>
      </c>
      <c r="R29" t="s">
        <v>60</v>
      </c>
      <c r="U29" s="75">
        <v>166939</v>
      </c>
      <c r="V29" t="s">
        <v>285</v>
      </c>
      <c r="W29" t="s">
        <v>286</v>
      </c>
      <c r="X29" t="s">
        <v>62</v>
      </c>
      <c r="Y29" t="s">
        <v>287</v>
      </c>
      <c r="AA29" t="s">
        <v>101</v>
      </c>
      <c r="AB29">
        <v>114.566666</v>
      </c>
      <c r="AC29">
        <v>101.566666</v>
      </c>
      <c r="AD29">
        <v>13</v>
      </c>
      <c r="AE29">
        <v>1.95</v>
      </c>
      <c r="AF29">
        <v>0</v>
      </c>
      <c r="AG29">
        <v>11.05</v>
      </c>
      <c r="AH29">
        <v>11.05</v>
      </c>
      <c r="AI29">
        <v>8.8833330000000004</v>
      </c>
      <c r="AJ29">
        <v>2.1666669999999999</v>
      </c>
      <c r="AK29">
        <v>0</v>
      </c>
      <c r="AL29" s="76">
        <v>45281.609467592592</v>
      </c>
      <c r="AM29" s="75">
        <v>741</v>
      </c>
      <c r="AN29" t="s">
        <v>65</v>
      </c>
      <c r="AO29" t="s">
        <v>288</v>
      </c>
      <c r="AP29" t="s">
        <v>67</v>
      </c>
      <c r="AQ29" t="s">
        <v>68</v>
      </c>
      <c r="AR29" t="s">
        <v>69</v>
      </c>
      <c r="AS29" s="79"/>
      <c r="AT29" s="82" t="s">
        <v>200</v>
      </c>
      <c r="AU29" s="78">
        <v>2026</v>
      </c>
      <c r="AV29" s="78">
        <v>1</v>
      </c>
      <c r="AW29" s="78" t="s">
        <v>137</v>
      </c>
      <c r="AX29" s="78">
        <v>0</v>
      </c>
      <c r="AY29" s="78">
        <v>0</v>
      </c>
      <c r="BT29" s="3" t="s">
        <v>137</v>
      </c>
      <c r="BU29" s="3">
        <v>0</v>
      </c>
      <c r="BV29" s="3">
        <v>0</v>
      </c>
    </row>
    <row r="30" spans="1:74" ht="15" customHeight="1" x14ac:dyDescent="0.25">
      <c r="A30" s="75">
        <v>5740031</v>
      </c>
      <c r="B30" t="s">
        <v>289</v>
      </c>
      <c r="C30" t="s">
        <v>290</v>
      </c>
      <c r="D30" t="s">
        <v>282</v>
      </c>
      <c r="E30" t="s">
        <v>54</v>
      </c>
      <c r="F30" s="75">
        <v>546</v>
      </c>
      <c r="G30" s="75">
        <v>65165</v>
      </c>
      <c r="H30">
        <v>304.88</v>
      </c>
      <c r="I30" t="s">
        <v>114</v>
      </c>
      <c r="J30" s="75">
        <v>6421</v>
      </c>
      <c r="K30" t="s">
        <v>291</v>
      </c>
      <c r="L30" t="s">
        <v>292</v>
      </c>
      <c r="M30" s="81">
        <v>46022.486597222232</v>
      </c>
      <c r="N30" s="81">
        <v>46027.816631944443</v>
      </c>
      <c r="O30" t="s">
        <v>58</v>
      </c>
      <c r="P30" t="s">
        <v>59</v>
      </c>
      <c r="Q30" t="s">
        <v>90</v>
      </c>
      <c r="R30" t="s">
        <v>60</v>
      </c>
      <c r="U30" s="75">
        <v>166521</v>
      </c>
      <c r="V30" t="s">
        <v>293</v>
      </c>
      <c r="W30" t="s">
        <v>294</v>
      </c>
      <c r="X30" t="s">
        <v>62</v>
      </c>
      <c r="Y30" t="s">
        <v>63</v>
      </c>
      <c r="AA30" t="s">
        <v>295</v>
      </c>
      <c r="AB30">
        <v>127.733333</v>
      </c>
      <c r="AC30">
        <v>74.95</v>
      </c>
      <c r="AD30">
        <v>52.783332999999999</v>
      </c>
      <c r="AE30">
        <v>0.316666</v>
      </c>
      <c r="AF30">
        <v>0</v>
      </c>
      <c r="AG30">
        <v>52.466667000000001</v>
      </c>
      <c r="AH30">
        <v>52.466667000000001</v>
      </c>
      <c r="AI30">
        <v>42.016666999999998</v>
      </c>
      <c r="AJ30">
        <v>10.45</v>
      </c>
      <c r="AK30">
        <v>0</v>
      </c>
      <c r="AL30" s="76">
        <v>43088</v>
      </c>
      <c r="AM30" s="75">
        <v>2934</v>
      </c>
      <c r="AN30" t="s">
        <v>65</v>
      </c>
      <c r="AO30" t="s">
        <v>296</v>
      </c>
      <c r="AP30" t="s">
        <v>67</v>
      </c>
      <c r="AQ30" t="s">
        <v>68</v>
      </c>
      <c r="AR30" t="s">
        <v>69</v>
      </c>
      <c r="AS30" s="78"/>
      <c r="AT30" s="82" t="s">
        <v>200</v>
      </c>
      <c r="AU30" s="78">
        <v>2026</v>
      </c>
      <c r="AV30" s="78">
        <v>1</v>
      </c>
      <c r="AW30" s="78" t="s">
        <v>71</v>
      </c>
      <c r="AX30" s="78">
        <v>0</v>
      </c>
      <c r="AY30" s="78">
        <v>1</v>
      </c>
      <c r="BT30" s="2" t="s">
        <v>71</v>
      </c>
      <c r="BU30" s="2">
        <v>0</v>
      </c>
      <c r="BV30" s="2">
        <v>1</v>
      </c>
    </row>
    <row r="31" spans="1:74" ht="15" customHeight="1" x14ac:dyDescent="0.25">
      <c r="A31" s="75">
        <v>5740003</v>
      </c>
      <c r="B31" t="s">
        <v>297</v>
      </c>
      <c r="C31" t="s">
        <v>298</v>
      </c>
      <c r="D31" t="s">
        <v>282</v>
      </c>
      <c r="E31" t="s">
        <v>54</v>
      </c>
      <c r="F31" s="75">
        <v>7</v>
      </c>
      <c r="G31" s="75">
        <v>53523</v>
      </c>
      <c r="H31">
        <v>371.35</v>
      </c>
      <c r="I31" t="s">
        <v>114</v>
      </c>
      <c r="J31" s="75">
        <v>56169</v>
      </c>
      <c r="K31" t="s">
        <v>275</v>
      </c>
      <c r="L31" t="s">
        <v>299</v>
      </c>
      <c r="M31" s="81">
        <v>46022.472314814811</v>
      </c>
      <c r="N31" s="81">
        <v>46027.821793981479</v>
      </c>
      <c r="O31" t="s">
        <v>58</v>
      </c>
      <c r="P31" t="s">
        <v>59</v>
      </c>
      <c r="Q31" t="s">
        <v>130</v>
      </c>
      <c r="R31" t="s">
        <v>60</v>
      </c>
      <c r="U31" s="75">
        <v>166523</v>
      </c>
      <c r="V31" t="s">
        <v>300</v>
      </c>
      <c r="W31" t="s">
        <v>301</v>
      </c>
      <c r="X31" t="s">
        <v>62</v>
      </c>
      <c r="Y31" t="s">
        <v>63</v>
      </c>
      <c r="AA31" t="s">
        <v>295</v>
      </c>
      <c r="AB31">
        <v>128.23333400000001</v>
      </c>
      <c r="AC31">
        <v>85.066665999999998</v>
      </c>
      <c r="AD31">
        <v>43.166668000000001</v>
      </c>
      <c r="AE31">
        <v>0.11666700000000001</v>
      </c>
      <c r="AF31">
        <v>0</v>
      </c>
      <c r="AG31">
        <v>43.050001000000002</v>
      </c>
      <c r="AH31">
        <v>43.050001000000002</v>
      </c>
      <c r="AI31">
        <v>43.033334000000004</v>
      </c>
      <c r="AJ31">
        <v>1.6667000000000001E-2</v>
      </c>
      <c r="AK31">
        <v>0</v>
      </c>
      <c r="AL31" s="76">
        <v>42843</v>
      </c>
      <c r="AM31" s="75">
        <v>3179</v>
      </c>
      <c r="AN31" t="s">
        <v>65</v>
      </c>
      <c r="AO31" t="s">
        <v>302</v>
      </c>
      <c r="AP31" t="s">
        <v>67</v>
      </c>
      <c r="AQ31" t="s">
        <v>68</v>
      </c>
      <c r="AR31" t="s">
        <v>69</v>
      </c>
      <c r="AS31" s="79"/>
      <c r="AT31" s="82" t="s">
        <v>200</v>
      </c>
      <c r="AU31" s="78">
        <v>2026</v>
      </c>
      <c r="AV31" s="78">
        <v>1</v>
      </c>
      <c r="AW31" s="78" t="s">
        <v>71</v>
      </c>
      <c r="AX31" s="78">
        <v>0</v>
      </c>
      <c r="AY31" s="78">
        <v>1</v>
      </c>
      <c r="BT31" s="3" t="s">
        <v>71</v>
      </c>
      <c r="BU31" s="3">
        <v>0</v>
      </c>
      <c r="BV31" s="3">
        <v>1</v>
      </c>
    </row>
    <row r="32" spans="1:74" ht="15" customHeight="1" x14ac:dyDescent="0.25">
      <c r="A32" s="75">
        <v>5744841</v>
      </c>
      <c r="B32" t="s">
        <v>303</v>
      </c>
      <c r="C32" t="s">
        <v>304</v>
      </c>
      <c r="D32" t="s">
        <v>155</v>
      </c>
      <c r="E32" t="s">
        <v>54</v>
      </c>
      <c r="F32" s="75">
        <v>16</v>
      </c>
      <c r="G32" s="75">
        <v>298395</v>
      </c>
      <c r="H32">
        <v>640</v>
      </c>
      <c r="I32" t="s">
        <v>55</v>
      </c>
      <c r="J32" s="75">
        <v>202197</v>
      </c>
      <c r="K32" t="s">
        <v>305</v>
      </c>
      <c r="L32" t="s">
        <v>306</v>
      </c>
      <c r="M32" s="81">
        <v>46026.472743055558</v>
      </c>
      <c r="N32" s="81">
        <v>46028.359351851846</v>
      </c>
      <c r="O32" t="s">
        <v>58</v>
      </c>
      <c r="P32" t="s">
        <v>59</v>
      </c>
      <c r="Q32" t="s">
        <v>90</v>
      </c>
      <c r="R32" t="s">
        <v>131</v>
      </c>
      <c r="U32" s="75">
        <v>166539</v>
      </c>
      <c r="V32" t="s">
        <v>307</v>
      </c>
      <c r="W32" t="s">
        <v>308</v>
      </c>
      <c r="X32" t="s">
        <v>62</v>
      </c>
      <c r="Y32" t="s">
        <v>63</v>
      </c>
      <c r="AA32" t="s">
        <v>81</v>
      </c>
      <c r="AB32">
        <v>45.216667000000001</v>
      </c>
      <c r="AC32">
        <v>40.966667000000001</v>
      </c>
      <c r="AD32">
        <v>4.25</v>
      </c>
      <c r="AE32">
        <v>0.51666699999999999</v>
      </c>
      <c r="AF32">
        <v>0</v>
      </c>
      <c r="AG32">
        <v>3.733333</v>
      </c>
      <c r="AH32">
        <v>3.733333</v>
      </c>
      <c r="AI32">
        <v>3.6666669999999999</v>
      </c>
      <c r="AJ32">
        <v>6.6666000000000003E-2</v>
      </c>
      <c r="AK32">
        <v>0</v>
      </c>
      <c r="AL32" s="76">
        <v>45302</v>
      </c>
      <c r="AM32" s="75">
        <v>724</v>
      </c>
      <c r="AN32" t="s">
        <v>65</v>
      </c>
      <c r="AO32" t="s">
        <v>309</v>
      </c>
      <c r="AP32" t="s">
        <v>67</v>
      </c>
      <c r="AQ32" t="s">
        <v>68</v>
      </c>
      <c r="AR32" t="s">
        <v>69</v>
      </c>
      <c r="AS32" s="78"/>
      <c r="AT32" s="82" t="s">
        <v>200</v>
      </c>
      <c r="AU32" s="78">
        <v>2026</v>
      </c>
      <c r="AV32" s="78">
        <v>1</v>
      </c>
      <c r="AW32" s="78" t="s">
        <v>71</v>
      </c>
      <c r="AX32" s="78">
        <v>1</v>
      </c>
      <c r="AY32" s="78">
        <v>0</v>
      </c>
      <c r="BT32" s="2" t="s">
        <v>71</v>
      </c>
      <c r="BU32" s="2">
        <v>1</v>
      </c>
      <c r="BV32" s="2">
        <v>0</v>
      </c>
    </row>
    <row r="33" spans="1:74" ht="15" customHeight="1" x14ac:dyDescent="0.25">
      <c r="A33" s="75">
        <v>5745147</v>
      </c>
      <c r="B33" t="s">
        <v>310</v>
      </c>
      <c r="C33" t="s">
        <v>311</v>
      </c>
      <c r="D33" t="s">
        <v>155</v>
      </c>
      <c r="E33" t="s">
        <v>87</v>
      </c>
      <c r="F33" s="75">
        <v>114</v>
      </c>
      <c r="G33" s="75">
        <v>285557</v>
      </c>
      <c r="H33">
        <v>368.16</v>
      </c>
      <c r="I33" t="s">
        <v>55</v>
      </c>
      <c r="J33" s="75">
        <v>218791</v>
      </c>
      <c r="K33" t="s">
        <v>312</v>
      </c>
      <c r="L33" t="s">
        <v>313</v>
      </c>
      <c r="M33" s="81">
        <v>46026.806064814817</v>
      </c>
      <c r="N33" s="81">
        <v>46028.362361111111</v>
      </c>
      <c r="O33" t="s">
        <v>58</v>
      </c>
      <c r="P33" t="s">
        <v>59</v>
      </c>
      <c r="Q33" t="s">
        <v>90</v>
      </c>
      <c r="R33" t="s">
        <v>60</v>
      </c>
      <c r="U33" s="75">
        <v>166533</v>
      </c>
      <c r="V33" t="s">
        <v>314</v>
      </c>
      <c r="W33" t="s">
        <v>315</v>
      </c>
      <c r="X33" t="s">
        <v>62</v>
      </c>
      <c r="Y33" t="s">
        <v>63</v>
      </c>
      <c r="AA33" t="s">
        <v>81</v>
      </c>
      <c r="AB33">
        <v>37.266666000000001</v>
      </c>
      <c r="AC33">
        <v>33.1</v>
      </c>
      <c r="AD33">
        <v>4.1666660000000002</v>
      </c>
      <c r="AE33">
        <v>0.316666</v>
      </c>
      <c r="AF33">
        <v>0</v>
      </c>
      <c r="AG33">
        <v>3.85</v>
      </c>
      <c r="AH33">
        <v>3.85</v>
      </c>
      <c r="AI33">
        <v>3.65</v>
      </c>
      <c r="AJ33">
        <v>0.2</v>
      </c>
      <c r="AK33">
        <v>0</v>
      </c>
      <c r="AL33" s="76">
        <v>44874.648275462961</v>
      </c>
      <c r="AM33" s="75">
        <v>1152</v>
      </c>
      <c r="AN33" t="s">
        <v>65</v>
      </c>
      <c r="AO33" t="s">
        <v>316</v>
      </c>
      <c r="AP33" t="s">
        <v>67</v>
      </c>
      <c r="AQ33" t="s">
        <v>68</v>
      </c>
      <c r="AR33" t="s">
        <v>69</v>
      </c>
      <c r="AS33" s="79"/>
      <c r="AT33" s="82" t="s">
        <v>200</v>
      </c>
      <c r="AU33" s="78">
        <v>2026</v>
      </c>
      <c r="AV33" s="78">
        <v>1</v>
      </c>
      <c r="AW33" s="78" t="s">
        <v>71</v>
      </c>
      <c r="AX33" s="78">
        <v>1</v>
      </c>
      <c r="AY33" s="78">
        <v>0</v>
      </c>
      <c r="BT33" s="3" t="s">
        <v>71</v>
      </c>
      <c r="BU33" s="3">
        <v>1</v>
      </c>
      <c r="BV33" s="3">
        <v>0</v>
      </c>
    </row>
    <row r="34" spans="1:74" ht="15" customHeight="1" x14ac:dyDescent="0.25">
      <c r="A34" s="75">
        <v>5744145</v>
      </c>
      <c r="B34" t="s">
        <v>317</v>
      </c>
      <c r="C34" t="s">
        <v>210</v>
      </c>
      <c r="D34" t="s">
        <v>155</v>
      </c>
      <c r="E34" t="s">
        <v>87</v>
      </c>
      <c r="F34" s="75">
        <v>422</v>
      </c>
      <c r="G34" s="75">
        <v>289265</v>
      </c>
      <c r="H34">
        <v>740.61</v>
      </c>
      <c r="I34" t="s">
        <v>55</v>
      </c>
      <c r="J34" s="75">
        <v>216233</v>
      </c>
      <c r="K34" t="s">
        <v>88</v>
      </c>
      <c r="L34" t="s">
        <v>89</v>
      </c>
      <c r="M34" s="81">
        <v>46025.667256944442</v>
      </c>
      <c r="N34" s="81">
        <v>46028.363969907397</v>
      </c>
      <c r="O34" t="s">
        <v>58</v>
      </c>
      <c r="P34" t="s">
        <v>59</v>
      </c>
      <c r="Q34" t="s">
        <v>90</v>
      </c>
      <c r="R34" t="s">
        <v>60</v>
      </c>
      <c r="U34" s="75">
        <v>166531</v>
      </c>
      <c r="V34" t="s">
        <v>318</v>
      </c>
      <c r="W34" t="s">
        <v>318</v>
      </c>
      <c r="X34" t="s">
        <v>62</v>
      </c>
      <c r="Y34" t="s">
        <v>63</v>
      </c>
      <c r="AA34" t="s">
        <v>101</v>
      </c>
      <c r="AB34">
        <v>64.650000000000006</v>
      </c>
      <c r="AC34">
        <v>54</v>
      </c>
      <c r="AD34">
        <v>10.65</v>
      </c>
      <c r="AE34">
        <v>0.78333299999999995</v>
      </c>
      <c r="AF34">
        <v>0</v>
      </c>
      <c r="AG34">
        <v>9.8666669999999996</v>
      </c>
      <c r="AH34">
        <v>9.8666669999999996</v>
      </c>
      <c r="AI34">
        <v>9.283334</v>
      </c>
      <c r="AJ34">
        <v>0.58333299999999999</v>
      </c>
      <c r="AK34">
        <v>0</v>
      </c>
      <c r="AL34" s="76">
        <v>45021</v>
      </c>
      <c r="AM34" s="75">
        <v>1004</v>
      </c>
      <c r="AN34" t="s">
        <v>65</v>
      </c>
      <c r="AO34" t="s">
        <v>212</v>
      </c>
      <c r="AP34" t="s">
        <v>67</v>
      </c>
      <c r="AQ34" t="s">
        <v>68</v>
      </c>
      <c r="AR34" t="s">
        <v>69</v>
      </c>
      <c r="AS34" s="78"/>
      <c r="AT34" s="82" t="s">
        <v>200</v>
      </c>
      <c r="AU34" s="78">
        <v>2026</v>
      </c>
      <c r="AV34" s="78">
        <v>1</v>
      </c>
      <c r="AW34" s="78" t="s">
        <v>71</v>
      </c>
      <c r="AX34" s="78">
        <v>0</v>
      </c>
      <c r="AY34" s="78">
        <v>0</v>
      </c>
      <c r="BT34" s="2" t="s">
        <v>71</v>
      </c>
      <c r="BU34" s="2">
        <v>0</v>
      </c>
      <c r="BV34" s="2">
        <v>0</v>
      </c>
    </row>
    <row r="35" spans="1:74" ht="15" customHeight="1" x14ac:dyDescent="0.25">
      <c r="A35" s="75">
        <v>5743523</v>
      </c>
      <c r="B35" t="s">
        <v>319</v>
      </c>
      <c r="C35" t="s">
        <v>320</v>
      </c>
      <c r="D35" t="s">
        <v>155</v>
      </c>
      <c r="E35" t="s">
        <v>87</v>
      </c>
      <c r="F35" s="75">
        <v>375</v>
      </c>
      <c r="G35" s="75">
        <v>286793</v>
      </c>
      <c r="H35">
        <v>364.96</v>
      </c>
      <c r="I35" t="s">
        <v>55</v>
      </c>
      <c r="J35" s="75">
        <v>218787</v>
      </c>
      <c r="K35" t="s">
        <v>96</v>
      </c>
      <c r="L35" t="s">
        <v>97</v>
      </c>
      <c r="M35" s="81">
        <v>46025.215763888889</v>
      </c>
      <c r="N35" s="81">
        <v>46028.365312499998</v>
      </c>
      <c r="O35" t="s">
        <v>58</v>
      </c>
      <c r="P35" t="s">
        <v>59</v>
      </c>
      <c r="Q35" t="s">
        <v>90</v>
      </c>
      <c r="R35" t="s">
        <v>131</v>
      </c>
      <c r="U35" s="75">
        <v>166551</v>
      </c>
      <c r="V35" t="s">
        <v>321</v>
      </c>
      <c r="W35" t="s">
        <v>322</v>
      </c>
      <c r="X35" t="s">
        <v>62</v>
      </c>
      <c r="Y35" t="s">
        <v>63</v>
      </c>
      <c r="AA35" t="s">
        <v>64</v>
      </c>
      <c r="AB35">
        <v>75.516666000000001</v>
      </c>
      <c r="AC35">
        <v>70.583332999999996</v>
      </c>
      <c r="AD35">
        <v>4.9333330000000002</v>
      </c>
      <c r="AE35">
        <v>0.48333300000000001</v>
      </c>
      <c r="AF35">
        <v>0</v>
      </c>
      <c r="AG35">
        <v>4.45</v>
      </c>
      <c r="AH35">
        <v>4.45</v>
      </c>
      <c r="AI35">
        <v>3.0666669999999998</v>
      </c>
      <c r="AJ35">
        <v>1.3833329999999999</v>
      </c>
      <c r="AK35">
        <v>0</v>
      </c>
      <c r="AL35" s="76">
        <v>44939</v>
      </c>
      <c r="AM35" s="75">
        <v>1086</v>
      </c>
      <c r="AN35" t="s">
        <v>65</v>
      </c>
      <c r="AO35" t="s">
        <v>323</v>
      </c>
      <c r="AP35" t="s">
        <v>67</v>
      </c>
      <c r="AQ35" t="s">
        <v>68</v>
      </c>
      <c r="AR35" t="s">
        <v>69</v>
      </c>
      <c r="AS35" s="79"/>
      <c r="AT35" s="82" t="s">
        <v>200</v>
      </c>
      <c r="AU35" s="78">
        <v>2026</v>
      </c>
      <c r="AV35" s="78">
        <v>1</v>
      </c>
      <c r="AW35" s="78" t="s">
        <v>71</v>
      </c>
      <c r="AX35" s="78">
        <v>1</v>
      </c>
      <c r="AY35" s="78">
        <v>0</v>
      </c>
      <c r="BT35" s="3" t="s">
        <v>71</v>
      </c>
      <c r="BU35" s="3">
        <v>1</v>
      </c>
      <c r="BV35" s="3">
        <v>0</v>
      </c>
    </row>
    <row r="36" spans="1:74" ht="15" customHeight="1" x14ac:dyDescent="0.25">
      <c r="A36" s="75">
        <v>5745245</v>
      </c>
      <c r="B36" t="s">
        <v>324</v>
      </c>
      <c r="C36" t="s">
        <v>325</v>
      </c>
      <c r="D36" t="s">
        <v>155</v>
      </c>
      <c r="E36" t="s">
        <v>87</v>
      </c>
      <c r="F36" s="75">
        <v>393</v>
      </c>
      <c r="G36" s="75">
        <v>286891</v>
      </c>
      <c r="H36">
        <v>364.96</v>
      </c>
      <c r="I36" t="s">
        <v>55</v>
      </c>
      <c r="J36" s="75">
        <v>218787</v>
      </c>
      <c r="K36" t="s">
        <v>96</v>
      </c>
      <c r="L36" t="s">
        <v>97</v>
      </c>
      <c r="M36" s="81">
        <v>46026.93105324074</v>
      </c>
      <c r="N36" s="81">
        <v>46028.366423611107</v>
      </c>
      <c r="O36" t="s">
        <v>58</v>
      </c>
      <c r="P36" t="s">
        <v>59</v>
      </c>
      <c r="Q36" t="s">
        <v>90</v>
      </c>
      <c r="R36" t="s">
        <v>60</v>
      </c>
      <c r="U36" s="75">
        <v>166513</v>
      </c>
      <c r="V36" t="s">
        <v>326</v>
      </c>
      <c r="W36" t="s">
        <v>327</v>
      </c>
      <c r="X36" t="s">
        <v>62</v>
      </c>
      <c r="Y36" t="s">
        <v>63</v>
      </c>
      <c r="AA36" t="s">
        <v>64</v>
      </c>
      <c r="AB36">
        <v>34.383333999999998</v>
      </c>
      <c r="AC36">
        <v>26.416667</v>
      </c>
      <c r="AD36">
        <v>7.9666670000000002</v>
      </c>
      <c r="AE36">
        <v>0.2</v>
      </c>
      <c r="AF36">
        <v>0</v>
      </c>
      <c r="AG36">
        <v>7.766667</v>
      </c>
      <c r="AH36">
        <v>7.766667</v>
      </c>
      <c r="AI36">
        <v>7.4</v>
      </c>
      <c r="AJ36">
        <v>0.36666700000000002</v>
      </c>
      <c r="AK36">
        <v>0</v>
      </c>
      <c r="AL36" s="76">
        <v>44974</v>
      </c>
      <c r="AM36" s="75">
        <v>1052</v>
      </c>
      <c r="AN36" t="s">
        <v>65</v>
      </c>
      <c r="AO36" t="s">
        <v>328</v>
      </c>
      <c r="AP36" t="s">
        <v>67</v>
      </c>
      <c r="AQ36" t="s">
        <v>68</v>
      </c>
      <c r="AR36" t="s">
        <v>69</v>
      </c>
      <c r="AS36" s="78"/>
      <c r="AT36" s="82" t="s">
        <v>200</v>
      </c>
      <c r="AU36" s="78">
        <v>2026</v>
      </c>
      <c r="AV36" s="78">
        <v>1</v>
      </c>
      <c r="AW36" s="78" t="s">
        <v>71</v>
      </c>
      <c r="AX36" s="78">
        <v>1</v>
      </c>
      <c r="AY36" s="78">
        <v>0</v>
      </c>
      <c r="BT36" s="2" t="s">
        <v>71</v>
      </c>
      <c r="BU36" s="2">
        <v>1</v>
      </c>
      <c r="BV36" s="2">
        <v>0</v>
      </c>
    </row>
    <row r="37" spans="1:74" ht="15" customHeight="1" x14ac:dyDescent="0.25">
      <c r="A37" s="75">
        <v>5747277</v>
      </c>
      <c r="B37" t="s">
        <v>329</v>
      </c>
      <c r="C37" t="s">
        <v>330</v>
      </c>
      <c r="D37" t="s">
        <v>155</v>
      </c>
      <c r="E37" t="s">
        <v>54</v>
      </c>
      <c r="F37" s="75">
        <v>16</v>
      </c>
      <c r="G37" s="75">
        <v>50431</v>
      </c>
      <c r="H37">
        <v>300</v>
      </c>
      <c r="I37" t="s">
        <v>55</v>
      </c>
      <c r="J37" s="75">
        <v>13955</v>
      </c>
      <c r="K37" t="s">
        <v>75</v>
      </c>
      <c r="L37" t="s">
        <v>76</v>
      </c>
      <c r="M37" s="81">
        <v>46027.655682870369</v>
      </c>
      <c r="N37" s="81">
        <v>46028.394594907397</v>
      </c>
      <c r="O37" t="s">
        <v>58</v>
      </c>
      <c r="P37" t="s">
        <v>59</v>
      </c>
      <c r="Q37" t="s">
        <v>77</v>
      </c>
      <c r="R37" t="s">
        <v>99</v>
      </c>
      <c r="U37" s="75">
        <v>167221</v>
      </c>
      <c r="V37" t="s">
        <v>331</v>
      </c>
      <c r="W37" t="s">
        <v>332</v>
      </c>
      <c r="X37" t="s">
        <v>62</v>
      </c>
      <c r="Y37" t="s">
        <v>63</v>
      </c>
      <c r="AA37" t="s">
        <v>81</v>
      </c>
      <c r="AB37">
        <v>17.666665999999999</v>
      </c>
      <c r="AC37">
        <v>14.299999</v>
      </c>
      <c r="AD37">
        <v>3.3666670000000001</v>
      </c>
      <c r="AE37">
        <v>0.216667</v>
      </c>
      <c r="AF37">
        <v>0</v>
      </c>
      <c r="AG37">
        <v>3.15</v>
      </c>
      <c r="AH37">
        <v>3.15</v>
      </c>
      <c r="AI37">
        <v>3</v>
      </c>
      <c r="AJ37">
        <v>0.15</v>
      </c>
      <c r="AK37">
        <v>0</v>
      </c>
      <c r="AL37" s="76">
        <v>42332</v>
      </c>
      <c r="AM37" s="75">
        <v>3695</v>
      </c>
      <c r="AN37" t="s">
        <v>65</v>
      </c>
      <c r="AO37" t="s">
        <v>333</v>
      </c>
      <c r="AP37" t="s">
        <v>67</v>
      </c>
      <c r="AQ37" t="s">
        <v>68</v>
      </c>
      <c r="AR37" t="s">
        <v>69</v>
      </c>
      <c r="AS37" s="79"/>
      <c r="AT37" s="82" t="s">
        <v>200</v>
      </c>
      <c r="AU37" s="78">
        <v>2026</v>
      </c>
      <c r="AV37" s="78">
        <v>1</v>
      </c>
      <c r="AW37" s="78" t="s">
        <v>71</v>
      </c>
      <c r="AX37" s="78">
        <v>1</v>
      </c>
      <c r="AY37" s="78">
        <v>0</v>
      </c>
      <c r="BT37" s="3" t="s">
        <v>71</v>
      </c>
      <c r="BU37" s="3">
        <v>1</v>
      </c>
      <c r="BV37" s="3">
        <v>0</v>
      </c>
    </row>
    <row r="38" spans="1:74" ht="15" customHeight="1" x14ac:dyDescent="0.25">
      <c r="A38" s="75">
        <v>5746191</v>
      </c>
      <c r="B38" t="s">
        <v>334</v>
      </c>
      <c r="C38" t="s">
        <v>256</v>
      </c>
      <c r="D38" t="s">
        <v>155</v>
      </c>
      <c r="E38" t="s">
        <v>54</v>
      </c>
      <c r="F38" s="75">
        <v>9</v>
      </c>
      <c r="G38" s="75">
        <v>295423</v>
      </c>
      <c r="H38">
        <v>200</v>
      </c>
      <c r="I38" t="s">
        <v>55</v>
      </c>
      <c r="J38" s="75">
        <v>218297</v>
      </c>
      <c r="K38" t="s">
        <v>258</v>
      </c>
      <c r="L38" t="s">
        <v>259</v>
      </c>
      <c r="M38" s="81">
        <v>46027.430671296293</v>
      </c>
      <c r="N38" s="81">
        <v>46028.418622685182</v>
      </c>
      <c r="O38" t="s">
        <v>58</v>
      </c>
      <c r="P38" t="s">
        <v>59</v>
      </c>
      <c r="Q38" t="s">
        <v>77</v>
      </c>
      <c r="R38" t="s">
        <v>60</v>
      </c>
      <c r="U38" s="75">
        <v>166879</v>
      </c>
      <c r="V38" t="s">
        <v>335</v>
      </c>
      <c r="W38" t="s">
        <v>335</v>
      </c>
      <c r="X38" t="s">
        <v>62</v>
      </c>
      <c r="Y38" t="s">
        <v>63</v>
      </c>
      <c r="AA38" t="s">
        <v>64</v>
      </c>
      <c r="AB38">
        <v>23.633333</v>
      </c>
      <c r="AC38">
        <v>17.316666999999999</v>
      </c>
      <c r="AD38">
        <v>6.3166659999999997</v>
      </c>
      <c r="AE38">
        <v>0.23333300000000001</v>
      </c>
      <c r="AF38">
        <v>0</v>
      </c>
      <c r="AG38">
        <v>6.0833329999999997</v>
      </c>
      <c r="AH38">
        <v>6.0833329999999997</v>
      </c>
      <c r="AI38">
        <v>6.05</v>
      </c>
      <c r="AJ38">
        <v>3.3333000000000002E-2</v>
      </c>
      <c r="AK38">
        <v>0</v>
      </c>
      <c r="AL38" s="76">
        <v>45293.489282407398</v>
      </c>
      <c r="AM38" s="75">
        <v>733</v>
      </c>
      <c r="AN38" t="s">
        <v>65</v>
      </c>
      <c r="AO38" t="s">
        <v>336</v>
      </c>
      <c r="AP38" t="s">
        <v>67</v>
      </c>
      <c r="AQ38" t="s">
        <v>68</v>
      </c>
      <c r="AR38" t="s">
        <v>69</v>
      </c>
      <c r="AS38" s="78"/>
      <c r="AT38" s="82" t="s">
        <v>200</v>
      </c>
      <c r="AU38" s="78">
        <v>2026</v>
      </c>
      <c r="AV38" s="78">
        <v>1</v>
      </c>
      <c r="AW38" s="78" t="s">
        <v>71</v>
      </c>
      <c r="AX38" s="78">
        <v>1</v>
      </c>
      <c r="AY38" s="78">
        <v>0</v>
      </c>
      <c r="BT38" s="2" t="s">
        <v>71</v>
      </c>
      <c r="BU38" s="2">
        <v>1</v>
      </c>
      <c r="BV38" s="2">
        <v>0</v>
      </c>
    </row>
    <row r="39" spans="1:74" ht="15" customHeight="1" x14ac:dyDescent="0.25">
      <c r="A39" s="75">
        <v>5746745</v>
      </c>
      <c r="B39" t="s">
        <v>337</v>
      </c>
      <c r="C39" t="s">
        <v>338</v>
      </c>
      <c r="D39" t="s">
        <v>74</v>
      </c>
      <c r="E39" t="s">
        <v>126</v>
      </c>
      <c r="F39" s="75">
        <v>1</v>
      </c>
      <c r="G39" s="75">
        <v>269667</v>
      </c>
      <c r="H39">
        <v>2310</v>
      </c>
      <c r="I39" t="s">
        <v>242</v>
      </c>
      <c r="J39" s="75">
        <v>214735</v>
      </c>
      <c r="K39" t="s">
        <v>339</v>
      </c>
      <c r="L39" t="s">
        <v>340</v>
      </c>
      <c r="M39" s="81">
        <v>46027.538437499999</v>
      </c>
      <c r="N39" s="81">
        <v>46028.43822916667</v>
      </c>
      <c r="O39" t="s">
        <v>58</v>
      </c>
      <c r="P39" t="s">
        <v>59</v>
      </c>
      <c r="Q39" t="s">
        <v>341</v>
      </c>
      <c r="R39" t="s">
        <v>99</v>
      </c>
      <c r="T39" t="s">
        <v>342</v>
      </c>
      <c r="U39" s="75">
        <v>167037</v>
      </c>
      <c r="V39" t="s">
        <v>343</v>
      </c>
      <c r="W39" t="s">
        <v>344</v>
      </c>
      <c r="X39" t="s">
        <v>118</v>
      </c>
      <c r="Y39" t="s">
        <v>345</v>
      </c>
      <c r="AA39" t="s">
        <v>81</v>
      </c>
      <c r="AB39">
        <v>21.566666999999999</v>
      </c>
      <c r="AC39">
        <v>19.583333</v>
      </c>
      <c r="AD39">
        <v>1.9833339999999999</v>
      </c>
      <c r="AE39">
        <v>1.2333339999999999</v>
      </c>
      <c r="AF39">
        <v>0</v>
      </c>
      <c r="AG39">
        <v>0.75</v>
      </c>
      <c r="AH39">
        <v>0.75</v>
      </c>
      <c r="AI39">
        <v>0.71666700000000005</v>
      </c>
      <c r="AJ39">
        <v>3.3333000000000002E-2</v>
      </c>
      <c r="AK39">
        <v>0</v>
      </c>
      <c r="AL39" s="76">
        <v>36526</v>
      </c>
      <c r="AM39" s="75">
        <v>9501</v>
      </c>
      <c r="AN39" t="s">
        <v>65</v>
      </c>
      <c r="AO39" t="s">
        <v>346</v>
      </c>
      <c r="AP39" t="s">
        <v>67</v>
      </c>
      <c r="AQ39" t="s">
        <v>121</v>
      </c>
      <c r="AR39" t="s">
        <v>69</v>
      </c>
      <c r="AS39" s="79"/>
      <c r="AT39" s="82" t="s">
        <v>200</v>
      </c>
      <c r="AU39" s="78">
        <v>2026</v>
      </c>
      <c r="AV39" s="78">
        <v>1</v>
      </c>
      <c r="AW39" s="78" t="s">
        <v>347</v>
      </c>
      <c r="AX39" s="78">
        <v>1</v>
      </c>
      <c r="AY39" s="78">
        <v>0</v>
      </c>
      <c r="BT39" s="3" t="s">
        <v>347</v>
      </c>
      <c r="BU39" s="3">
        <v>1</v>
      </c>
      <c r="BV39" s="3">
        <v>0</v>
      </c>
    </row>
    <row r="40" spans="1:74" ht="15" customHeight="1" x14ac:dyDescent="0.25">
      <c r="A40" s="75">
        <v>5743995</v>
      </c>
      <c r="B40" t="s">
        <v>348</v>
      </c>
      <c r="C40" t="s">
        <v>349</v>
      </c>
      <c r="D40" t="s">
        <v>155</v>
      </c>
      <c r="E40" t="s">
        <v>87</v>
      </c>
      <c r="F40" s="75">
        <v>22</v>
      </c>
      <c r="G40" s="75">
        <v>279675</v>
      </c>
      <c r="H40">
        <v>0</v>
      </c>
      <c r="I40" t="s">
        <v>242</v>
      </c>
      <c r="J40" s="75">
        <v>149307</v>
      </c>
      <c r="K40" t="s">
        <v>350</v>
      </c>
      <c r="L40" t="s">
        <v>351</v>
      </c>
      <c r="M40" s="81">
        <v>46025.562974537039</v>
      </c>
      <c r="N40" s="81">
        <v>46028.495740740742</v>
      </c>
      <c r="O40" t="s">
        <v>58</v>
      </c>
      <c r="P40" t="s">
        <v>59</v>
      </c>
      <c r="Q40" t="s">
        <v>90</v>
      </c>
      <c r="R40" t="s">
        <v>131</v>
      </c>
      <c r="U40" s="75">
        <v>166537</v>
      </c>
      <c r="V40" t="s">
        <v>352</v>
      </c>
      <c r="W40" t="s">
        <v>352</v>
      </c>
      <c r="X40" t="s">
        <v>62</v>
      </c>
      <c r="Y40" t="s">
        <v>63</v>
      </c>
      <c r="AA40" t="s">
        <v>64</v>
      </c>
      <c r="AB40">
        <v>70.333331999999999</v>
      </c>
      <c r="AC40">
        <v>64.383332999999993</v>
      </c>
      <c r="AD40">
        <v>5.949999</v>
      </c>
      <c r="AE40">
        <v>1.233333</v>
      </c>
      <c r="AF40">
        <v>0</v>
      </c>
      <c r="AG40">
        <v>4.716666</v>
      </c>
      <c r="AH40">
        <v>4.716666</v>
      </c>
      <c r="AI40">
        <v>1.8166659999999999</v>
      </c>
      <c r="AJ40">
        <v>2.9</v>
      </c>
      <c r="AK40">
        <v>0</v>
      </c>
      <c r="AL40" s="76">
        <v>44767</v>
      </c>
      <c r="AM40" s="75">
        <v>1258</v>
      </c>
      <c r="AN40" t="s">
        <v>65</v>
      </c>
      <c r="AO40" t="s">
        <v>353</v>
      </c>
      <c r="AP40" t="s">
        <v>67</v>
      </c>
      <c r="AQ40" t="s">
        <v>68</v>
      </c>
      <c r="AR40" t="s">
        <v>69</v>
      </c>
      <c r="AS40" s="78"/>
      <c r="AT40" s="82" t="s">
        <v>200</v>
      </c>
      <c r="AU40" s="78">
        <v>2026</v>
      </c>
      <c r="AV40" s="78">
        <v>1</v>
      </c>
      <c r="AW40" s="78" t="s">
        <v>71</v>
      </c>
      <c r="AX40" s="78">
        <v>1</v>
      </c>
      <c r="AY40" s="78">
        <v>0</v>
      </c>
      <c r="BT40" s="2" t="s">
        <v>71</v>
      </c>
      <c r="BU40" s="2">
        <v>1</v>
      </c>
      <c r="BV40" s="2">
        <v>0</v>
      </c>
    </row>
    <row r="41" spans="1:74" ht="15" customHeight="1" x14ac:dyDescent="0.25">
      <c r="A41" s="75">
        <v>5747145</v>
      </c>
      <c r="B41" t="s">
        <v>354</v>
      </c>
      <c r="C41" t="s">
        <v>355</v>
      </c>
      <c r="D41" t="s">
        <v>257</v>
      </c>
      <c r="E41" t="s">
        <v>54</v>
      </c>
      <c r="F41" s="75">
        <v>1</v>
      </c>
      <c r="G41" s="75">
        <v>298751</v>
      </c>
      <c r="H41">
        <v>314.39</v>
      </c>
      <c r="I41" t="s">
        <v>114</v>
      </c>
      <c r="J41" s="75">
        <v>218805</v>
      </c>
      <c r="K41" t="s">
        <v>356</v>
      </c>
      <c r="L41" t="s">
        <v>357</v>
      </c>
      <c r="M41" s="81">
        <v>46027.637129629627</v>
      </c>
      <c r="N41" s="81">
        <v>46028.529236111113</v>
      </c>
      <c r="O41" t="s">
        <v>58</v>
      </c>
      <c r="P41" t="s">
        <v>59</v>
      </c>
      <c r="Q41" t="s">
        <v>130</v>
      </c>
      <c r="R41" t="s">
        <v>60</v>
      </c>
      <c r="U41" s="75">
        <v>167219</v>
      </c>
      <c r="V41" t="s">
        <v>358</v>
      </c>
      <c r="W41" t="s">
        <v>359</v>
      </c>
      <c r="X41" t="s">
        <v>62</v>
      </c>
      <c r="Y41" t="s">
        <v>63</v>
      </c>
      <c r="AA41" t="s">
        <v>101</v>
      </c>
      <c r="AB41">
        <v>21.35</v>
      </c>
      <c r="AC41">
        <v>12.983333</v>
      </c>
      <c r="AD41">
        <v>8.3666669999999996</v>
      </c>
      <c r="AE41">
        <v>0.23333300000000001</v>
      </c>
      <c r="AF41">
        <v>0</v>
      </c>
      <c r="AG41">
        <v>8.1333339999999996</v>
      </c>
      <c r="AH41">
        <v>8.1333339999999996</v>
      </c>
      <c r="AI41">
        <v>8.1</v>
      </c>
      <c r="AJ41">
        <v>3.3334000000000003E-2</v>
      </c>
      <c r="AK41">
        <v>0</v>
      </c>
      <c r="AL41" s="76">
        <v>45288.671597222223</v>
      </c>
      <c r="AM41" s="75">
        <v>738</v>
      </c>
      <c r="AN41" t="s">
        <v>65</v>
      </c>
      <c r="AO41" t="s">
        <v>360</v>
      </c>
      <c r="AP41" t="s">
        <v>67</v>
      </c>
      <c r="AQ41" t="s">
        <v>68</v>
      </c>
      <c r="AR41" t="s">
        <v>69</v>
      </c>
      <c r="AS41" s="79"/>
      <c r="AT41" s="82" t="s">
        <v>200</v>
      </c>
      <c r="AU41" s="78">
        <v>2026</v>
      </c>
      <c r="AV41" s="78">
        <v>1</v>
      </c>
      <c r="AW41" s="78" t="s">
        <v>71</v>
      </c>
      <c r="AX41" s="78">
        <v>0</v>
      </c>
      <c r="AY41" s="78">
        <v>0</v>
      </c>
      <c r="BT41" s="3" t="s">
        <v>71</v>
      </c>
      <c r="BU41" s="3">
        <v>0</v>
      </c>
      <c r="BV41" s="3">
        <v>0</v>
      </c>
    </row>
    <row r="42" spans="1:74" ht="15" customHeight="1" x14ac:dyDescent="0.25">
      <c r="A42" s="75">
        <v>5746495</v>
      </c>
      <c r="B42" t="s">
        <v>361</v>
      </c>
      <c r="C42" t="s">
        <v>362</v>
      </c>
      <c r="D42" t="s">
        <v>150</v>
      </c>
      <c r="E42" t="s">
        <v>126</v>
      </c>
      <c r="F42" s="75">
        <v>21</v>
      </c>
      <c r="G42" s="75">
        <v>342799</v>
      </c>
      <c r="H42">
        <v>250</v>
      </c>
      <c r="I42" t="s">
        <v>175</v>
      </c>
      <c r="J42" s="75">
        <v>133341</v>
      </c>
      <c r="K42" t="s">
        <v>176</v>
      </c>
      <c r="L42" t="s">
        <v>177</v>
      </c>
      <c r="M42" s="81">
        <v>46027.484178240738</v>
      </c>
      <c r="N42" s="81">
        <v>46028.546620370369</v>
      </c>
      <c r="O42" t="s">
        <v>58</v>
      </c>
      <c r="P42" t="s">
        <v>59</v>
      </c>
      <c r="Q42" t="s">
        <v>130</v>
      </c>
      <c r="R42" t="s">
        <v>131</v>
      </c>
      <c r="U42" s="75">
        <v>167217</v>
      </c>
      <c r="V42" t="s">
        <v>363</v>
      </c>
      <c r="W42" t="s">
        <v>364</v>
      </c>
      <c r="X42" t="s">
        <v>62</v>
      </c>
      <c r="Y42" t="s">
        <v>63</v>
      </c>
      <c r="AA42" t="s">
        <v>64</v>
      </c>
      <c r="AB42">
        <v>25.400001</v>
      </c>
      <c r="AC42">
        <v>17.266667000000002</v>
      </c>
      <c r="AD42">
        <v>8.1333339999999996</v>
      </c>
      <c r="AE42">
        <v>1.1166670000000001</v>
      </c>
      <c r="AF42">
        <v>0</v>
      </c>
      <c r="AG42">
        <v>7.016667</v>
      </c>
      <c r="AH42">
        <v>7.016667</v>
      </c>
      <c r="AI42">
        <v>6.983333</v>
      </c>
      <c r="AJ42">
        <v>3.3334000000000003E-2</v>
      </c>
      <c r="AK42">
        <v>0</v>
      </c>
      <c r="AL42" s="76">
        <v>45966.723807870367</v>
      </c>
      <c r="AM42" s="75">
        <v>60</v>
      </c>
      <c r="AN42" t="s">
        <v>65</v>
      </c>
      <c r="AO42" t="s">
        <v>365</v>
      </c>
      <c r="AP42" t="s">
        <v>67</v>
      </c>
      <c r="AQ42" t="s">
        <v>68</v>
      </c>
      <c r="AR42" t="s">
        <v>69</v>
      </c>
      <c r="AS42" s="78"/>
      <c r="AT42" s="82" t="s">
        <v>200</v>
      </c>
      <c r="AU42" s="78">
        <v>2026</v>
      </c>
      <c r="AV42" s="78">
        <v>1</v>
      </c>
      <c r="AW42" s="78" t="s">
        <v>71</v>
      </c>
      <c r="AX42" s="78">
        <v>1</v>
      </c>
      <c r="AY42" s="78">
        <v>0</v>
      </c>
      <c r="BT42" s="2" t="s">
        <v>71</v>
      </c>
      <c r="BU42" s="2">
        <v>1</v>
      </c>
      <c r="BV42" s="2">
        <v>0</v>
      </c>
    </row>
    <row r="43" spans="1:74" ht="15" customHeight="1" x14ac:dyDescent="0.25">
      <c r="A43" s="75">
        <v>5746145</v>
      </c>
      <c r="B43" t="s">
        <v>366</v>
      </c>
      <c r="C43" t="s">
        <v>367</v>
      </c>
      <c r="D43" t="s">
        <v>74</v>
      </c>
      <c r="E43" t="s">
        <v>87</v>
      </c>
      <c r="F43" s="75">
        <v>107</v>
      </c>
      <c r="G43" s="75">
        <v>100653</v>
      </c>
      <c r="H43">
        <v>788.96</v>
      </c>
      <c r="I43" t="s">
        <v>368</v>
      </c>
      <c r="J43" s="75">
        <v>6971</v>
      </c>
      <c r="K43" t="s">
        <v>369</v>
      </c>
      <c r="L43" t="s">
        <v>370</v>
      </c>
      <c r="M43" s="81">
        <v>46027.422858796293</v>
      </c>
      <c r="N43" s="81">
        <v>46028.648055555554</v>
      </c>
      <c r="O43" t="s">
        <v>58</v>
      </c>
      <c r="P43" t="s">
        <v>59</v>
      </c>
      <c r="Q43" t="s">
        <v>130</v>
      </c>
      <c r="R43" t="s">
        <v>60</v>
      </c>
      <c r="U43" s="75">
        <v>166883</v>
      </c>
      <c r="V43" t="s">
        <v>371</v>
      </c>
      <c r="W43" t="s">
        <v>371</v>
      </c>
      <c r="X43" t="s">
        <v>79</v>
      </c>
      <c r="Y43" t="s">
        <v>372</v>
      </c>
      <c r="AA43" t="s">
        <v>64</v>
      </c>
      <c r="AB43">
        <v>29.35</v>
      </c>
      <c r="AC43">
        <v>23.983332999999998</v>
      </c>
      <c r="AD43">
        <v>5.3666669999999996</v>
      </c>
      <c r="AE43">
        <v>0.25</v>
      </c>
      <c r="AF43">
        <v>0</v>
      </c>
      <c r="AG43">
        <v>5.1166669999999996</v>
      </c>
      <c r="AH43">
        <v>5.1166669999999996</v>
      </c>
      <c r="AI43">
        <v>4.9333340000000003</v>
      </c>
      <c r="AJ43">
        <v>0.183333</v>
      </c>
      <c r="AK43">
        <v>0</v>
      </c>
      <c r="AL43" s="76">
        <v>43599.445138888892</v>
      </c>
      <c r="AM43" s="75">
        <v>2427</v>
      </c>
      <c r="AN43" t="s">
        <v>65</v>
      </c>
      <c r="AO43" t="s">
        <v>373</v>
      </c>
      <c r="AP43" t="s">
        <v>67</v>
      </c>
      <c r="AQ43" t="s">
        <v>83</v>
      </c>
      <c r="AR43" t="s">
        <v>69</v>
      </c>
      <c r="AS43" s="79"/>
      <c r="AT43" s="82" t="s">
        <v>200</v>
      </c>
      <c r="AU43" s="78">
        <v>2026</v>
      </c>
      <c r="AV43" s="78">
        <v>1</v>
      </c>
      <c r="AW43" s="78" t="s">
        <v>84</v>
      </c>
      <c r="AX43" s="78">
        <v>1</v>
      </c>
      <c r="AY43" s="78">
        <v>0</v>
      </c>
      <c r="BT43" s="3" t="s">
        <v>84</v>
      </c>
      <c r="BU43" s="3">
        <v>1</v>
      </c>
      <c r="BV43" s="3">
        <v>0</v>
      </c>
    </row>
    <row r="44" spans="1:74" ht="15" customHeight="1" x14ac:dyDescent="0.25">
      <c r="A44" s="75">
        <v>5746055</v>
      </c>
      <c r="B44" t="s">
        <v>374</v>
      </c>
      <c r="C44" t="s">
        <v>375</v>
      </c>
      <c r="D44" t="s">
        <v>74</v>
      </c>
      <c r="E44" t="s">
        <v>54</v>
      </c>
      <c r="F44" s="75">
        <v>9</v>
      </c>
      <c r="G44" s="75">
        <v>302283</v>
      </c>
      <c r="H44">
        <v>360.5</v>
      </c>
      <c r="I44" t="s">
        <v>114</v>
      </c>
      <c r="J44" s="75">
        <v>204321</v>
      </c>
      <c r="K44" t="s">
        <v>376</v>
      </c>
      <c r="L44" t="s">
        <v>377</v>
      </c>
      <c r="M44" s="81">
        <v>46027.405972222223</v>
      </c>
      <c r="N44" s="81">
        <v>46028.676608796297</v>
      </c>
      <c r="O44" t="s">
        <v>58</v>
      </c>
      <c r="P44" t="s">
        <v>59</v>
      </c>
      <c r="Q44" t="s">
        <v>130</v>
      </c>
      <c r="R44" t="s">
        <v>60</v>
      </c>
      <c r="U44" s="75">
        <v>167209</v>
      </c>
      <c r="V44" t="s">
        <v>378</v>
      </c>
      <c r="W44" t="s">
        <v>379</v>
      </c>
      <c r="X44" t="s">
        <v>62</v>
      </c>
      <c r="Y44" t="s">
        <v>63</v>
      </c>
      <c r="AA44" t="s">
        <v>295</v>
      </c>
      <c r="AB44">
        <v>30.45</v>
      </c>
      <c r="AC44">
        <v>4.8</v>
      </c>
      <c r="AD44">
        <v>25.65</v>
      </c>
      <c r="AE44">
        <v>0.11666700000000001</v>
      </c>
      <c r="AF44">
        <v>0</v>
      </c>
      <c r="AG44">
        <v>25.533332999999999</v>
      </c>
      <c r="AH44">
        <v>25.533332999999999</v>
      </c>
      <c r="AI44">
        <v>25.35</v>
      </c>
      <c r="AJ44">
        <v>0.183333</v>
      </c>
      <c r="AK44">
        <v>0</v>
      </c>
      <c r="AL44" s="76">
        <v>45428</v>
      </c>
      <c r="AM44" s="75">
        <v>599</v>
      </c>
      <c r="AN44" t="s">
        <v>65</v>
      </c>
      <c r="AO44" t="s">
        <v>380</v>
      </c>
      <c r="AP44" t="s">
        <v>67</v>
      </c>
      <c r="AQ44" t="s">
        <v>68</v>
      </c>
      <c r="AR44" t="s">
        <v>69</v>
      </c>
      <c r="AS44" s="78"/>
      <c r="AT44" s="82" t="s">
        <v>200</v>
      </c>
      <c r="AU44" s="78">
        <v>2026</v>
      </c>
      <c r="AV44" s="78">
        <v>1</v>
      </c>
      <c r="AW44" s="78" t="s">
        <v>71</v>
      </c>
      <c r="AX44" s="78">
        <v>0</v>
      </c>
      <c r="AY44" s="78">
        <v>1</v>
      </c>
      <c r="BT44" s="2" t="s">
        <v>71</v>
      </c>
      <c r="BU44" s="2">
        <v>0</v>
      </c>
      <c r="BV44" s="2">
        <v>1</v>
      </c>
    </row>
    <row r="45" spans="1:74" ht="15" customHeight="1" x14ac:dyDescent="0.25">
      <c r="A45" s="75">
        <v>5750435</v>
      </c>
      <c r="B45" t="s">
        <v>381</v>
      </c>
      <c r="C45" t="s">
        <v>382</v>
      </c>
      <c r="D45" t="s">
        <v>162</v>
      </c>
      <c r="E45" t="s">
        <v>54</v>
      </c>
      <c r="F45" s="75">
        <v>1</v>
      </c>
      <c r="G45" s="75">
        <v>102583</v>
      </c>
      <c r="H45">
        <v>385.96</v>
      </c>
      <c r="I45" t="s">
        <v>114</v>
      </c>
      <c r="J45" s="75">
        <v>84093</v>
      </c>
      <c r="K45" t="s">
        <v>383</v>
      </c>
      <c r="L45" t="s">
        <v>384</v>
      </c>
      <c r="M45" s="81">
        <v>46028.660821759258</v>
      </c>
      <c r="N45" s="81">
        <v>46028.751597222217</v>
      </c>
      <c r="O45" t="s">
        <v>58</v>
      </c>
      <c r="P45" t="s">
        <v>59</v>
      </c>
      <c r="Q45" t="s">
        <v>130</v>
      </c>
      <c r="R45" t="s">
        <v>60</v>
      </c>
      <c r="U45" s="75">
        <v>167891</v>
      </c>
      <c r="V45" t="s">
        <v>385</v>
      </c>
      <c r="W45" t="s">
        <v>385</v>
      </c>
      <c r="X45" t="s">
        <v>79</v>
      </c>
      <c r="Y45" t="s">
        <v>224</v>
      </c>
      <c r="AA45" t="s">
        <v>81</v>
      </c>
      <c r="AB45">
        <v>2.1166670000000001</v>
      </c>
      <c r="AC45">
        <v>0.11666700000000001</v>
      </c>
      <c r="AD45">
        <v>2</v>
      </c>
      <c r="AE45">
        <v>0.3</v>
      </c>
      <c r="AF45">
        <v>0</v>
      </c>
      <c r="AG45">
        <v>1.7</v>
      </c>
      <c r="AH45">
        <v>1.7</v>
      </c>
      <c r="AI45">
        <v>1.433333</v>
      </c>
      <c r="AJ45">
        <v>0.26666699999999999</v>
      </c>
      <c r="AK45">
        <v>0</v>
      </c>
      <c r="AL45" s="76">
        <v>43538.744363425933</v>
      </c>
      <c r="AM45" s="75">
        <v>2489</v>
      </c>
      <c r="AN45" t="s">
        <v>65</v>
      </c>
      <c r="AO45" t="s">
        <v>386</v>
      </c>
      <c r="AP45" t="s">
        <v>67</v>
      </c>
      <c r="AQ45" t="s">
        <v>83</v>
      </c>
      <c r="AR45" t="s">
        <v>69</v>
      </c>
      <c r="AS45" s="79"/>
      <c r="AT45" s="82" t="s">
        <v>200</v>
      </c>
      <c r="AU45" s="78">
        <v>2026</v>
      </c>
      <c r="AV45" s="78">
        <v>1</v>
      </c>
      <c r="AW45" s="78" t="s">
        <v>226</v>
      </c>
      <c r="AX45" s="78">
        <v>1</v>
      </c>
      <c r="AY45" s="78">
        <v>0</v>
      </c>
      <c r="BT45" s="3" t="s">
        <v>226</v>
      </c>
      <c r="BU45" s="3">
        <v>1</v>
      </c>
      <c r="BV45" s="3">
        <v>0</v>
      </c>
    </row>
    <row r="46" spans="1:74" ht="15" customHeight="1" x14ac:dyDescent="0.25">
      <c r="A46" s="75">
        <v>5749481</v>
      </c>
      <c r="B46" t="s">
        <v>387</v>
      </c>
      <c r="C46" t="s">
        <v>388</v>
      </c>
      <c r="D46" t="s">
        <v>150</v>
      </c>
      <c r="E46" t="s">
        <v>105</v>
      </c>
      <c r="F46" s="75">
        <v>12</v>
      </c>
      <c r="G46" s="75">
        <v>296177</v>
      </c>
      <c r="H46">
        <v>3330.9</v>
      </c>
      <c r="I46" t="s">
        <v>55</v>
      </c>
      <c r="J46" s="75">
        <v>229111</v>
      </c>
      <c r="K46" t="s">
        <v>389</v>
      </c>
      <c r="L46" t="s">
        <v>390</v>
      </c>
      <c r="M46" s="81">
        <v>46028.410428240742</v>
      </c>
      <c r="N46" s="81">
        <v>46029.305509259262</v>
      </c>
      <c r="O46" t="s">
        <v>391</v>
      </c>
      <c r="P46" t="s">
        <v>59</v>
      </c>
      <c r="Q46" t="s">
        <v>90</v>
      </c>
      <c r="R46" t="s">
        <v>131</v>
      </c>
      <c r="U46" s="75"/>
      <c r="X46" t="s">
        <v>392</v>
      </c>
      <c r="Y46" t="s">
        <v>393</v>
      </c>
      <c r="AA46" t="s">
        <v>64</v>
      </c>
      <c r="AB46">
        <v>21.416667</v>
      </c>
      <c r="AC46">
        <v>13.516667</v>
      </c>
      <c r="AD46">
        <v>7.9</v>
      </c>
      <c r="AE46">
        <v>1.1000000000000001</v>
      </c>
      <c r="AF46">
        <v>0</v>
      </c>
      <c r="AG46">
        <v>6.8</v>
      </c>
      <c r="AH46">
        <v>6.8</v>
      </c>
      <c r="AI46">
        <v>6.65</v>
      </c>
      <c r="AJ46">
        <v>0.15</v>
      </c>
      <c r="AK46">
        <v>0</v>
      </c>
      <c r="AL46" s="76">
        <v>45320</v>
      </c>
      <c r="AM46" s="75">
        <v>708</v>
      </c>
      <c r="AN46" t="s">
        <v>65</v>
      </c>
      <c r="AO46" t="s">
        <v>394</v>
      </c>
      <c r="AP46" t="s">
        <v>67</v>
      </c>
      <c r="AQ46" t="s">
        <v>121</v>
      </c>
      <c r="AR46" t="s">
        <v>69</v>
      </c>
      <c r="AS46" s="78"/>
      <c r="AT46" s="82" t="s">
        <v>200</v>
      </c>
      <c r="AU46" s="78">
        <v>2026</v>
      </c>
      <c r="AV46" s="78">
        <v>1</v>
      </c>
      <c r="AW46" s="78" t="s">
        <v>392</v>
      </c>
      <c r="AX46" s="78">
        <v>1</v>
      </c>
      <c r="AY46" s="78">
        <v>0</v>
      </c>
      <c r="BT46" s="2" t="s">
        <v>392</v>
      </c>
      <c r="BU46" s="2">
        <v>1</v>
      </c>
      <c r="BV46" s="2">
        <v>0</v>
      </c>
    </row>
    <row r="47" spans="1:74" ht="15" customHeight="1" x14ac:dyDescent="0.25">
      <c r="A47" s="75">
        <v>5749699</v>
      </c>
      <c r="B47" t="s">
        <v>395</v>
      </c>
      <c r="C47" t="s">
        <v>396</v>
      </c>
      <c r="D47" t="s">
        <v>194</v>
      </c>
      <c r="E47" t="s">
        <v>54</v>
      </c>
      <c r="F47" s="75">
        <v>1</v>
      </c>
      <c r="G47" s="75">
        <v>330947</v>
      </c>
      <c r="H47">
        <v>800</v>
      </c>
      <c r="I47" t="s">
        <v>141</v>
      </c>
      <c r="J47" s="75">
        <v>225005</v>
      </c>
      <c r="K47" t="s">
        <v>397</v>
      </c>
      <c r="L47" t="s">
        <v>398</v>
      </c>
      <c r="M47" s="81">
        <v>46028.459085648137</v>
      </c>
      <c r="N47" s="81">
        <v>46029.326249999998</v>
      </c>
      <c r="O47" t="s">
        <v>58</v>
      </c>
      <c r="P47" t="s">
        <v>59</v>
      </c>
      <c r="Q47" t="s">
        <v>90</v>
      </c>
      <c r="R47" t="s">
        <v>156</v>
      </c>
      <c r="U47" s="75">
        <v>167673</v>
      </c>
      <c r="V47" t="s">
        <v>399</v>
      </c>
      <c r="W47" t="s">
        <v>399</v>
      </c>
      <c r="X47" t="s">
        <v>118</v>
      </c>
      <c r="Y47" t="s">
        <v>400</v>
      </c>
      <c r="AA47" t="s">
        <v>81</v>
      </c>
      <c r="AB47">
        <v>20.749998999999999</v>
      </c>
      <c r="AC47">
        <v>17.816666000000001</v>
      </c>
      <c r="AD47">
        <v>2.9333330000000002</v>
      </c>
      <c r="AE47">
        <v>1.216666</v>
      </c>
      <c r="AF47">
        <v>0</v>
      </c>
      <c r="AG47">
        <v>1.7166669999999999</v>
      </c>
      <c r="AH47">
        <v>1.7166669999999999</v>
      </c>
      <c r="AI47">
        <v>1.7</v>
      </c>
      <c r="AJ47">
        <v>1.6667000000000001E-2</v>
      </c>
      <c r="AK47">
        <v>0</v>
      </c>
      <c r="AL47" s="76">
        <v>45713</v>
      </c>
      <c r="AM47" s="75">
        <v>315</v>
      </c>
      <c r="AN47" t="s">
        <v>65</v>
      </c>
      <c r="AO47" t="s">
        <v>401</v>
      </c>
      <c r="AP47" t="s">
        <v>67</v>
      </c>
      <c r="AQ47" t="s">
        <v>121</v>
      </c>
      <c r="AR47" t="s">
        <v>69</v>
      </c>
      <c r="AS47" s="79"/>
      <c r="AT47" s="82" t="s">
        <v>200</v>
      </c>
      <c r="AU47" s="78">
        <v>2026</v>
      </c>
      <c r="AV47" s="78">
        <v>1</v>
      </c>
      <c r="AW47" s="78" t="s">
        <v>122</v>
      </c>
      <c r="AX47" s="78">
        <v>1</v>
      </c>
      <c r="AY47" s="78">
        <v>0</v>
      </c>
      <c r="BT47" s="3" t="s">
        <v>122</v>
      </c>
      <c r="BU47" s="3">
        <v>1</v>
      </c>
      <c r="BV47" s="3">
        <v>0</v>
      </c>
    </row>
    <row r="48" spans="1:74" ht="15" customHeight="1" x14ac:dyDescent="0.25">
      <c r="A48" s="75">
        <v>5749599</v>
      </c>
      <c r="B48" t="s">
        <v>402</v>
      </c>
      <c r="C48" t="s">
        <v>403</v>
      </c>
      <c r="D48" t="s">
        <v>155</v>
      </c>
      <c r="E48" t="s">
        <v>54</v>
      </c>
      <c r="F48" s="75">
        <v>1</v>
      </c>
      <c r="G48" s="75">
        <v>249009</v>
      </c>
      <c r="H48">
        <v>600</v>
      </c>
      <c r="I48" t="s">
        <v>114</v>
      </c>
      <c r="J48" s="75">
        <v>203325</v>
      </c>
      <c r="K48" t="s">
        <v>404</v>
      </c>
      <c r="L48" t="s">
        <v>405</v>
      </c>
      <c r="M48" s="81">
        <v>46028.440694444442</v>
      </c>
      <c r="N48" s="81">
        <v>46029.345567129632</v>
      </c>
      <c r="O48" t="s">
        <v>58</v>
      </c>
      <c r="P48" t="s">
        <v>59</v>
      </c>
      <c r="Q48" t="s">
        <v>130</v>
      </c>
      <c r="R48" t="s">
        <v>131</v>
      </c>
      <c r="U48" s="75">
        <v>167591</v>
      </c>
      <c r="V48" t="s">
        <v>406</v>
      </c>
      <c r="W48" t="s">
        <v>406</v>
      </c>
      <c r="X48" t="s">
        <v>79</v>
      </c>
      <c r="Y48" t="s">
        <v>110</v>
      </c>
      <c r="AA48" t="s">
        <v>101</v>
      </c>
      <c r="AB48">
        <v>21.683333000000001</v>
      </c>
      <c r="AC48">
        <v>13.25</v>
      </c>
      <c r="AD48">
        <v>8.4333329999999993</v>
      </c>
      <c r="AE48">
        <v>0.15</v>
      </c>
      <c r="AF48">
        <v>0</v>
      </c>
      <c r="AG48">
        <v>8.2833330000000007</v>
      </c>
      <c r="AH48">
        <v>8.2833330000000007</v>
      </c>
      <c r="AI48">
        <v>8.2666660000000007</v>
      </c>
      <c r="AJ48">
        <v>1.6667000000000001E-2</v>
      </c>
      <c r="AK48">
        <v>0</v>
      </c>
      <c r="AL48" s="76">
        <v>44568</v>
      </c>
      <c r="AM48" s="75">
        <v>1460</v>
      </c>
      <c r="AN48" t="s">
        <v>65</v>
      </c>
      <c r="AO48" t="s">
        <v>407</v>
      </c>
      <c r="AP48" t="s">
        <v>67</v>
      </c>
      <c r="AQ48" t="s">
        <v>83</v>
      </c>
      <c r="AR48" t="s">
        <v>69</v>
      </c>
      <c r="AS48" s="78"/>
      <c r="AT48" s="82" t="s">
        <v>200</v>
      </c>
      <c r="AU48" s="78">
        <v>2026</v>
      </c>
      <c r="AV48" s="78">
        <v>1</v>
      </c>
      <c r="AW48" s="78" t="s">
        <v>84</v>
      </c>
      <c r="AX48" s="78">
        <v>0</v>
      </c>
      <c r="AY48" s="78">
        <v>0</v>
      </c>
      <c r="BT48" s="2" t="s">
        <v>84</v>
      </c>
      <c r="BU48" s="2">
        <v>0</v>
      </c>
      <c r="BV48" s="2">
        <v>0</v>
      </c>
    </row>
    <row r="49" spans="1:74" ht="15" customHeight="1" x14ac:dyDescent="0.25">
      <c r="A49" s="75">
        <v>5737535</v>
      </c>
      <c r="B49" t="s">
        <v>408</v>
      </c>
      <c r="C49" t="s">
        <v>409</v>
      </c>
      <c r="D49" t="s">
        <v>155</v>
      </c>
      <c r="E49" t="s">
        <v>87</v>
      </c>
      <c r="F49" s="75">
        <v>235</v>
      </c>
      <c r="G49" s="75">
        <v>286311</v>
      </c>
      <c r="H49">
        <v>364.96</v>
      </c>
      <c r="I49" t="s">
        <v>55</v>
      </c>
      <c r="J49" s="75">
        <v>216233</v>
      </c>
      <c r="K49" t="s">
        <v>88</v>
      </c>
      <c r="L49" t="s">
        <v>89</v>
      </c>
      <c r="M49" s="81">
        <v>46021.521585648137</v>
      </c>
      <c r="N49" s="81">
        <v>46029.362442129634</v>
      </c>
      <c r="O49" t="s">
        <v>58</v>
      </c>
      <c r="P49" t="s">
        <v>59</v>
      </c>
      <c r="Q49" t="s">
        <v>90</v>
      </c>
      <c r="R49" t="s">
        <v>60</v>
      </c>
      <c r="U49" s="75">
        <v>167225</v>
      </c>
      <c r="V49" t="s">
        <v>410</v>
      </c>
      <c r="W49" t="s">
        <v>410</v>
      </c>
      <c r="X49" t="s">
        <v>62</v>
      </c>
      <c r="Y49" t="s">
        <v>63</v>
      </c>
      <c r="AA49" t="s">
        <v>101</v>
      </c>
      <c r="AB49">
        <v>188.08333300000001</v>
      </c>
      <c r="AC49">
        <v>29.766667000000002</v>
      </c>
      <c r="AD49">
        <v>158.316666</v>
      </c>
      <c r="AE49">
        <v>148.4</v>
      </c>
      <c r="AF49">
        <v>0</v>
      </c>
      <c r="AG49">
        <v>9.9166659999999993</v>
      </c>
      <c r="AH49">
        <v>9.9166659999999993</v>
      </c>
      <c r="AI49">
        <v>9.4499999999999993</v>
      </c>
      <c r="AJ49">
        <v>0.46666600000000003</v>
      </c>
      <c r="AK49">
        <v>0</v>
      </c>
      <c r="AL49" s="76">
        <v>44921</v>
      </c>
      <c r="AM49" s="75">
        <v>1100</v>
      </c>
      <c r="AN49" t="s">
        <v>65</v>
      </c>
      <c r="AO49" t="s">
        <v>411</v>
      </c>
      <c r="AP49" t="s">
        <v>67</v>
      </c>
      <c r="AQ49" t="s">
        <v>68</v>
      </c>
      <c r="AR49" t="s">
        <v>69</v>
      </c>
      <c r="AS49" s="79"/>
      <c r="AT49" s="82" t="s">
        <v>200</v>
      </c>
      <c r="AU49" s="78">
        <v>2026</v>
      </c>
      <c r="AV49" s="78">
        <v>1</v>
      </c>
      <c r="AW49" s="78" t="s">
        <v>71</v>
      </c>
      <c r="AX49" s="78">
        <v>0</v>
      </c>
      <c r="AY49" s="78">
        <v>0</v>
      </c>
      <c r="BT49" s="3" t="s">
        <v>71</v>
      </c>
      <c r="BU49" s="3">
        <v>0</v>
      </c>
      <c r="BV49" s="3">
        <v>0</v>
      </c>
    </row>
    <row r="50" spans="1:74" ht="15" customHeight="1" x14ac:dyDescent="0.25">
      <c r="A50" s="75">
        <v>5741947</v>
      </c>
      <c r="B50" t="s">
        <v>412</v>
      </c>
      <c r="C50" t="s">
        <v>413</v>
      </c>
      <c r="D50" t="s">
        <v>155</v>
      </c>
      <c r="E50" t="s">
        <v>87</v>
      </c>
      <c r="F50" s="75">
        <v>12</v>
      </c>
      <c r="G50" s="75">
        <v>275211</v>
      </c>
      <c r="H50">
        <v>398.82</v>
      </c>
      <c r="I50" t="s">
        <v>55</v>
      </c>
      <c r="J50" s="75">
        <v>216233</v>
      </c>
      <c r="K50" t="s">
        <v>88</v>
      </c>
      <c r="L50" t="s">
        <v>89</v>
      </c>
      <c r="M50" s="81">
        <v>46023.924166666657</v>
      </c>
      <c r="N50" s="81">
        <v>46029.363692129627</v>
      </c>
      <c r="O50" t="s">
        <v>58</v>
      </c>
      <c r="P50" t="s">
        <v>59</v>
      </c>
      <c r="Q50" t="s">
        <v>90</v>
      </c>
      <c r="R50" t="s">
        <v>131</v>
      </c>
      <c r="U50" s="75">
        <v>167695</v>
      </c>
      <c r="V50" t="s">
        <v>414</v>
      </c>
      <c r="W50" t="s">
        <v>415</v>
      </c>
      <c r="X50" t="s">
        <v>62</v>
      </c>
      <c r="Y50" t="s">
        <v>63</v>
      </c>
      <c r="AA50" t="s">
        <v>416</v>
      </c>
      <c r="AB50">
        <v>130.41667000000001</v>
      </c>
      <c r="AC50">
        <v>116.58333500000001</v>
      </c>
      <c r="AD50">
        <v>13.833335</v>
      </c>
      <c r="AE50">
        <v>0.83333400000000002</v>
      </c>
      <c r="AF50">
        <v>0</v>
      </c>
      <c r="AG50">
        <v>13.000000999999999</v>
      </c>
      <c r="AH50">
        <v>13.000000999999999</v>
      </c>
      <c r="AI50">
        <v>11.650001</v>
      </c>
      <c r="AJ50">
        <v>1.35</v>
      </c>
      <c r="AK50">
        <v>0</v>
      </c>
      <c r="AL50" s="76">
        <v>44986</v>
      </c>
      <c r="AM50" s="75">
        <v>1037</v>
      </c>
      <c r="AN50" t="s">
        <v>65</v>
      </c>
      <c r="AO50" t="s">
        <v>417</v>
      </c>
      <c r="AP50" t="s">
        <v>67</v>
      </c>
      <c r="AQ50" t="s">
        <v>68</v>
      </c>
      <c r="AR50" t="s">
        <v>69</v>
      </c>
      <c r="AS50" s="78"/>
      <c r="AT50" s="82" t="s">
        <v>200</v>
      </c>
      <c r="AU50" s="78">
        <v>2026</v>
      </c>
      <c r="AV50" s="78">
        <v>1</v>
      </c>
      <c r="AW50" s="78" t="s">
        <v>71</v>
      </c>
      <c r="AX50" s="78">
        <v>0</v>
      </c>
      <c r="AY50" s="78">
        <v>0</v>
      </c>
      <c r="BT50" s="2" t="s">
        <v>71</v>
      </c>
      <c r="BU50" s="2">
        <v>0</v>
      </c>
      <c r="BV50" s="2">
        <v>0</v>
      </c>
    </row>
    <row r="51" spans="1:74" ht="15" customHeight="1" x14ac:dyDescent="0.25">
      <c r="A51" s="75">
        <v>5744277</v>
      </c>
      <c r="B51" t="s">
        <v>418</v>
      </c>
      <c r="C51" t="s">
        <v>419</v>
      </c>
      <c r="D51" t="s">
        <v>155</v>
      </c>
      <c r="E51" t="s">
        <v>87</v>
      </c>
      <c r="F51" s="75">
        <v>61</v>
      </c>
      <c r="G51" s="75">
        <v>275367</v>
      </c>
      <c r="H51">
        <v>368.16</v>
      </c>
      <c r="I51" t="s">
        <v>55</v>
      </c>
      <c r="J51" s="75">
        <v>218791</v>
      </c>
      <c r="K51" t="s">
        <v>312</v>
      </c>
      <c r="L51" t="s">
        <v>313</v>
      </c>
      <c r="M51" s="81">
        <v>46025.716192129628</v>
      </c>
      <c r="N51" s="81">
        <v>46029.402129629627</v>
      </c>
      <c r="O51" t="s">
        <v>58</v>
      </c>
      <c r="P51" t="s">
        <v>59</v>
      </c>
      <c r="Q51" t="s">
        <v>90</v>
      </c>
      <c r="R51" t="s">
        <v>131</v>
      </c>
      <c r="U51" s="75">
        <v>167613</v>
      </c>
      <c r="V51" t="s">
        <v>420</v>
      </c>
      <c r="W51" t="s">
        <v>420</v>
      </c>
      <c r="X51" t="s">
        <v>62</v>
      </c>
      <c r="Y51" t="s">
        <v>63</v>
      </c>
      <c r="Z51" t="s">
        <v>421</v>
      </c>
      <c r="AA51" t="s">
        <v>64</v>
      </c>
      <c r="AB51">
        <v>88.416666000000006</v>
      </c>
      <c r="AC51">
        <v>16.75</v>
      </c>
      <c r="AD51">
        <v>71.666666000000006</v>
      </c>
      <c r="AE51">
        <v>65.650000000000006</v>
      </c>
      <c r="AF51">
        <v>64</v>
      </c>
      <c r="AG51">
        <v>6.0166659999999998</v>
      </c>
      <c r="AH51">
        <v>70.016666000000001</v>
      </c>
      <c r="AI51">
        <v>5.8833330000000004</v>
      </c>
      <c r="AJ51">
        <v>0.13333300000000001</v>
      </c>
      <c r="AK51">
        <v>0</v>
      </c>
      <c r="AL51" s="76">
        <v>44853.543877314813</v>
      </c>
      <c r="AM51" s="75">
        <v>1172</v>
      </c>
      <c r="AN51" t="s">
        <v>65</v>
      </c>
      <c r="AO51" t="s">
        <v>422</v>
      </c>
      <c r="AP51" t="s">
        <v>67</v>
      </c>
      <c r="AQ51" t="s">
        <v>68</v>
      </c>
      <c r="AR51" t="s">
        <v>69</v>
      </c>
      <c r="AS51" s="79"/>
      <c r="AT51" s="82" t="s">
        <v>200</v>
      </c>
      <c r="AU51" s="78">
        <v>2026</v>
      </c>
      <c r="AV51" s="78">
        <v>1</v>
      </c>
      <c r="AW51" s="78" t="s">
        <v>71</v>
      </c>
      <c r="AX51" s="78">
        <v>1</v>
      </c>
      <c r="AY51" s="78">
        <v>0</v>
      </c>
      <c r="BT51" s="3" t="s">
        <v>71</v>
      </c>
      <c r="BU51" s="3">
        <v>1</v>
      </c>
      <c r="BV51" s="3">
        <v>0</v>
      </c>
    </row>
    <row r="52" spans="1:74" ht="15" customHeight="1" x14ac:dyDescent="0.25">
      <c r="A52" s="75">
        <v>5746515</v>
      </c>
      <c r="B52" t="s">
        <v>423</v>
      </c>
      <c r="C52" t="s">
        <v>424</v>
      </c>
      <c r="D52" t="s">
        <v>155</v>
      </c>
      <c r="E52" t="s">
        <v>87</v>
      </c>
      <c r="F52" s="75">
        <v>98</v>
      </c>
      <c r="G52" s="75">
        <v>275499</v>
      </c>
      <c r="H52">
        <v>368.16</v>
      </c>
      <c r="I52" t="s">
        <v>55</v>
      </c>
      <c r="J52" s="75">
        <v>218791</v>
      </c>
      <c r="K52" t="s">
        <v>312</v>
      </c>
      <c r="L52" t="s">
        <v>313</v>
      </c>
      <c r="M52" s="81">
        <v>46027.486840277779</v>
      </c>
      <c r="N52" s="81">
        <v>46029.403425925928</v>
      </c>
      <c r="O52" t="s">
        <v>58</v>
      </c>
      <c r="P52" t="s">
        <v>59</v>
      </c>
      <c r="Q52" t="s">
        <v>90</v>
      </c>
      <c r="R52" t="s">
        <v>99</v>
      </c>
      <c r="U52" s="75">
        <v>167631</v>
      </c>
      <c r="V52" t="s">
        <v>425</v>
      </c>
      <c r="W52" t="s">
        <v>425</v>
      </c>
      <c r="X52" t="s">
        <v>62</v>
      </c>
      <c r="Y52" t="s">
        <v>63</v>
      </c>
      <c r="Z52" t="s">
        <v>426</v>
      </c>
      <c r="AA52" t="s">
        <v>81</v>
      </c>
      <c r="AB52">
        <v>45.866667</v>
      </c>
      <c r="AC52">
        <v>19.75</v>
      </c>
      <c r="AD52">
        <v>26.116667</v>
      </c>
      <c r="AE52">
        <v>22.116667</v>
      </c>
      <c r="AF52">
        <v>21.433333000000001</v>
      </c>
      <c r="AG52">
        <v>4</v>
      </c>
      <c r="AH52">
        <v>25.433333000000001</v>
      </c>
      <c r="AI52">
        <v>3.7</v>
      </c>
      <c r="AJ52">
        <v>0.3</v>
      </c>
      <c r="AK52">
        <v>0</v>
      </c>
      <c r="AL52" s="76">
        <v>44863.652280092603</v>
      </c>
      <c r="AM52" s="75">
        <v>1163</v>
      </c>
      <c r="AN52" t="s">
        <v>65</v>
      </c>
      <c r="AO52" t="s">
        <v>427</v>
      </c>
      <c r="AP52" t="s">
        <v>67</v>
      </c>
      <c r="AQ52" t="s">
        <v>68</v>
      </c>
      <c r="AR52" t="s">
        <v>69</v>
      </c>
      <c r="AS52" s="78"/>
      <c r="AT52" s="82" t="s">
        <v>200</v>
      </c>
      <c r="AU52" s="78">
        <v>2026</v>
      </c>
      <c r="AV52" s="78">
        <v>1</v>
      </c>
      <c r="AW52" s="78" t="s">
        <v>71</v>
      </c>
      <c r="AX52" s="78">
        <v>1</v>
      </c>
      <c r="AY52" s="78">
        <v>0</v>
      </c>
      <c r="BT52" s="2" t="s">
        <v>71</v>
      </c>
      <c r="BU52" s="2">
        <v>1</v>
      </c>
      <c r="BV52" s="2">
        <v>0</v>
      </c>
    </row>
    <row r="53" spans="1:74" ht="15" customHeight="1" x14ac:dyDescent="0.25">
      <c r="A53" s="75">
        <v>5747279</v>
      </c>
      <c r="B53" t="s">
        <v>428</v>
      </c>
      <c r="C53" t="s">
        <v>429</v>
      </c>
      <c r="D53" t="s">
        <v>155</v>
      </c>
      <c r="E53" t="s">
        <v>54</v>
      </c>
      <c r="F53" s="75">
        <v>114</v>
      </c>
      <c r="G53" s="75">
        <v>297253</v>
      </c>
      <c r="H53">
        <v>300</v>
      </c>
      <c r="I53" t="s">
        <v>55</v>
      </c>
      <c r="J53" s="75">
        <v>13955</v>
      </c>
      <c r="K53" t="s">
        <v>75</v>
      </c>
      <c r="L53" t="s">
        <v>76</v>
      </c>
      <c r="M53" s="81">
        <v>46027.656770833331</v>
      </c>
      <c r="N53" s="81">
        <v>46029.410219907397</v>
      </c>
      <c r="O53" t="s">
        <v>58</v>
      </c>
      <c r="P53" t="s">
        <v>59</v>
      </c>
      <c r="Q53" t="s">
        <v>77</v>
      </c>
      <c r="R53" t="s">
        <v>131</v>
      </c>
      <c r="U53" s="75">
        <v>167211</v>
      </c>
      <c r="V53" t="s">
        <v>430</v>
      </c>
      <c r="W53" t="s">
        <v>431</v>
      </c>
      <c r="X53" t="s">
        <v>62</v>
      </c>
      <c r="Y53" t="s">
        <v>63</v>
      </c>
      <c r="AA53" t="s">
        <v>416</v>
      </c>
      <c r="AB53">
        <v>42.033332999999999</v>
      </c>
      <c r="AC53">
        <v>17.883333</v>
      </c>
      <c r="AD53">
        <v>24.15</v>
      </c>
      <c r="AE53">
        <v>0.16666700000000001</v>
      </c>
      <c r="AF53">
        <v>0</v>
      </c>
      <c r="AG53">
        <v>23.983332999999998</v>
      </c>
      <c r="AH53">
        <v>23.983332999999998</v>
      </c>
      <c r="AI53">
        <v>23.65</v>
      </c>
      <c r="AJ53">
        <v>0.33333299999999999</v>
      </c>
      <c r="AK53">
        <v>0</v>
      </c>
      <c r="AL53" s="76">
        <v>45342</v>
      </c>
      <c r="AM53" s="75">
        <v>685</v>
      </c>
      <c r="AN53" t="s">
        <v>65</v>
      </c>
      <c r="AO53" t="s">
        <v>432</v>
      </c>
      <c r="AP53" t="s">
        <v>67</v>
      </c>
      <c r="AQ53" t="s">
        <v>68</v>
      </c>
      <c r="AR53" t="s">
        <v>69</v>
      </c>
      <c r="AS53" s="79"/>
      <c r="AT53" s="82" t="s">
        <v>200</v>
      </c>
      <c r="AU53" s="78">
        <v>2026</v>
      </c>
      <c r="AV53" s="78">
        <v>1</v>
      </c>
      <c r="AW53" s="78" t="s">
        <v>71</v>
      </c>
      <c r="AX53" s="78">
        <v>0</v>
      </c>
      <c r="AY53" s="78">
        <v>0</v>
      </c>
      <c r="BT53" s="3" t="s">
        <v>71</v>
      </c>
      <c r="BU53" s="3">
        <v>0</v>
      </c>
      <c r="BV53" s="3">
        <v>0</v>
      </c>
    </row>
    <row r="54" spans="1:74" ht="15" customHeight="1" x14ac:dyDescent="0.25">
      <c r="A54" s="75">
        <v>5749961</v>
      </c>
      <c r="B54" t="s">
        <v>433</v>
      </c>
      <c r="C54" t="s">
        <v>434</v>
      </c>
      <c r="D54" t="s">
        <v>74</v>
      </c>
      <c r="E54" t="s">
        <v>87</v>
      </c>
      <c r="F54" s="75">
        <v>34</v>
      </c>
      <c r="G54" s="75">
        <v>275255</v>
      </c>
      <c r="H54">
        <v>525.95000000000005</v>
      </c>
      <c r="I54" t="s">
        <v>55</v>
      </c>
      <c r="J54" s="75">
        <v>218791</v>
      </c>
      <c r="K54" t="s">
        <v>312</v>
      </c>
      <c r="L54" t="s">
        <v>313</v>
      </c>
      <c r="M54" s="81">
        <v>46028.517835648148</v>
      </c>
      <c r="N54" s="81">
        <v>46029.443229166667</v>
      </c>
      <c r="O54" t="s">
        <v>58</v>
      </c>
      <c r="P54" t="s">
        <v>59</v>
      </c>
      <c r="Q54" t="s">
        <v>130</v>
      </c>
      <c r="R54" t="s">
        <v>99</v>
      </c>
      <c r="U54" s="75">
        <v>167701</v>
      </c>
      <c r="V54" t="s">
        <v>435</v>
      </c>
      <c r="X54" t="s">
        <v>62</v>
      </c>
      <c r="Y54" t="s">
        <v>63</v>
      </c>
      <c r="AA54" t="s">
        <v>101</v>
      </c>
      <c r="AB54">
        <v>22.166667</v>
      </c>
      <c r="AC54">
        <v>12.616667</v>
      </c>
      <c r="AD54">
        <v>9.5500000000000007</v>
      </c>
      <c r="AE54">
        <v>0.43333300000000002</v>
      </c>
      <c r="AF54">
        <v>0</v>
      </c>
      <c r="AG54">
        <v>9.1166669999999996</v>
      </c>
      <c r="AH54">
        <v>9.1166669999999996</v>
      </c>
      <c r="AI54">
        <v>8.9166670000000003</v>
      </c>
      <c r="AJ54">
        <v>0.2</v>
      </c>
      <c r="AK54">
        <v>0</v>
      </c>
      <c r="AL54" s="76">
        <v>44862.561180555553</v>
      </c>
      <c r="AM54" s="75">
        <v>1165</v>
      </c>
      <c r="AN54" t="s">
        <v>65</v>
      </c>
      <c r="AO54" t="s">
        <v>436</v>
      </c>
      <c r="AP54" t="s">
        <v>67</v>
      </c>
      <c r="AQ54" t="s">
        <v>68</v>
      </c>
      <c r="AR54" t="s">
        <v>69</v>
      </c>
      <c r="AS54" s="78"/>
      <c r="AT54" s="82" t="s">
        <v>200</v>
      </c>
      <c r="AU54" s="78">
        <v>2026</v>
      </c>
      <c r="AV54" s="78">
        <v>1</v>
      </c>
      <c r="AW54" s="78" t="s">
        <v>71</v>
      </c>
      <c r="AX54" s="78">
        <v>0</v>
      </c>
      <c r="AY54" s="78">
        <v>0</v>
      </c>
      <c r="BT54" s="2" t="s">
        <v>71</v>
      </c>
      <c r="BU54" s="2">
        <v>0</v>
      </c>
      <c r="BV54" s="2">
        <v>0</v>
      </c>
    </row>
    <row r="55" spans="1:74" ht="15" customHeight="1" x14ac:dyDescent="0.25">
      <c r="A55" s="75">
        <v>5749815</v>
      </c>
      <c r="B55" t="s">
        <v>437</v>
      </c>
      <c r="C55" t="s">
        <v>438</v>
      </c>
      <c r="D55" t="s">
        <v>125</v>
      </c>
      <c r="E55" t="s">
        <v>87</v>
      </c>
      <c r="F55" s="75">
        <v>30</v>
      </c>
      <c r="G55" s="75">
        <v>275247</v>
      </c>
      <c r="H55">
        <v>569.71</v>
      </c>
      <c r="I55" t="s">
        <v>55</v>
      </c>
      <c r="J55" s="75">
        <v>216233</v>
      </c>
      <c r="K55" t="s">
        <v>88</v>
      </c>
      <c r="L55" t="s">
        <v>89</v>
      </c>
      <c r="M55" s="81">
        <v>46028.493715277778</v>
      </c>
      <c r="N55" s="81">
        <v>46029.48978009259</v>
      </c>
      <c r="O55" t="s">
        <v>58</v>
      </c>
      <c r="P55" t="s">
        <v>59</v>
      </c>
      <c r="Q55" t="s">
        <v>90</v>
      </c>
      <c r="R55" t="s">
        <v>60</v>
      </c>
      <c r="U55" s="75">
        <v>167993</v>
      </c>
      <c r="V55" t="s">
        <v>439</v>
      </c>
      <c r="W55" t="s">
        <v>440</v>
      </c>
      <c r="X55" t="s">
        <v>62</v>
      </c>
      <c r="Y55" t="s">
        <v>63</v>
      </c>
      <c r="AA55" t="s">
        <v>64</v>
      </c>
      <c r="AB55">
        <v>23.849999</v>
      </c>
      <c r="AC55">
        <v>16.383333</v>
      </c>
      <c r="AD55">
        <v>7.466666</v>
      </c>
      <c r="AE55">
        <v>0.183333</v>
      </c>
      <c r="AF55">
        <v>0</v>
      </c>
      <c r="AG55">
        <v>7.2833329999999998</v>
      </c>
      <c r="AH55">
        <v>7.2833329999999998</v>
      </c>
      <c r="AI55">
        <v>6.966666</v>
      </c>
      <c r="AJ55">
        <v>0.31666699999999998</v>
      </c>
      <c r="AK55">
        <v>0</v>
      </c>
      <c r="AL55" s="76">
        <v>44838</v>
      </c>
      <c r="AM55" s="75">
        <v>1190</v>
      </c>
      <c r="AN55" t="s">
        <v>65</v>
      </c>
      <c r="AO55" t="s">
        <v>441</v>
      </c>
      <c r="AP55" t="s">
        <v>67</v>
      </c>
      <c r="AQ55" t="s">
        <v>68</v>
      </c>
      <c r="AR55" t="s">
        <v>69</v>
      </c>
      <c r="AS55" s="79"/>
      <c r="AT55" s="82" t="s">
        <v>200</v>
      </c>
      <c r="AU55" s="78">
        <v>2026</v>
      </c>
      <c r="AV55" s="78">
        <v>1</v>
      </c>
      <c r="AW55" s="78" t="s">
        <v>71</v>
      </c>
      <c r="AX55" s="78">
        <v>1</v>
      </c>
      <c r="AY55" s="78">
        <v>0</v>
      </c>
      <c r="BT55" s="3" t="s">
        <v>71</v>
      </c>
      <c r="BU55" s="3">
        <v>1</v>
      </c>
      <c r="BV55" s="3">
        <v>0</v>
      </c>
    </row>
    <row r="56" spans="1:74" ht="15" customHeight="1" x14ac:dyDescent="0.25">
      <c r="A56" s="75">
        <v>5732805</v>
      </c>
      <c r="B56" t="s">
        <v>442</v>
      </c>
      <c r="C56" t="s">
        <v>443</v>
      </c>
      <c r="D56" t="s">
        <v>150</v>
      </c>
      <c r="E56" t="s">
        <v>54</v>
      </c>
      <c r="F56" s="75">
        <v>22</v>
      </c>
      <c r="G56" s="75">
        <v>322683</v>
      </c>
      <c r="H56">
        <v>399</v>
      </c>
      <c r="I56" t="s">
        <v>114</v>
      </c>
      <c r="J56" s="75">
        <v>219061</v>
      </c>
      <c r="K56" t="s">
        <v>444</v>
      </c>
      <c r="L56" t="s">
        <v>445</v>
      </c>
      <c r="M56" s="81">
        <v>46020.376875000002</v>
      </c>
      <c r="N56" s="81">
        <v>46029.516759259262</v>
      </c>
      <c r="O56" t="s">
        <v>58</v>
      </c>
      <c r="P56" t="s">
        <v>59</v>
      </c>
      <c r="Q56" t="s">
        <v>77</v>
      </c>
      <c r="R56" t="s">
        <v>131</v>
      </c>
      <c r="U56" s="75">
        <v>167605</v>
      </c>
      <c r="V56" t="s">
        <v>446</v>
      </c>
      <c r="W56" t="s">
        <v>447</v>
      </c>
      <c r="X56" t="s">
        <v>62</v>
      </c>
      <c r="Y56" t="s">
        <v>448</v>
      </c>
      <c r="Z56" t="s">
        <v>449</v>
      </c>
      <c r="AA56" t="s">
        <v>416</v>
      </c>
      <c r="AB56">
        <v>219.26666700000001</v>
      </c>
      <c r="AC56">
        <v>18.916665999999999</v>
      </c>
      <c r="AD56">
        <v>200.35000099999999</v>
      </c>
      <c r="AE56">
        <v>184.15</v>
      </c>
      <c r="AF56">
        <v>182.966667</v>
      </c>
      <c r="AG56">
        <v>16.200001</v>
      </c>
      <c r="AH56">
        <v>199.16666799999999</v>
      </c>
      <c r="AI56">
        <v>13.9</v>
      </c>
      <c r="AJ56">
        <v>2.300001</v>
      </c>
      <c r="AK56">
        <v>0</v>
      </c>
      <c r="AL56" s="76">
        <v>45535.767395833333</v>
      </c>
      <c r="AM56" s="75">
        <v>484</v>
      </c>
      <c r="AN56" t="s">
        <v>65</v>
      </c>
      <c r="AO56" t="s">
        <v>450</v>
      </c>
      <c r="AP56" t="s">
        <v>67</v>
      </c>
      <c r="AQ56" t="s">
        <v>68</v>
      </c>
      <c r="AR56" t="s">
        <v>69</v>
      </c>
      <c r="AS56" s="78"/>
      <c r="AT56" s="82" t="s">
        <v>200</v>
      </c>
      <c r="AU56" s="78">
        <v>2026</v>
      </c>
      <c r="AV56" s="78">
        <v>1</v>
      </c>
      <c r="AW56" s="78" t="s">
        <v>137</v>
      </c>
      <c r="AX56" s="78">
        <v>0</v>
      </c>
      <c r="AY56" s="78">
        <v>0</v>
      </c>
      <c r="BT56" s="2" t="s">
        <v>137</v>
      </c>
      <c r="BU56" s="2">
        <v>0</v>
      </c>
      <c r="BV56" s="2">
        <v>0</v>
      </c>
    </row>
    <row r="57" spans="1:74" ht="15" customHeight="1" x14ac:dyDescent="0.25">
      <c r="A57" s="75">
        <v>5746543</v>
      </c>
      <c r="B57" t="s">
        <v>451</v>
      </c>
      <c r="C57" t="s">
        <v>452</v>
      </c>
      <c r="D57" t="s">
        <v>155</v>
      </c>
      <c r="E57" t="s">
        <v>54</v>
      </c>
      <c r="F57" s="75">
        <v>1</v>
      </c>
      <c r="G57" s="75">
        <v>331211</v>
      </c>
      <c r="H57">
        <v>800</v>
      </c>
      <c r="I57" t="s">
        <v>141</v>
      </c>
      <c r="J57" s="75">
        <v>225435</v>
      </c>
      <c r="K57" t="s">
        <v>453</v>
      </c>
      <c r="L57" t="s">
        <v>454</v>
      </c>
      <c r="M57" s="81">
        <v>46027.488171296303</v>
      </c>
      <c r="N57" s="81">
        <v>46029.552754629629</v>
      </c>
      <c r="O57" t="s">
        <v>58</v>
      </c>
      <c r="P57" t="s">
        <v>59</v>
      </c>
      <c r="Q57" t="s">
        <v>77</v>
      </c>
      <c r="R57" t="s">
        <v>131</v>
      </c>
      <c r="U57" s="75">
        <v>167215</v>
      </c>
      <c r="V57" t="s">
        <v>455</v>
      </c>
      <c r="W57" t="s">
        <v>456</v>
      </c>
      <c r="X57" t="s">
        <v>62</v>
      </c>
      <c r="Y57" t="s">
        <v>63</v>
      </c>
      <c r="AA57" t="s">
        <v>101</v>
      </c>
      <c r="AB57">
        <v>49.450001</v>
      </c>
      <c r="AC57">
        <v>38.933332999999998</v>
      </c>
      <c r="AD57">
        <v>10.516667999999999</v>
      </c>
      <c r="AE57">
        <v>0.2</v>
      </c>
      <c r="AF57">
        <v>0</v>
      </c>
      <c r="AG57">
        <v>10.316668</v>
      </c>
      <c r="AH57">
        <v>10.316668</v>
      </c>
      <c r="AI57">
        <v>10.233333999999999</v>
      </c>
      <c r="AJ57">
        <v>8.3334000000000005E-2</v>
      </c>
      <c r="AK57">
        <v>0</v>
      </c>
      <c r="AL57" s="76">
        <v>45796.459490740737</v>
      </c>
      <c r="AM57" s="75">
        <v>231</v>
      </c>
      <c r="AN57" t="s">
        <v>65</v>
      </c>
      <c r="AO57" t="s">
        <v>457</v>
      </c>
      <c r="AP57" t="s">
        <v>67</v>
      </c>
      <c r="AQ57" t="s">
        <v>68</v>
      </c>
      <c r="AR57" t="s">
        <v>69</v>
      </c>
      <c r="AS57" s="79"/>
      <c r="AT57" s="82" t="s">
        <v>200</v>
      </c>
      <c r="AU57" s="78">
        <v>2026</v>
      </c>
      <c r="AV57" s="78">
        <v>1</v>
      </c>
      <c r="AW57" s="78" t="s">
        <v>71</v>
      </c>
      <c r="AX57" s="78">
        <v>0</v>
      </c>
      <c r="AY57" s="78">
        <v>0</v>
      </c>
      <c r="BT57" s="3" t="s">
        <v>71</v>
      </c>
      <c r="BU57" s="3">
        <v>0</v>
      </c>
      <c r="BV57" s="3">
        <v>0</v>
      </c>
    </row>
    <row r="58" spans="1:74" ht="15" customHeight="1" x14ac:dyDescent="0.25">
      <c r="A58" s="75">
        <v>5756165</v>
      </c>
      <c r="B58" t="s">
        <v>458</v>
      </c>
      <c r="C58" t="s">
        <v>459</v>
      </c>
      <c r="D58" t="s">
        <v>265</v>
      </c>
      <c r="E58" t="s">
        <v>87</v>
      </c>
      <c r="F58" s="75">
        <v>299</v>
      </c>
      <c r="G58" s="75">
        <v>285731</v>
      </c>
      <c r="H58">
        <v>512.08000000000004</v>
      </c>
      <c r="I58" t="s">
        <v>266</v>
      </c>
      <c r="J58" s="75">
        <v>49495</v>
      </c>
      <c r="K58" t="s">
        <v>460</v>
      </c>
      <c r="L58" t="s">
        <v>461</v>
      </c>
      <c r="M58" s="81">
        <v>46029.612974537027</v>
      </c>
      <c r="N58" s="81">
        <v>46029.647106481483</v>
      </c>
      <c r="O58" t="s">
        <v>277</v>
      </c>
      <c r="P58" t="s">
        <v>59</v>
      </c>
      <c r="Q58" t="s">
        <v>90</v>
      </c>
      <c r="R58" t="s">
        <v>144</v>
      </c>
      <c r="U58" s="75"/>
      <c r="X58" t="s">
        <v>62</v>
      </c>
      <c r="Y58" t="s">
        <v>63</v>
      </c>
      <c r="AA58" t="s">
        <v>81</v>
      </c>
      <c r="AB58">
        <v>0.78333399999999997</v>
      </c>
      <c r="AC58">
        <v>0</v>
      </c>
      <c r="AD58">
        <v>0.78333399999999997</v>
      </c>
      <c r="AE58">
        <v>0.31666699999999998</v>
      </c>
      <c r="AF58">
        <v>0</v>
      </c>
      <c r="AG58">
        <v>0.466667</v>
      </c>
      <c r="AI58">
        <v>0.05</v>
      </c>
      <c r="AJ58">
        <v>0.41666700000000001</v>
      </c>
      <c r="AK58">
        <v>0</v>
      </c>
      <c r="AL58" s="76">
        <v>44862</v>
      </c>
      <c r="AM58" s="75">
        <v>1167</v>
      </c>
      <c r="AN58" t="s">
        <v>65</v>
      </c>
      <c r="AO58" t="s">
        <v>462</v>
      </c>
      <c r="AP58" t="s">
        <v>67</v>
      </c>
      <c r="AQ58" t="s">
        <v>68</v>
      </c>
      <c r="AR58" t="s">
        <v>69</v>
      </c>
      <c r="AS58" s="78"/>
      <c r="AT58" s="82" t="s">
        <v>200</v>
      </c>
      <c r="AU58" s="78">
        <v>2026</v>
      </c>
      <c r="AV58" s="78">
        <v>1</v>
      </c>
      <c r="AW58" s="78" t="s">
        <v>71</v>
      </c>
      <c r="AX58" s="78">
        <v>1</v>
      </c>
      <c r="AY58" s="78">
        <v>0</v>
      </c>
      <c r="BT58" s="2" t="s">
        <v>71</v>
      </c>
      <c r="BU58" s="2">
        <v>1</v>
      </c>
      <c r="BV58" s="2">
        <v>0</v>
      </c>
    </row>
    <row r="59" spans="1:74" ht="15" customHeight="1" x14ac:dyDescent="0.25">
      <c r="A59" s="75">
        <v>5747237</v>
      </c>
      <c r="B59" t="s">
        <v>463</v>
      </c>
      <c r="C59" t="s">
        <v>464</v>
      </c>
      <c r="D59" t="s">
        <v>74</v>
      </c>
      <c r="E59" t="s">
        <v>54</v>
      </c>
      <c r="F59" s="75">
        <v>1</v>
      </c>
      <c r="G59" s="75">
        <v>329639</v>
      </c>
      <c r="H59">
        <v>600</v>
      </c>
      <c r="I59" t="s">
        <v>141</v>
      </c>
      <c r="J59" s="75">
        <v>225015</v>
      </c>
      <c r="K59" t="s">
        <v>465</v>
      </c>
      <c r="L59" t="s">
        <v>466</v>
      </c>
      <c r="M59" s="81">
        <v>46027.651539351849</v>
      </c>
      <c r="N59" s="81">
        <v>46029.660393518519</v>
      </c>
      <c r="O59" t="s">
        <v>58</v>
      </c>
      <c r="P59" t="s">
        <v>59</v>
      </c>
      <c r="Q59" t="s">
        <v>130</v>
      </c>
      <c r="R59" t="s">
        <v>99</v>
      </c>
      <c r="U59" s="75">
        <v>167223</v>
      </c>
      <c r="V59" t="s">
        <v>467</v>
      </c>
      <c r="X59" t="s">
        <v>62</v>
      </c>
      <c r="Y59" t="s">
        <v>63</v>
      </c>
      <c r="AA59" t="s">
        <v>64</v>
      </c>
      <c r="AB59">
        <v>48.133332000000003</v>
      </c>
      <c r="AC59">
        <v>40.666665999999999</v>
      </c>
      <c r="AD59">
        <v>7.466666</v>
      </c>
      <c r="AE59">
        <v>0.53333299999999995</v>
      </c>
      <c r="AF59">
        <v>0</v>
      </c>
      <c r="AG59">
        <v>6.9333330000000002</v>
      </c>
      <c r="AH59">
        <v>6.9333330000000002</v>
      </c>
      <c r="AI59">
        <v>6.65</v>
      </c>
      <c r="AJ59">
        <v>0.283333</v>
      </c>
      <c r="AK59">
        <v>0</v>
      </c>
      <c r="AL59" s="76">
        <v>45645.371886574067</v>
      </c>
      <c r="AM59" s="75">
        <v>382</v>
      </c>
      <c r="AN59" t="s">
        <v>65</v>
      </c>
      <c r="AO59" t="s">
        <v>468</v>
      </c>
      <c r="AP59" t="s">
        <v>67</v>
      </c>
      <c r="AQ59" t="s">
        <v>68</v>
      </c>
      <c r="AR59" t="s">
        <v>69</v>
      </c>
      <c r="AS59" s="79"/>
      <c r="AT59" s="82" t="s">
        <v>200</v>
      </c>
      <c r="AU59" s="78">
        <v>2026</v>
      </c>
      <c r="AV59" s="78">
        <v>1</v>
      </c>
      <c r="AW59" s="78" t="s">
        <v>71</v>
      </c>
      <c r="AX59" s="78">
        <v>1</v>
      </c>
      <c r="AY59" s="78">
        <v>0</v>
      </c>
      <c r="BT59" s="3" t="s">
        <v>71</v>
      </c>
      <c r="BU59" s="3">
        <v>1</v>
      </c>
      <c r="BV59" s="3">
        <v>0</v>
      </c>
    </row>
    <row r="60" spans="1:74" ht="15" customHeight="1" x14ac:dyDescent="0.25">
      <c r="A60" s="75">
        <v>5747341</v>
      </c>
      <c r="B60" t="s">
        <v>469</v>
      </c>
      <c r="C60" t="s">
        <v>470</v>
      </c>
      <c r="D60" t="s">
        <v>74</v>
      </c>
      <c r="E60" t="s">
        <v>87</v>
      </c>
      <c r="F60" s="75">
        <v>189</v>
      </c>
      <c r="G60" s="75">
        <v>285915</v>
      </c>
      <c r="H60">
        <v>364.95</v>
      </c>
      <c r="I60" t="s">
        <v>55</v>
      </c>
      <c r="J60" s="75">
        <v>218787</v>
      </c>
      <c r="K60" t="s">
        <v>96</v>
      </c>
      <c r="L60" t="s">
        <v>97</v>
      </c>
      <c r="M60" s="81">
        <v>46027.667453703703</v>
      </c>
      <c r="N60" s="81">
        <v>46029.661979166667</v>
      </c>
      <c r="O60" t="s">
        <v>58</v>
      </c>
      <c r="P60" t="s">
        <v>59</v>
      </c>
      <c r="Q60" t="s">
        <v>90</v>
      </c>
      <c r="R60" t="s">
        <v>60</v>
      </c>
      <c r="U60" s="75">
        <v>167227</v>
      </c>
      <c r="V60" t="s">
        <v>471</v>
      </c>
      <c r="W60" t="s">
        <v>471</v>
      </c>
      <c r="X60" t="s">
        <v>62</v>
      </c>
      <c r="Y60" t="s">
        <v>63</v>
      </c>
      <c r="AA60" t="s">
        <v>64</v>
      </c>
      <c r="AB60">
        <v>47.783335000000001</v>
      </c>
      <c r="AC60">
        <v>40.916666999999997</v>
      </c>
      <c r="AD60">
        <v>6.8666679999999998</v>
      </c>
      <c r="AE60">
        <v>0.1</v>
      </c>
      <c r="AF60">
        <v>0</v>
      </c>
      <c r="AG60">
        <v>6.7666680000000001</v>
      </c>
      <c r="AH60">
        <v>6.7666680000000001</v>
      </c>
      <c r="AI60">
        <v>6.6333339999999996</v>
      </c>
      <c r="AJ60">
        <v>0.13333400000000001</v>
      </c>
      <c r="AK60">
        <v>0</v>
      </c>
      <c r="AL60" s="76">
        <v>44918</v>
      </c>
      <c r="AM60" s="75">
        <v>1109</v>
      </c>
      <c r="AN60" t="s">
        <v>65</v>
      </c>
      <c r="AO60" t="s">
        <v>472</v>
      </c>
      <c r="AP60" t="s">
        <v>67</v>
      </c>
      <c r="AQ60" t="s">
        <v>68</v>
      </c>
      <c r="AR60" t="s">
        <v>69</v>
      </c>
      <c r="AS60" s="78"/>
      <c r="AT60" s="82" t="s">
        <v>200</v>
      </c>
      <c r="AU60" s="78">
        <v>2026</v>
      </c>
      <c r="AV60" s="78">
        <v>1</v>
      </c>
      <c r="AW60" s="78" t="s">
        <v>71</v>
      </c>
      <c r="AX60" s="78">
        <v>1</v>
      </c>
      <c r="AY60" s="78">
        <v>0</v>
      </c>
      <c r="BT60" s="2" t="s">
        <v>71</v>
      </c>
      <c r="BU60" s="2">
        <v>1</v>
      </c>
      <c r="BV60" s="2">
        <v>0</v>
      </c>
    </row>
    <row r="61" spans="1:74" ht="15" customHeight="1" x14ac:dyDescent="0.25">
      <c r="A61" s="75">
        <v>5749797</v>
      </c>
      <c r="B61" t="s">
        <v>473</v>
      </c>
      <c r="C61" t="s">
        <v>474</v>
      </c>
      <c r="D61" t="s">
        <v>125</v>
      </c>
      <c r="E61" t="s">
        <v>87</v>
      </c>
      <c r="F61" s="75">
        <v>367</v>
      </c>
      <c r="G61" s="75">
        <v>286775</v>
      </c>
      <c r="H61">
        <v>364.96</v>
      </c>
      <c r="I61" t="s">
        <v>55</v>
      </c>
      <c r="J61" s="75">
        <v>218787</v>
      </c>
      <c r="K61" t="s">
        <v>96</v>
      </c>
      <c r="L61" t="s">
        <v>97</v>
      </c>
      <c r="M61" s="81">
        <v>46028.481180555558</v>
      </c>
      <c r="N61" s="81">
        <v>46029.666168981479</v>
      </c>
      <c r="O61" t="s">
        <v>475</v>
      </c>
      <c r="P61" t="s">
        <v>59</v>
      </c>
      <c r="Q61" t="s">
        <v>130</v>
      </c>
      <c r="R61" t="s">
        <v>476</v>
      </c>
      <c r="U61" s="75">
        <v>167991</v>
      </c>
      <c r="V61" t="s">
        <v>477</v>
      </c>
      <c r="X61" t="s">
        <v>62</v>
      </c>
      <c r="Y61" t="s">
        <v>63</v>
      </c>
      <c r="AA61" t="s">
        <v>101</v>
      </c>
      <c r="AB61">
        <v>28.366667</v>
      </c>
      <c r="AC61">
        <v>19.5</v>
      </c>
      <c r="AD61">
        <v>8.8666669999999996</v>
      </c>
      <c r="AE61">
        <v>8.3333000000000004E-2</v>
      </c>
      <c r="AF61">
        <v>0</v>
      </c>
      <c r="AG61">
        <v>8.783334</v>
      </c>
      <c r="AH61">
        <v>8.783334</v>
      </c>
      <c r="AI61">
        <v>8.4333340000000003</v>
      </c>
      <c r="AJ61">
        <v>0.35</v>
      </c>
      <c r="AK61">
        <v>0</v>
      </c>
      <c r="AL61" s="76">
        <v>44943</v>
      </c>
      <c r="AM61" s="75">
        <v>1085</v>
      </c>
      <c r="AN61" t="s">
        <v>65</v>
      </c>
      <c r="AO61" t="s">
        <v>478</v>
      </c>
      <c r="AP61" t="s">
        <v>67</v>
      </c>
      <c r="AQ61" t="s">
        <v>68</v>
      </c>
      <c r="AR61" t="s">
        <v>69</v>
      </c>
      <c r="AS61" s="79"/>
      <c r="AT61" s="82" t="s">
        <v>200</v>
      </c>
      <c r="AU61" s="78">
        <v>2026</v>
      </c>
      <c r="AV61" s="78">
        <v>1</v>
      </c>
      <c r="AW61" s="78" t="s">
        <v>71</v>
      </c>
      <c r="AX61" s="78">
        <v>0</v>
      </c>
      <c r="AY61" s="78">
        <v>0</v>
      </c>
      <c r="BT61" s="3" t="s">
        <v>71</v>
      </c>
      <c r="BU61" s="3">
        <v>0</v>
      </c>
      <c r="BV61" s="3">
        <v>0</v>
      </c>
    </row>
    <row r="62" spans="1:74" ht="15" customHeight="1" x14ac:dyDescent="0.25">
      <c r="A62" s="75">
        <v>5749931</v>
      </c>
      <c r="B62" t="s">
        <v>479</v>
      </c>
      <c r="C62" t="s">
        <v>480</v>
      </c>
      <c r="D62" t="s">
        <v>74</v>
      </c>
      <c r="E62" t="s">
        <v>54</v>
      </c>
      <c r="F62" s="75">
        <v>3</v>
      </c>
      <c r="G62" s="75">
        <v>303081</v>
      </c>
      <c r="H62">
        <v>399</v>
      </c>
      <c r="I62" t="s">
        <v>114</v>
      </c>
      <c r="J62" s="75">
        <v>60121</v>
      </c>
      <c r="K62" t="s">
        <v>481</v>
      </c>
      <c r="L62" t="s">
        <v>482</v>
      </c>
      <c r="M62" s="81">
        <v>46028.50986111111</v>
      </c>
      <c r="N62" s="81">
        <v>46029.669594907413</v>
      </c>
      <c r="O62" t="s">
        <v>58</v>
      </c>
      <c r="P62" t="s">
        <v>59</v>
      </c>
      <c r="Q62" t="s">
        <v>77</v>
      </c>
      <c r="R62" t="s">
        <v>60</v>
      </c>
      <c r="U62" s="75">
        <v>167753</v>
      </c>
      <c r="V62" t="s">
        <v>483</v>
      </c>
      <c r="W62" t="s">
        <v>483</v>
      </c>
      <c r="X62" t="s">
        <v>118</v>
      </c>
      <c r="Y62" t="s">
        <v>484</v>
      </c>
      <c r="AA62" t="s">
        <v>64</v>
      </c>
      <c r="AB62">
        <v>27.783334</v>
      </c>
      <c r="AC62">
        <v>23.05</v>
      </c>
      <c r="AD62">
        <v>4.7333340000000002</v>
      </c>
      <c r="AE62">
        <v>0.183333</v>
      </c>
      <c r="AF62">
        <v>0</v>
      </c>
      <c r="AG62">
        <v>4.550001</v>
      </c>
      <c r="AH62">
        <v>4.550001</v>
      </c>
      <c r="AI62">
        <v>4.2333340000000002</v>
      </c>
      <c r="AJ62">
        <v>0.31666699999999998</v>
      </c>
      <c r="AK62">
        <v>0</v>
      </c>
      <c r="AL62" s="76">
        <v>45502</v>
      </c>
      <c r="AM62" s="75">
        <v>526</v>
      </c>
      <c r="AN62" t="s">
        <v>65</v>
      </c>
      <c r="AO62" t="s">
        <v>480</v>
      </c>
      <c r="AP62" t="s">
        <v>67</v>
      </c>
      <c r="AQ62" t="s">
        <v>121</v>
      </c>
      <c r="AR62" t="s">
        <v>69</v>
      </c>
      <c r="AS62" s="78"/>
      <c r="AT62" s="82" t="s">
        <v>200</v>
      </c>
      <c r="AU62" s="78">
        <v>2026</v>
      </c>
      <c r="AV62" s="78">
        <v>1</v>
      </c>
      <c r="AW62" s="78" t="s">
        <v>347</v>
      </c>
      <c r="AX62" s="78">
        <v>1</v>
      </c>
      <c r="AY62" s="78">
        <v>0</v>
      </c>
      <c r="BT62" s="2" t="s">
        <v>347</v>
      </c>
      <c r="BU62" s="2">
        <v>1</v>
      </c>
      <c r="BV62" s="2">
        <v>0</v>
      </c>
    </row>
    <row r="63" spans="1:74" ht="15" customHeight="1" x14ac:dyDescent="0.25">
      <c r="A63" s="75">
        <v>5750695</v>
      </c>
      <c r="B63" t="s">
        <v>485</v>
      </c>
      <c r="C63" t="s">
        <v>486</v>
      </c>
      <c r="D63" t="s">
        <v>162</v>
      </c>
      <c r="E63" t="s">
        <v>54</v>
      </c>
      <c r="F63" s="75">
        <v>1</v>
      </c>
      <c r="G63" s="75">
        <v>294383</v>
      </c>
      <c r="H63">
        <v>377.91</v>
      </c>
      <c r="I63" t="s">
        <v>55</v>
      </c>
      <c r="J63" s="75">
        <v>218289</v>
      </c>
      <c r="K63" t="s">
        <v>487</v>
      </c>
      <c r="L63" t="s">
        <v>488</v>
      </c>
      <c r="M63" s="81">
        <v>46028.741030092591</v>
      </c>
      <c r="N63" s="81">
        <v>46029.689675925933</v>
      </c>
      <c r="O63" t="s">
        <v>58</v>
      </c>
      <c r="P63" t="s">
        <v>59</v>
      </c>
      <c r="Q63" t="s">
        <v>130</v>
      </c>
      <c r="R63" t="s">
        <v>60</v>
      </c>
      <c r="U63" s="75">
        <v>168007</v>
      </c>
      <c r="V63" t="s">
        <v>489</v>
      </c>
      <c r="W63" t="s">
        <v>490</v>
      </c>
      <c r="X63" t="s">
        <v>62</v>
      </c>
      <c r="Y63" t="s">
        <v>63</v>
      </c>
      <c r="AA63" t="s">
        <v>101</v>
      </c>
      <c r="AB63">
        <v>22.683333000000001</v>
      </c>
      <c r="AC63">
        <v>14.216666999999999</v>
      </c>
      <c r="AD63">
        <v>8.466666</v>
      </c>
      <c r="AE63">
        <v>0.15</v>
      </c>
      <c r="AF63">
        <v>0</v>
      </c>
      <c r="AG63">
        <v>8.3166659999999997</v>
      </c>
      <c r="AH63">
        <v>8.3166659999999997</v>
      </c>
      <c r="AI63">
        <v>8.1166660000000004</v>
      </c>
      <c r="AJ63">
        <v>0.2</v>
      </c>
      <c r="AK63">
        <v>0</v>
      </c>
      <c r="AL63" s="76">
        <v>45205</v>
      </c>
      <c r="AM63" s="75">
        <v>823</v>
      </c>
      <c r="AN63" t="s">
        <v>65</v>
      </c>
      <c r="AO63" t="s">
        <v>491</v>
      </c>
      <c r="AP63" t="s">
        <v>67</v>
      </c>
      <c r="AQ63" t="s">
        <v>68</v>
      </c>
      <c r="AR63" t="s">
        <v>69</v>
      </c>
      <c r="AS63" s="79"/>
      <c r="AT63" s="82" t="s">
        <v>200</v>
      </c>
      <c r="AU63" s="78">
        <v>2026</v>
      </c>
      <c r="AV63" s="78">
        <v>1</v>
      </c>
      <c r="AW63" s="78" t="s">
        <v>71</v>
      </c>
      <c r="AX63" s="78">
        <v>0</v>
      </c>
      <c r="AY63" s="78">
        <v>0</v>
      </c>
      <c r="BT63" s="3" t="s">
        <v>71</v>
      </c>
      <c r="BU63" s="3">
        <v>0</v>
      </c>
      <c r="BV63" s="3">
        <v>0</v>
      </c>
    </row>
    <row r="64" spans="1:74" ht="15" customHeight="1" x14ac:dyDescent="0.25">
      <c r="A64" s="75">
        <v>5749443</v>
      </c>
      <c r="B64" t="s">
        <v>492</v>
      </c>
      <c r="C64" t="s">
        <v>493</v>
      </c>
      <c r="D64" t="s">
        <v>162</v>
      </c>
      <c r="E64" t="s">
        <v>87</v>
      </c>
      <c r="F64" s="75">
        <v>15</v>
      </c>
      <c r="G64" s="75">
        <v>279857</v>
      </c>
      <c r="H64">
        <v>616.59</v>
      </c>
      <c r="I64" t="s">
        <v>266</v>
      </c>
      <c r="J64" s="75">
        <v>49495</v>
      </c>
      <c r="K64" t="s">
        <v>460</v>
      </c>
      <c r="L64" t="s">
        <v>461</v>
      </c>
      <c r="M64" s="81">
        <v>46028.403495370367</v>
      </c>
      <c r="N64" s="81">
        <v>46029.728321759263</v>
      </c>
      <c r="O64" t="s">
        <v>58</v>
      </c>
      <c r="P64" t="s">
        <v>59</v>
      </c>
      <c r="Q64" t="s">
        <v>90</v>
      </c>
      <c r="R64" t="s">
        <v>60</v>
      </c>
      <c r="T64" t="s">
        <v>494</v>
      </c>
      <c r="U64" s="75">
        <v>168527</v>
      </c>
      <c r="V64" t="s">
        <v>495</v>
      </c>
      <c r="W64" t="s">
        <v>495</v>
      </c>
      <c r="X64" t="s">
        <v>62</v>
      </c>
      <c r="Y64" t="s">
        <v>496</v>
      </c>
      <c r="AA64" t="s">
        <v>101</v>
      </c>
      <c r="AB64">
        <v>31.683333000000001</v>
      </c>
      <c r="AC64">
        <v>21.016666000000001</v>
      </c>
      <c r="AD64">
        <v>10.666667</v>
      </c>
      <c r="AE64">
        <v>0.466667</v>
      </c>
      <c r="AF64">
        <v>0</v>
      </c>
      <c r="AG64">
        <v>10.199999999999999</v>
      </c>
      <c r="AH64">
        <v>10.199999999999999</v>
      </c>
      <c r="AI64">
        <v>3.9166660000000002</v>
      </c>
      <c r="AJ64">
        <v>6.283334</v>
      </c>
      <c r="AK64">
        <v>0</v>
      </c>
      <c r="AL64" s="76">
        <v>44705</v>
      </c>
      <c r="AM64" s="75">
        <v>1323</v>
      </c>
      <c r="AN64" t="s">
        <v>65</v>
      </c>
      <c r="AO64" t="s">
        <v>497</v>
      </c>
      <c r="AP64" t="s">
        <v>67</v>
      </c>
      <c r="AQ64" t="s">
        <v>68</v>
      </c>
      <c r="AR64" t="s">
        <v>69</v>
      </c>
      <c r="AS64" s="78"/>
      <c r="AT64" s="82" t="s">
        <v>200</v>
      </c>
      <c r="AU64" s="78">
        <v>2026</v>
      </c>
      <c r="AV64" s="78">
        <v>1</v>
      </c>
      <c r="AW64" s="78" t="s">
        <v>137</v>
      </c>
      <c r="AX64" s="78">
        <v>0</v>
      </c>
      <c r="AY64" s="78">
        <v>0</v>
      </c>
      <c r="BT64" s="2" t="s">
        <v>137</v>
      </c>
      <c r="BU64" s="2">
        <v>0</v>
      </c>
      <c r="BV64" s="2">
        <v>0</v>
      </c>
    </row>
    <row r="65" spans="1:74" ht="15" customHeight="1" x14ac:dyDescent="0.25">
      <c r="A65" s="75">
        <v>5750001</v>
      </c>
      <c r="B65" t="s">
        <v>498</v>
      </c>
      <c r="C65" t="s">
        <v>499</v>
      </c>
      <c r="D65" t="s">
        <v>162</v>
      </c>
      <c r="E65" t="s">
        <v>87</v>
      </c>
      <c r="F65" s="75">
        <v>192</v>
      </c>
      <c r="G65" s="75">
        <v>285927</v>
      </c>
      <c r="H65">
        <v>350</v>
      </c>
      <c r="I65" t="s">
        <v>55</v>
      </c>
      <c r="J65" s="75">
        <v>218787</v>
      </c>
      <c r="K65" t="s">
        <v>96</v>
      </c>
      <c r="L65" t="s">
        <v>97</v>
      </c>
      <c r="M65" s="81">
        <v>46028.52853009259</v>
      </c>
      <c r="N65" s="81">
        <v>46029.754374999997</v>
      </c>
      <c r="O65" t="s">
        <v>58</v>
      </c>
      <c r="P65" t="s">
        <v>59</v>
      </c>
      <c r="Q65" t="s">
        <v>90</v>
      </c>
      <c r="R65" t="s">
        <v>60</v>
      </c>
      <c r="U65" s="75">
        <v>167999</v>
      </c>
      <c r="V65" t="s">
        <v>500</v>
      </c>
      <c r="W65" t="s">
        <v>501</v>
      </c>
      <c r="X65" t="s">
        <v>62</v>
      </c>
      <c r="Y65" t="s">
        <v>63</v>
      </c>
      <c r="AA65" t="s">
        <v>416</v>
      </c>
      <c r="AB65">
        <v>29.316666000000001</v>
      </c>
      <c r="AC65">
        <v>15.55</v>
      </c>
      <c r="AD65">
        <v>13.766666000000001</v>
      </c>
      <c r="AE65">
        <v>0.1</v>
      </c>
      <c r="AF65">
        <v>0</v>
      </c>
      <c r="AG65">
        <v>13.666665999999999</v>
      </c>
      <c r="AH65">
        <v>13.666665999999999</v>
      </c>
      <c r="AI65">
        <v>13.483333</v>
      </c>
      <c r="AJ65">
        <v>0.183333</v>
      </c>
      <c r="AK65">
        <v>0</v>
      </c>
      <c r="AL65" s="76">
        <v>44870.389849537038</v>
      </c>
      <c r="AM65" s="75">
        <v>1158</v>
      </c>
      <c r="AN65" t="s">
        <v>65</v>
      </c>
      <c r="AO65" t="s">
        <v>502</v>
      </c>
      <c r="AP65" t="s">
        <v>67</v>
      </c>
      <c r="AQ65" t="s">
        <v>68</v>
      </c>
      <c r="AR65" t="s">
        <v>69</v>
      </c>
      <c r="AS65" s="79"/>
      <c r="AT65" s="82" t="s">
        <v>200</v>
      </c>
      <c r="AU65" s="78">
        <v>2026</v>
      </c>
      <c r="AV65" s="78">
        <v>1</v>
      </c>
      <c r="AW65" s="78" t="s">
        <v>71</v>
      </c>
      <c r="AX65" s="78">
        <v>0</v>
      </c>
      <c r="AY65" s="78">
        <v>0</v>
      </c>
      <c r="BT65" s="3" t="s">
        <v>71</v>
      </c>
      <c r="BU65" s="3">
        <v>0</v>
      </c>
      <c r="BV65" s="3">
        <v>0</v>
      </c>
    </row>
    <row r="66" spans="1:74" ht="15" customHeight="1" x14ac:dyDescent="0.25">
      <c r="A66" s="75">
        <v>5754587</v>
      </c>
      <c r="B66" t="s">
        <v>503</v>
      </c>
      <c r="C66" t="s">
        <v>504</v>
      </c>
      <c r="D66" t="s">
        <v>150</v>
      </c>
      <c r="E66" t="s">
        <v>87</v>
      </c>
      <c r="F66" s="75">
        <v>32</v>
      </c>
      <c r="G66" s="75">
        <v>280187</v>
      </c>
      <c r="H66">
        <v>926.83</v>
      </c>
      <c r="I66" t="s">
        <v>266</v>
      </c>
      <c r="J66" s="75">
        <v>201809</v>
      </c>
      <c r="K66" t="s">
        <v>505</v>
      </c>
      <c r="L66" t="s">
        <v>506</v>
      </c>
      <c r="M66" s="81">
        <v>46029.417256944442</v>
      </c>
      <c r="N66" s="81">
        <v>46030.388414351852</v>
      </c>
      <c r="O66" t="s">
        <v>58</v>
      </c>
      <c r="P66" t="s">
        <v>59</v>
      </c>
      <c r="Q66" t="s">
        <v>90</v>
      </c>
      <c r="R66" t="s">
        <v>131</v>
      </c>
      <c r="T66" t="s">
        <v>507</v>
      </c>
      <c r="U66" s="75">
        <v>168803</v>
      </c>
      <c r="V66" t="s">
        <v>508</v>
      </c>
      <c r="W66" t="s">
        <v>509</v>
      </c>
      <c r="X66" t="s">
        <v>62</v>
      </c>
      <c r="Y66" t="s">
        <v>510</v>
      </c>
      <c r="AA66" t="s">
        <v>64</v>
      </c>
      <c r="AB66">
        <v>23.183332</v>
      </c>
      <c r="AC66">
        <v>18.633333</v>
      </c>
      <c r="AD66">
        <v>4.5499989999999997</v>
      </c>
      <c r="AE66">
        <v>0.25</v>
      </c>
      <c r="AF66">
        <v>0</v>
      </c>
      <c r="AG66">
        <v>4.2999989999999997</v>
      </c>
      <c r="AH66">
        <v>4.2999989999999997</v>
      </c>
      <c r="AI66">
        <v>3.7</v>
      </c>
      <c r="AJ66">
        <v>0.59999899999999995</v>
      </c>
      <c r="AK66">
        <v>0</v>
      </c>
      <c r="AL66" s="76">
        <v>44364</v>
      </c>
      <c r="AM66" s="75">
        <v>1665</v>
      </c>
      <c r="AN66" t="s">
        <v>65</v>
      </c>
      <c r="AO66" t="s">
        <v>511</v>
      </c>
      <c r="AP66" t="s">
        <v>67</v>
      </c>
      <c r="AQ66" t="s">
        <v>68</v>
      </c>
      <c r="AR66" t="s">
        <v>69</v>
      </c>
      <c r="AS66" s="78"/>
      <c r="AT66" s="82" t="s">
        <v>200</v>
      </c>
      <c r="AU66" s="78">
        <v>2026</v>
      </c>
      <c r="AV66" s="78">
        <v>1</v>
      </c>
      <c r="AW66" s="78" t="s">
        <v>137</v>
      </c>
      <c r="AX66" s="78">
        <v>1</v>
      </c>
      <c r="AY66" s="78">
        <v>0</v>
      </c>
      <c r="BT66" s="2" t="s">
        <v>137</v>
      </c>
      <c r="BU66" s="2">
        <v>1</v>
      </c>
      <c r="BV66" s="2">
        <v>0</v>
      </c>
    </row>
    <row r="67" spans="1:74" ht="15" customHeight="1" x14ac:dyDescent="0.25">
      <c r="A67" s="75">
        <v>5753589</v>
      </c>
      <c r="B67" t="s">
        <v>512</v>
      </c>
      <c r="C67" t="s">
        <v>513</v>
      </c>
      <c r="D67" t="s">
        <v>182</v>
      </c>
      <c r="E67" t="s">
        <v>54</v>
      </c>
      <c r="F67" s="75">
        <v>1</v>
      </c>
      <c r="G67" s="75">
        <v>293657</v>
      </c>
      <c r="H67">
        <v>932.99</v>
      </c>
      <c r="I67" t="s">
        <v>114</v>
      </c>
      <c r="J67" s="75">
        <v>218115</v>
      </c>
      <c r="K67" t="s">
        <v>514</v>
      </c>
      <c r="L67" t="s">
        <v>515</v>
      </c>
      <c r="M67" s="81">
        <v>46029.278368055559</v>
      </c>
      <c r="N67" s="81">
        <v>46030.40084490741</v>
      </c>
      <c r="O67" t="s">
        <v>58</v>
      </c>
      <c r="P67" t="s">
        <v>59</v>
      </c>
      <c r="Q67" t="s">
        <v>90</v>
      </c>
      <c r="R67" t="s">
        <v>60</v>
      </c>
      <c r="U67" s="75">
        <v>168027</v>
      </c>
      <c r="V67" t="s">
        <v>516</v>
      </c>
      <c r="W67" t="s">
        <v>516</v>
      </c>
      <c r="X67" t="s">
        <v>79</v>
      </c>
      <c r="Y67" t="s">
        <v>246</v>
      </c>
      <c r="AA67" t="s">
        <v>81</v>
      </c>
      <c r="AB67">
        <v>26.833333</v>
      </c>
      <c r="AC67">
        <v>22.85</v>
      </c>
      <c r="AD67">
        <v>3.983333</v>
      </c>
      <c r="AE67">
        <v>0.45</v>
      </c>
      <c r="AF67">
        <v>0</v>
      </c>
      <c r="AG67">
        <v>3.5333329999999998</v>
      </c>
      <c r="AH67">
        <v>3.5333329999999998</v>
      </c>
      <c r="AI67">
        <v>2.3333330000000001</v>
      </c>
      <c r="AJ67">
        <v>1.2</v>
      </c>
      <c r="AK67">
        <v>0</v>
      </c>
      <c r="AL67" s="76">
        <v>45196.541828703703</v>
      </c>
      <c r="AM67" s="75">
        <v>832</v>
      </c>
      <c r="AN67" t="s">
        <v>65</v>
      </c>
      <c r="AO67" t="s">
        <v>517</v>
      </c>
      <c r="AP67" t="s">
        <v>67</v>
      </c>
      <c r="AQ67" t="s">
        <v>83</v>
      </c>
      <c r="AR67" t="s">
        <v>69</v>
      </c>
      <c r="AS67" s="79"/>
      <c r="AT67" s="82" t="s">
        <v>200</v>
      </c>
      <c r="AU67" s="78">
        <v>2026</v>
      </c>
      <c r="AV67" s="78">
        <v>1</v>
      </c>
      <c r="AW67" s="78" t="s">
        <v>84</v>
      </c>
      <c r="AX67" s="78">
        <v>1</v>
      </c>
      <c r="AY67" s="78">
        <v>0</v>
      </c>
      <c r="BT67" s="3" t="s">
        <v>84</v>
      </c>
      <c r="BU67" s="3">
        <v>1</v>
      </c>
      <c r="BV67" s="3">
        <v>0</v>
      </c>
    </row>
    <row r="68" spans="1:74" ht="15" customHeight="1" x14ac:dyDescent="0.25">
      <c r="A68" s="75">
        <v>5746693</v>
      </c>
      <c r="B68" t="s">
        <v>518</v>
      </c>
      <c r="C68" t="s">
        <v>519</v>
      </c>
      <c r="D68" t="s">
        <v>182</v>
      </c>
      <c r="E68" t="s">
        <v>87</v>
      </c>
      <c r="F68" s="75">
        <v>21</v>
      </c>
      <c r="G68" s="75">
        <v>251429</v>
      </c>
      <c r="H68">
        <v>510</v>
      </c>
      <c r="I68" t="s">
        <v>114</v>
      </c>
      <c r="J68" s="75">
        <v>203645</v>
      </c>
      <c r="K68" t="s">
        <v>520</v>
      </c>
      <c r="L68" t="s">
        <v>521</v>
      </c>
      <c r="M68" s="81">
        <v>46027.528425925928</v>
      </c>
      <c r="N68" s="81">
        <v>46030.40347222222</v>
      </c>
      <c r="O68" t="s">
        <v>58</v>
      </c>
      <c r="P68" t="s">
        <v>59</v>
      </c>
      <c r="Q68" t="s">
        <v>77</v>
      </c>
      <c r="R68" t="s">
        <v>131</v>
      </c>
      <c r="U68" s="75">
        <v>168597</v>
      </c>
      <c r="V68" t="s">
        <v>522</v>
      </c>
      <c r="W68" t="s">
        <v>523</v>
      </c>
      <c r="X68" t="s">
        <v>118</v>
      </c>
      <c r="Y68" t="s">
        <v>119</v>
      </c>
      <c r="AA68" t="s">
        <v>416</v>
      </c>
      <c r="AB68">
        <v>68.833333999999994</v>
      </c>
      <c r="AC68">
        <v>45.433332999999998</v>
      </c>
      <c r="AD68">
        <v>23.400001</v>
      </c>
      <c r="AE68">
        <v>0.23333400000000001</v>
      </c>
      <c r="AF68">
        <v>0</v>
      </c>
      <c r="AG68">
        <v>23.166667</v>
      </c>
      <c r="AH68">
        <v>23.166667</v>
      </c>
      <c r="AI68">
        <v>22.716667000000001</v>
      </c>
      <c r="AJ68">
        <v>0.45</v>
      </c>
      <c r="AK68">
        <v>0</v>
      </c>
      <c r="AL68" s="76">
        <v>45099.588680555556</v>
      </c>
      <c r="AM68" s="75">
        <v>927</v>
      </c>
      <c r="AN68" t="s">
        <v>65</v>
      </c>
      <c r="AO68" t="s">
        <v>524</v>
      </c>
      <c r="AP68" t="s">
        <v>67</v>
      </c>
      <c r="AQ68" t="s">
        <v>121</v>
      </c>
      <c r="AR68" t="s">
        <v>69</v>
      </c>
      <c r="AS68" s="78"/>
      <c r="AT68" s="82" t="s">
        <v>200</v>
      </c>
      <c r="AU68" s="78">
        <v>2026</v>
      </c>
      <c r="AV68" s="78">
        <v>1</v>
      </c>
      <c r="AW68" s="78" t="s">
        <v>122</v>
      </c>
      <c r="AX68" s="78">
        <v>0</v>
      </c>
      <c r="AY68" s="78">
        <v>0</v>
      </c>
      <c r="BT68" s="2" t="s">
        <v>122</v>
      </c>
      <c r="BU68" s="2">
        <v>0</v>
      </c>
      <c r="BV68" s="2">
        <v>0</v>
      </c>
    </row>
    <row r="69" spans="1:74" ht="15" customHeight="1" x14ac:dyDescent="0.25">
      <c r="A69" s="75">
        <v>5754081</v>
      </c>
      <c r="B69" t="s">
        <v>525</v>
      </c>
      <c r="C69" t="s">
        <v>526</v>
      </c>
      <c r="D69" t="s">
        <v>527</v>
      </c>
      <c r="E69" t="s">
        <v>87</v>
      </c>
      <c r="F69" s="75">
        <v>93</v>
      </c>
      <c r="G69" s="75">
        <v>280013</v>
      </c>
      <c r="H69">
        <v>616.59</v>
      </c>
      <c r="I69" t="s">
        <v>266</v>
      </c>
      <c r="J69" s="75">
        <v>49495</v>
      </c>
      <c r="K69" t="s">
        <v>460</v>
      </c>
      <c r="L69" t="s">
        <v>461</v>
      </c>
      <c r="M69" s="81">
        <v>46029.362754629627</v>
      </c>
      <c r="N69" s="81">
        <v>46030.422881944447</v>
      </c>
      <c r="O69" t="s">
        <v>58</v>
      </c>
      <c r="P69" t="s">
        <v>59</v>
      </c>
      <c r="Q69" t="s">
        <v>90</v>
      </c>
      <c r="R69" t="s">
        <v>60</v>
      </c>
      <c r="U69" s="75">
        <v>168253</v>
      </c>
      <c r="V69" t="s">
        <v>528</v>
      </c>
      <c r="W69" t="s">
        <v>528</v>
      </c>
      <c r="X69" t="s">
        <v>62</v>
      </c>
      <c r="Y69" t="s">
        <v>63</v>
      </c>
      <c r="AA69" t="s">
        <v>101</v>
      </c>
      <c r="AB69">
        <v>25.383334000000001</v>
      </c>
      <c r="AC69">
        <v>16.7</v>
      </c>
      <c r="AD69">
        <v>8.6833340000000003</v>
      </c>
      <c r="AE69">
        <v>0.11666700000000001</v>
      </c>
      <c r="AF69">
        <v>0</v>
      </c>
      <c r="AG69">
        <v>8.5666670000000007</v>
      </c>
      <c r="AH69">
        <v>8.5666670000000007</v>
      </c>
      <c r="AI69">
        <v>7.483333</v>
      </c>
      <c r="AJ69">
        <v>1.083334</v>
      </c>
      <c r="AK69">
        <v>0</v>
      </c>
      <c r="AL69" s="76">
        <v>44774</v>
      </c>
      <c r="AM69" s="75">
        <v>1255</v>
      </c>
      <c r="AN69" t="s">
        <v>65</v>
      </c>
      <c r="AO69" t="s">
        <v>529</v>
      </c>
      <c r="AP69" t="s">
        <v>67</v>
      </c>
      <c r="AQ69" t="s">
        <v>68</v>
      </c>
      <c r="AR69" t="s">
        <v>69</v>
      </c>
      <c r="AS69" s="79"/>
      <c r="AT69" s="82" t="s">
        <v>200</v>
      </c>
      <c r="AU69" s="78">
        <v>2026</v>
      </c>
      <c r="AV69" s="78">
        <v>1</v>
      </c>
      <c r="AW69" s="78" t="s">
        <v>71</v>
      </c>
      <c r="AX69" s="78">
        <v>0</v>
      </c>
      <c r="AY69" s="78">
        <v>0</v>
      </c>
      <c r="BT69" s="3" t="s">
        <v>71</v>
      </c>
      <c r="BU69" s="3">
        <v>0</v>
      </c>
      <c r="BV69" s="3">
        <v>0</v>
      </c>
    </row>
    <row r="70" spans="1:74" ht="15" customHeight="1" x14ac:dyDescent="0.25">
      <c r="A70" s="75">
        <v>5749671</v>
      </c>
      <c r="B70" t="s">
        <v>530</v>
      </c>
      <c r="C70" t="s">
        <v>531</v>
      </c>
      <c r="D70" t="s">
        <v>74</v>
      </c>
      <c r="E70" t="s">
        <v>126</v>
      </c>
      <c r="F70" s="75">
        <v>2</v>
      </c>
      <c r="G70" s="75">
        <v>332533</v>
      </c>
      <c r="H70">
        <v>1390</v>
      </c>
      <c r="I70" t="s">
        <v>141</v>
      </c>
      <c r="J70" s="75">
        <v>225007</v>
      </c>
      <c r="K70" t="s">
        <v>532</v>
      </c>
      <c r="L70" t="s">
        <v>533</v>
      </c>
      <c r="M70" s="81">
        <v>46028.452476851853</v>
      </c>
      <c r="N70" s="81">
        <v>46030.456967592603</v>
      </c>
      <c r="O70" t="s">
        <v>58</v>
      </c>
      <c r="P70" t="s">
        <v>59</v>
      </c>
      <c r="Q70" t="s">
        <v>130</v>
      </c>
      <c r="R70" t="s">
        <v>60</v>
      </c>
      <c r="U70" s="75">
        <v>167619</v>
      </c>
      <c r="V70" t="s">
        <v>534</v>
      </c>
      <c r="W70" t="s">
        <v>534</v>
      </c>
      <c r="X70" t="s">
        <v>118</v>
      </c>
      <c r="Y70" t="s">
        <v>400</v>
      </c>
      <c r="AA70" t="s">
        <v>64</v>
      </c>
      <c r="AB70">
        <v>48.066667000000002</v>
      </c>
      <c r="AC70">
        <v>42.05</v>
      </c>
      <c r="AD70">
        <v>6.016667</v>
      </c>
      <c r="AE70">
        <v>0.11666700000000001</v>
      </c>
      <c r="AF70">
        <v>0</v>
      </c>
      <c r="AG70">
        <v>5.9</v>
      </c>
      <c r="AH70">
        <v>5.9</v>
      </c>
      <c r="AI70">
        <v>5.766667</v>
      </c>
      <c r="AJ70">
        <v>0.13333300000000001</v>
      </c>
      <c r="AK70">
        <v>0</v>
      </c>
      <c r="AL70" s="76">
        <v>45757.473807870367</v>
      </c>
      <c r="AM70" s="75">
        <v>270</v>
      </c>
      <c r="AN70" t="s">
        <v>65</v>
      </c>
      <c r="AO70" t="s">
        <v>535</v>
      </c>
      <c r="AP70" t="s">
        <v>67</v>
      </c>
      <c r="AQ70" t="s">
        <v>121</v>
      </c>
      <c r="AR70" t="s">
        <v>69</v>
      </c>
      <c r="AS70" s="78"/>
      <c r="AT70" s="82" t="s">
        <v>200</v>
      </c>
      <c r="AU70" s="78">
        <v>2026</v>
      </c>
      <c r="AV70" s="78">
        <v>1</v>
      </c>
      <c r="AW70" s="78" t="s">
        <v>122</v>
      </c>
      <c r="AX70" s="78">
        <v>1</v>
      </c>
      <c r="AY70" s="78">
        <v>0</v>
      </c>
      <c r="BT70" s="2" t="s">
        <v>122</v>
      </c>
      <c r="BU70" s="2">
        <v>1</v>
      </c>
      <c r="BV70" s="2">
        <v>0</v>
      </c>
    </row>
    <row r="71" spans="1:74" ht="15" customHeight="1" x14ac:dyDescent="0.25">
      <c r="A71" s="75">
        <v>5750579</v>
      </c>
      <c r="B71" t="s">
        <v>536</v>
      </c>
      <c r="C71" t="s">
        <v>537</v>
      </c>
      <c r="D71" t="s">
        <v>74</v>
      </c>
      <c r="E71" t="s">
        <v>54</v>
      </c>
      <c r="F71" s="75">
        <v>70</v>
      </c>
      <c r="G71" s="75">
        <v>277795</v>
      </c>
      <c r="H71">
        <v>367.96</v>
      </c>
      <c r="I71" t="s">
        <v>242</v>
      </c>
      <c r="J71" s="75">
        <v>212603</v>
      </c>
      <c r="K71" t="s">
        <v>538</v>
      </c>
      <c r="L71" t="s">
        <v>539</v>
      </c>
      <c r="M71" s="81">
        <v>46028.702349537038</v>
      </c>
      <c r="N71" s="81">
        <v>46030.512337962973</v>
      </c>
      <c r="O71" t="s">
        <v>58</v>
      </c>
      <c r="P71" t="s">
        <v>59</v>
      </c>
      <c r="Q71" t="s">
        <v>90</v>
      </c>
      <c r="R71" t="s">
        <v>60</v>
      </c>
      <c r="T71" t="s">
        <v>231</v>
      </c>
      <c r="U71" s="75">
        <v>167961</v>
      </c>
      <c r="V71" t="s">
        <v>540</v>
      </c>
      <c r="W71" t="s">
        <v>540</v>
      </c>
      <c r="X71" t="s">
        <v>62</v>
      </c>
      <c r="Y71" t="s">
        <v>541</v>
      </c>
      <c r="AA71" t="s">
        <v>81</v>
      </c>
      <c r="AB71">
        <v>43.383333999999998</v>
      </c>
      <c r="AC71">
        <v>42.566667000000002</v>
      </c>
      <c r="AD71">
        <v>0.81666700000000003</v>
      </c>
      <c r="AE71">
        <v>0.8</v>
      </c>
      <c r="AF71">
        <v>0</v>
      </c>
      <c r="AG71">
        <v>1.6667000000000001E-2</v>
      </c>
      <c r="AH71">
        <v>1.6667000000000001E-2</v>
      </c>
      <c r="AI71">
        <v>0</v>
      </c>
      <c r="AJ71">
        <v>1.6667000000000001E-2</v>
      </c>
      <c r="AK71">
        <v>0</v>
      </c>
      <c r="AL71" s="76">
        <v>43963</v>
      </c>
      <c r="AM71" s="75">
        <v>2065</v>
      </c>
      <c r="AN71" t="s">
        <v>65</v>
      </c>
      <c r="AO71" t="s">
        <v>542</v>
      </c>
      <c r="AP71" t="s">
        <v>67</v>
      </c>
      <c r="AQ71" t="s">
        <v>68</v>
      </c>
      <c r="AR71" t="s">
        <v>69</v>
      </c>
      <c r="AS71" s="79"/>
      <c r="AT71" s="82" t="s">
        <v>200</v>
      </c>
      <c r="AU71" s="78">
        <v>2026</v>
      </c>
      <c r="AV71" s="78">
        <v>1</v>
      </c>
      <c r="AW71" s="78" t="s">
        <v>137</v>
      </c>
      <c r="AX71" s="78">
        <v>1</v>
      </c>
      <c r="AY71" s="78">
        <v>0</v>
      </c>
      <c r="BT71" s="3" t="s">
        <v>137</v>
      </c>
      <c r="BU71" s="3">
        <v>1</v>
      </c>
      <c r="BV71" s="3">
        <v>0</v>
      </c>
    </row>
    <row r="72" spans="1:74" ht="15" customHeight="1" x14ac:dyDescent="0.25">
      <c r="A72" s="75">
        <v>5750669</v>
      </c>
      <c r="B72" t="s">
        <v>543</v>
      </c>
      <c r="C72" t="s">
        <v>544</v>
      </c>
      <c r="D72" t="s">
        <v>182</v>
      </c>
      <c r="E72" t="s">
        <v>87</v>
      </c>
      <c r="F72" s="75">
        <v>57</v>
      </c>
      <c r="G72" s="75">
        <v>275351</v>
      </c>
      <c r="H72">
        <v>364.95</v>
      </c>
      <c r="I72" t="s">
        <v>55</v>
      </c>
      <c r="J72" s="75">
        <v>218787</v>
      </c>
      <c r="K72" t="s">
        <v>96</v>
      </c>
      <c r="L72" t="s">
        <v>97</v>
      </c>
      <c r="M72" s="81">
        <v>46028.723182870373</v>
      </c>
      <c r="N72" s="81">
        <v>46030.5233912037</v>
      </c>
      <c r="O72" t="s">
        <v>58</v>
      </c>
      <c r="P72" t="s">
        <v>59</v>
      </c>
      <c r="Q72" t="s">
        <v>90</v>
      </c>
      <c r="R72" t="s">
        <v>60</v>
      </c>
      <c r="U72" s="75">
        <v>168005</v>
      </c>
      <c r="V72" t="s">
        <v>545</v>
      </c>
      <c r="W72" t="s">
        <v>545</v>
      </c>
      <c r="X72" t="s">
        <v>62</v>
      </c>
      <c r="Y72" t="s">
        <v>63</v>
      </c>
      <c r="AA72" t="s">
        <v>64</v>
      </c>
      <c r="AB72">
        <v>43.15</v>
      </c>
      <c r="AC72">
        <v>36.016666000000001</v>
      </c>
      <c r="AD72">
        <v>7.1333339999999996</v>
      </c>
      <c r="AE72">
        <v>0.33333400000000002</v>
      </c>
      <c r="AF72">
        <v>0</v>
      </c>
      <c r="AG72">
        <v>6.8</v>
      </c>
      <c r="AH72">
        <v>6.8</v>
      </c>
      <c r="AI72">
        <v>6.5333329999999998</v>
      </c>
      <c r="AJ72">
        <v>0.26666699999999999</v>
      </c>
      <c r="AK72">
        <v>0</v>
      </c>
      <c r="AL72" s="76">
        <v>44865</v>
      </c>
      <c r="AM72" s="75">
        <v>1163</v>
      </c>
      <c r="AN72" t="s">
        <v>65</v>
      </c>
      <c r="AO72" t="s">
        <v>546</v>
      </c>
      <c r="AP72" t="s">
        <v>67</v>
      </c>
      <c r="AQ72" t="s">
        <v>68</v>
      </c>
      <c r="AR72" t="s">
        <v>69</v>
      </c>
      <c r="AS72" s="78"/>
      <c r="AT72" s="82" t="s">
        <v>200</v>
      </c>
      <c r="AU72" s="78">
        <v>2026</v>
      </c>
      <c r="AV72" s="78">
        <v>1</v>
      </c>
      <c r="AW72" s="78" t="s">
        <v>71</v>
      </c>
      <c r="AX72" s="78">
        <v>1</v>
      </c>
      <c r="AY72" s="78">
        <v>0</v>
      </c>
      <c r="BT72" s="2" t="s">
        <v>71</v>
      </c>
      <c r="BU72" s="2">
        <v>1</v>
      </c>
      <c r="BV72" s="2">
        <v>0</v>
      </c>
    </row>
    <row r="73" spans="1:74" ht="15" customHeight="1" x14ac:dyDescent="0.25">
      <c r="A73" s="75">
        <v>5754085</v>
      </c>
      <c r="B73" t="s">
        <v>547</v>
      </c>
      <c r="C73" t="s">
        <v>548</v>
      </c>
      <c r="D73" t="s">
        <v>527</v>
      </c>
      <c r="E73" t="s">
        <v>87</v>
      </c>
      <c r="F73" s="75">
        <v>90</v>
      </c>
      <c r="G73" s="75">
        <v>280007</v>
      </c>
      <c r="H73">
        <v>616.59</v>
      </c>
      <c r="I73" t="s">
        <v>266</v>
      </c>
      <c r="J73" s="75">
        <v>49495</v>
      </c>
      <c r="K73" t="s">
        <v>460</v>
      </c>
      <c r="L73" t="s">
        <v>461</v>
      </c>
      <c r="M73" s="81">
        <v>46029.362928240742</v>
      </c>
      <c r="N73" s="81">
        <v>46030.627743055556</v>
      </c>
      <c r="O73" t="s">
        <v>58</v>
      </c>
      <c r="P73" t="s">
        <v>59</v>
      </c>
      <c r="Q73" t="s">
        <v>90</v>
      </c>
      <c r="R73" t="s">
        <v>156</v>
      </c>
      <c r="U73" s="75">
        <v>168817</v>
      </c>
      <c r="V73" t="s">
        <v>549</v>
      </c>
      <c r="W73" t="s">
        <v>550</v>
      </c>
      <c r="X73" t="s">
        <v>62</v>
      </c>
      <c r="Y73" t="s">
        <v>63</v>
      </c>
      <c r="AA73" t="s">
        <v>416</v>
      </c>
      <c r="AB73">
        <v>30.233333999999999</v>
      </c>
      <c r="AC73">
        <v>13.883334</v>
      </c>
      <c r="AD73">
        <v>16.350000000000001</v>
      </c>
      <c r="AE73">
        <v>0.86666699999999997</v>
      </c>
      <c r="AF73">
        <v>0</v>
      </c>
      <c r="AG73">
        <v>15.483333</v>
      </c>
      <c r="AH73">
        <v>15.483333</v>
      </c>
      <c r="AI73">
        <v>14.983333</v>
      </c>
      <c r="AJ73">
        <v>0.5</v>
      </c>
      <c r="AK73">
        <v>0</v>
      </c>
      <c r="AL73" s="76">
        <v>44774</v>
      </c>
      <c r="AM73" s="75">
        <v>1255</v>
      </c>
      <c r="AN73" t="s">
        <v>65</v>
      </c>
      <c r="AO73" t="s">
        <v>551</v>
      </c>
      <c r="AP73" t="s">
        <v>67</v>
      </c>
      <c r="AQ73" t="s">
        <v>68</v>
      </c>
      <c r="AR73" t="s">
        <v>69</v>
      </c>
      <c r="AS73" s="79"/>
      <c r="AT73" s="82" t="s">
        <v>200</v>
      </c>
      <c r="AU73" s="78">
        <v>2026</v>
      </c>
      <c r="AV73" s="78">
        <v>1</v>
      </c>
      <c r="AW73" s="78" t="s">
        <v>71</v>
      </c>
      <c r="AX73" s="78">
        <v>0</v>
      </c>
      <c r="AY73" s="78">
        <v>0</v>
      </c>
      <c r="BT73" s="3" t="s">
        <v>71</v>
      </c>
      <c r="BU73" s="3">
        <v>0</v>
      </c>
      <c r="BV73" s="3">
        <v>0</v>
      </c>
    </row>
    <row r="74" spans="1:74" ht="15" customHeight="1" x14ac:dyDescent="0.25">
      <c r="A74" s="75">
        <v>5734653</v>
      </c>
      <c r="B74" t="s">
        <v>552</v>
      </c>
      <c r="C74" t="s">
        <v>553</v>
      </c>
      <c r="D74" t="s">
        <v>182</v>
      </c>
      <c r="E74" t="s">
        <v>105</v>
      </c>
      <c r="F74" s="75">
        <v>940</v>
      </c>
      <c r="G74" s="75">
        <v>278749</v>
      </c>
      <c r="H74">
        <v>475</v>
      </c>
      <c r="I74" t="s">
        <v>266</v>
      </c>
      <c r="J74" s="75">
        <v>48887</v>
      </c>
      <c r="K74" t="s">
        <v>164</v>
      </c>
      <c r="L74" t="s">
        <v>165</v>
      </c>
      <c r="M74" s="81">
        <v>46020.685706018521</v>
      </c>
      <c r="N74" s="81">
        <v>46030.634942129633</v>
      </c>
      <c r="O74" t="s">
        <v>554</v>
      </c>
      <c r="P74" t="s">
        <v>59</v>
      </c>
      <c r="Q74" t="s">
        <v>77</v>
      </c>
      <c r="R74" t="s">
        <v>156</v>
      </c>
      <c r="T74" t="s">
        <v>507</v>
      </c>
      <c r="U74" s="75">
        <v>168343</v>
      </c>
      <c r="V74" t="s">
        <v>555</v>
      </c>
      <c r="W74" t="s">
        <v>556</v>
      </c>
      <c r="X74" t="s">
        <v>62</v>
      </c>
      <c r="Y74" t="s">
        <v>557</v>
      </c>
      <c r="AA74" t="s">
        <v>295</v>
      </c>
      <c r="AB74">
        <v>238.533332</v>
      </c>
      <c r="AC74">
        <v>189.73333199999999</v>
      </c>
      <c r="AD74">
        <v>48.8</v>
      </c>
      <c r="AE74">
        <v>0.73333300000000001</v>
      </c>
      <c r="AF74">
        <v>0</v>
      </c>
      <c r="AG74">
        <v>48.066667000000002</v>
      </c>
      <c r="AH74">
        <v>48.066667000000002</v>
      </c>
      <c r="AI74">
        <v>16.016667000000002</v>
      </c>
      <c r="AJ74">
        <v>32.049999999999997</v>
      </c>
      <c r="AK74">
        <v>0</v>
      </c>
      <c r="AL74" s="76">
        <v>44441</v>
      </c>
      <c r="AM74" s="75">
        <v>1579</v>
      </c>
      <c r="AN74" t="s">
        <v>65</v>
      </c>
      <c r="AO74" t="s">
        <v>558</v>
      </c>
      <c r="AP74" t="s">
        <v>67</v>
      </c>
      <c r="AQ74" t="s">
        <v>68</v>
      </c>
      <c r="AR74" t="s">
        <v>69</v>
      </c>
      <c r="AS74" s="78"/>
      <c r="AT74" s="82" t="s">
        <v>200</v>
      </c>
      <c r="AU74" s="78">
        <v>2026</v>
      </c>
      <c r="AV74" s="78">
        <v>1</v>
      </c>
      <c r="AW74" s="78" t="s">
        <v>137</v>
      </c>
      <c r="AX74" s="78">
        <v>0</v>
      </c>
      <c r="AY74" s="78">
        <v>1</v>
      </c>
      <c r="BT74" s="2" t="s">
        <v>137</v>
      </c>
      <c r="BU74" s="2">
        <v>0</v>
      </c>
      <c r="BV74" s="2">
        <v>1</v>
      </c>
    </row>
    <row r="75" spans="1:74" ht="15" customHeight="1" x14ac:dyDescent="0.25">
      <c r="A75" s="75">
        <v>5755133</v>
      </c>
      <c r="B75" t="s">
        <v>559</v>
      </c>
      <c r="C75" t="s">
        <v>560</v>
      </c>
      <c r="D75" t="s">
        <v>265</v>
      </c>
      <c r="E75" t="s">
        <v>87</v>
      </c>
      <c r="F75" s="75">
        <v>9</v>
      </c>
      <c r="G75" s="75">
        <v>280141</v>
      </c>
      <c r="H75">
        <v>1200</v>
      </c>
      <c r="I75" t="s">
        <v>266</v>
      </c>
      <c r="J75" s="75">
        <v>201809</v>
      </c>
      <c r="K75" t="s">
        <v>505</v>
      </c>
      <c r="L75" t="s">
        <v>506</v>
      </c>
      <c r="M75" s="81">
        <v>46029.465208333328</v>
      </c>
      <c r="N75" s="81">
        <v>46030.645509259259</v>
      </c>
      <c r="O75" t="s">
        <v>58</v>
      </c>
      <c r="P75" t="s">
        <v>59</v>
      </c>
      <c r="Q75" t="s">
        <v>77</v>
      </c>
      <c r="R75" t="s">
        <v>60</v>
      </c>
      <c r="U75" s="75">
        <v>168427</v>
      </c>
      <c r="V75" t="s">
        <v>561</v>
      </c>
      <c r="W75" t="s">
        <v>561</v>
      </c>
      <c r="X75" t="s">
        <v>62</v>
      </c>
      <c r="Y75" t="s">
        <v>63</v>
      </c>
      <c r="AA75" t="s">
        <v>64</v>
      </c>
      <c r="AB75">
        <v>28.266667000000002</v>
      </c>
      <c r="AC75">
        <v>21.966667000000001</v>
      </c>
      <c r="AD75">
        <v>6.3</v>
      </c>
      <c r="AE75">
        <v>0.15</v>
      </c>
      <c r="AF75">
        <v>0</v>
      </c>
      <c r="AG75">
        <v>6.15</v>
      </c>
      <c r="AH75">
        <v>6.15</v>
      </c>
      <c r="AI75">
        <v>6.1166669999999996</v>
      </c>
      <c r="AJ75">
        <v>3.3333000000000002E-2</v>
      </c>
      <c r="AK75">
        <v>0</v>
      </c>
      <c r="AL75" s="76">
        <v>44357</v>
      </c>
      <c r="AM75" s="75">
        <v>1672</v>
      </c>
      <c r="AN75" t="s">
        <v>65</v>
      </c>
      <c r="AO75" t="s">
        <v>562</v>
      </c>
      <c r="AP75" t="s">
        <v>67</v>
      </c>
      <c r="AQ75" t="s">
        <v>68</v>
      </c>
      <c r="AR75" t="s">
        <v>69</v>
      </c>
      <c r="AS75" s="79"/>
      <c r="AT75" s="82" t="s">
        <v>200</v>
      </c>
      <c r="AU75" s="78">
        <v>2026</v>
      </c>
      <c r="AV75" s="78">
        <v>1</v>
      </c>
      <c r="AW75" s="78" t="s">
        <v>71</v>
      </c>
      <c r="AX75" s="78">
        <v>1</v>
      </c>
      <c r="AY75" s="78">
        <v>0</v>
      </c>
      <c r="BT75" s="3" t="s">
        <v>71</v>
      </c>
      <c r="BU75" s="3">
        <v>1</v>
      </c>
      <c r="BV75" s="3">
        <v>0</v>
      </c>
    </row>
    <row r="76" spans="1:74" ht="15" customHeight="1" x14ac:dyDescent="0.25">
      <c r="A76" s="75">
        <v>5749847</v>
      </c>
      <c r="B76" t="s">
        <v>563</v>
      </c>
      <c r="C76" t="s">
        <v>564</v>
      </c>
      <c r="D76" t="s">
        <v>74</v>
      </c>
      <c r="E76" t="s">
        <v>87</v>
      </c>
      <c r="F76" s="75">
        <v>180</v>
      </c>
      <c r="G76" s="75">
        <v>285883</v>
      </c>
      <c r="H76">
        <v>364.95</v>
      </c>
      <c r="I76" t="s">
        <v>55</v>
      </c>
      <c r="J76" s="75">
        <v>218787</v>
      </c>
      <c r="K76" t="s">
        <v>96</v>
      </c>
      <c r="L76" t="s">
        <v>97</v>
      </c>
      <c r="M76" s="81">
        <v>46028.499849537038</v>
      </c>
      <c r="N76" s="81">
        <v>46030.718495370369</v>
      </c>
      <c r="O76" t="s">
        <v>58</v>
      </c>
      <c r="P76" t="s">
        <v>59</v>
      </c>
      <c r="Q76" t="s">
        <v>130</v>
      </c>
      <c r="R76" t="s">
        <v>131</v>
      </c>
      <c r="U76" s="75">
        <v>167995</v>
      </c>
      <c r="V76" t="s">
        <v>565</v>
      </c>
      <c r="W76" t="s">
        <v>566</v>
      </c>
      <c r="X76" t="s">
        <v>62</v>
      </c>
      <c r="Y76" t="s">
        <v>63</v>
      </c>
      <c r="AA76" t="s">
        <v>416</v>
      </c>
      <c r="AB76">
        <v>53.166665999999999</v>
      </c>
      <c r="AC76">
        <v>38.733333000000002</v>
      </c>
      <c r="AD76">
        <v>14.433332999999999</v>
      </c>
      <c r="AE76">
        <v>0.05</v>
      </c>
      <c r="AF76">
        <v>0</v>
      </c>
      <c r="AG76">
        <v>14.383333</v>
      </c>
      <c r="AH76">
        <v>14.383333</v>
      </c>
      <c r="AI76">
        <v>14.1</v>
      </c>
      <c r="AJ76">
        <v>0.283333</v>
      </c>
      <c r="AK76">
        <v>0</v>
      </c>
      <c r="AL76" s="76">
        <v>44868</v>
      </c>
      <c r="AM76" s="75">
        <v>1160</v>
      </c>
      <c r="AN76" t="s">
        <v>65</v>
      </c>
      <c r="AO76" t="s">
        <v>567</v>
      </c>
      <c r="AP76" t="s">
        <v>67</v>
      </c>
      <c r="AQ76" t="s">
        <v>68</v>
      </c>
      <c r="AR76" t="s">
        <v>69</v>
      </c>
      <c r="AS76" s="78"/>
      <c r="AT76" s="82" t="s">
        <v>200</v>
      </c>
      <c r="AU76" s="78">
        <v>2026</v>
      </c>
      <c r="AV76" s="78">
        <v>1</v>
      </c>
      <c r="AW76" s="78" t="s">
        <v>71</v>
      </c>
      <c r="AX76" s="78">
        <v>0</v>
      </c>
      <c r="AY76" s="78">
        <v>0</v>
      </c>
      <c r="BT76" s="2" t="s">
        <v>71</v>
      </c>
      <c r="BU76" s="2">
        <v>0</v>
      </c>
      <c r="BV76" s="2">
        <v>0</v>
      </c>
    </row>
    <row r="77" spans="1:74" ht="15" customHeight="1" x14ac:dyDescent="0.25">
      <c r="A77" s="75">
        <v>5750347</v>
      </c>
      <c r="B77" t="s">
        <v>568</v>
      </c>
      <c r="C77" t="s">
        <v>569</v>
      </c>
      <c r="D77" t="s">
        <v>527</v>
      </c>
      <c r="E77" t="s">
        <v>87</v>
      </c>
      <c r="F77" s="75">
        <v>271</v>
      </c>
      <c r="G77" s="75">
        <v>278103</v>
      </c>
      <c r="H77">
        <v>590</v>
      </c>
      <c r="I77" t="s">
        <v>266</v>
      </c>
      <c r="J77" s="75">
        <v>49495</v>
      </c>
      <c r="K77" t="s">
        <v>460</v>
      </c>
      <c r="L77" t="s">
        <v>461</v>
      </c>
      <c r="M77" s="81">
        <v>46028.62572916667</v>
      </c>
      <c r="N77" s="81">
        <v>46031.333657407413</v>
      </c>
      <c r="O77" t="s">
        <v>58</v>
      </c>
      <c r="P77" t="s">
        <v>59</v>
      </c>
      <c r="Q77" t="s">
        <v>90</v>
      </c>
      <c r="R77" t="s">
        <v>60</v>
      </c>
      <c r="U77" s="75">
        <v>168001</v>
      </c>
      <c r="V77" t="s">
        <v>570</v>
      </c>
      <c r="W77" t="s">
        <v>571</v>
      </c>
      <c r="X77" t="s">
        <v>62</v>
      </c>
      <c r="Y77" t="s">
        <v>557</v>
      </c>
      <c r="AA77" t="s">
        <v>64</v>
      </c>
      <c r="AB77">
        <v>64.95</v>
      </c>
      <c r="AC77">
        <v>58.15</v>
      </c>
      <c r="AD77">
        <v>6.8</v>
      </c>
      <c r="AE77">
        <v>0.28333399999999997</v>
      </c>
      <c r="AF77">
        <v>0</v>
      </c>
      <c r="AG77">
        <v>6.5166659999999998</v>
      </c>
      <c r="AH77">
        <v>6.5166659999999998</v>
      </c>
      <c r="AI77">
        <v>6.2666659999999998</v>
      </c>
      <c r="AJ77">
        <v>0.25</v>
      </c>
      <c r="AK77">
        <v>0</v>
      </c>
      <c r="AL77" s="76">
        <v>44730</v>
      </c>
      <c r="AM77" s="75">
        <v>1298</v>
      </c>
      <c r="AN77" t="s">
        <v>65</v>
      </c>
      <c r="AO77" t="s">
        <v>572</v>
      </c>
      <c r="AP77" t="s">
        <v>67</v>
      </c>
      <c r="AQ77" t="s">
        <v>68</v>
      </c>
      <c r="AR77" t="s">
        <v>69</v>
      </c>
      <c r="AS77" s="79"/>
      <c r="AT77" s="82" t="s">
        <v>200</v>
      </c>
      <c r="AU77" s="78">
        <v>2026</v>
      </c>
      <c r="AV77" s="78">
        <v>1</v>
      </c>
      <c r="AW77" s="78" t="s">
        <v>137</v>
      </c>
      <c r="AX77" s="78">
        <v>1</v>
      </c>
      <c r="AY77" s="78">
        <v>0</v>
      </c>
      <c r="BT77" s="3" t="s">
        <v>137</v>
      </c>
      <c r="BU77" s="3">
        <v>1</v>
      </c>
      <c r="BV77" s="3">
        <v>0</v>
      </c>
    </row>
    <row r="78" spans="1:74" ht="15" customHeight="1" x14ac:dyDescent="0.25">
      <c r="A78" s="75">
        <v>5745867</v>
      </c>
      <c r="B78" t="s">
        <v>573</v>
      </c>
      <c r="C78" t="s">
        <v>574</v>
      </c>
      <c r="D78" t="s">
        <v>182</v>
      </c>
      <c r="E78" t="s">
        <v>87</v>
      </c>
      <c r="F78" s="75">
        <v>13</v>
      </c>
      <c r="G78" s="75">
        <v>290927</v>
      </c>
      <c r="H78">
        <v>2914.74</v>
      </c>
      <c r="I78" t="s">
        <v>114</v>
      </c>
      <c r="J78" s="75">
        <v>52957</v>
      </c>
      <c r="K78" t="s">
        <v>575</v>
      </c>
      <c r="L78" t="s">
        <v>576</v>
      </c>
      <c r="M78" s="81">
        <v>46027.374120370368</v>
      </c>
      <c r="N78" s="81">
        <v>46031.38826388889</v>
      </c>
      <c r="O78" t="s">
        <v>391</v>
      </c>
      <c r="P78" t="s">
        <v>59</v>
      </c>
      <c r="Q78" t="s">
        <v>77</v>
      </c>
      <c r="R78" t="s">
        <v>131</v>
      </c>
      <c r="U78" s="75">
        <v>169013</v>
      </c>
      <c r="V78" t="s">
        <v>577</v>
      </c>
      <c r="W78" t="s">
        <v>578</v>
      </c>
      <c r="X78" t="s">
        <v>118</v>
      </c>
      <c r="Y78" t="s">
        <v>579</v>
      </c>
      <c r="AA78" t="s">
        <v>416</v>
      </c>
      <c r="AB78">
        <v>96.200001</v>
      </c>
      <c r="AC78">
        <v>76.366668000000004</v>
      </c>
      <c r="AD78">
        <v>19.833333</v>
      </c>
      <c r="AE78">
        <v>0.33333299999999999</v>
      </c>
      <c r="AF78">
        <v>0</v>
      </c>
      <c r="AG78">
        <v>19.5</v>
      </c>
      <c r="AH78">
        <v>19.5</v>
      </c>
      <c r="AI78">
        <v>19</v>
      </c>
      <c r="AJ78">
        <v>0.5</v>
      </c>
      <c r="AK78">
        <v>0</v>
      </c>
      <c r="AL78" s="76">
        <v>45244</v>
      </c>
      <c r="AM78" s="75">
        <v>783</v>
      </c>
      <c r="AN78" t="s">
        <v>65</v>
      </c>
      <c r="AO78" t="s">
        <v>580</v>
      </c>
      <c r="AP78" t="s">
        <v>67</v>
      </c>
      <c r="AQ78" t="s">
        <v>121</v>
      </c>
      <c r="AR78" t="s">
        <v>69</v>
      </c>
      <c r="AS78" s="78"/>
      <c r="AT78" s="82" t="s">
        <v>200</v>
      </c>
      <c r="AU78" s="78">
        <v>2026</v>
      </c>
      <c r="AV78" s="78">
        <v>1</v>
      </c>
      <c r="AW78" s="78" t="s">
        <v>347</v>
      </c>
      <c r="AX78" s="78">
        <v>0</v>
      </c>
      <c r="AY78" s="78">
        <v>0</v>
      </c>
      <c r="BT78" s="2" t="s">
        <v>347</v>
      </c>
      <c r="BU78" s="2">
        <v>0</v>
      </c>
      <c r="BV78" s="2">
        <v>0</v>
      </c>
    </row>
    <row r="79" spans="1:74" ht="15" customHeight="1" x14ac:dyDescent="0.25">
      <c r="A79" s="75">
        <v>5756499</v>
      </c>
      <c r="B79" t="s">
        <v>581</v>
      </c>
      <c r="C79" t="s">
        <v>582</v>
      </c>
      <c r="D79" t="s">
        <v>74</v>
      </c>
      <c r="E79" t="s">
        <v>87</v>
      </c>
      <c r="F79" s="75">
        <v>544</v>
      </c>
      <c r="G79" s="75">
        <v>297135</v>
      </c>
      <c r="H79">
        <v>346.37</v>
      </c>
      <c r="I79" t="s">
        <v>55</v>
      </c>
      <c r="J79" s="75">
        <v>216233</v>
      </c>
      <c r="K79" t="s">
        <v>88</v>
      </c>
      <c r="L79" t="s">
        <v>89</v>
      </c>
      <c r="M79" s="81">
        <v>46029.667326388888</v>
      </c>
      <c r="N79" s="81">
        <v>46031.462222222217</v>
      </c>
      <c r="O79" t="s">
        <v>58</v>
      </c>
      <c r="P79" t="s">
        <v>59</v>
      </c>
      <c r="Q79" t="s">
        <v>98</v>
      </c>
      <c r="R79" t="s">
        <v>60</v>
      </c>
      <c r="S79" t="s">
        <v>583</v>
      </c>
      <c r="U79" s="75">
        <v>168781</v>
      </c>
      <c r="V79" t="s">
        <v>584</v>
      </c>
      <c r="W79" t="s">
        <v>584</v>
      </c>
      <c r="X79" t="s">
        <v>62</v>
      </c>
      <c r="Y79" t="s">
        <v>63</v>
      </c>
      <c r="AA79" t="s">
        <v>101</v>
      </c>
      <c r="AB79">
        <v>43.000000999999997</v>
      </c>
      <c r="AC79">
        <v>33.033334000000004</v>
      </c>
      <c r="AD79">
        <v>9.9666669999999993</v>
      </c>
      <c r="AE79">
        <v>0.15</v>
      </c>
      <c r="AF79">
        <v>0</v>
      </c>
      <c r="AG79">
        <v>9.8166670000000007</v>
      </c>
      <c r="AH79">
        <v>9.8166670000000007</v>
      </c>
      <c r="AI79">
        <v>9.1333339999999996</v>
      </c>
      <c r="AJ79">
        <v>0.68333299999999997</v>
      </c>
      <c r="AK79">
        <v>0</v>
      </c>
      <c r="AL79" s="76">
        <v>45254.689884259264</v>
      </c>
      <c r="AM79" s="75">
        <v>774</v>
      </c>
      <c r="AN79" t="s">
        <v>65</v>
      </c>
      <c r="AO79" t="s">
        <v>585</v>
      </c>
      <c r="AP79" t="s">
        <v>67</v>
      </c>
      <c r="AQ79" t="s">
        <v>68</v>
      </c>
      <c r="AR79" t="s">
        <v>69</v>
      </c>
      <c r="AS79" s="79"/>
      <c r="AT79" s="82" t="s">
        <v>200</v>
      </c>
      <c r="AU79" s="78">
        <v>2026</v>
      </c>
      <c r="AV79" s="78">
        <v>1</v>
      </c>
      <c r="AW79" s="78" t="s">
        <v>71</v>
      </c>
      <c r="AX79" s="78">
        <v>0</v>
      </c>
      <c r="AY79" s="78">
        <v>0</v>
      </c>
      <c r="BT79" s="3" t="s">
        <v>71</v>
      </c>
      <c r="BU79" s="3">
        <v>0</v>
      </c>
      <c r="BV79" s="3">
        <v>0</v>
      </c>
    </row>
    <row r="80" spans="1:74" ht="15" customHeight="1" x14ac:dyDescent="0.25">
      <c r="A80" s="75">
        <v>5750423</v>
      </c>
      <c r="B80" t="s">
        <v>586</v>
      </c>
      <c r="C80" t="s">
        <v>587</v>
      </c>
      <c r="D80" t="s">
        <v>257</v>
      </c>
      <c r="E80" t="s">
        <v>54</v>
      </c>
      <c r="F80" s="75">
        <v>1</v>
      </c>
      <c r="G80" s="75">
        <v>290153</v>
      </c>
      <c r="H80">
        <v>1572.45</v>
      </c>
      <c r="I80" t="s">
        <v>114</v>
      </c>
      <c r="J80" s="75">
        <v>217507</v>
      </c>
      <c r="K80" t="s">
        <v>588</v>
      </c>
      <c r="L80" t="s">
        <v>589</v>
      </c>
      <c r="M80" s="81">
        <v>46028.656539351847</v>
      </c>
      <c r="N80" s="81">
        <v>46031.468240740738</v>
      </c>
      <c r="O80" t="s">
        <v>58</v>
      </c>
      <c r="P80" t="s">
        <v>59</v>
      </c>
      <c r="R80" t="s">
        <v>60</v>
      </c>
      <c r="U80" s="75">
        <v>168747</v>
      </c>
      <c r="V80" t="s">
        <v>590</v>
      </c>
      <c r="W80" t="s">
        <v>591</v>
      </c>
      <c r="X80" t="s">
        <v>62</v>
      </c>
      <c r="Y80" t="s">
        <v>63</v>
      </c>
      <c r="Z80" t="s">
        <v>592</v>
      </c>
      <c r="AA80" t="s">
        <v>295</v>
      </c>
      <c r="AB80">
        <v>67.349999999999994</v>
      </c>
      <c r="AC80">
        <v>27.333334000000001</v>
      </c>
      <c r="AD80">
        <v>40.016666000000001</v>
      </c>
      <c r="AE80">
        <v>14.3</v>
      </c>
      <c r="AF80">
        <v>13.8</v>
      </c>
      <c r="AG80">
        <v>25.716666</v>
      </c>
      <c r="AH80">
        <v>39.516666000000001</v>
      </c>
      <c r="AI80">
        <v>24.116665999999999</v>
      </c>
      <c r="AJ80">
        <v>1.6</v>
      </c>
      <c r="AK80">
        <v>0</v>
      </c>
      <c r="AL80" s="76">
        <v>45045</v>
      </c>
      <c r="AM80" s="75">
        <v>983</v>
      </c>
      <c r="AN80" t="s">
        <v>65</v>
      </c>
      <c r="AO80" t="s">
        <v>593</v>
      </c>
      <c r="AP80" t="s">
        <v>67</v>
      </c>
      <c r="AQ80" t="s">
        <v>68</v>
      </c>
      <c r="AR80" t="s">
        <v>69</v>
      </c>
      <c r="AS80" s="78"/>
      <c r="AT80" s="82" t="s">
        <v>200</v>
      </c>
      <c r="AU80" s="78">
        <v>2026</v>
      </c>
      <c r="AV80" s="78">
        <v>1</v>
      </c>
      <c r="AW80" s="78" t="s">
        <v>71</v>
      </c>
      <c r="AX80" s="78">
        <v>0</v>
      </c>
      <c r="AY80" s="78">
        <v>1</v>
      </c>
      <c r="BT80" s="2" t="s">
        <v>71</v>
      </c>
      <c r="BU80" s="2">
        <v>0</v>
      </c>
      <c r="BV80" s="2">
        <v>1</v>
      </c>
    </row>
    <row r="81" spans="1:74" ht="15" customHeight="1" x14ac:dyDescent="0.25">
      <c r="A81" s="75">
        <v>5764349</v>
      </c>
      <c r="B81" t="s">
        <v>594</v>
      </c>
      <c r="C81" t="s">
        <v>595</v>
      </c>
      <c r="D81" t="s">
        <v>182</v>
      </c>
      <c r="E81" t="s">
        <v>105</v>
      </c>
      <c r="F81" s="75">
        <v>672</v>
      </c>
      <c r="G81" s="75">
        <v>139299</v>
      </c>
      <c r="H81">
        <v>400</v>
      </c>
      <c r="I81" t="s">
        <v>55</v>
      </c>
      <c r="J81" s="75">
        <v>48887</v>
      </c>
      <c r="K81" t="s">
        <v>164</v>
      </c>
      <c r="L81" t="s">
        <v>165</v>
      </c>
      <c r="M81" s="81">
        <v>46030.645729166667</v>
      </c>
      <c r="N81" s="81">
        <v>46031.469768518517</v>
      </c>
      <c r="O81" t="s">
        <v>58</v>
      </c>
      <c r="P81" t="s">
        <v>59</v>
      </c>
      <c r="Q81" t="s">
        <v>77</v>
      </c>
      <c r="R81" t="s">
        <v>99</v>
      </c>
      <c r="U81" s="75">
        <v>169607</v>
      </c>
      <c r="V81" t="s">
        <v>596</v>
      </c>
      <c r="W81" t="s">
        <v>597</v>
      </c>
      <c r="X81" t="s">
        <v>62</v>
      </c>
      <c r="Y81" t="s">
        <v>63</v>
      </c>
      <c r="AA81" t="s">
        <v>81</v>
      </c>
      <c r="AB81">
        <v>19.716666</v>
      </c>
      <c r="AC81">
        <v>18.149999999999999</v>
      </c>
      <c r="AD81">
        <v>1.5666659999999999</v>
      </c>
      <c r="AE81">
        <v>8.3333000000000004E-2</v>
      </c>
      <c r="AF81">
        <v>0</v>
      </c>
      <c r="AG81">
        <v>1.483333</v>
      </c>
      <c r="AH81">
        <v>1.483333</v>
      </c>
      <c r="AI81">
        <v>1.0333330000000001</v>
      </c>
      <c r="AJ81">
        <v>0.45</v>
      </c>
      <c r="AK81">
        <v>0</v>
      </c>
      <c r="AL81" s="76">
        <v>43733</v>
      </c>
      <c r="AM81" s="75">
        <v>2297</v>
      </c>
      <c r="AN81" t="s">
        <v>65</v>
      </c>
      <c r="AO81" t="s">
        <v>598</v>
      </c>
      <c r="AP81" t="s">
        <v>67</v>
      </c>
      <c r="AQ81" t="s">
        <v>68</v>
      </c>
      <c r="AR81" t="s">
        <v>69</v>
      </c>
      <c r="AS81" s="79"/>
      <c r="AT81" s="82" t="s">
        <v>200</v>
      </c>
      <c r="AU81" s="78">
        <v>2026</v>
      </c>
      <c r="AV81" s="78">
        <v>1</v>
      </c>
      <c r="AW81" s="78" t="s">
        <v>71</v>
      </c>
      <c r="AX81" s="78">
        <v>1</v>
      </c>
      <c r="AY81" s="78">
        <v>0</v>
      </c>
      <c r="BT81" s="3" t="s">
        <v>71</v>
      </c>
      <c r="BU81" s="3">
        <v>1</v>
      </c>
      <c r="BV81" s="3">
        <v>0</v>
      </c>
    </row>
    <row r="82" spans="1:74" ht="15" customHeight="1" x14ac:dyDescent="0.25">
      <c r="A82" s="75">
        <v>5766329</v>
      </c>
      <c r="B82" t="s">
        <v>599</v>
      </c>
      <c r="C82" t="s">
        <v>600</v>
      </c>
      <c r="D82" t="s">
        <v>527</v>
      </c>
      <c r="E82" t="s">
        <v>87</v>
      </c>
      <c r="F82" s="75">
        <v>42</v>
      </c>
      <c r="G82" s="75">
        <v>275271</v>
      </c>
      <c r="H82">
        <v>398.82</v>
      </c>
      <c r="I82" t="s">
        <v>55</v>
      </c>
      <c r="J82" s="75">
        <v>216233</v>
      </c>
      <c r="K82" t="s">
        <v>88</v>
      </c>
      <c r="L82" t="s">
        <v>89</v>
      </c>
      <c r="M82" s="81">
        <v>46030.826724537037</v>
      </c>
      <c r="N82" s="81">
        <v>46031.476875</v>
      </c>
      <c r="O82" t="s">
        <v>277</v>
      </c>
      <c r="P82" t="s">
        <v>59</v>
      </c>
      <c r="Q82" t="s">
        <v>90</v>
      </c>
      <c r="R82" t="s">
        <v>99</v>
      </c>
      <c r="U82" s="75">
        <v>169605</v>
      </c>
      <c r="V82" t="s">
        <v>601</v>
      </c>
      <c r="X82" t="s">
        <v>62</v>
      </c>
      <c r="Y82" t="s">
        <v>63</v>
      </c>
      <c r="AA82" t="s">
        <v>81</v>
      </c>
      <c r="AB82">
        <v>15.533333000000001</v>
      </c>
      <c r="AC82">
        <v>11.45</v>
      </c>
      <c r="AD82">
        <v>4.0833329999999997</v>
      </c>
      <c r="AE82">
        <v>0.1</v>
      </c>
      <c r="AF82">
        <v>0</v>
      </c>
      <c r="AG82">
        <v>3.983333</v>
      </c>
      <c r="AH82">
        <v>3.983333</v>
      </c>
      <c r="AI82">
        <v>2.8666670000000001</v>
      </c>
      <c r="AJ82">
        <v>1.1166659999999999</v>
      </c>
      <c r="AK82">
        <v>0</v>
      </c>
      <c r="AL82" s="76">
        <v>44873</v>
      </c>
      <c r="AM82" s="75">
        <v>1157</v>
      </c>
      <c r="AN82" t="s">
        <v>65</v>
      </c>
      <c r="AO82" t="s">
        <v>602</v>
      </c>
      <c r="AP82" t="s">
        <v>67</v>
      </c>
      <c r="AQ82" t="s">
        <v>68</v>
      </c>
      <c r="AR82" t="s">
        <v>69</v>
      </c>
      <c r="AS82" s="78"/>
      <c r="AT82" s="82" t="s">
        <v>200</v>
      </c>
      <c r="AU82" s="78">
        <v>2026</v>
      </c>
      <c r="AV82" s="78">
        <v>1</v>
      </c>
      <c r="AW82" s="78" t="s">
        <v>71</v>
      </c>
      <c r="AX82" s="78">
        <v>1</v>
      </c>
      <c r="AY82" s="78">
        <v>0</v>
      </c>
      <c r="BT82" s="2" t="s">
        <v>71</v>
      </c>
      <c r="BU82" s="2">
        <v>1</v>
      </c>
      <c r="BV82" s="2">
        <v>0</v>
      </c>
    </row>
    <row r="83" spans="1:74" ht="15" customHeight="1" x14ac:dyDescent="0.25">
      <c r="A83" s="75">
        <v>5764291</v>
      </c>
      <c r="B83" t="s">
        <v>603</v>
      </c>
      <c r="C83" t="s">
        <v>459</v>
      </c>
      <c r="D83" t="s">
        <v>150</v>
      </c>
      <c r="E83" t="s">
        <v>87</v>
      </c>
      <c r="F83" s="75">
        <v>299</v>
      </c>
      <c r="G83" s="75">
        <v>285731</v>
      </c>
      <c r="H83">
        <v>512.08000000000004</v>
      </c>
      <c r="I83" t="s">
        <v>266</v>
      </c>
      <c r="J83" s="75">
        <v>49495</v>
      </c>
      <c r="K83" t="s">
        <v>460</v>
      </c>
      <c r="L83" t="s">
        <v>461</v>
      </c>
      <c r="M83" s="81">
        <v>46030.625625000001</v>
      </c>
      <c r="N83" s="81">
        <v>46031.514652777783</v>
      </c>
      <c r="O83" t="s">
        <v>58</v>
      </c>
      <c r="P83" t="s">
        <v>59</v>
      </c>
      <c r="Q83" t="s">
        <v>90</v>
      </c>
      <c r="R83" t="s">
        <v>99</v>
      </c>
      <c r="U83" s="75">
        <v>169601</v>
      </c>
      <c r="V83" t="s">
        <v>604</v>
      </c>
      <c r="X83" t="s">
        <v>62</v>
      </c>
      <c r="Y83" t="s">
        <v>63</v>
      </c>
      <c r="AA83" t="s">
        <v>64</v>
      </c>
      <c r="AB83">
        <v>21.233333999999999</v>
      </c>
      <c r="AC83">
        <v>14.433334</v>
      </c>
      <c r="AD83">
        <v>6.8</v>
      </c>
      <c r="AE83">
        <v>0.26666600000000001</v>
      </c>
      <c r="AF83">
        <v>0</v>
      </c>
      <c r="AG83">
        <v>6.533334</v>
      </c>
      <c r="AH83">
        <v>6.533334</v>
      </c>
      <c r="AI83">
        <v>6.3</v>
      </c>
      <c r="AJ83">
        <v>0.23333400000000001</v>
      </c>
      <c r="AK83">
        <v>0</v>
      </c>
      <c r="AL83" s="76">
        <v>44862</v>
      </c>
      <c r="AM83" s="75">
        <v>1168</v>
      </c>
      <c r="AN83" t="s">
        <v>65</v>
      </c>
      <c r="AO83" t="s">
        <v>462</v>
      </c>
      <c r="AP83" t="s">
        <v>67</v>
      </c>
      <c r="AQ83" t="s">
        <v>68</v>
      </c>
      <c r="AR83" t="s">
        <v>69</v>
      </c>
      <c r="AS83" s="79"/>
      <c r="AT83" s="82" t="s">
        <v>200</v>
      </c>
      <c r="AU83" s="78">
        <v>2026</v>
      </c>
      <c r="AV83" s="78">
        <v>1</v>
      </c>
      <c r="AW83" s="78" t="s">
        <v>71</v>
      </c>
      <c r="AX83" s="78">
        <v>1</v>
      </c>
      <c r="AY83" s="78">
        <v>0</v>
      </c>
      <c r="BT83" s="3" t="s">
        <v>71</v>
      </c>
      <c r="BU83" s="3">
        <v>1</v>
      </c>
      <c r="BV83" s="3">
        <v>0</v>
      </c>
    </row>
    <row r="84" spans="1:74" ht="15" customHeight="1" x14ac:dyDescent="0.25">
      <c r="A84" s="75">
        <v>5747263</v>
      </c>
      <c r="B84" t="s">
        <v>605</v>
      </c>
      <c r="C84" t="s">
        <v>606</v>
      </c>
      <c r="D84" t="s">
        <v>74</v>
      </c>
      <c r="E84" t="s">
        <v>87</v>
      </c>
      <c r="F84" s="75">
        <v>124</v>
      </c>
      <c r="G84" s="75">
        <v>326469</v>
      </c>
      <c r="H84">
        <v>621.57000000000005</v>
      </c>
      <c r="I84" t="s">
        <v>55</v>
      </c>
      <c r="J84" s="75">
        <v>149307</v>
      </c>
      <c r="K84" t="s">
        <v>350</v>
      </c>
      <c r="L84" t="s">
        <v>351</v>
      </c>
      <c r="M84" s="81">
        <v>46027.65347222222</v>
      </c>
      <c r="N84" s="81">
        <v>46031.530995370369</v>
      </c>
      <c r="O84" t="s">
        <v>58</v>
      </c>
      <c r="P84" t="s">
        <v>59</v>
      </c>
      <c r="Q84" t="s">
        <v>98</v>
      </c>
      <c r="R84" t="s">
        <v>60</v>
      </c>
      <c r="U84" s="75">
        <v>168777</v>
      </c>
      <c r="V84" t="s">
        <v>607</v>
      </c>
      <c r="W84" t="s">
        <v>608</v>
      </c>
      <c r="X84" t="s">
        <v>62</v>
      </c>
      <c r="Y84" t="s">
        <v>63</v>
      </c>
      <c r="AA84" t="s">
        <v>101</v>
      </c>
      <c r="AB84">
        <v>92.949999000000005</v>
      </c>
      <c r="AC84">
        <v>83.55</v>
      </c>
      <c r="AD84">
        <v>9.3999989999999993</v>
      </c>
      <c r="AE84">
        <v>1.2999989999999999</v>
      </c>
      <c r="AF84">
        <v>0</v>
      </c>
      <c r="AG84">
        <v>8.1</v>
      </c>
      <c r="AH84">
        <v>8.1</v>
      </c>
      <c r="AI84">
        <v>7.5666669999999998</v>
      </c>
      <c r="AJ84">
        <v>0.53333299999999995</v>
      </c>
      <c r="AK84">
        <v>0</v>
      </c>
      <c r="AL84" s="76">
        <v>45554</v>
      </c>
      <c r="AM84" s="75">
        <v>473</v>
      </c>
      <c r="AN84" t="s">
        <v>65</v>
      </c>
      <c r="AO84" t="s">
        <v>609</v>
      </c>
      <c r="AP84" t="s">
        <v>67</v>
      </c>
      <c r="AQ84" t="s">
        <v>68</v>
      </c>
      <c r="AR84" t="s">
        <v>69</v>
      </c>
      <c r="AS84" s="78"/>
      <c r="AT84" s="82" t="s">
        <v>200</v>
      </c>
      <c r="AU84" s="78">
        <v>2026</v>
      </c>
      <c r="AV84" s="78">
        <v>1</v>
      </c>
      <c r="AW84" s="78" t="s">
        <v>71</v>
      </c>
      <c r="AX84" s="78">
        <v>0</v>
      </c>
      <c r="AY84" s="78">
        <v>0</v>
      </c>
      <c r="BT84" s="2" t="s">
        <v>71</v>
      </c>
      <c r="BU84" s="2">
        <v>0</v>
      </c>
      <c r="BV84" s="2">
        <v>0</v>
      </c>
    </row>
    <row r="85" spans="1:74" ht="15" customHeight="1" x14ac:dyDescent="0.25">
      <c r="A85" s="75">
        <v>5756757</v>
      </c>
      <c r="B85" t="s">
        <v>610</v>
      </c>
      <c r="C85" t="s">
        <v>611</v>
      </c>
      <c r="D85" t="s">
        <v>257</v>
      </c>
      <c r="E85" t="s">
        <v>87</v>
      </c>
      <c r="F85" s="75">
        <v>445</v>
      </c>
      <c r="G85" s="75">
        <v>289319</v>
      </c>
      <c r="H85">
        <v>398.82</v>
      </c>
      <c r="I85" t="s">
        <v>55</v>
      </c>
      <c r="J85" s="75">
        <v>216233</v>
      </c>
      <c r="K85" t="s">
        <v>88</v>
      </c>
      <c r="L85" t="s">
        <v>89</v>
      </c>
      <c r="M85" s="81">
        <v>46029.717465277783</v>
      </c>
      <c r="N85" s="81">
        <v>46031.582557870373</v>
      </c>
      <c r="O85" t="s">
        <v>58</v>
      </c>
      <c r="P85" t="s">
        <v>59</v>
      </c>
      <c r="Q85" t="s">
        <v>90</v>
      </c>
      <c r="R85" t="s">
        <v>60</v>
      </c>
      <c r="U85" s="75">
        <v>169591</v>
      </c>
      <c r="V85" t="s">
        <v>612</v>
      </c>
      <c r="W85" t="s">
        <v>613</v>
      </c>
      <c r="X85" t="s">
        <v>62</v>
      </c>
      <c r="Y85" t="s">
        <v>63</v>
      </c>
      <c r="AA85" t="s">
        <v>416</v>
      </c>
      <c r="AB85">
        <v>44.666666999999997</v>
      </c>
      <c r="AC85">
        <v>31.966667000000001</v>
      </c>
      <c r="AD85">
        <v>12.7</v>
      </c>
      <c r="AE85">
        <v>0.55000000000000004</v>
      </c>
      <c r="AF85">
        <v>0</v>
      </c>
      <c r="AG85">
        <v>12.15</v>
      </c>
      <c r="AH85">
        <v>12.15</v>
      </c>
      <c r="AI85">
        <v>12.033333000000001</v>
      </c>
      <c r="AJ85">
        <v>0.11666700000000001</v>
      </c>
      <c r="AK85">
        <v>0</v>
      </c>
      <c r="AL85" s="76">
        <v>45014</v>
      </c>
      <c r="AM85" s="75">
        <v>1015</v>
      </c>
      <c r="AN85" t="s">
        <v>65</v>
      </c>
      <c r="AO85" t="s">
        <v>614</v>
      </c>
      <c r="AP85" t="s">
        <v>67</v>
      </c>
      <c r="AQ85" t="s">
        <v>68</v>
      </c>
      <c r="AR85" t="s">
        <v>69</v>
      </c>
      <c r="AS85" s="79"/>
      <c r="AT85" s="82" t="s">
        <v>200</v>
      </c>
      <c r="AU85" s="78">
        <v>2026</v>
      </c>
      <c r="AV85" s="78">
        <v>1</v>
      </c>
      <c r="AW85" s="78" t="s">
        <v>71</v>
      </c>
      <c r="AX85" s="78">
        <v>0</v>
      </c>
      <c r="AY85" s="78">
        <v>0</v>
      </c>
      <c r="BT85" s="3" t="s">
        <v>71</v>
      </c>
      <c r="BU85" s="3">
        <v>0</v>
      </c>
      <c r="BV85" s="3">
        <v>0</v>
      </c>
    </row>
    <row r="86" spans="1:74" ht="15" customHeight="1" x14ac:dyDescent="0.25">
      <c r="A86" s="75">
        <v>5754593</v>
      </c>
      <c r="B86" t="s">
        <v>615</v>
      </c>
      <c r="C86" t="s">
        <v>616</v>
      </c>
      <c r="D86" t="s">
        <v>257</v>
      </c>
      <c r="E86" t="s">
        <v>87</v>
      </c>
      <c r="F86" s="75">
        <v>293</v>
      </c>
      <c r="G86" s="75">
        <v>286461</v>
      </c>
      <c r="H86">
        <v>364.96</v>
      </c>
      <c r="I86" t="s">
        <v>55</v>
      </c>
      <c r="J86" s="75">
        <v>218787</v>
      </c>
      <c r="K86" t="s">
        <v>96</v>
      </c>
      <c r="L86" t="s">
        <v>97</v>
      </c>
      <c r="M86" s="81">
        <v>46029.417326388888</v>
      </c>
      <c r="N86" s="81">
        <v>46031.694016203714</v>
      </c>
      <c r="O86" t="s">
        <v>58</v>
      </c>
      <c r="P86" t="s">
        <v>59</v>
      </c>
      <c r="Q86" t="s">
        <v>90</v>
      </c>
      <c r="R86" t="s">
        <v>131</v>
      </c>
      <c r="U86" s="75">
        <v>168775</v>
      </c>
      <c r="V86" t="s">
        <v>617</v>
      </c>
      <c r="W86" t="s">
        <v>618</v>
      </c>
      <c r="X86" t="s">
        <v>62</v>
      </c>
      <c r="Y86" t="s">
        <v>63</v>
      </c>
      <c r="AA86" t="s">
        <v>101</v>
      </c>
      <c r="AB86">
        <v>54.550001000000002</v>
      </c>
      <c r="AC86">
        <v>42.816667000000002</v>
      </c>
      <c r="AD86">
        <v>11.733333999999999</v>
      </c>
      <c r="AE86">
        <v>2.3166669999999998</v>
      </c>
      <c r="AF86">
        <v>0</v>
      </c>
      <c r="AG86">
        <v>9.4166670000000003</v>
      </c>
      <c r="AH86">
        <v>9.4166670000000003</v>
      </c>
      <c r="AI86">
        <v>9.35</v>
      </c>
      <c r="AJ86">
        <v>6.6667000000000004E-2</v>
      </c>
      <c r="AK86">
        <v>0</v>
      </c>
      <c r="AL86" s="76">
        <v>44924</v>
      </c>
      <c r="AM86" s="75">
        <v>1105</v>
      </c>
      <c r="AN86" t="s">
        <v>65</v>
      </c>
      <c r="AO86" t="s">
        <v>619</v>
      </c>
      <c r="AP86" t="s">
        <v>67</v>
      </c>
      <c r="AQ86" t="s">
        <v>68</v>
      </c>
      <c r="AR86" t="s">
        <v>69</v>
      </c>
      <c r="AS86" s="78"/>
      <c r="AT86" s="82" t="s">
        <v>200</v>
      </c>
      <c r="AU86" s="78">
        <v>2026</v>
      </c>
      <c r="AV86" s="78">
        <v>1</v>
      </c>
      <c r="AW86" s="78" t="s">
        <v>71</v>
      </c>
      <c r="AX86" s="78">
        <v>0</v>
      </c>
      <c r="AY86" s="78">
        <v>0</v>
      </c>
      <c r="BT86" s="2" t="s">
        <v>71</v>
      </c>
      <c r="BU86" s="2">
        <v>0</v>
      </c>
      <c r="BV86" s="2">
        <v>0</v>
      </c>
    </row>
    <row r="87" spans="1:74" ht="15" customHeight="1" x14ac:dyDescent="0.25">
      <c r="A87" s="75">
        <v>5769959</v>
      </c>
      <c r="B87" t="s">
        <v>620</v>
      </c>
      <c r="C87" t="s">
        <v>621</v>
      </c>
      <c r="D87" t="s">
        <v>527</v>
      </c>
      <c r="E87" t="s">
        <v>87</v>
      </c>
      <c r="F87" s="75">
        <v>16</v>
      </c>
      <c r="G87" s="75">
        <v>250813</v>
      </c>
      <c r="H87">
        <v>2383.33</v>
      </c>
      <c r="I87" t="s">
        <v>114</v>
      </c>
      <c r="J87" s="75">
        <v>203391</v>
      </c>
      <c r="K87" t="s">
        <v>622</v>
      </c>
      <c r="L87" t="s">
        <v>623</v>
      </c>
      <c r="M87" s="81">
        <v>46032.21565972222</v>
      </c>
      <c r="N87" s="81">
        <v>46032.313113425917</v>
      </c>
      <c r="O87" t="s">
        <v>624</v>
      </c>
      <c r="P87" t="s">
        <v>59</v>
      </c>
      <c r="Q87" t="s">
        <v>90</v>
      </c>
      <c r="R87" t="s">
        <v>99</v>
      </c>
      <c r="U87" s="75">
        <v>170337</v>
      </c>
      <c r="V87" t="s">
        <v>625</v>
      </c>
      <c r="X87" t="s">
        <v>118</v>
      </c>
      <c r="Y87" t="s">
        <v>119</v>
      </c>
      <c r="AA87" t="s">
        <v>81</v>
      </c>
      <c r="AB87">
        <v>2.3166669999999998</v>
      </c>
      <c r="AC87">
        <v>0.96666700000000005</v>
      </c>
      <c r="AD87">
        <v>1.35</v>
      </c>
      <c r="AE87">
        <v>1.3</v>
      </c>
      <c r="AF87">
        <v>0</v>
      </c>
      <c r="AG87">
        <v>0.05</v>
      </c>
      <c r="AH87">
        <v>0.05</v>
      </c>
      <c r="AI87">
        <v>0</v>
      </c>
      <c r="AJ87">
        <v>0.05</v>
      </c>
      <c r="AK87">
        <v>0</v>
      </c>
      <c r="AL87" s="76">
        <v>44624</v>
      </c>
      <c r="AM87" s="75">
        <v>1408</v>
      </c>
      <c r="AN87" t="s">
        <v>65</v>
      </c>
      <c r="AO87" t="s">
        <v>626</v>
      </c>
      <c r="AP87" t="s">
        <v>67</v>
      </c>
      <c r="AQ87" t="s">
        <v>121</v>
      </c>
      <c r="AR87" t="s">
        <v>69</v>
      </c>
      <c r="AS87" s="79"/>
      <c r="AT87" s="82" t="s">
        <v>200</v>
      </c>
      <c r="AU87" s="78">
        <v>2026</v>
      </c>
      <c r="AV87" s="78">
        <v>1</v>
      </c>
      <c r="AW87" s="78" t="s">
        <v>122</v>
      </c>
      <c r="AX87" s="78">
        <v>1</v>
      </c>
      <c r="AY87" s="78">
        <v>0</v>
      </c>
      <c r="BT87" s="3" t="s">
        <v>122</v>
      </c>
      <c r="BU87" s="3">
        <v>1</v>
      </c>
      <c r="BV87" s="3">
        <v>0</v>
      </c>
    </row>
    <row r="88" spans="1:74" ht="15" customHeight="1" x14ac:dyDescent="0.25">
      <c r="A88" s="75">
        <v>5769561</v>
      </c>
      <c r="B88" t="s">
        <v>627</v>
      </c>
      <c r="C88" t="s">
        <v>628</v>
      </c>
      <c r="D88" t="s">
        <v>53</v>
      </c>
      <c r="E88" t="s">
        <v>105</v>
      </c>
      <c r="F88" s="75">
        <v>17</v>
      </c>
      <c r="G88" s="75">
        <v>246723</v>
      </c>
      <c r="H88">
        <v>450.37</v>
      </c>
      <c r="I88" t="s">
        <v>55</v>
      </c>
      <c r="J88" s="75">
        <v>201805</v>
      </c>
      <c r="K88" t="s">
        <v>629</v>
      </c>
      <c r="L88" t="s">
        <v>630</v>
      </c>
      <c r="M88" s="81">
        <v>46031.764247685183</v>
      </c>
      <c r="N88" s="81">
        <v>46032.508622685193</v>
      </c>
      <c r="O88" t="s">
        <v>391</v>
      </c>
      <c r="P88" t="s">
        <v>59</v>
      </c>
      <c r="Q88" t="s">
        <v>90</v>
      </c>
      <c r="R88" t="s">
        <v>131</v>
      </c>
      <c r="U88" s="75">
        <v>170299</v>
      </c>
      <c r="V88" t="s">
        <v>631</v>
      </c>
      <c r="W88" t="s">
        <v>631</v>
      </c>
      <c r="X88" t="s">
        <v>79</v>
      </c>
      <c r="Y88" t="s">
        <v>224</v>
      </c>
      <c r="AA88" t="s">
        <v>81</v>
      </c>
      <c r="AB88">
        <v>17.816666000000001</v>
      </c>
      <c r="AC88">
        <v>14.95</v>
      </c>
      <c r="AD88">
        <v>2.8666659999999999</v>
      </c>
      <c r="AE88">
        <v>1.233333</v>
      </c>
      <c r="AF88">
        <v>0</v>
      </c>
      <c r="AG88">
        <v>1.6333329999999999</v>
      </c>
      <c r="AH88">
        <v>1.6333329999999999</v>
      </c>
      <c r="AI88">
        <v>1.2</v>
      </c>
      <c r="AJ88">
        <v>0.43333300000000002</v>
      </c>
      <c r="AK88">
        <v>0</v>
      </c>
      <c r="AL88" s="76">
        <v>44538.721875000003</v>
      </c>
      <c r="AM88" s="75">
        <v>1493</v>
      </c>
      <c r="AN88" t="s">
        <v>65</v>
      </c>
      <c r="AO88" t="s">
        <v>632</v>
      </c>
      <c r="AP88" t="s">
        <v>67</v>
      </c>
      <c r="AQ88" t="s">
        <v>83</v>
      </c>
      <c r="AR88" t="s">
        <v>69</v>
      </c>
      <c r="AS88" s="78"/>
      <c r="AT88" s="82" t="s">
        <v>200</v>
      </c>
      <c r="AU88" s="78">
        <v>2026</v>
      </c>
      <c r="AV88" s="78">
        <v>1</v>
      </c>
      <c r="AW88" s="78" t="s">
        <v>226</v>
      </c>
      <c r="AX88" s="78">
        <v>1</v>
      </c>
      <c r="AY88" s="78">
        <v>0</v>
      </c>
      <c r="BT88" s="2" t="s">
        <v>226</v>
      </c>
      <c r="BU88" s="2">
        <v>1</v>
      </c>
      <c r="BV88" s="2">
        <v>0</v>
      </c>
    </row>
    <row r="89" spans="1:74" ht="15" customHeight="1" x14ac:dyDescent="0.25">
      <c r="A89" s="75">
        <v>5749903</v>
      </c>
      <c r="B89" t="s">
        <v>633</v>
      </c>
      <c r="C89" t="s">
        <v>634</v>
      </c>
      <c r="D89" t="s">
        <v>53</v>
      </c>
      <c r="E89" t="s">
        <v>87</v>
      </c>
      <c r="F89" s="75">
        <v>233</v>
      </c>
      <c r="G89" s="75">
        <v>286307</v>
      </c>
      <c r="H89">
        <v>364.96</v>
      </c>
      <c r="I89" t="s">
        <v>55</v>
      </c>
      <c r="J89" s="75">
        <v>216233</v>
      </c>
      <c r="K89" t="s">
        <v>88</v>
      </c>
      <c r="L89" t="s">
        <v>89</v>
      </c>
      <c r="M89" s="81">
        <v>46028.50513888889</v>
      </c>
      <c r="N89" s="81">
        <v>46032.514131944437</v>
      </c>
      <c r="O89" t="s">
        <v>58</v>
      </c>
      <c r="P89" t="s">
        <v>59</v>
      </c>
      <c r="Q89" t="s">
        <v>130</v>
      </c>
      <c r="R89" t="s">
        <v>131</v>
      </c>
      <c r="U89" s="75">
        <v>167997</v>
      </c>
      <c r="V89" t="s">
        <v>635</v>
      </c>
      <c r="W89" t="s">
        <v>636</v>
      </c>
      <c r="X89" t="s">
        <v>62</v>
      </c>
      <c r="Y89" t="s">
        <v>63</v>
      </c>
      <c r="AA89" t="s">
        <v>101</v>
      </c>
      <c r="AB89">
        <v>96.149998999999994</v>
      </c>
      <c r="AC89">
        <v>87.816665999999998</v>
      </c>
      <c r="AD89">
        <v>8.3333329999999997</v>
      </c>
      <c r="AE89">
        <v>0.11666700000000001</v>
      </c>
      <c r="AF89">
        <v>0</v>
      </c>
      <c r="AG89">
        <v>8.216666</v>
      </c>
      <c r="AH89">
        <v>8.216666</v>
      </c>
      <c r="AI89">
        <v>8.1333330000000004</v>
      </c>
      <c r="AJ89">
        <v>8.3333000000000004E-2</v>
      </c>
      <c r="AK89">
        <v>0</v>
      </c>
      <c r="AL89" s="76">
        <v>44921</v>
      </c>
      <c r="AM89" s="75">
        <v>1107</v>
      </c>
      <c r="AN89" t="s">
        <v>65</v>
      </c>
      <c r="AO89" t="s">
        <v>637</v>
      </c>
      <c r="AP89" t="s">
        <v>67</v>
      </c>
      <c r="AQ89" t="s">
        <v>68</v>
      </c>
      <c r="AR89" t="s">
        <v>69</v>
      </c>
      <c r="AS89" s="79"/>
      <c r="AT89" s="82" t="s">
        <v>200</v>
      </c>
      <c r="AU89" s="78">
        <v>2026</v>
      </c>
      <c r="AV89" s="78">
        <v>1</v>
      </c>
      <c r="AW89" s="78" t="s">
        <v>71</v>
      </c>
      <c r="AX89" s="78">
        <v>0</v>
      </c>
      <c r="AY89" s="78">
        <v>0</v>
      </c>
      <c r="BT89" s="3" t="s">
        <v>71</v>
      </c>
      <c r="BU89" s="3">
        <v>0</v>
      </c>
      <c r="BV89" s="3">
        <v>0</v>
      </c>
    </row>
    <row r="90" spans="1:74" ht="15" customHeight="1" x14ac:dyDescent="0.25">
      <c r="A90" s="75">
        <v>5756527</v>
      </c>
      <c r="B90" t="s">
        <v>638</v>
      </c>
      <c r="C90" t="s">
        <v>639</v>
      </c>
      <c r="D90" t="s">
        <v>53</v>
      </c>
      <c r="E90" t="s">
        <v>105</v>
      </c>
      <c r="F90" s="75">
        <v>973</v>
      </c>
      <c r="G90" s="75">
        <v>278815</v>
      </c>
      <c r="H90">
        <v>613.79999999999995</v>
      </c>
      <c r="I90" t="s">
        <v>266</v>
      </c>
      <c r="J90" s="75">
        <v>48887</v>
      </c>
      <c r="K90" t="s">
        <v>164</v>
      </c>
      <c r="L90" t="s">
        <v>165</v>
      </c>
      <c r="M90" s="81">
        <v>46029.675416666672</v>
      </c>
      <c r="N90" s="81">
        <v>46032.533159722218</v>
      </c>
      <c r="O90" t="s">
        <v>58</v>
      </c>
      <c r="P90" t="s">
        <v>59</v>
      </c>
      <c r="Q90" t="s">
        <v>77</v>
      </c>
      <c r="R90" t="s">
        <v>60</v>
      </c>
      <c r="U90" s="75">
        <v>168903</v>
      </c>
      <c r="V90" t="s">
        <v>640</v>
      </c>
      <c r="W90" t="s">
        <v>640</v>
      </c>
      <c r="X90" t="s">
        <v>62</v>
      </c>
      <c r="Y90" t="s">
        <v>641</v>
      </c>
      <c r="AA90" t="s">
        <v>416</v>
      </c>
      <c r="AB90">
        <v>68.449997999999994</v>
      </c>
      <c r="AC90">
        <v>46.583333000000003</v>
      </c>
      <c r="AD90">
        <v>21.866665000000001</v>
      </c>
      <c r="AE90">
        <v>3.1</v>
      </c>
      <c r="AF90">
        <v>0</v>
      </c>
      <c r="AG90">
        <v>18.766665</v>
      </c>
      <c r="AH90">
        <v>18.766665</v>
      </c>
      <c r="AI90">
        <v>17.299999</v>
      </c>
      <c r="AJ90">
        <v>1.466666</v>
      </c>
      <c r="AK90">
        <v>0</v>
      </c>
      <c r="AL90" s="76">
        <v>44441</v>
      </c>
      <c r="AM90" s="75">
        <v>1588</v>
      </c>
      <c r="AN90" t="s">
        <v>65</v>
      </c>
      <c r="AO90" t="s">
        <v>642</v>
      </c>
      <c r="AP90" t="s">
        <v>67</v>
      </c>
      <c r="AQ90" t="s">
        <v>68</v>
      </c>
      <c r="AR90" t="s">
        <v>69</v>
      </c>
      <c r="AS90" s="78"/>
      <c r="AT90" s="82" t="s">
        <v>200</v>
      </c>
      <c r="AU90" s="78">
        <v>2026</v>
      </c>
      <c r="AV90" s="78">
        <v>1</v>
      </c>
      <c r="AW90" s="78" t="s">
        <v>137</v>
      </c>
      <c r="AX90" s="78">
        <v>0</v>
      </c>
      <c r="AY90" s="78">
        <v>0</v>
      </c>
      <c r="BT90" s="2" t="s">
        <v>137</v>
      </c>
      <c r="BU90" s="2">
        <v>0</v>
      </c>
      <c r="BV90" s="2">
        <v>0</v>
      </c>
    </row>
    <row r="91" spans="1:74" ht="15" customHeight="1" x14ac:dyDescent="0.25">
      <c r="A91" s="75">
        <v>5756761</v>
      </c>
      <c r="B91" t="s">
        <v>643</v>
      </c>
      <c r="C91" t="s">
        <v>644</v>
      </c>
      <c r="D91" t="s">
        <v>53</v>
      </c>
      <c r="E91" t="s">
        <v>87</v>
      </c>
      <c r="F91" s="75">
        <v>155</v>
      </c>
      <c r="G91" s="75">
        <v>285767</v>
      </c>
      <c r="H91">
        <v>382.47</v>
      </c>
      <c r="I91" t="s">
        <v>55</v>
      </c>
      <c r="J91" s="75">
        <v>216233</v>
      </c>
      <c r="K91" t="s">
        <v>88</v>
      </c>
      <c r="L91" t="s">
        <v>89</v>
      </c>
      <c r="M91" s="81">
        <v>46029.717719907407</v>
      </c>
      <c r="N91" s="81">
        <v>46032.537708333337</v>
      </c>
      <c r="O91" t="s">
        <v>58</v>
      </c>
      <c r="P91" t="s">
        <v>59</v>
      </c>
      <c r="Q91" t="s">
        <v>130</v>
      </c>
      <c r="R91" t="s">
        <v>60</v>
      </c>
      <c r="U91" s="75">
        <v>168779</v>
      </c>
      <c r="V91" t="s">
        <v>645</v>
      </c>
      <c r="W91" t="s">
        <v>645</v>
      </c>
      <c r="X91" t="s">
        <v>62</v>
      </c>
      <c r="Y91" t="s">
        <v>63</v>
      </c>
      <c r="AA91" t="s">
        <v>101</v>
      </c>
      <c r="AB91">
        <v>67.599998999999997</v>
      </c>
      <c r="AC91">
        <v>58.8</v>
      </c>
      <c r="AD91">
        <v>8.7999989999999997</v>
      </c>
      <c r="AE91">
        <v>8.3333000000000004E-2</v>
      </c>
      <c r="AF91">
        <v>0</v>
      </c>
      <c r="AG91">
        <v>8.716666</v>
      </c>
      <c r="AH91">
        <v>8.716666</v>
      </c>
      <c r="AI91">
        <v>8.5833329999999997</v>
      </c>
      <c r="AJ91">
        <v>0.13333300000000001</v>
      </c>
      <c r="AK91">
        <v>0</v>
      </c>
      <c r="AL91" s="76">
        <v>44946</v>
      </c>
      <c r="AM91" s="75">
        <v>1083</v>
      </c>
      <c r="AN91" t="s">
        <v>65</v>
      </c>
      <c r="AO91" t="s">
        <v>646</v>
      </c>
      <c r="AP91" t="s">
        <v>67</v>
      </c>
      <c r="AQ91" t="s">
        <v>68</v>
      </c>
      <c r="AR91" t="s">
        <v>69</v>
      </c>
      <c r="AS91" s="79"/>
      <c r="AT91" s="82" t="s">
        <v>200</v>
      </c>
      <c r="AU91" s="78">
        <v>2026</v>
      </c>
      <c r="AV91" s="78">
        <v>1</v>
      </c>
      <c r="AW91" s="78" t="s">
        <v>71</v>
      </c>
      <c r="AX91" s="78">
        <v>0</v>
      </c>
      <c r="AY91" s="78">
        <v>0</v>
      </c>
      <c r="BT91" s="3" t="s">
        <v>71</v>
      </c>
      <c r="BU91" s="3">
        <v>0</v>
      </c>
      <c r="BV91" s="3">
        <v>0</v>
      </c>
    </row>
    <row r="92" spans="1:74" ht="15" customHeight="1" x14ac:dyDescent="0.25">
      <c r="A92" s="75">
        <v>5756769</v>
      </c>
      <c r="B92" t="s">
        <v>647</v>
      </c>
      <c r="C92" t="s">
        <v>648</v>
      </c>
      <c r="D92" t="s">
        <v>53</v>
      </c>
      <c r="E92" t="s">
        <v>87</v>
      </c>
      <c r="F92" s="75">
        <v>418</v>
      </c>
      <c r="G92" s="75">
        <v>289249</v>
      </c>
      <c r="H92">
        <v>683.73</v>
      </c>
      <c r="I92" t="s">
        <v>55</v>
      </c>
      <c r="J92" s="75">
        <v>218791</v>
      </c>
      <c r="K92" t="s">
        <v>312</v>
      </c>
      <c r="L92" t="s">
        <v>313</v>
      </c>
      <c r="M92" s="81">
        <v>46029.720335648148</v>
      </c>
      <c r="N92" s="81">
        <v>46032.540509259263</v>
      </c>
      <c r="O92" t="s">
        <v>58</v>
      </c>
      <c r="P92" t="s">
        <v>59</v>
      </c>
      <c r="Q92" t="s">
        <v>130</v>
      </c>
      <c r="R92" t="s">
        <v>60</v>
      </c>
      <c r="U92" s="75">
        <v>168783</v>
      </c>
      <c r="V92" t="s">
        <v>649</v>
      </c>
      <c r="W92" t="s">
        <v>649</v>
      </c>
      <c r="X92" t="s">
        <v>62</v>
      </c>
      <c r="Y92" t="s">
        <v>63</v>
      </c>
      <c r="AA92" t="s">
        <v>64</v>
      </c>
      <c r="AB92">
        <v>67.616667000000007</v>
      </c>
      <c r="AC92">
        <v>59.9</v>
      </c>
      <c r="AD92">
        <v>7.7166670000000002</v>
      </c>
      <c r="AE92">
        <v>0.1</v>
      </c>
      <c r="AF92">
        <v>0</v>
      </c>
      <c r="AG92">
        <v>7.6166669999999996</v>
      </c>
      <c r="AH92">
        <v>7.6166669999999996</v>
      </c>
      <c r="AI92">
        <v>7.2166670000000002</v>
      </c>
      <c r="AJ92">
        <v>0.4</v>
      </c>
      <c r="AK92">
        <v>0</v>
      </c>
      <c r="AL92" s="76">
        <v>44995.704282407409</v>
      </c>
      <c r="AM92" s="75">
        <v>1034</v>
      </c>
      <c r="AN92" t="s">
        <v>65</v>
      </c>
      <c r="AO92" t="s">
        <v>650</v>
      </c>
      <c r="AP92" t="s">
        <v>67</v>
      </c>
      <c r="AQ92" t="s">
        <v>68</v>
      </c>
      <c r="AR92" t="s">
        <v>69</v>
      </c>
      <c r="AS92" s="78"/>
      <c r="AT92" s="82" t="s">
        <v>200</v>
      </c>
      <c r="AU92" s="78">
        <v>2026</v>
      </c>
      <c r="AV92" s="78">
        <v>1</v>
      </c>
      <c r="AW92" s="78" t="s">
        <v>71</v>
      </c>
      <c r="AX92" s="78">
        <v>1</v>
      </c>
      <c r="AY92" s="78">
        <v>0</v>
      </c>
      <c r="BT92" s="2" t="s">
        <v>71</v>
      </c>
      <c r="BU92" s="2">
        <v>1</v>
      </c>
      <c r="BV92" s="2">
        <v>0</v>
      </c>
    </row>
    <row r="93" spans="1:74" ht="15" customHeight="1" x14ac:dyDescent="0.25">
      <c r="A93" s="75">
        <v>5764757</v>
      </c>
      <c r="B93" t="s">
        <v>651</v>
      </c>
      <c r="C93" t="s">
        <v>652</v>
      </c>
      <c r="D93" t="s">
        <v>53</v>
      </c>
      <c r="E93" t="s">
        <v>54</v>
      </c>
      <c r="F93" s="75">
        <v>6</v>
      </c>
      <c r="G93" s="75">
        <v>301539</v>
      </c>
      <c r="H93">
        <v>290</v>
      </c>
      <c r="I93" t="s">
        <v>114</v>
      </c>
      <c r="J93" s="75">
        <v>56181</v>
      </c>
      <c r="K93" t="s">
        <v>275</v>
      </c>
      <c r="L93" t="s">
        <v>653</v>
      </c>
      <c r="M93" s="81">
        <v>46030.670023148137</v>
      </c>
      <c r="N93" s="81">
        <v>46032.575902777768</v>
      </c>
      <c r="O93" t="s">
        <v>58</v>
      </c>
      <c r="P93" t="s">
        <v>59</v>
      </c>
      <c r="Q93" t="s">
        <v>130</v>
      </c>
      <c r="R93" t="s">
        <v>60</v>
      </c>
      <c r="U93" s="75">
        <v>169613</v>
      </c>
      <c r="V93" t="s">
        <v>654</v>
      </c>
      <c r="W93" t="s">
        <v>655</v>
      </c>
      <c r="X93" t="s">
        <v>62</v>
      </c>
      <c r="Y93" t="s">
        <v>63</v>
      </c>
      <c r="AA93" t="s">
        <v>416</v>
      </c>
      <c r="AB93">
        <v>45.666665999999999</v>
      </c>
      <c r="AC93">
        <v>32.299999</v>
      </c>
      <c r="AD93">
        <v>13.366667</v>
      </c>
      <c r="AE93">
        <v>0.48333399999999999</v>
      </c>
      <c r="AF93">
        <v>0</v>
      </c>
      <c r="AG93">
        <v>12.883333</v>
      </c>
      <c r="AH93">
        <v>12.883333</v>
      </c>
      <c r="AI93">
        <v>11.916665999999999</v>
      </c>
      <c r="AJ93">
        <v>0.96666700000000005</v>
      </c>
      <c r="AK93">
        <v>0</v>
      </c>
      <c r="AL93" s="76">
        <v>45391.703993055547</v>
      </c>
      <c r="AM93" s="75">
        <v>638</v>
      </c>
      <c r="AN93" t="s">
        <v>65</v>
      </c>
      <c r="AO93" t="s">
        <v>656</v>
      </c>
      <c r="AP93" t="s">
        <v>67</v>
      </c>
      <c r="AQ93" t="s">
        <v>68</v>
      </c>
      <c r="AR93" t="s">
        <v>69</v>
      </c>
      <c r="AS93" s="79"/>
      <c r="AT93" s="82" t="s">
        <v>200</v>
      </c>
      <c r="AU93" s="78">
        <v>2026</v>
      </c>
      <c r="AV93" s="78">
        <v>1</v>
      </c>
      <c r="AW93" s="78" t="s">
        <v>71</v>
      </c>
      <c r="AX93" s="78">
        <v>0</v>
      </c>
      <c r="AY93" s="78">
        <v>0</v>
      </c>
      <c r="BT93" s="3" t="s">
        <v>71</v>
      </c>
      <c r="BU93" s="3">
        <v>0</v>
      </c>
      <c r="BV93" s="3">
        <v>0</v>
      </c>
    </row>
    <row r="94" spans="1:74" ht="15" customHeight="1" x14ac:dyDescent="0.25">
      <c r="A94" s="75">
        <v>5763101</v>
      </c>
      <c r="B94" t="s">
        <v>657</v>
      </c>
      <c r="C94" t="s">
        <v>658</v>
      </c>
      <c r="D94" t="s">
        <v>53</v>
      </c>
      <c r="E94" t="s">
        <v>87</v>
      </c>
      <c r="F94" s="75">
        <v>225</v>
      </c>
      <c r="G94" s="75">
        <v>286247</v>
      </c>
      <c r="H94">
        <v>368.16</v>
      </c>
      <c r="I94" t="s">
        <v>55</v>
      </c>
      <c r="J94" s="75">
        <v>218791</v>
      </c>
      <c r="K94" t="s">
        <v>312</v>
      </c>
      <c r="L94" t="s">
        <v>313</v>
      </c>
      <c r="M94" s="81">
        <v>46030.484259259261</v>
      </c>
      <c r="N94" s="81">
        <v>46032.590960648151</v>
      </c>
      <c r="O94" t="s">
        <v>58</v>
      </c>
      <c r="P94" t="s">
        <v>59</v>
      </c>
      <c r="Q94" t="s">
        <v>130</v>
      </c>
      <c r="R94" t="s">
        <v>60</v>
      </c>
      <c r="U94" s="75">
        <v>169201</v>
      </c>
      <c r="V94" t="s">
        <v>659</v>
      </c>
      <c r="W94" t="s">
        <v>659</v>
      </c>
      <c r="X94" t="s">
        <v>62</v>
      </c>
      <c r="Y94" t="s">
        <v>63</v>
      </c>
      <c r="AA94" t="s">
        <v>64</v>
      </c>
      <c r="AB94">
        <v>50.516666999999998</v>
      </c>
      <c r="AC94">
        <v>44.416666999999997</v>
      </c>
      <c r="AD94">
        <v>6.1</v>
      </c>
      <c r="AE94">
        <v>6.6667000000000004E-2</v>
      </c>
      <c r="AF94">
        <v>0</v>
      </c>
      <c r="AG94">
        <v>6.0333329999999998</v>
      </c>
      <c r="AH94">
        <v>6.0333329999999998</v>
      </c>
      <c r="AI94">
        <v>5.8166659999999997</v>
      </c>
      <c r="AJ94">
        <v>0.216667</v>
      </c>
      <c r="AK94">
        <v>0</v>
      </c>
      <c r="AL94" s="76">
        <v>44876.622743055559</v>
      </c>
      <c r="AM94" s="75">
        <v>1153</v>
      </c>
      <c r="AN94" t="s">
        <v>65</v>
      </c>
      <c r="AO94" t="s">
        <v>660</v>
      </c>
      <c r="AP94" t="s">
        <v>67</v>
      </c>
      <c r="AQ94" t="s">
        <v>68</v>
      </c>
      <c r="AR94" t="s">
        <v>69</v>
      </c>
      <c r="AS94" s="78"/>
      <c r="AT94" s="82" t="s">
        <v>200</v>
      </c>
      <c r="AU94" s="78">
        <v>2026</v>
      </c>
      <c r="AV94" s="78">
        <v>1</v>
      </c>
      <c r="AW94" s="78" t="s">
        <v>71</v>
      </c>
      <c r="AX94" s="78">
        <v>1</v>
      </c>
      <c r="AY94" s="78">
        <v>0</v>
      </c>
      <c r="BT94" s="2" t="s">
        <v>71</v>
      </c>
      <c r="BU94" s="2">
        <v>1</v>
      </c>
      <c r="BV94" s="2">
        <v>0</v>
      </c>
    </row>
    <row r="95" spans="1:74" ht="15" customHeight="1" x14ac:dyDescent="0.25">
      <c r="A95" s="75">
        <v>5758451</v>
      </c>
      <c r="B95" t="s">
        <v>661</v>
      </c>
      <c r="C95" t="s">
        <v>662</v>
      </c>
      <c r="D95" t="s">
        <v>74</v>
      </c>
      <c r="E95" t="s">
        <v>87</v>
      </c>
      <c r="F95" s="75">
        <v>296</v>
      </c>
      <c r="G95" s="75">
        <v>286471</v>
      </c>
      <c r="H95">
        <v>364.96</v>
      </c>
      <c r="I95" t="s">
        <v>55</v>
      </c>
      <c r="J95" s="75">
        <v>218787</v>
      </c>
      <c r="K95" t="s">
        <v>96</v>
      </c>
      <c r="L95" t="s">
        <v>97</v>
      </c>
      <c r="M95" s="81">
        <v>46029.993518518517</v>
      </c>
      <c r="N95" s="81">
        <v>46033.399074074077</v>
      </c>
      <c r="O95" t="s">
        <v>58</v>
      </c>
      <c r="P95" t="s">
        <v>59</v>
      </c>
      <c r="Q95" t="s">
        <v>90</v>
      </c>
      <c r="R95" t="s">
        <v>60</v>
      </c>
      <c r="U95" s="75">
        <v>169589</v>
      </c>
      <c r="V95" t="s">
        <v>663</v>
      </c>
      <c r="W95" t="s">
        <v>664</v>
      </c>
      <c r="X95" t="s">
        <v>62</v>
      </c>
      <c r="Y95" t="s">
        <v>63</v>
      </c>
      <c r="AA95" t="s">
        <v>416</v>
      </c>
      <c r="AB95">
        <v>81.616668000000004</v>
      </c>
      <c r="AC95">
        <v>63.3</v>
      </c>
      <c r="AD95">
        <v>18.316668</v>
      </c>
      <c r="AE95">
        <v>0.3</v>
      </c>
      <c r="AF95">
        <v>0</v>
      </c>
      <c r="AG95">
        <v>18.016667999999999</v>
      </c>
      <c r="AH95">
        <v>18.016667999999999</v>
      </c>
      <c r="AI95">
        <v>16.833334000000001</v>
      </c>
      <c r="AJ95">
        <v>1.1833340000000001</v>
      </c>
      <c r="AK95">
        <v>0</v>
      </c>
      <c r="AL95" s="76">
        <v>44922</v>
      </c>
      <c r="AM95" s="75">
        <v>1107</v>
      </c>
      <c r="AN95" t="s">
        <v>65</v>
      </c>
      <c r="AO95" t="s">
        <v>665</v>
      </c>
      <c r="AP95" t="s">
        <v>67</v>
      </c>
      <c r="AQ95" t="s">
        <v>68</v>
      </c>
      <c r="AR95" t="s">
        <v>69</v>
      </c>
      <c r="AS95" s="79"/>
      <c r="AT95" s="82" t="s">
        <v>200</v>
      </c>
      <c r="AU95" s="78">
        <v>2026</v>
      </c>
      <c r="AV95" s="78">
        <v>1</v>
      </c>
      <c r="AW95" s="78" t="s">
        <v>71</v>
      </c>
      <c r="AX95" s="78">
        <v>0</v>
      </c>
      <c r="AY95" s="78">
        <v>0</v>
      </c>
      <c r="BT95" s="3" t="s">
        <v>71</v>
      </c>
      <c r="BU95" s="3">
        <v>0</v>
      </c>
      <c r="BV95" s="3">
        <v>0</v>
      </c>
    </row>
    <row r="96" spans="1:74" ht="15" customHeight="1" x14ac:dyDescent="0.25">
      <c r="A96" s="75">
        <v>5767245</v>
      </c>
      <c r="B96" t="s">
        <v>666</v>
      </c>
      <c r="C96" t="s">
        <v>667</v>
      </c>
      <c r="D96" t="s">
        <v>74</v>
      </c>
      <c r="E96" t="s">
        <v>87</v>
      </c>
      <c r="F96" s="75">
        <v>307</v>
      </c>
      <c r="G96" s="75">
        <v>286503</v>
      </c>
      <c r="H96">
        <v>364.96</v>
      </c>
      <c r="I96" t="s">
        <v>55</v>
      </c>
      <c r="J96" s="75">
        <v>218787</v>
      </c>
      <c r="K96" t="s">
        <v>96</v>
      </c>
      <c r="L96" t="s">
        <v>97</v>
      </c>
      <c r="M96" s="81">
        <v>46030.891631944447</v>
      </c>
      <c r="N96" s="81">
        <v>46033.405949074076</v>
      </c>
      <c r="O96" t="s">
        <v>58</v>
      </c>
      <c r="P96" t="s">
        <v>59</v>
      </c>
      <c r="Q96" t="s">
        <v>90</v>
      </c>
      <c r="R96" t="s">
        <v>99</v>
      </c>
      <c r="U96" s="75">
        <v>169577</v>
      </c>
      <c r="V96" t="s">
        <v>668</v>
      </c>
      <c r="X96" t="s">
        <v>62</v>
      </c>
      <c r="Y96" t="s">
        <v>63</v>
      </c>
      <c r="AA96" t="s">
        <v>101</v>
      </c>
      <c r="AB96">
        <v>60.283334000000004</v>
      </c>
      <c r="AC96">
        <v>48.416666999999997</v>
      </c>
      <c r="AD96">
        <v>11.866667</v>
      </c>
      <c r="AE96">
        <v>2.3666670000000001</v>
      </c>
      <c r="AF96">
        <v>0</v>
      </c>
      <c r="AG96">
        <v>9.5</v>
      </c>
      <c r="AH96">
        <v>9.5</v>
      </c>
      <c r="AI96">
        <v>8.6999999999999993</v>
      </c>
      <c r="AJ96">
        <v>0.8</v>
      </c>
      <c r="AK96">
        <v>0</v>
      </c>
      <c r="AL96" s="76">
        <v>44933</v>
      </c>
      <c r="AM96" s="75">
        <v>1097</v>
      </c>
      <c r="AN96" t="s">
        <v>65</v>
      </c>
      <c r="AO96" t="s">
        <v>669</v>
      </c>
      <c r="AP96" t="s">
        <v>67</v>
      </c>
      <c r="AQ96" t="s">
        <v>68</v>
      </c>
      <c r="AR96" t="s">
        <v>69</v>
      </c>
      <c r="AS96" s="78"/>
      <c r="AT96" s="82" t="s">
        <v>200</v>
      </c>
      <c r="AU96" s="78">
        <v>2026</v>
      </c>
      <c r="AV96" s="78">
        <v>1</v>
      </c>
      <c r="AW96" s="78" t="s">
        <v>71</v>
      </c>
      <c r="AX96" s="78">
        <v>0</v>
      </c>
      <c r="AY96" s="78">
        <v>0</v>
      </c>
      <c r="BT96" s="2" t="s">
        <v>71</v>
      </c>
      <c r="BU96" s="2">
        <v>0</v>
      </c>
      <c r="BV96" s="2">
        <v>0</v>
      </c>
    </row>
    <row r="97" spans="1:74" ht="15" customHeight="1" x14ac:dyDescent="0.25">
      <c r="A97" s="75">
        <v>5769029</v>
      </c>
      <c r="B97" t="s">
        <v>670</v>
      </c>
      <c r="C97" t="s">
        <v>671</v>
      </c>
      <c r="D97" t="s">
        <v>74</v>
      </c>
      <c r="E97" t="s">
        <v>87</v>
      </c>
      <c r="F97" s="75">
        <v>8</v>
      </c>
      <c r="G97" s="75">
        <v>279647</v>
      </c>
      <c r="H97">
        <v>516.22</v>
      </c>
      <c r="I97" t="s">
        <v>266</v>
      </c>
      <c r="J97" s="75">
        <v>149307</v>
      </c>
      <c r="K97" t="s">
        <v>350</v>
      </c>
      <c r="L97" t="s">
        <v>351</v>
      </c>
      <c r="M97" s="81">
        <v>46031.542129629634</v>
      </c>
      <c r="N97" s="81">
        <v>46033.411493055559</v>
      </c>
      <c r="O97" t="s">
        <v>58</v>
      </c>
      <c r="P97" t="s">
        <v>59</v>
      </c>
      <c r="Q97" t="s">
        <v>90</v>
      </c>
      <c r="R97" t="s">
        <v>99</v>
      </c>
      <c r="T97" t="s">
        <v>672</v>
      </c>
      <c r="U97" s="75">
        <v>170083</v>
      </c>
      <c r="V97" t="s">
        <v>673</v>
      </c>
      <c r="X97" t="s">
        <v>62</v>
      </c>
      <c r="Y97" t="s">
        <v>674</v>
      </c>
      <c r="AA97" t="s">
        <v>81</v>
      </c>
      <c r="AB97">
        <v>44.816668</v>
      </c>
      <c r="AC97">
        <v>40.9</v>
      </c>
      <c r="AD97">
        <v>3.916668</v>
      </c>
      <c r="AE97">
        <v>0.33333400000000002</v>
      </c>
      <c r="AF97">
        <v>0</v>
      </c>
      <c r="AG97">
        <v>3.5833339999999998</v>
      </c>
      <c r="AH97">
        <v>3.5833339999999998</v>
      </c>
      <c r="AI97">
        <v>3.5666669999999998</v>
      </c>
      <c r="AJ97">
        <v>1.6667000000000001E-2</v>
      </c>
      <c r="AK97">
        <v>0</v>
      </c>
      <c r="AL97" s="76">
        <v>44804</v>
      </c>
      <c r="AM97" s="75">
        <v>1227</v>
      </c>
      <c r="AN97" t="s">
        <v>65</v>
      </c>
      <c r="AO97" t="s">
        <v>675</v>
      </c>
      <c r="AP97" t="s">
        <v>67</v>
      </c>
      <c r="AQ97" t="s">
        <v>68</v>
      </c>
      <c r="AR97" t="s">
        <v>69</v>
      </c>
      <c r="AS97" s="79"/>
      <c r="AT97" s="82" t="s">
        <v>200</v>
      </c>
      <c r="AU97" s="78">
        <v>2026</v>
      </c>
      <c r="AV97" s="78">
        <v>1</v>
      </c>
      <c r="AW97" s="78" t="s">
        <v>137</v>
      </c>
      <c r="AX97" s="78">
        <v>1</v>
      </c>
      <c r="AY97" s="78">
        <v>0</v>
      </c>
      <c r="BT97" s="3" t="s">
        <v>137</v>
      </c>
      <c r="BU97" s="3">
        <v>1</v>
      </c>
      <c r="BV97" s="3">
        <v>0</v>
      </c>
    </row>
    <row r="98" spans="1:74" ht="15" customHeight="1" x14ac:dyDescent="0.25">
      <c r="A98" s="75">
        <v>5769157</v>
      </c>
      <c r="B98" t="s">
        <v>676</v>
      </c>
      <c r="C98" t="s">
        <v>677</v>
      </c>
      <c r="D98" t="s">
        <v>74</v>
      </c>
      <c r="E98" t="s">
        <v>54</v>
      </c>
      <c r="F98" s="75">
        <v>7</v>
      </c>
      <c r="G98" s="75">
        <v>302279</v>
      </c>
      <c r="H98">
        <v>360.5</v>
      </c>
      <c r="I98" t="s">
        <v>114</v>
      </c>
      <c r="J98" s="75">
        <v>204321</v>
      </c>
      <c r="K98" t="s">
        <v>376</v>
      </c>
      <c r="L98" t="s">
        <v>377</v>
      </c>
      <c r="M98" s="81">
        <v>46031.592303240737</v>
      </c>
      <c r="N98" s="81">
        <v>46033.466238425928</v>
      </c>
      <c r="O98" t="s">
        <v>58</v>
      </c>
      <c r="P98" t="s">
        <v>59</v>
      </c>
      <c r="Q98" t="s">
        <v>130</v>
      </c>
      <c r="R98" t="s">
        <v>156</v>
      </c>
      <c r="U98" s="75">
        <v>170345</v>
      </c>
      <c r="V98" t="s">
        <v>678</v>
      </c>
      <c r="W98" t="s">
        <v>679</v>
      </c>
      <c r="X98" t="s">
        <v>62</v>
      </c>
      <c r="Y98" t="s">
        <v>63</v>
      </c>
      <c r="AA98" t="s">
        <v>101</v>
      </c>
      <c r="AB98">
        <v>44.85</v>
      </c>
      <c r="AC98">
        <v>32.983333000000002</v>
      </c>
      <c r="AD98">
        <v>11.866667</v>
      </c>
      <c r="AE98">
        <v>0.15</v>
      </c>
      <c r="AF98">
        <v>0</v>
      </c>
      <c r="AG98">
        <v>11.716666999999999</v>
      </c>
      <c r="AH98">
        <v>11.716666999999999</v>
      </c>
      <c r="AI98">
        <v>11.7</v>
      </c>
      <c r="AJ98">
        <v>1.6667000000000001E-2</v>
      </c>
      <c r="AK98">
        <v>0</v>
      </c>
      <c r="AL98" s="76">
        <v>45425</v>
      </c>
      <c r="AM98" s="75">
        <v>606</v>
      </c>
      <c r="AN98" t="s">
        <v>65</v>
      </c>
      <c r="AO98" t="s">
        <v>680</v>
      </c>
      <c r="AP98" t="s">
        <v>67</v>
      </c>
      <c r="AQ98" t="s">
        <v>68</v>
      </c>
      <c r="AR98" t="s">
        <v>69</v>
      </c>
      <c r="AS98" s="78"/>
      <c r="AT98" s="82" t="s">
        <v>200</v>
      </c>
      <c r="AU98" s="78">
        <v>2026</v>
      </c>
      <c r="AV98" s="78">
        <v>1</v>
      </c>
      <c r="AW98" s="78" t="s">
        <v>71</v>
      </c>
      <c r="AX98" s="78">
        <v>0</v>
      </c>
      <c r="AY98" s="78">
        <v>0</v>
      </c>
      <c r="BT98" s="2" t="s">
        <v>71</v>
      </c>
      <c r="BU98" s="2">
        <v>0</v>
      </c>
      <c r="BV98" s="2">
        <v>0</v>
      </c>
    </row>
    <row r="99" spans="1:74" ht="15" customHeight="1" x14ac:dyDescent="0.25">
      <c r="A99" s="75">
        <v>5768857</v>
      </c>
      <c r="B99" t="s">
        <v>681</v>
      </c>
      <c r="C99" t="s">
        <v>682</v>
      </c>
      <c r="D99" t="s">
        <v>182</v>
      </c>
      <c r="E99" t="s">
        <v>105</v>
      </c>
      <c r="F99" s="75">
        <v>860</v>
      </c>
      <c r="G99" s="75">
        <v>326509</v>
      </c>
      <c r="H99">
        <v>1050.01</v>
      </c>
      <c r="I99" t="s">
        <v>55</v>
      </c>
      <c r="J99" s="75">
        <v>82709</v>
      </c>
      <c r="K99" t="s">
        <v>683</v>
      </c>
      <c r="L99" t="s">
        <v>684</v>
      </c>
      <c r="M99" s="81">
        <v>46031.451782407406</v>
      </c>
      <c r="N99" s="81">
        <v>46033.468287037038</v>
      </c>
      <c r="O99" t="s">
        <v>58</v>
      </c>
      <c r="P99" t="s">
        <v>59</v>
      </c>
      <c r="Q99" t="s">
        <v>90</v>
      </c>
      <c r="R99" t="s">
        <v>60</v>
      </c>
      <c r="U99" s="75">
        <v>170005</v>
      </c>
      <c r="V99" t="s">
        <v>685</v>
      </c>
      <c r="W99" t="s">
        <v>685</v>
      </c>
      <c r="X99" t="s">
        <v>79</v>
      </c>
      <c r="Y99" t="s">
        <v>110</v>
      </c>
      <c r="AA99" t="s">
        <v>64</v>
      </c>
      <c r="AB99">
        <v>48.35</v>
      </c>
      <c r="AC99">
        <v>42.033332999999999</v>
      </c>
      <c r="AD99">
        <v>6.3166669999999998</v>
      </c>
      <c r="AE99">
        <v>0.15</v>
      </c>
      <c r="AF99">
        <v>0</v>
      </c>
      <c r="AG99">
        <v>6.1666670000000003</v>
      </c>
      <c r="AH99">
        <v>6.1666670000000003</v>
      </c>
      <c r="AI99">
        <v>6.0833339999999998</v>
      </c>
      <c r="AJ99">
        <v>8.3333000000000004E-2</v>
      </c>
      <c r="AK99">
        <v>0</v>
      </c>
      <c r="AL99" s="76">
        <v>45626.000011574077</v>
      </c>
      <c r="AM99" s="75">
        <v>405</v>
      </c>
      <c r="AN99" t="s">
        <v>65</v>
      </c>
      <c r="AO99" t="s">
        <v>686</v>
      </c>
      <c r="AP99" t="s">
        <v>67</v>
      </c>
      <c r="AQ99" t="s">
        <v>83</v>
      </c>
      <c r="AR99" t="s">
        <v>69</v>
      </c>
      <c r="AS99" s="79"/>
      <c r="AT99" s="82" t="s">
        <v>200</v>
      </c>
      <c r="AU99" s="78">
        <v>2026</v>
      </c>
      <c r="AV99" s="78">
        <v>1</v>
      </c>
      <c r="AW99" s="78" t="s">
        <v>84</v>
      </c>
      <c r="AX99" s="78">
        <v>1</v>
      </c>
      <c r="AY99" s="78">
        <v>0</v>
      </c>
      <c r="BT99" s="3" t="s">
        <v>84</v>
      </c>
      <c r="BU99" s="3">
        <v>1</v>
      </c>
      <c r="BV99" s="3">
        <v>0</v>
      </c>
    </row>
    <row r="100" spans="1:74" ht="15" customHeight="1" x14ac:dyDescent="0.25">
      <c r="A100" s="75">
        <v>5762913</v>
      </c>
      <c r="B100" t="s">
        <v>687</v>
      </c>
      <c r="C100" t="s">
        <v>688</v>
      </c>
      <c r="D100" t="s">
        <v>74</v>
      </c>
      <c r="E100" t="s">
        <v>87</v>
      </c>
      <c r="F100" s="75">
        <v>579</v>
      </c>
      <c r="G100" s="75">
        <v>325841</v>
      </c>
      <c r="H100">
        <v>382.47</v>
      </c>
      <c r="I100" t="s">
        <v>55</v>
      </c>
      <c r="J100" s="75">
        <v>216233</v>
      </c>
      <c r="K100" t="s">
        <v>88</v>
      </c>
      <c r="L100" t="s">
        <v>89</v>
      </c>
      <c r="M100" s="81">
        <v>46030.475092592591</v>
      </c>
      <c r="N100" s="81">
        <v>46033.533263888887</v>
      </c>
      <c r="O100" t="s">
        <v>58</v>
      </c>
      <c r="P100" t="s">
        <v>59</v>
      </c>
      <c r="Q100" t="s">
        <v>90</v>
      </c>
      <c r="R100" t="s">
        <v>60</v>
      </c>
      <c r="U100" s="75">
        <v>169597</v>
      </c>
      <c r="V100" t="s">
        <v>689</v>
      </c>
      <c r="W100" t="s">
        <v>690</v>
      </c>
      <c r="X100" t="s">
        <v>62</v>
      </c>
      <c r="Y100" t="s">
        <v>63</v>
      </c>
      <c r="AA100" t="s">
        <v>416</v>
      </c>
      <c r="AB100">
        <v>73.333333999999994</v>
      </c>
      <c r="AC100">
        <v>58.1</v>
      </c>
      <c r="AD100">
        <v>15.233333999999999</v>
      </c>
      <c r="AE100">
        <v>0.41666700000000001</v>
      </c>
      <c r="AF100">
        <v>0</v>
      </c>
      <c r="AG100">
        <v>14.816667000000001</v>
      </c>
      <c r="AH100">
        <v>14.816667000000001</v>
      </c>
      <c r="AI100">
        <v>14.316667000000001</v>
      </c>
      <c r="AJ100">
        <v>0.5</v>
      </c>
      <c r="AK100">
        <v>0</v>
      </c>
      <c r="AL100" s="76">
        <v>45561</v>
      </c>
      <c r="AM100" s="75">
        <v>469</v>
      </c>
      <c r="AN100" t="s">
        <v>65</v>
      </c>
      <c r="AO100" t="s">
        <v>691</v>
      </c>
      <c r="AP100" t="s">
        <v>67</v>
      </c>
      <c r="AQ100" t="s">
        <v>68</v>
      </c>
      <c r="AR100" t="s">
        <v>69</v>
      </c>
      <c r="AS100" s="78"/>
      <c r="AT100" s="82" t="s">
        <v>200</v>
      </c>
      <c r="AU100" s="78">
        <v>2026</v>
      </c>
      <c r="AV100" s="78">
        <v>1</v>
      </c>
      <c r="AW100" s="78" t="s">
        <v>71</v>
      </c>
      <c r="AX100" s="78">
        <v>0</v>
      </c>
      <c r="AY100" s="78">
        <v>0</v>
      </c>
      <c r="BT100" s="2" t="s">
        <v>71</v>
      </c>
      <c r="BU100" s="2">
        <v>0</v>
      </c>
      <c r="BV100" s="2">
        <v>0</v>
      </c>
    </row>
    <row r="101" spans="1:74" ht="15" customHeight="1" x14ac:dyDescent="0.25">
      <c r="A101" s="75">
        <v>5770201</v>
      </c>
      <c r="B101" t="s">
        <v>692</v>
      </c>
      <c r="C101" t="s">
        <v>693</v>
      </c>
      <c r="D101" t="s">
        <v>257</v>
      </c>
      <c r="E101" t="s">
        <v>87</v>
      </c>
      <c r="F101" s="75">
        <v>402</v>
      </c>
      <c r="G101" s="75">
        <v>288381</v>
      </c>
      <c r="H101">
        <v>368.16</v>
      </c>
      <c r="I101" t="s">
        <v>55</v>
      </c>
      <c r="J101" s="75">
        <v>218791</v>
      </c>
      <c r="K101" t="s">
        <v>312</v>
      </c>
      <c r="L101" t="s">
        <v>313</v>
      </c>
      <c r="M101" s="81">
        <v>46032.569826388892</v>
      </c>
      <c r="N101" s="81">
        <v>46034.478750000002</v>
      </c>
      <c r="O101" t="s">
        <v>58</v>
      </c>
      <c r="P101" t="s">
        <v>59</v>
      </c>
      <c r="Q101" t="s">
        <v>90</v>
      </c>
      <c r="R101" t="s">
        <v>131</v>
      </c>
      <c r="U101" s="75">
        <v>170455</v>
      </c>
      <c r="V101" t="s">
        <v>694</v>
      </c>
      <c r="W101" t="s">
        <v>694</v>
      </c>
      <c r="X101" t="s">
        <v>62</v>
      </c>
      <c r="Y101" t="s">
        <v>63</v>
      </c>
      <c r="AA101" t="s">
        <v>81</v>
      </c>
      <c r="AB101">
        <v>45.766666000000001</v>
      </c>
      <c r="AC101">
        <v>42</v>
      </c>
      <c r="AD101">
        <v>3.7666659999999998</v>
      </c>
      <c r="AE101">
        <v>0.25</v>
      </c>
      <c r="AF101">
        <v>0</v>
      </c>
      <c r="AG101">
        <v>3.5166659999999998</v>
      </c>
      <c r="AH101">
        <v>3.5166659999999998</v>
      </c>
      <c r="AI101">
        <v>3.4333330000000002</v>
      </c>
      <c r="AJ101">
        <v>8.3333000000000004E-2</v>
      </c>
      <c r="AK101">
        <v>0</v>
      </c>
      <c r="AL101" s="76">
        <v>44946.44804398148</v>
      </c>
      <c r="AM101" s="75">
        <v>1086</v>
      </c>
      <c r="AN101" t="s">
        <v>65</v>
      </c>
      <c r="AO101" t="s">
        <v>695</v>
      </c>
      <c r="AP101" t="s">
        <v>67</v>
      </c>
      <c r="AQ101" t="s">
        <v>68</v>
      </c>
      <c r="AR101" t="s">
        <v>69</v>
      </c>
      <c r="AS101" s="79"/>
      <c r="AT101" s="82" t="s">
        <v>696</v>
      </c>
      <c r="AU101" s="78">
        <v>2026</v>
      </c>
      <c r="AV101" s="78">
        <v>1</v>
      </c>
      <c r="AW101" s="78" t="s">
        <v>71</v>
      </c>
      <c r="AX101" s="78">
        <v>1</v>
      </c>
      <c r="AY101" s="78">
        <v>0</v>
      </c>
      <c r="BT101" s="3" t="s">
        <v>71</v>
      </c>
      <c r="BU101" s="3">
        <v>1</v>
      </c>
      <c r="BV101" s="3">
        <v>0</v>
      </c>
    </row>
    <row r="102" spans="1:74" ht="15" customHeight="1" x14ac:dyDescent="0.25">
      <c r="A102" s="75">
        <v>5768751</v>
      </c>
      <c r="B102" t="s">
        <v>697</v>
      </c>
      <c r="C102" t="s">
        <v>698</v>
      </c>
      <c r="D102" t="s">
        <v>257</v>
      </c>
      <c r="E102" t="s">
        <v>54</v>
      </c>
      <c r="F102" s="75">
        <v>1</v>
      </c>
      <c r="G102" s="75">
        <v>321981</v>
      </c>
      <c r="H102">
        <v>900</v>
      </c>
      <c r="I102" t="s">
        <v>55</v>
      </c>
      <c r="J102" s="75">
        <v>223393</v>
      </c>
      <c r="K102" t="s">
        <v>699</v>
      </c>
      <c r="L102" t="s">
        <v>700</v>
      </c>
      <c r="M102" s="81">
        <v>46031.421087962961</v>
      </c>
      <c r="N102" s="81">
        <v>46034.531631944446</v>
      </c>
      <c r="O102" t="s">
        <v>58</v>
      </c>
      <c r="P102" t="s">
        <v>59</v>
      </c>
      <c r="Q102" t="s">
        <v>77</v>
      </c>
      <c r="R102" t="s">
        <v>60</v>
      </c>
      <c r="U102" s="75">
        <v>170413</v>
      </c>
      <c r="V102" t="s">
        <v>701</v>
      </c>
      <c r="X102" t="s">
        <v>62</v>
      </c>
      <c r="Y102" t="s">
        <v>702</v>
      </c>
      <c r="Z102" t="s">
        <v>703</v>
      </c>
      <c r="AA102" t="s">
        <v>101</v>
      </c>
      <c r="AB102">
        <v>74.500000999999997</v>
      </c>
      <c r="AC102">
        <v>57.366667</v>
      </c>
      <c r="AD102">
        <v>17.133334000000001</v>
      </c>
      <c r="AE102">
        <v>5.266667</v>
      </c>
      <c r="AF102">
        <v>4.8166669999999998</v>
      </c>
      <c r="AG102">
        <v>11.866667</v>
      </c>
      <c r="AH102">
        <v>16.683333999999999</v>
      </c>
      <c r="AI102">
        <v>11.6</v>
      </c>
      <c r="AJ102">
        <v>0.26666699999999999</v>
      </c>
      <c r="AK102">
        <v>0</v>
      </c>
      <c r="AL102" s="76">
        <v>45498.428287037037</v>
      </c>
      <c r="AM102" s="75">
        <v>532</v>
      </c>
      <c r="AN102" t="s">
        <v>65</v>
      </c>
      <c r="AO102" t="s">
        <v>704</v>
      </c>
      <c r="AP102" t="s">
        <v>67</v>
      </c>
      <c r="AQ102" t="s">
        <v>68</v>
      </c>
      <c r="AR102" t="s">
        <v>69</v>
      </c>
      <c r="AS102" s="78"/>
      <c r="AT102" s="82" t="s">
        <v>696</v>
      </c>
      <c r="AU102" s="78">
        <v>2026</v>
      </c>
      <c r="AV102" s="78">
        <v>1</v>
      </c>
      <c r="AW102" s="78" t="s">
        <v>137</v>
      </c>
      <c r="AX102" s="78">
        <v>0</v>
      </c>
      <c r="AY102" s="78">
        <v>0</v>
      </c>
      <c r="BT102" s="2" t="s">
        <v>137</v>
      </c>
      <c r="BU102" s="2">
        <v>0</v>
      </c>
      <c r="BV102" s="2">
        <v>0</v>
      </c>
    </row>
    <row r="103" spans="1:74" ht="15" customHeight="1" x14ac:dyDescent="0.25">
      <c r="A103" s="75">
        <v>5764763</v>
      </c>
      <c r="B103" t="s">
        <v>705</v>
      </c>
      <c r="C103" t="s">
        <v>706</v>
      </c>
      <c r="D103" t="s">
        <v>265</v>
      </c>
      <c r="E103" t="s">
        <v>54</v>
      </c>
      <c r="F103" s="75">
        <v>3</v>
      </c>
      <c r="G103" s="75">
        <v>51949</v>
      </c>
      <c r="H103">
        <v>402.42</v>
      </c>
      <c r="I103" t="s">
        <v>114</v>
      </c>
      <c r="J103" s="75">
        <v>56181</v>
      </c>
      <c r="K103" t="s">
        <v>275</v>
      </c>
      <c r="L103" t="s">
        <v>653</v>
      </c>
      <c r="M103" s="81">
        <v>46030.670555555553</v>
      </c>
      <c r="N103" s="81">
        <v>46034.627627314818</v>
      </c>
      <c r="O103" t="s">
        <v>58</v>
      </c>
      <c r="P103" t="s">
        <v>59</v>
      </c>
      <c r="Q103" t="s">
        <v>130</v>
      </c>
      <c r="R103" t="s">
        <v>60</v>
      </c>
      <c r="U103" s="75">
        <v>170639</v>
      </c>
      <c r="V103" t="s">
        <v>707</v>
      </c>
      <c r="W103" t="s">
        <v>708</v>
      </c>
      <c r="X103" t="s">
        <v>62</v>
      </c>
      <c r="Y103" t="s">
        <v>63</v>
      </c>
      <c r="AA103" t="s">
        <v>416</v>
      </c>
      <c r="AB103">
        <v>94.833332999999996</v>
      </c>
      <c r="AC103">
        <v>75.783333999999996</v>
      </c>
      <c r="AD103">
        <v>19.049999</v>
      </c>
      <c r="AE103">
        <v>0.283333</v>
      </c>
      <c r="AF103">
        <v>0</v>
      </c>
      <c r="AG103">
        <v>18.766666000000001</v>
      </c>
      <c r="AH103">
        <v>18.766666000000001</v>
      </c>
      <c r="AI103">
        <v>18.2</v>
      </c>
      <c r="AJ103">
        <v>0.566666</v>
      </c>
      <c r="AK103">
        <v>0</v>
      </c>
      <c r="AL103" s="76">
        <v>42629.625</v>
      </c>
      <c r="AM103" s="75">
        <v>3401</v>
      </c>
      <c r="AN103" t="s">
        <v>65</v>
      </c>
      <c r="AO103" t="s">
        <v>709</v>
      </c>
      <c r="AP103" t="s">
        <v>67</v>
      </c>
      <c r="AQ103" t="s">
        <v>68</v>
      </c>
      <c r="AR103" t="s">
        <v>69</v>
      </c>
      <c r="AS103" s="79"/>
      <c r="AT103" s="82" t="s">
        <v>696</v>
      </c>
      <c r="AU103" s="78">
        <v>2026</v>
      </c>
      <c r="AV103" s="78">
        <v>1</v>
      </c>
      <c r="AW103" s="78" t="s">
        <v>71</v>
      </c>
      <c r="AX103" s="78">
        <v>0</v>
      </c>
      <c r="AY103" s="78">
        <v>0</v>
      </c>
      <c r="BT103" s="3" t="s">
        <v>71</v>
      </c>
      <c r="BU103" s="3">
        <v>0</v>
      </c>
      <c r="BV103" s="3">
        <v>0</v>
      </c>
    </row>
    <row r="104" spans="1:74" ht="15" customHeight="1" x14ac:dyDescent="0.25">
      <c r="A104" s="75">
        <v>5772823</v>
      </c>
      <c r="B104" t="s">
        <v>710</v>
      </c>
      <c r="C104" t="s">
        <v>711</v>
      </c>
      <c r="D104" t="s">
        <v>53</v>
      </c>
      <c r="E104" t="s">
        <v>87</v>
      </c>
      <c r="F104" s="75">
        <v>179</v>
      </c>
      <c r="G104" s="75">
        <v>285869</v>
      </c>
      <c r="H104">
        <v>364.95</v>
      </c>
      <c r="I104" t="s">
        <v>55</v>
      </c>
      <c r="J104" s="75">
        <v>218787</v>
      </c>
      <c r="K104" t="s">
        <v>96</v>
      </c>
      <c r="L104" t="s">
        <v>97</v>
      </c>
      <c r="M104" s="81">
        <v>46034.480405092603</v>
      </c>
      <c r="N104" s="81">
        <v>46034.640717592592</v>
      </c>
      <c r="O104" t="s">
        <v>58</v>
      </c>
      <c r="P104" t="s">
        <v>59</v>
      </c>
      <c r="Q104" t="s">
        <v>90</v>
      </c>
      <c r="R104" t="s">
        <v>131</v>
      </c>
      <c r="U104" s="75">
        <v>171049</v>
      </c>
      <c r="V104" t="s">
        <v>712</v>
      </c>
      <c r="W104" t="s">
        <v>712</v>
      </c>
      <c r="X104" t="s">
        <v>62</v>
      </c>
      <c r="Y104" t="s">
        <v>63</v>
      </c>
      <c r="AA104" t="s">
        <v>81</v>
      </c>
      <c r="AB104">
        <v>3.8333339999999998</v>
      </c>
      <c r="AC104">
        <v>0.16666700000000001</v>
      </c>
      <c r="AD104">
        <v>3.6666669999999999</v>
      </c>
      <c r="AE104">
        <v>0.3</v>
      </c>
      <c r="AF104">
        <v>0</v>
      </c>
      <c r="AG104">
        <v>3.3666670000000001</v>
      </c>
      <c r="AH104">
        <v>3.3666670000000001</v>
      </c>
      <c r="AI104">
        <v>3.1333340000000001</v>
      </c>
      <c r="AJ104">
        <v>0.23333300000000001</v>
      </c>
      <c r="AK104">
        <v>0</v>
      </c>
      <c r="AL104" s="76">
        <v>44868</v>
      </c>
      <c r="AM104" s="75">
        <v>1166</v>
      </c>
      <c r="AN104" t="s">
        <v>65</v>
      </c>
      <c r="AO104" t="s">
        <v>713</v>
      </c>
      <c r="AP104" t="s">
        <v>67</v>
      </c>
      <c r="AQ104" t="s">
        <v>68</v>
      </c>
      <c r="AR104" t="s">
        <v>69</v>
      </c>
      <c r="AS104" s="78"/>
      <c r="AT104" s="82" t="s">
        <v>696</v>
      </c>
      <c r="AU104" s="78">
        <v>2026</v>
      </c>
      <c r="AV104" s="78">
        <v>1</v>
      </c>
      <c r="AW104" s="78" t="s">
        <v>71</v>
      </c>
      <c r="AX104" s="78">
        <v>1</v>
      </c>
      <c r="AY104" s="78">
        <v>0</v>
      </c>
      <c r="BT104" s="2" t="s">
        <v>71</v>
      </c>
      <c r="BU104" s="2">
        <v>1</v>
      </c>
      <c r="BV104" s="2">
        <v>0</v>
      </c>
    </row>
    <row r="105" spans="1:74" ht="15" customHeight="1" x14ac:dyDescent="0.25">
      <c r="A105" s="75">
        <v>5765713</v>
      </c>
      <c r="B105" t="s">
        <v>714</v>
      </c>
      <c r="C105" t="s">
        <v>715</v>
      </c>
      <c r="D105" t="s">
        <v>182</v>
      </c>
      <c r="E105" t="s">
        <v>87</v>
      </c>
      <c r="F105" s="75">
        <v>441</v>
      </c>
      <c r="G105" s="75">
        <v>289311</v>
      </c>
      <c r="H105">
        <v>398.82</v>
      </c>
      <c r="I105" t="s">
        <v>55</v>
      </c>
      <c r="J105" s="75">
        <v>216233</v>
      </c>
      <c r="K105" t="s">
        <v>88</v>
      </c>
      <c r="L105" t="s">
        <v>89</v>
      </c>
      <c r="M105" s="81">
        <v>46030.739166666674</v>
      </c>
      <c r="N105" s="81">
        <v>46034.647615740738</v>
      </c>
      <c r="O105" t="s">
        <v>58</v>
      </c>
      <c r="P105" t="s">
        <v>59</v>
      </c>
      <c r="Q105" t="s">
        <v>90</v>
      </c>
      <c r="R105" t="s">
        <v>60</v>
      </c>
      <c r="U105" s="75">
        <v>170645</v>
      </c>
      <c r="V105" t="s">
        <v>716</v>
      </c>
      <c r="W105" t="s">
        <v>717</v>
      </c>
      <c r="X105" t="s">
        <v>62</v>
      </c>
      <c r="Y105" t="s">
        <v>63</v>
      </c>
      <c r="AA105" t="s">
        <v>416</v>
      </c>
      <c r="AB105">
        <v>93.7</v>
      </c>
      <c r="AC105">
        <v>78.733333000000002</v>
      </c>
      <c r="AD105">
        <v>14.966666999999999</v>
      </c>
      <c r="AE105">
        <v>0.41666700000000001</v>
      </c>
      <c r="AF105">
        <v>0</v>
      </c>
      <c r="AG105">
        <v>14.55</v>
      </c>
      <c r="AH105">
        <v>14.55</v>
      </c>
      <c r="AI105">
        <v>14.016667</v>
      </c>
      <c r="AJ105">
        <v>0.53333299999999995</v>
      </c>
      <c r="AK105">
        <v>0</v>
      </c>
      <c r="AL105" s="76">
        <v>45014</v>
      </c>
      <c r="AM105" s="75">
        <v>1016</v>
      </c>
      <c r="AN105" t="s">
        <v>65</v>
      </c>
      <c r="AO105" t="s">
        <v>718</v>
      </c>
      <c r="AP105" t="s">
        <v>67</v>
      </c>
      <c r="AQ105" t="s">
        <v>68</v>
      </c>
      <c r="AR105" t="s">
        <v>69</v>
      </c>
      <c r="AS105" s="79"/>
      <c r="AT105" s="82" t="s">
        <v>696</v>
      </c>
      <c r="AU105" s="78">
        <v>2026</v>
      </c>
      <c r="AV105" s="78">
        <v>1</v>
      </c>
      <c r="AW105" s="78" t="s">
        <v>71</v>
      </c>
      <c r="AX105" s="78">
        <v>0</v>
      </c>
      <c r="AY105" s="78">
        <v>0</v>
      </c>
      <c r="BT105" s="3" t="s">
        <v>71</v>
      </c>
      <c r="BU105" s="3">
        <v>0</v>
      </c>
      <c r="BV105" s="3">
        <v>0</v>
      </c>
    </row>
    <row r="106" spans="1:74" ht="15" customHeight="1" x14ac:dyDescent="0.25">
      <c r="A106" s="75">
        <v>5762725</v>
      </c>
      <c r="B106" t="s">
        <v>719</v>
      </c>
      <c r="C106" t="s">
        <v>720</v>
      </c>
      <c r="D106" t="s">
        <v>182</v>
      </c>
      <c r="E106" t="s">
        <v>87</v>
      </c>
      <c r="F106" s="75">
        <v>17</v>
      </c>
      <c r="G106" s="75">
        <v>275221</v>
      </c>
      <c r="H106">
        <v>398.82</v>
      </c>
      <c r="I106" t="s">
        <v>55</v>
      </c>
      <c r="J106" s="75">
        <v>216233</v>
      </c>
      <c r="K106" t="s">
        <v>88</v>
      </c>
      <c r="L106" t="s">
        <v>89</v>
      </c>
      <c r="M106" s="81">
        <v>46030.465833333343</v>
      </c>
      <c r="N106" s="81">
        <v>46035.393692129634</v>
      </c>
      <c r="O106" t="s">
        <v>58</v>
      </c>
      <c r="P106" t="s">
        <v>59</v>
      </c>
      <c r="Q106" t="s">
        <v>98</v>
      </c>
      <c r="R106" t="s">
        <v>131</v>
      </c>
      <c r="U106" s="75">
        <v>170633</v>
      </c>
      <c r="V106" t="s">
        <v>721</v>
      </c>
      <c r="W106" t="s">
        <v>722</v>
      </c>
      <c r="X106" t="s">
        <v>62</v>
      </c>
      <c r="Y106" t="s">
        <v>63</v>
      </c>
      <c r="AA106" t="s">
        <v>295</v>
      </c>
      <c r="AB106">
        <v>118.2</v>
      </c>
      <c r="AC106">
        <v>89.366667000000007</v>
      </c>
      <c r="AD106">
        <v>28.833333</v>
      </c>
      <c r="AE106">
        <v>0.5</v>
      </c>
      <c r="AF106">
        <v>0</v>
      </c>
      <c r="AG106">
        <v>28.333333</v>
      </c>
      <c r="AH106">
        <v>28.333333</v>
      </c>
      <c r="AI106">
        <v>28.266666000000001</v>
      </c>
      <c r="AJ106">
        <v>6.6667000000000004E-2</v>
      </c>
      <c r="AK106">
        <v>0</v>
      </c>
      <c r="AL106" s="76">
        <v>44929</v>
      </c>
      <c r="AM106" s="75">
        <v>1101</v>
      </c>
      <c r="AN106" t="s">
        <v>65</v>
      </c>
      <c r="AO106" t="s">
        <v>723</v>
      </c>
      <c r="AP106" t="s">
        <v>67</v>
      </c>
      <c r="AQ106" t="s">
        <v>68</v>
      </c>
      <c r="AR106" t="s">
        <v>69</v>
      </c>
      <c r="AS106" s="78"/>
      <c r="AT106" s="82" t="s">
        <v>696</v>
      </c>
      <c r="AU106" s="78">
        <v>2026</v>
      </c>
      <c r="AV106" s="78">
        <v>1</v>
      </c>
      <c r="AW106" s="78" t="s">
        <v>71</v>
      </c>
      <c r="AX106" s="78">
        <v>0</v>
      </c>
      <c r="AY106" s="78">
        <v>1</v>
      </c>
      <c r="BT106" s="2" t="s">
        <v>71</v>
      </c>
      <c r="BU106" s="2">
        <v>0</v>
      </c>
      <c r="BV106" s="2">
        <v>1</v>
      </c>
    </row>
    <row r="107" spans="1:74" ht="15" customHeight="1" x14ac:dyDescent="0.25">
      <c r="A107" s="75">
        <v>5770177</v>
      </c>
      <c r="B107" t="s">
        <v>724</v>
      </c>
      <c r="C107" t="s">
        <v>725</v>
      </c>
      <c r="D107" t="s">
        <v>182</v>
      </c>
      <c r="E107" t="s">
        <v>87</v>
      </c>
      <c r="F107" s="75">
        <v>87</v>
      </c>
      <c r="G107" s="75">
        <v>275465</v>
      </c>
      <c r="H107">
        <v>398.82</v>
      </c>
      <c r="I107" t="s">
        <v>55</v>
      </c>
      <c r="J107" s="75">
        <v>216233</v>
      </c>
      <c r="K107" t="s">
        <v>88</v>
      </c>
      <c r="L107" t="s">
        <v>89</v>
      </c>
      <c r="M107" s="81">
        <v>46032.521319444437</v>
      </c>
      <c r="N107" s="81">
        <v>46035.395497685182</v>
      </c>
      <c r="O107" t="s">
        <v>58</v>
      </c>
      <c r="P107" t="s">
        <v>59</v>
      </c>
      <c r="Q107" t="s">
        <v>90</v>
      </c>
      <c r="R107" t="s">
        <v>60</v>
      </c>
      <c r="U107" s="75">
        <v>170653</v>
      </c>
      <c r="V107" t="s">
        <v>726</v>
      </c>
      <c r="W107" t="s">
        <v>727</v>
      </c>
      <c r="X107" t="s">
        <v>62</v>
      </c>
      <c r="Y107" t="s">
        <v>63</v>
      </c>
      <c r="AA107" t="s">
        <v>101</v>
      </c>
      <c r="AB107">
        <v>68.916667000000004</v>
      </c>
      <c r="AC107">
        <v>59.266666999999998</v>
      </c>
      <c r="AD107">
        <v>9.65</v>
      </c>
      <c r="AE107">
        <v>6.6667000000000004E-2</v>
      </c>
      <c r="AF107">
        <v>0</v>
      </c>
      <c r="AG107">
        <v>9.5833329999999997</v>
      </c>
      <c r="AH107">
        <v>9.5833329999999997</v>
      </c>
      <c r="AI107">
        <v>9.5</v>
      </c>
      <c r="AJ107">
        <v>8.3333000000000004E-2</v>
      </c>
      <c r="AK107">
        <v>0</v>
      </c>
      <c r="AL107" s="76">
        <v>44994</v>
      </c>
      <c r="AM107" s="75">
        <v>1038</v>
      </c>
      <c r="AN107" t="s">
        <v>65</v>
      </c>
      <c r="AO107" t="s">
        <v>728</v>
      </c>
      <c r="AP107" t="s">
        <v>67</v>
      </c>
      <c r="AQ107" t="s">
        <v>68</v>
      </c>
      <c r="AR107" t="s">
        <v>69</v>
      </c>
      <c r="AS107" s="79"/>
      <c r="AT107" s="82" t="s">
        <v>696</v>
      </c>
      <c r="AU107" s="78">
        <v>2026</v>
      </c>
      <c r="AV107" s="78">
        <v>1</v>
      </c>
      <c r="AW107" s="78" t="s">
        <v>71</v>
      </c>
      <c r="AX107" s="78">
        <v>0</v>
      </c>
      <c r="AY107" s="78">
        <v>0</v>
      </c>
      <c r="BT107" s="3" t="s">
        <v>71</v>
      </c>
      <c r="BU107" s="3">
        <v>0</v>
      </c>
      <c r="BV107" s="3">
        <v>0</v>
      </c>
    </row>
    <row r="108" spans="1:74" ht="15" customHeight="1" x14ac:dyDescent="0.25">
      <c r="A108" s="75">
        <v>5758443</v>
      </c>
      <c r="B108" t="s">
        <v>729</v>
      </c>
      <c r="C108" t="s">
        <v>730</v>
      </c>
      <c r="D108" t="s">
        <v>182</v>
      </c>
      <c r="E108" t="s">
        <v>87</v>
      </c>
      <c r="F108" s="75">
        <v>259</v>
      </c>
      <c r="G108" s="75">
        <v>286361</v>
      </c>
      <c r="H108">
        <v>364.96</v>
      </c>
      <c r="I108" t="s">
        <v>55</v>
      </c>
      <c r="J108" s="75">
        <v>218787</v>
      </c>
      <c r="K108" t="s">
        <v>96</v>
      </c>
      <c r="L108" t="s">
        <v>97</v>
      </c>
      <c r="M108" s="81">
        <v>46029.974293981482</v>
      </c>
      <c r="N108" s="81">
        <v>46035.397569444453</v>
      </c>
      <c r="O108" t="s">
        <v>58</v>
      </c>
      <c r="P108" t="s">
        <v>59</v>
      </c>
      <c r="Q108" t="s">
        <v>90</v>
      </c>
      <c r="R108" t="s">
        <v>60</v>
      </c>
      <c r="U108" s="75">
        <v>170643</v>
      </c>
      <c r="V108" t="s">
        <v>731</v>
      </c>
      <c r="W108" t="s">
        <v>732</v>
      </c>
      <c r="X108" t="s">
        <v>62</v>
      </c>
      <c r="Y108" t="s">
        <v>63</v>
      </c>
      <c r="AA108" t="s">
        <v>416</v>
      </c>
      <c r="AB108">
        <v>130.033333</v>
      </c>
      <c r="AC108">
        <v>108.816666</v>
      </c>
      <c r="AD108">
        <v>21.216667000000001</v>
      </c>
      <c r="AE108">
        <v>0.23333400000000001</v>
      </c>
      <c r="AF108">
        <v>0</v>
      </c>
      <c r="AG108">
        <v>20.983332999999998</v>
      </c>
      <c r="AH108">
        <v>20.983332999999998</v>
      </c>
      <c r="AI108">
        <v>20.533332999999999</v>
      </c>
      <c r="AJ108">
        <v>0.45</v>
      </c>
      <c r="AK108">
        <v>0</v>
      </c>
      <c r="AL108" s="76">
        <v>44894</v>
      </c>
      <c r="AM108" s="75">
        <v>1135</v>
      </c>
      <c r="AN108" t="s">
        <v>65</v>
      </c>
      <c r="AO108" t="s">
        <v>733</v>
      </c>
      <c r="AP108" t="s">
        <v>67</v>
      </c>
      <c r="AQ108" t="s">
        <v>68</v>
      </c>
      <c r="AR108" t="s">
        <v>69</v>
      </c>
      <c r="AS108" s="78"/>
      <c r="AT108" s="82" t="s">
        <v>696</v>
      </c>
      <c r="AU108" s="78">
        <v>2026</v>
      </c>
      <c r="AV108" s="78">
        <v>1</v>
      </c>
      <c r="AW108" s="78" t="s">
        <v>71</v>
      </c>
      <c r="AX108" s="78">
        <v>0</v>
      </c>
      <c r="AY108" s="78">
        <v>0</v>
      </c>
      <c r="BT108" s="2" t="s">
        <v>71</v>
      </c>
      <c r="BU108" s="2">
        <v>0</v>
      </c>
      <c r="BV108" s="2">
        <v>0</v>
      </c>
    </row>
    <row r="109" spans="1:74" ht="15" customHeight="1" x14ac:dyDescent="0.25">
      <c r="A109" s="75">
        <v>5773213</v>
      </c>
      <c r="B109" t="s">
        <v>734</v>
      </c>
      <c r="C109" t="s">
        <v>735</v>
      </c>
      <c r="D109" t="s">
        <v>74</v>
      </c>
      <c r="E109" t="s">
        <v>54</v>
      </c>
      <c r="F109" s="75">
        <v>18</v>
      </c>
      <c r="G109" s="75">
        <v>345955</v>
      </c>
      <c r="H109">
        <v>425</v>
      </c>
      <c r="I109" t="s">
        <v>141</v>
      </c>
      <c r="J109" s="75">
        <v>226759</v>
      </c>
      <c r="K109" t="s">
        <v>736</v>
      </c>
      <c r="L109" t="s">
        <v>737</v>
      </c>
      <c r="M109" s="81">
        <v>46034.494733796288</v>
      </c>
      <c r="N109" s="81">
        <v>46035.427083333343</v>
      </c>
      <c r="O109" t="s">
        <v>58</v>
      </c>
      <c r="P109" t="s">
        <v>59</v>
      </c>
      <c r="Q109" t="s">
        <v>130</v>
      </c>
      <c r="R109" t="s">
        <v>60</v>
      </c>
      <c r="U109" s="75">
        <v>171061</v>
      </c>
      <c r="V109" t="s">
        <v>738</v>
      </c>
      <c r="W109" t="s">
        <v>738</v>
      </c>
      <c r="X109" t="s">
        <v>62</v>
      </c>
      <c r="Y109" t="s">
        <v>63</v>
      </c>
      <c r="AA109" t="s">
        <v>64</v>
      </c>
      <c r="AB109">
        <v>22.316666000000001</v>
      </c>
      <c r="AC109">
        <v>17.683333000000001</v>
      </c>
      <c r="AD109">
        <v>4.6333330000000004</v>
      </c>
      <c r="AE109">
        <v>0.1</v>
      </c>
      <c r="AF109">
        <v>0</v>
      </c>
      <c r="AG109">
        <v>4.5333329999999998</v>
      </c>
      <c r="AH109">
        <v>4.5333329999999998</v>
      </c>
      <c r="AI109">
        <v>4.25</v>
      </c>
      <c r="AJ109">
        <v>0.283333</v>
      </c>
      <c r="AK109">
        <v>0</v>
      </c>
      <c r="AL109" s="76">
        <v>45924.381932870368</v>
      </c>
      <c r="AM109" s="75">
        <v>110</v>
      </c>
      <c r="AN109" t="s">
        <v>65</v>
      </c>
      <c r="AO109" t="s">
        <v>739</v>
      </c>
      <c r="AP109" t="s">
        <v>67</v>
      </c>
      <c r="AQ109" t="s">
        <v>68</v>
      </c>
      <c r="AR109" t="s">
        <v>69</v>
      </c>
      <c r="AS109" s="79"/>
      <c r="AT109" s="82" t="s">
        <v>696</v>
      </c>
      <c r="AU109" s="78">
        <v>2026</v>
      </c>
      <c r="AV109" s="78">
        <v>1</v>
      </c>
      <c r="AW109" s="78" t="s">
        <v>71</v>
      </c>
      <c r="AX109" s="78">
        <v>1</v>
      </c>
      <c r="AY109" s="78">
        <v>0</v>
      </c>
      <c r="BT109" s="3" t="s">
        <v>71</v>
      </c>
      <c r="BU109" s="3">
        <v>1</v>
      </c>
      <c r="BV109" s="3">
        <v>0</v>
      </c>
    </row>
    <row r="110" spans="1:74" ht="15" customHeight="1" x14ac:dyDescent="0.25">
      <c r="A110" s="75">
        <v>5773613</v>
      </c>
      <c r="B110" t="s">
        <v>740</v>
      </c>
      <c r="C110" t="s">
        <v>741</v>
      </c>
      <c r="D110" t="s">
        <v>74</v>
      </c>
      <c r="E110" t="s">
        <v>54</v>
      </c>
      <c r="F110" s="75">
        <v>1</v>
      </c>
      <c r="G110" s="75">
        <v>253913</v>
      </c>
      <c r="H110">
        <v>515</v>
      </c>
      <c r="I110" t="s">
        <v>114</v>
      </c>
      <c r="J110" s="75">
        <v>204321</v>
      </c>
      <c r="K110" t="s">
        <v>376</v>
      </c>
      <c r="L110" t="s">
        <v>377</v>
      </c>
      <c r="M110" s="81">
        <v>46034.644814814812</v>
      </c>
      <c r="N110" s="81">
        <v>46035.432858796303</v>
      </c>
      <c r="O110" t="s">
        <v>58</v>
      </c>
      <c r="P110" t="s">
        <v>59</v>
      </c>
      <c r="Q110" t="s">
        <v>130</v>
      </c>
      <c r="R110" t="s">
        <v>60</v>
      </c>
      <c r="U110" s="75">
        <v>171393</v>
      </c>
      <c r="V110" t="s">
        <v>742</v>
      </c>
      <c r="W110" t="s">
        <v>743</v>
      </c>
      <c r="X110" t="s">
        <v>62</v>
      </c>
      <c r="Y110" t="s">
        <v>63</v>
      </c>
      <c r="AA110" t="s">
        <v>81</v>
      </c>
      <c r="AB110">
        <v>18.850000000000001</v>
      </c>
      <c r="AC110">
        <v>15.183332999999999</v>
      </c>
      <c r="AD110">
        <v>3.6666669999999999</v>
      </c>
      <c r="AE110">
        <v>0.05</v>
      </c>
      <c r="AF110">
        <v>0</v>
      </c>
      <c r="AG110">
        <v>3.6166670000000001</v>
      </c>
      <c r="AH110">
        <v>3.6166670000000001</v>
      </c>
      <c r="AI110">
        <v>3.2833329999999998</v>
      </c>
      <c r="AJ110">
        <v>0.33333400000000002</v>
      </c>
      <c r="AK110">
        <v>0</v>
      </c>
      <c r="AL110" s="76">
        <v>44784</v>
      </c>
      <c r="AM110" s="75">
        <v>1250</v>
      </c>
      <c r="AN110" t="s">
        <v>65</v>
      </c>
      <c r="AO110" t="s">
        <v>744</v>
      </c>
      <c r="AP110" t="s">
        <v>67</v>
      </c>
      <c r="AQ110" t="s">
        <v>68</v>
      </c>
      <c r="AR110" t="s">
        <v>69</v>
      </c>
      <c r="AS110" s="78"/>
      <c r="AT110" s="82" t="s">
        <v>696</v>
      </c>
      <c r="AU110" s="78">
        <v>2026</v>
      </c>
      <c r="AV110" s="78">
        <v>1</v>
      </c>
      <c r="AW110" s="78" t="s">
        <v>71</v>
      </c>
      <c r="AX110" s="78">
        <v>1</v>
      </c>
      <c r="AY110" s="78">
        <v>0</v>
      </c>
      <c r="BT110" s="2" t="s">
        <v>71</v>
      </c>
      <c r="BU110" s="2">
        <v>1</v>
      </c>
      <c r="BV110" s="2">
        <v>0</v>
      </c>
    </row>
    <row r="111" spans="1:74" ht="15" customHeight="1" x14ac:dyDescent="0.25">
      <c r="A111" s="75">
        <v>5773921</v>
      </c>
      <c r="B111" t="s">
        <v>745</v>
      </c>
      <c r="C111" t="s">
        <v>746</v>
      </c>
      <c r="D111" t="s">
        <v>527</v>
      </c>
      <c r="E111" t="s">
        <v>126</v>
      </c>
      <c r="F111" s="75">
        <v>14</v>
      </c>
      <c r="G111" s="75">
        <v>300419</v>
      </c>
      <c r="H111">
        <v>500</v>
      </c>
      <c r="I111" t="s">
        <v>55</v>
      </c>
      <c r="J111" s="75">
        <v>40815</v>
      </c>
      <c r="K111" t="s">
        <v>747</v>
      </c>
      <c r="L111" t="s">
        <v>748</v>
      </c>
      <c r="M111" s="81">
        <v>46034.747696759259</v>
      </c>
      <c r="N111" s="81">
        <v>46035.546631944453</v>
      </c>
      <c r="O111" t="s">
        <v>58</v>
      </c>
      <c r="P111" t="s">
        <v>59</v>
      </c>
      <c r="Q111" t="s">
        <v>130</v>
      </c>
      <c r="R111" t="s">
        <v>99</v>
      </c>
      <c r="U111" s="75">
        <v>171421</v>
      </c>
      <c r="V111" t="s">
        <v>749</v>
      </c>
      <c r="X111" t="s">
        <v>118</v>
      </c>
      <c r="Y111" t="s">
        <v>750</v>
      </c>
      <c r="AA111" t="s">
        <v>81</v>
      </c>
      <c r="AB111">
        <v>19.116665999999999</v>
      </c>
      <c r="AC111">
        <v>16.55</v>
      </c>
      <c r="AD111">
        <v>2.5666660000000001</v>
      </c>
      <c r="AE111">
        <v>0.33333299999999999</v>
      </c>
      <c r="AF111">
        <v>0</v>
      </c>
      <c r="AG111">
        <v>2.233333</v>
      </c>
      <c r="AH111">
        <v>2.233333</v>
      </c>
      <c r="AI111">
        <v>1.1000000000000001</v>
      </c>
      <c r="AJ111">
        <v>1.1333329999999999</v>
      </c>
      <c r="AK111">
        <v>0</v>
      </c>
      <c r="AL111" s="76">
        <v>45400.619490740741</v>
      </c>
      <c r="AM111" s="75">
        <v>634</v>
      </c>
      <c r="AN111" t="s">
        <v>65</v>
      </c>
      <c r="AO111" t="s">
        <v>751</v>
      </c>
      <c r="AP111" t="s">
        <v>67</v>
      </c>
      <c r="AQ111" t="s">
        <v>121</v>
      </c>
      <c r="AR111" t="s">
        <v>69</v>
      </c>
      <c r="AS111" s="79"/>
      <c r="AT111" s="82" t="s">
        <v>696</v>
      </c>
      <c r="AU111" s="78">
        <v>2026</v>
      </c>
      <c r="AV111" s="78">
        <v>1</v>
      </c>
      <c r="AW111" s="78" t="s">
        <v>347</v>
      </c>
      <c r="AX111" s="78">
        <v>1</v>
      </c>
      <c r="AY111" s="78">
        <v>0</v>
      </c>
      <c r="BT111" s="3" t="s">
        <v>347</v>
      </c>
      <c r="BU111" s="3">
        <v>1</v>
      </c>
      <c r="BV111" s="3">
        <v>0</v>
      </c>
    </row>
    <row r="112" spans="1:74" ht="15" customHeight="1" x14ac:dyDescent="0.25">
      <c r="A112" s="75">
        <v>5773001</v>
      </c>
      <c r="B112" t="s">
        <v>752</v>
      </c>
      <c r="C112" t="s">
        <v>753</v>
      </c>
      <c r="D112" t="s">
        <v>527</v>
      </c>
      <c r="E112" t="s">
        <v>87</v>
      </c>
      <c r="F112" s="75">
        <v>249</v>
      </c>
      <c r="G112" s="75">
        <v>286339</v>
      </c>
      <c r="H112">
        <v>364.96</v>
      </c>
      <c r="I112" t="s">
        <v>55</v>
      </c>
      <c r="J112" s="75">
        <v>218787</v>
      </c>
      <c r="K112" t="s">
        <v>96</v>
      </c>
      <c r="L112" t="s">
        <v>97</v>
      </c>
      <c r="M112" s="81">
        <v>46034.488726851851</v>
      </c>
      <c r="N112" s="81">
        <v>46035.557326388887</v>
      </c>
      <c r="O112" t="s">
        <v>58</v>
      </c>
      <c r="P112" t="s">
        <v>59</v>
      </c>
      <c r="Q112" t="s">
        <v>90</v>
      </c>
      <c r="R112" t="s">
        <v>131</v>
      </c>
      <c r="U112" s="75">
        <v>171387</v>
      </c>
      <c r="V112" t="s">
        <v>754</v>
      </c>
      <c r="W112" t="s">
        <v>755</v>
      </c>
      <c r="X112" t="s">
        <v>62</v>
      </c>
      <c r="Y112" t="s">
        <v>63</v>
      </c>
      <c r="AA112" t="s">
        <v>101</v>
      </c>
      <c r="AB112">
        <v>25.583331999999999</v>
      </c>
      <c r="AC112">
        <v>16.283332999999999</v>
      </c>
      <c r="AD112">
        <v>9.2999989999999997</v>
      </c>
      <c r="AE112">
        <v>0.63333300000000003</v>
      </c>
      <c r="AF112">
        <v>0</v>
      </c>
      <c r="AG112">
        <v>8.6666659999999993</v>
      </c>
      <c r="AH112">
        <v>8.6666659999999993</v>
      </c>
      <c r="AI112">
        <v>8.1666659999999993</v>
      </c>
      <c r="AJ112">
        <v>0.5</v>
      </c>
      <c r="AK112">
        <v>0</v>
      </c>
      <c r="AL112" s="76">
        <v>44882</v>
      </c>
      <c r="AM112" s="75">
        <v>1152</v>
      </c>
      <c r="AN112" t="s">
        <v>65</v>
      </c>
      <c r="AO112" t="s">
        <v>756</v>
      </c>
      <c r="AP112" t="s">
        <v>67</v>
      </c>
      <c r="AQ112" t="s">
        <v>68</v>
      </c>
      <c r="AR112" t="s">
        <v>69</v>
      </c>
      <c r="AS112" s="78"/>
      <c r="AT112" s="82" t="s">
        <v>696</v>
      </c>
      <c r="AU112" s="78">
        <v>2026</v>
      </c>
      <c r="AV112" s="78">
        <v>1</v>
      </c>
      <c r="AW112" s="78" t="s">
        <v>71</v>
      </c>
      <c r="AX112" s="78">
        <v>0</v>
      </c>
      <c r="AY112" s="78">
        <v>0</v>
      </c>
      <c r="BT112" s="2" t="s">
        <v>71</v>
      </c>
      <c r="BU112" s="2">
        <v>0</v>
      </c>
      <c r="BV112" s="2">
        <v>0</v>
      </c>
    </row>
    <row r="113" spans="1:74" ht="15" customHeight="1" x14ac:dyDescent="0.25">
      <c r="A113" s="75">
        <v>5774379</v>
      </c>
      <c r="B113" t="s">
        <v>757</v>
      </c>
      <c r="C113" t="s">
        <v>758</v>
      </c>
      <c r="D113" t="s">
        <v>53</v>
      </c>
      <c r="E113" t="s">
        <v>54</v>
      </c>
      <c r="F113" s="75">
        <v>93</v>
      </c>
      <c r="G113" s="75">
        <v>240507</v>
      </c>
      <c r="H113">
        <v>188.59</v>
      </c>
      <c r="I113" t="s">
        <v>195</v>
      </c>
      <c r="J113" s="75">
        <v>1819</v>
      </c>
      <c r="K113" t="s">
        <v>759</v>
      </c>
      <c r="L113" t="s">
        <v>760</v>
      </c>
      <c r="M113" s="81">
        <v>46035.375590277778</v>
      </c>
      <c r="N113" s="81">
        <v>46035.56931712963</v>
      </c>
      <c r="O113" t="s">
        <v>58</v>
      </c>
      <c r="P113" t="s">
        <v>59</v>
      </c>
      <c r="Q113" t="s">
        <v>130</v>
      </c>
      <c r="R113" t="s">
        <v>60</v>
      </c>
      <c r="U113" s="75">
        <v>171623</v>
      </c>
      <c r="V113" t="s">
        <v>761</v>
      </c>
      <c r="W113" t="s">
        <v>761</v>
      </c>
      <c r="X113" t="s">
        <v>62</v>
      </c>
      <c r="Y113" t="s">
        <v>63</v>
      </c>
      <c r="AA113" t="s">
        <v>64</v>
      </c>
      <c r="AB113">
        <v>4.5833339999999998</v>
      </c>
      <c r="AC113">
        <v>0.35</v>
      </c>
      <c r="AD113">
        <v>4.2333340000000002</v>
      </c>
      <c r="AE113">
        <v>6.6667000000000004E-2</v>
      </c>
      <c r="AF113">
        <v>0</v>
      </c>
      <c r="AG113">
        <v>4.1666670000000003</v>
      </c>
      <c r="AH113">
        <v>4.1666670000000003</v>
      </c>
      <c r="AI113">
        <v>4</v>
      </c>
      <c r="AJ113">
        <v>0.16666700000000001</v>
      </c>
      <c r="AK113">
        <v>0</v>
      </c>
      <c r="AL113" s="76">
        <v>44169</v>
      </c>
      <c r="AM113" s="75">
        <v>1866</v>
      </c>
      <c r="AN113" t="s">
        <v>65</v>
      </c>
      <c r="AO113" t="s">
        <v>762</v>
      </c>
      <c r="AP113" t="s">
        <v>67</v>
      </c>
      <c r="AQ113" t="s">
        <v>68</v>
      </c>
      <c r="AR113" t="s">
        <v>69</v>
      </c>
      <c r="AS113" s="79"/>
      <c r="AT113" s="82" t="s">
        <v>696</v>
      </c>
      <c r="AU113" s="78">
        <v>2026</v>
      </c>
      <c r="AV113" s="78">
        <v>1</v>
      </c>
      <c r="AW113" s="78" t="s">
        <v>71</v>
      </c>
      <c r="AX113" s="78">
        <v>1</v>
      </c>
      <c r="AY113" s="78">
        <v>0</v>
      </c>
      <c r="BT113" s="3" t="s">
        <v>71</v>
      </c>
      <c r="BU113" s="3">
        <v>1</v>
      </c>
      <c r="BV113" s="3">
        <v>0</v>
      </c>
    </row>
    <row r="114" spans="1:74" ht="15" customHeight="1" x14ac:dyDescent="0.25">
      <c r="A114" s="75">
        <v>5772785</v>
      </c>
      <c r="B114" t="s">
        <v>763</v>
      </c>
      <c r="C114" t="s">
        <v>764</v>
      </c>
      <c r="D114" t="s">
        <v>182</v>
      </c>
      <c r="E114" t="s">
        <v>87</v>
      </c>
      <c r="F114" s="75">
        <v>340</v>
      </c>
      <c r="G114" s="75">
        <v>286689</v>
      </c>
      <c r="H114">
        <v>364.96</v>
      </c>
      <c r="I114" t="s">
        <v>55</v>
      </c>
      <c r="J114" s="75">
        <v>218787</v>
      </c>
      <c r="K114" t="s">
        <v>96</v>
      </c>
      <c r="L114" t="s">
        <v>97</v>
      </c>
      <c r="M114" s="81">
        <v>46034.475474537037</v>
      </c>
      <c r="N114" s="81">
        <v>46035.602534722217</v>
      </c>
      <c r="O114" t="s">
        <v>58</v>
      </c>
      <c r="P114" t="s">
        <v>59</v>
      </c>
      <c r="Q114" t="s">
        <v>90</v>
      </c>
      <c r="R114" t="s">
        <v>131</v>
      </c>
      <c r="U114" s="75">
        <v>171381</v>
      </c>
      <c r="V114" t="s">
        <v>765</v>
      </c>
      <c r="W114" t="s">
        <v>765</v>
      </c>
      <c r="X114" t="s">
        <v>62</v>
      </c>
      <c r="Y114" t="s">
        <v>63</v>
      </c>
      <c r="AA114" t="s">
        <v>416</v>
      </c>
      <c r="AB114">
        <v>26.966666</v>
      </c>
      <c r="AC114">
        <v>13.233333</v>
      </c>
      <c r="AD114">
        <v>13.733333</v>
      </c>
      <c r="AE114">
        <v>0.05</v>
      </c>
      <c r="AF114">
        <v>0</v>
      </c>
      <c r="AG114">
        <v>13.683332999999999</v>
      </c>
      <c r="AH114">
        <v>13.683332999999999</v>
      </c>
      <c r="AI114">
        <v>13.116667</v>
      </c>
      <c r="AJ114">
        <v>0.566666</v>
      </c>
      <c r="AK114">
        <v>0</v>
      </c>
      <c r="AL114" s="76">
        <v>44914</v>
      </c>
      <c r="AM114" s="75">
        <v>1120</v>
      </c>
      <c r="AN114" t="s">
        <v>65</v>
      </c>
      <c r="AO114" t="s">
        <v>766</v>
      </c>
      <c r="AP114" t="s">
        <v>67</v>
      </c>
      <c r="AQ114" t="s">
        <v>68</v>
      </c>
      <c r="AR114" t="s">
        <v>69</v>
      </c>
      <c r="AS114" s="78"/>
      <c r="AT114" s="82" t="s">
        <v>696</v>
      </c>
      <c r="AU114" s="78">
        <v>2026</v>
      </c>
      <c r="AV114" s="78">
        <v>1</v>
      </c>
      <c r="AW114" s="78" t="s">
        <v>71</v>
      </c>
      <c r="AX114" s="78">
        <v>0</v>
      </c>
      <c r="AY114" s="78">
        <v>0</v>
      </c>
      <c r="BT114" s="2" t="s">
        <v>71</v>
      </c>
      <c r="BU114" s="2">
        <v>0</v>
      </c>
      <c r="BV114" s="2">
        <v>0</v>
      </c>
    </row>
    <row r="115" spans="1:74" ht="15" customHeight="1" x14ac:dyDescent="0.25">
      <c r="A115" s="75">
        <v>5772853</v>
      </c>
      <c r="B115" t="s">
        <v>767</v>
      </c>
      <c r="C115" t="s">
        <v>768</v>
      </c>
      <c r="D115" t="s">
        <v>257</v>
      </c>
      <c r="E115" t="s">
        <v>54</v>
      </c>
      <c r="F115" s="75">
        <v>765</v>
      </c>
      <c r="G115" s="75">
        <v>293285</v>
      </c>
      <c r="H115">
        <v>471.74</v>
      </c>
      <c r="I115" t="s">
        <v>55</v>
      </c>
      <c r="J115" s="75">
        <v>218497</v>
      </c>
      <c r="K115" t="s">
        <v>56</v>
      </c>
      <c r="L115" t="s">
        <v>57</v>
      </c>
      <c r="M115" s="81">
        <v>46034.481134259258</v>
      </c>
      <c r="N115" s="81">
        <v>46035.618888888886</v>
      </c>
      <c r="O115" t="s">
        <v>58</v>
      </c>
      <c r="P115" t="s">
        <v>59</v>
      </c>
      <c r="Q115" t="s">
        <v>130</v>
      </c>
      <c r="R115" t="s">
        <v>131</v>
      </c>
      <c r="U115" s="75">
        <v>171383</v>
      </c>
      <c r="V115" t="s">
        <v>769</v>
      </c>
      <c r="W115" t="s">
        <v>770</v>
      </c>
      <c r="X115" t="s">
        <v>62</v>
      </c>
      <c r="Y115" t="s">
        <v>63</v>
      </c>
      <c r="AA115" t="s">
        <v>101</v>
      </c>
      <c r="AB115">
        <v>27.216667000000001</v>
      </c>
      <c r="AC115">
        <v>18.716667000000001</v>
      </c>
      <c r="AD115">
        <v>8.5</v>
      </c>
      <c r="AE115">
        <v>0.13333300000000001</v>
      </c>
      <c r="AF115">
        <v>0</v>
      </c>
      <c r="AG115">
        <v>8.3666669999999996</v>
      </c>
      <c r="AH115">
        <v>8.3666669999999996</v>
      </c>
      <c r="AI115">
        <v>7.983333</v>
      </c>
      <c r="AJ115">
        <v>0.38333400000000001</v>
      </c>
      <c r="AK115">
        <v>0</v>
      </c>
      <c r="AL115" s="76">
        <v>45163.74082175926</v>
      </c>
      <c r="AM115" s="75">
        <v>870</v>
      </c>
      <c r="AN115" t="s">
        <v>65</v>
      </c>
      <c r="AO115" t="s">
        <v>771</v>
      </c>
      <c r="AP115" t="s">
        <v>67</v>
      </c>
      <c r="AQ115" t="s">
        <v>68</v>
      </c>
      <c r="AR115" t="s">
        <v>69</v>
      </c>
      <c r="AS115" s="79"/>
      <c r="AT115" s="82" t="s">
        <v>696</v>
      </c>
      <c r="AU115" s="78">
        <v>2026</v>
      </c>
      <c r="AV115" s="78">
        <v>1</v>
      </c>
      <c r="AW115" s="78" t="s">
        <v>71</v>
      </c>
      <c r="AX115" s="78">
        <v>0</v>
      </c>
      <c r="AY115" s="78">
        <v>0</v>
      </c>
      <c r="BT115" s="3" t="s">
        <v>71</v>
      </c>
      <c r="BU115" s="3">
        <v>0</v>
      </c>
      <c r="BV115" s="3">
        <v>0</v>
      </c>
    </row>
    <row r="116" spans="1:74" ht="15" customHeight="1" x14ac:dyDescent="0.25">
      <c r="A116" s="75">
        <v>5769477</v>
      </c>
      <c r="B116" t="s">
        <v>772</v>
      </c>
      <c r="C116" t="s">
        <v>773</v>
      </c>
      <c r="D116" t="s">
        <v>265</v>
      </c>
      <c r="E116" t="s">
        <v>87</v>
      </c>
      <c r="F116" s="75">
        <v>193</v>
      </c>
      <c r="G116" s="75">
        <v>285935</v>
      </c>
      <c r="H116">
        <v>350</v>
      </c>
      <c r="I116" t="s">
        <v>55</v>
      </c>
      <c r="J116" s="75">
        <v>218787</v>
      </c>
      <c r="K116" t="s">
        <v>96</v>
      </c>
      <c r="L116" t="s">
        <v>97</v>
      </c>
      <c r="M116" s="81">
        <v>46031.722673611112</v>
      </c>
      <c r="N116" s="81">
        <v>46035.659629629627</v>
      </c>
      <c r="O116" t="s">
        <v>58</v>
      </c>
      <c r="P116" t="s">
        <v>59</v>
      </c>
      <c r="Q116" t="s">
        <v>90</v>
      </c>
      <c r="R116" t="s">
        <v>60</v>
      </c>
      <c r="U116" s="75">
        <v>170649</v>
      </c>
      <c r="V116" t="s">
        <v>774</v>
      </c>
      <c r="W116" t="s">
        <v>775</v>
      </c>
      <c r="X116" t="s">
        <v>62</v>
      </c>
      <c r="Y116" t="s">
        <v>63</v>
      </c>
      <c r="AA116" t="s">
        <v>101</v>
      </c>
      <c r="AB116">
        <v>94.433334000000002</v>
      </c>
      <c r="AC116">
        <v>84.35</v>
      </c>
      <c r="AD116">
        <v>10.083334000000001</v>
      </c>
      <c r="AE116">
        <v>0.41666700000000001</v>
      </c>
      <c r="AF116">
        <v>0</v>
      </c>
      <c r="AG116">
        <v>9.6666670000000003</v>
      </c>
      <c r="AH116">
        <v>9.6666670000000003</v>
      </c>
      <c r="AI116">
        <v>9.35</v>
      </c>
      <c r="AJ116">
        <v>0.31666699999999998</v>
      </c>
      <c r="AK116">
        <v>0</v>
      </c>
      <c r="AL116" s="76">
        <v>44870.397280092591</v>
      </c>
      <c r="AM116" s="75">
        <v>1161</v>
      </c>
      <c r="AN116" t="s">
        <v>65</v>
      </c>
      <c r="AO116" t="s">
        <v>776</v>
      </c>
      <c r="AP116" t="s">
        <v>67</v>
      </c>
      <c r="AQ116" t="s">
        <v>68</v>
      </c>
      <c r="AR116" t="s">
        <v>69</v>
      </c>
      <c r="AS116" s="78"/>
      <c r="AT116" s="82" t="s">
        <v>696</v>
      </c>
      <c r="AU116" s="78">
        <v>2026</v>
      </c>
      <c r="AV116" s="78">
        <v>1</v>
      </c>
      <c r="AW116" s="78" t="s">
        <v>71</v>
      </c>
      <c r="AX116" s="78">
        <v>0</v>
      </c>
      <c r="AY116" s="78">
        <v>0</v>
      </c>
      <c r="BT116" s="2" t="s">
        <v>71</v>
      </c>
      <c r="BU116" s="2">
        <v>0</v>
      </c>
      <c r="BV116" s="2">
        <v>0</v>
      </c>
    </row>
    <row r="117" spans="1:74" ht="15" customHeight="1" x14ac:dyDescent="0.25">
      <c r="A117" s="75">
        <v>5773227</v>
      </c>
      <c r="B117" t="s">
        <v>777</v>
      </c>
      <c r="C117" t="s">
        <v>778</v>
      </c>
      <c r="D117" t="s">
        <v>257</v>
      </c>
      <c r="E117" t="s">
        <v>54</v>
      </c>
      <c r="F117" s="75">
        <v>4</v>
      </c>
      <c r="G117" s="75">
        <v>342131</v>
      </c>
      <c r="H117">
        <v>600</v>
      </c>
      <c r="I117" t="s">
        <v>203</v>
      </c>
      <c r="J117" s="75">
        <v>227709</v>
      </c>
      <c r="K117" t="s">
        <v>779</v>
      </c>
      <c r="L117" t="s">
        <v>780</v>
      </c>
      <c r="M117" s="81">
        <v>46034.497256944444</v>
      </c>
      <c r="N117" s="81">
        <v>46035.725717592592</v>
      </c>
      <c r="O117" t="s">
        <v>58</v>
      </c>
      <c r="P117" t="s">
        <v>59</v>
      </c>
      <c r="Q117" t="s">
        <v>130</v>
      </c>
      <c r="R117" t="s">
        <v>60</v>
      </c>
      <c r="U117" s="75">
        <v>171385</v>
      </c>
      <c r="V117" t="s">
        <v>781</v>
      </c>
      <c r="W117" t="s">
        <v>782</v>
      </c>
      <c r="X117" t="s">
        <v>62</v>
      </c>
      <c r="Y117" t="s">
        <v>63</v>
      </c>
      <c r="AA117" t="s">
        <v>101</v>
      </c>
      <c r="AB117">
        <v>29.4</v>
      </c>
      <c r="AC117">
        <v>17.7</v>
      </c>
      <c r="AD117">
        <v>11.7</v>
      </c>
      <c r="AE117">
        <v>3.3333000000000002E-2</v>
      </c>
      <c r="AF117">
        <v>0</v>
      </c>
      <c r="AG117">
        <v>11.666667</v>
      </c>
      <c r="AH117">
        <v>11.666667</v>
      </c>
      <c r="AI117">
        <v>11.166667</v>
      </c>
      <c r="AJ117">
        <v>0.5</v>
      </c>
      <c r="AK117">
        <v>0</v>
      </c>
      <c r="AL117" s="76">
        <v>45870.356620370367</v>
      </c>
      <c r="AM117" s="75">
        <v>164</v>
      </c>
      <c r="AN117" t="s">
        <v>65</v>
      </c>
      <c r="AO117" t="s">
        <v>783</v>
      </c>
      <c r="AP117" t="s">
        <v>67</v>
      </c>
      <c r="AQ117" t="s">
        <v>68</v>
      </c>
      <c r="AR117" t="s">
        <v>69</v>
      </c>
      <c r="AS117" s="79"/>
      <c r="AT117" s="82" t="s">
        <v>696</v>
      </c>
      <c r="AU117" s="78">
        <v>2026</v>
      </c>
      <c r="AV117" s="78">
        <v>1</v>
      </c>
      <c r="AW117" s="78" t="s">
        <v>71</v>
      </c>
      <c r="AX117" s="78">
        <v>0</v>
      </c>
      <c r="AY117" s="78">
        <v>0</v>
      </c>
      <c r="BT117" s="3" t="s">
        <v>71</v>
      </c>
      <c r="BU117" s="3">
        <v>0</v>
      </c>
      <c r="BV117" s="3">
        <v>0</v>
      </c>
    </row>
    <row r="118" spans="1:74" ht="15" customHeight="1" x14ac:dyDescent="0.25">
      <c r="A118" s="75">
        <v>5768937</v>
      </c>
      <c r="B118" t="s">
        <v>784</v>
      </c>
      <c r="C118" t="s">
        <v>785</v>
      </c>
      <c r="D118" t="s">
        <v>53</v>
      </c>
      <c r="E118" t="s">
        <v>54</v>
      </c>
      <c r="F118" s="75">
        <v>1</v>
      </c>
      <c r="G118" s="75">
        <v>294385</v>
      </c>
      <c r="H118">
        <v>377.91</v>
      </c>
      <c r="I118" t="s">
        <v>55</v>
      </c>
      <c r="J118" s="75">
        <v>218291</v>
      </c>
      <c r="K118" t="s">
        <v>786</v>
      </c>
      <c r="L118" t="s">
        <v>787</v>
      </c>
      <c r="M118" s="81">
        <v>46031.493715277778</v>
      </c>
      <c r="N118" s="81">
        <v>46035.726018518522</v>
      </c>
      <c r="O118" t="s">
        <v>58</v>
      </c>
      <c r="P118" t="s">
        <v>59</v>
      </c>
      <c r="Q118" t="s">
        <v>98</v>
      </c>
      <c r="R118" t="s">
        <v>99</v>
      </c>
      <c r="U118" s="75">
        <v>171803</v>
      </c>
      <c r="V118" t="s">
        <v>788</v>
      </c>
      <c r="W118" t="s">
        <v>789</v>
      </c>
      <c r="X118" t="s">
        <v>62</v>
      </c>
      <c r="Y118" t="s">
        <v>63</v>
      </c>
      <c r="AA118" t="s">
        <v>416</v>
      </c>
      <c r="AB118">
        <v>101.5</v>
      </c>
      <c r="AC118">
        <v>88.266666999999998</v>
      </c>
      <c r="AD118">
        <v>13.233333</v>
      </c>
      <c r="AE118">
        <v>0.1</v>
      </c>
      <c r="AF118">
        <v>0</v>
      </c>
      <c r="AG118">
        <v>13.133333</v>
      </c>
      <c r="AH118">
        <v>13.133333</v>
      </c>
      <c r="AI118">
        <v>13.133333</v>
      </c>
      <c r="AJ118">
        <v>0</v>
      </c>
      <c r="AK118">
        <v>0</v>
      </c>
      <c r="AL118" s="76">
        <v>45195</v>
      </c>
      <c r="AM118" s="75">
        <v>836</v>
      </c>
      <c r="AN118" t="s">
        <v>65</v>
      </c>
      <c r="AO118" t="s">
        <v>790</v>
      </c>
      <c r="AP118" t="s">
        <v>67</v>
      </c>
      <c r="AQ118" t="s">
        <v>68</v>
      </c>
      <c r="AR118" t="s">
        <v>69</v>
      </c>
      <c r="AS118" s="78"/>
      <c r="AT118" s="82" t="s">
        <v>696</v>
      </c>
      <c r="AU118" s="78">
        <v>2026</v>
      </c>
      <c r="AV118" s="78">
        <v>1</v>
      </c>
      <c r="AW118" s="78" t="s">
        <v>71</v>
      </c>
      <c r="AX118" s="78">
        <v>0</v>
      </c>
      <c r="AY118" s="78">
        <v>0</v>
      </c>
      <c r="BT118" s="2" t="s">
        <v>71</v>
      </c>
      <c r="BU118" s="2">
        <v>0</v>
      </c>
      <c r="BV118" s="2">
        <v>0</v>
      </c>
    </row>
    <row r="119" spans="1:74" ht="15" customHeight="1" x14ac:dyDescent="0.25">
      <c r="A119" s="75">
        <v>5775363</v>
      </c>
      <c r="B119" t="s">
        <v>791</v>
      </c>
      <c r="C119" t="s">
        <v>792</v>
      </c>
      <c r="D119" t="s">
        <v>527</v>
      </c>
      <c r="E119" t="s">
        <v>54</v>
      </c>
      <c r="F119" s="75">
        <v>33</v>
      </c>
      <c r="G119" s="75">
        <v>291101</v>
      </c>
      <c r="H119">
        <v>600</v>
      </c>
      <c r="I119" t="s">
        <v>114</v>
      </c>
      <c r="J119" s="75">
        <v>3869</v>
      </c>
      <c r="K119" t="s">
        <v>793</v>
      </c>
      <c r="L119" t="s">
        <v>794</v>
      </c>
      <c r="M119" s="81">
        <v>46035.674016203702</v>
      </c>
      <c r="N119" s="81">
        <v>46036.362442129634</v>
      </c>
      <c r="O119" t="s">
        <v>58</v>
      </c>
      <c r="P119" t="s">
        <v>59</v>
      </c>
      <c r="Q119" t="s">
        <v>90</v>
      </c>
      <c r="R119" t="s">
        <v>99</v>
      </c>
      <c r="U119" s="75">
        <v>172023</v>
      </c>
      <c r="V119" t="s">
        <v>795</v>
      </c>
      <c r="X119" t="s">
        <v>79</v>
      </c>
      <c r="Y119" t="s">
        <v>80</v>
      </c>
      <c r="AA119" t="s">
        <v>81</v>
      </c>
      <c r="AB119">
        <v>16.483333999999999</v>
      </c>
      <c r="AC119">
        <v>15.233333999999999</v>
      </c>
      <c r="AD119">
        <v>1.25</v>
      </c>
      <c r="AE119">
        <v>0.76666699999999999</v>
      </c>
      <c r="AF119">
        <v>0</v>
      </c>
      <c r="AG119">
        <v>0.48333300000000001</v>
      </c>
      <c r="AH119">
        <v>0.48333300000000001</v>
      </c>
      <c r="AI119">
        <v>0</v>
      </c>
      <c r="AJ119">
        <v>0.48333300000000001</v>
      </c>
      <c r="AK119">
        <v>0</v>
      </c>
      <c r="AL119" s="76">
        <v>45100</v>
      </c>
      <c r="AM119" s="75">
        <v>935</v>
      </c>
      <c r="AN119" t="s">
        <v>65</v>
      </c>
      <c r="AO119" t="s">
        <v>796</v>
      </c>
      <c r="AP119" t="s">
        <v>67</v>
      </c>
      <c r="AQ119" t="s">
        <v>83</v>
      </c>
      <c r="AR119" t="s">
        <v>69</v>
      </c>
      <c r="AS119" s="79"/>
      <c r="AT119" s="82" t="s">
        <v>696</v>
      </c>
      <c r="AU119" s="78">
        <v>2026</v>
      </c>
      <c r="AV119" s="78">
        <v>1</v>
      </c>
      <c r="AW119" s="78" t="s">
        <v>84</v>
      </c>
      <c r="AX119" s="78">
        <v>1</v>
      </c>
      <c r="AY119" s="78">
        <v>0</v>
      </c>
      <c r="BT119" s="3" t="s">
        <v>84</v>
      </c>
      <c r="BU119" s="3">
        <v>1</v>
      </c>
      <c r="BV119" s="3">
        <v>0</v>
      </c>
    </row>
    <row r="120" spans="1:74" ht="15" customHeight="1" x14ac:dyDescent="0.25">
      <c r="A120" s="75">
        <v>5775581</v>
      </c>
      <c r="B120" t="s">
        <v>797</v>
      </c>
      <c r="C120" t="s">
        <v>798</v>
      </c>
      <c r="D120" t="s">
        <v>150</v>
      </c>
      <c r="E120" t="s">
        <v>87</v>
      </c>
      <c r="F120" s="75">
        <v>69</v>
      </c>
      <c r="G120" s="75">
        <v>279965</v>
      </c>
      <c r="H120">
        <v>512.08000000000004</v>
      </c>
      <c r="I120" t="s">
        <v>266</v>
      </c>
      <c r="J120" s="75">
        <v>49495</v>
      </c>
      <c r="K120" t="s">
        <v>460</v>
      </c>
      <c r="L120" t="s">
        <v>461</v>
      </c>
      <c r="M120" s="81">
        <v>46035.778541666667</v>
      </c>
      <c r="N120" s="81">
        <v>46036.416192129633</v>
      </c>
      <c r="O120" t="s">
        <v>58</v>
      </c>
      <c r="P120" t="s">
        <v>59</v>
      </c>
      <c r="Q120" t="s">
        <v>90</v>
      </c>
      <c r="R120" t="s">
        <v>99</v>
      </c>
      <c r="U120" s="75"/>
      <c r="X120" t="s">
        <v>62</v>
      </c>
      <c r="Y120" t="s">
        <v>63</v>
      </c>
      <c r="AA120" t="s">
        <v>81</v>
      </c>
      <c r="AB120">
        <v>15.283333000000001</v>
      </c>
      <c r="AC120">
        <v>13.733333</v>
      </c>
      <c r="AD120">
        <v>1.55</v>
      </c>
      <c r="AE120">
        <v>1.55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76">
        <v>44753</v>
      </c>
      <c r="AM120" s="75">
        <v>1282</v>
      </c>
      <c r="AN120" t="s">
        <v>65</v>
      </c>
      <c r="AO120" t="s">
        <v>799</v>
      </c>
      <c r="AP120" t="s">
        <v>67</v>
      </c>
      <c r="AQ120" t="s">
        <v>68</v>
      </c>
      <c r="AR120" t="s">
        <v>69</v>
      </c>
      <c r="AS120" s="78"/>
      <c r="AT120" s="82" t="s">
        <v>696</v>
      </c>
      <c r="AU120" s="78">
        <v>2026</v>
      </c>
      <c r="AV120" s="78">
        <v>1</v>
      </c>
      <c r="AW120" s="78" t="s">
        <v>71</v>
      </c>
      <c r="AX120" s="78">
        <v>1</v>
      </c>
      <c r="AY120" s="78">
        <v>0</v>
      </c>
      <c r="BT120" s="2" t="s">
        <v>71</v>
      </c>
      <c r="BU120" s="2">
        <v>1</v>
      </c>
      <c r="BV120" s="2">
        <v>0</v>
      </c>
    </row>
    <row r="121" spans="1:74" ht="15" customHeight="1" x14ac:dyDescent="0.25">
      <c r="A121" s="75">
        <v>5774551</v>
      </c>
      <c r="B121" t="s">
        <v>800</v>
      </c>
      <c r="C121" t="s">
        <v>801</v>
      </c>
      <c r="D121" t="s">
        <v>53</v>
      </c>
      <c r="E121" t="s">
        <v>126</v>
      </c>
      <c r="F121" s="75">
        <v>7</v>
      </c>
      <c r="G121" s="75">
        <v>343535</v>
      </c>
      <c r="H121">
        <v>190</v>
      </c>
      <c r="I121" t="s">
        <v>141</v>
      </c>
      <c r="J121" s="75">
        <v>218051</v>
      </c>
      <c r="K121" t="s">
        <v>802</v>
      </c>
      <c r="L121" t="s">
        <v>803</v>
      </c>
      <c r="M121" s="81">
        <v>46035.419259259259</v>
      </c>
      <c r="N121" s="81">
        <v>46036.519930555558</v>
      </c>
      <c r="O121" t="s">
        <v>475</v>
      </c>
      <c r="P121" t="s">
        <v>59</v>
      </c>
      <c r="Q121" t="s">
        <v>130</v>
      </c>
      <c r="R121" t="s">
        <v>99</v>
      </c>
      <c r="U121" s="75">
        <v>172107</v>
      </c>
      <c r="V121" t="s">
        <v>804</v>
      </c>
      <c r="W121" t="s">
        <v>805</v>
      </c>
      <c r="X121" t="s">
        <v>62</v>
      </c>
      <c r="Y121" t="s">
        <v>63</v>
      </c>
      <c r="AA121" t="s">
        <v>64</v>
      </c>
      <c r="AB121">
        <v>26.316666999999999</v>
      </c>
      <c r="AC121">
        <v>19.016667000000002</v>
      </c>
      <c r="AD121">
        <v>7.3</v>
      </c>
      <c r="AE121">
        <v>0.15</v>
      </c>
      <c r="AF121">
        <v>0</v>
      </c>
      <c r="AG121">
        <v>7.15</v>
      </c>
      <c r="AH121">
        <v>7.15</v>
      </c>
      <c r="AI121">
        <v>7.15</v>
      </c>
      <c r="AJ121">
        <v>0</v>
      </c>
      <c r="AK121">
        <v>0</v>
      </c>
      <c r="AL121" s="76">
        <v>45882</v>
      </c>
      <c r="AM121" s="75">
        <v>153</v>
      </c>
      <c r="AN121" t="s">
        <v>65</v>
      </c>
      <c r="AO121" t="s">
        <v>806</v>
      </c>
      <c r="AP121" t="s">
        <v>67</v>
      </c>
      <c r="AQ121" t="s">
        <v>68</v>
      </c>
      <c r="AR121" t="s">
        <v>69</v>
      </c>
      <c r="AS121" s="79"/>
      <c r="AT121" s="82" t="s">
        <v>696</v>
      </c>
      <c r="AU121" s="78">
        <v>2026</v>
      </c>
      <c r="AV121" s="78">
        <v>1</v>
      </c>
      <c r="AW121" s="78" t="s">
        <v>71</v>
      </c>
      <c r="AX121" s="78">
        <v>1</v>
      </c>
      <c r="AY121" s="78">
        <v>0</v>
      </c>
      <c r="BT121" s="3" t="s">
        <v>71</v>
      </c>
      <c r="BU121" s="3">
        <v>1</v>
      </c>
      <c r="BV121" s="3">
        <v>0</v>
      </c>
    </row>
    <row r="122" spans="1:74" ht="15" customHeight="1" x14ac:dyDescent="0.25">
      <c r="A122" s="75">
        <v>5774975</v>
      </c>
      <c r="B122" t="s">
        <v>807</v>
      </c>
      <c r="C122" t="s">
        <v>808</v>
      </c>
      <c r="D122" t="s">
        <v>809</v>
      </c>
      <c r="E122" t="s">
        <v>54</v>
      </c>
      <c r="F122" s="75">
        <v>114</v>
      </c>
      <c r="G122" s="75">
        <v>297253</v>
      </c>
      <c r="H122">
        <v>300</v>
      </c>
      <c r="I122" t="s">
        <v>55</v>
      </c>
      <c r="J122" s="75">
        <v>13955</v>
      </c>
      <c r="K122" t="s">
        <v>75</v>
      </c>
      <c r="L122" t="s">
        <v>76</v>
      </c>
      <c r="M122" s="81">
        <v>46035.551481481481</v>
      </c>
      <c r="N122" s="81">
        <v>46036.562025462961</v>
      </c>
      <c r="P122" t="s">
        <v>59</v>
      </c>
      <c r="Q122" t="s">
        <v>77</v>
      </c>
      <c r="R122" t="s">
        <v>60</v>
      </c>
      <c r="U122" s="75">
        <v>171855</v>
      </c>
      <c r="V122" t="s">
        <v>810</v>
      </c>
      <c r="W122" t="s">
        <v>810</v>
      </c>
      <c r="X122" t="s">
        <v>62</v>
      </c>
      <c r="Y122" t="s">
        <v>63</v>
      </c>
      <c r="AA122" t="s">
        <v>81</v>
      </c>
      <c r="AB122">
        <v>24.2</v>
      </c>
      <c r="AC122">
        <v>20.6</v>
      </c>
      <c r="AD122">
        <v>3.6</v>
      </c>
      <c r="AE122">
        <v>0.16666700000000001</v>
      </c>
      <c r="AF122">
        <v>0</v>
      </c>
      <c r="AG122">
        <v>3.4333330000000002</v>
      </c>
      <c r="AH122">
        <v>3.4333330000000002</v>
      </c>
      <c r="AI122">
        <v>3.15</v>
      </c>
      <c r="AJ122">
        <v>0.283333</v>
      </c>
      <c r="AK122">
        <v>0</v>
      </c>
      <c r="AL122" s="76">
        <v>45342</v>
      </c>
      <c r="AM122" s="75">
        <v>693</v>
      </c>
      <c r="AN122" t="s">
        <v>65</v>
      </c>
      <c r="AO122" t="s">
        <v>432</v>
      </c>
      <c r="AP122" t="s">
        <v>67</v>
      </c>
      <c r="AQ122" t="s">
        <v>68</v>
      </c>
      <c r="AR122" t="s">
        <v>69</v>
      </c>
      <c r="AS122" s="78"/>
      <c r="AT122" s="82" t="s">
        <v>696</v>
      </c>
      <c r="AU122" s="78">
        <v>2026</v>
      </c>
      <c r="AV122" s="78">
        <v>1</v>
      </c>
      <c r="AW122" s="78" t="s">
        <v>71</v>
      </c>
      <c r="AX122" s="78">
        <v>1</v>
      </c>
      <c r="AY122" s="78">
        <v>0</v>
      </c>
      <c r="BT122" s="2" t="s">
        <v>71</v>
      </c>
      <c r="BU122" s="2">
        <v>1</v>
      </c>
      <c r="BV122" s="2">
        <v>0</v>
      </c>
    </row>
    <row r="123" spans="1:74" ht="15" customHeight="1" x14ac:dyDescent="0.25">
      <c r="A123" s="75">
        <v>5766105</v>
      </c>
      <c r="B123" t="s">
        <v>811</v>
      </c>
      <c r="C123" t="s">
        <v>812</v>
      </c>
      <c r="D123" t="s">
        <v>809</v>
      </c>
      <c r="E123" t="s">
        <v>87</v>
      </c>
      <c r="F123" s="75">
        <v>607</v>
      </c>
      <c r="G123" s="75">
        <v>341061</v>
      </c>
      <c r="H123">
        <v>364.96</v>
      </c>
      <c r="I123" t="s">
        <v>175</v>
      </c>
      <c r="J123" s="75">
        <v>218787</v>
      </c>
      <c r="K123" t="s">
        <v>96</v>
      </c>
      <c r="L123" t="s">
        <v>97</v>
      </c>
      <c r="M123" s="81">
        <v>46030.773506944453</v>
      </c>
      <c r="N123" s="81">
        <v>46036.636284722219</v>
      </c>
      <c r="O123" t="s">
        <v>58</v>
      </c>
      <c r="P123" t="s">
        <v>59</v>
      </c>
      <c r="Q123" t="s">
        <v>90</v>
      </c>
      <c r="R123" t="s">
        <v>131</v>
      </c>
      <c r="U123" s="75">
        <v>170635</v>
      </c>
      <c r="V123" t="s">
        <v>813</v>
      </c>
      <c r="W123" t="s">
        <v>814</v>
      </c>
      <c r="X123" t="s">
        <v>62</v>
      </c>
      <c r="Y123" t="s">
        <v>63</v>
      </c>
      <c r="AA123" t="s">
        <v>416</v>
      </c>
      <c r="AB123">
        <v>140.61666700000001</v>
      </c>
      <c r="AC123">
        <v>118.433334</v>
      </c>
      <c r="AD123">
        <v>22.183333000000001</v>
      </c>
      <c r="AE123">
        <v>0.53333299999999995</v>
      </c>
      <c r="AF123">
        <v>0</v>
      </c>
      <c r="AG123">
        <v>21.65</v>
      </c>
      <c r="AH123">
        <v>21.65</v>
      </c>
      <c r="AI123">
        <v>20.966667000000001</v>
      </c>
      <c r="AJ123">
        <v>0.68333299999999997</v>
      </c>
      <c r="AK123">
        <v>0</v>
      </c>
      <c r="AL123" s="76">
        <v>45814</v>
      </c>
      <c r="AM123" s="75">
        <v>216</v>
      </c>
      <c r="AN123" t="s">
        <v>65</v>
      </c>
      <c r="AO123" t="s">
        <v>815</v>
      </c>
      <c r="AP123" t="s">
        <v>67</v>
      </c>
      <c r="AQ123" t="s">
        <v>68</v>
      </c>
      <c r="AR123" t="s">
        <v>69</v>
      </c>
      <c r="AS123" s="79"/>
      <c r="AT123" s="82" t="s">
        <v>696</v>
      </c>
      <c r="AU123" s="78">
        <v>2026</v>
      </c>
      <c r="AV123" s="78">
        <v>1</v>
      </c>
      <c r="AW123" s="78" t="s">
        <v>71</v>
      </c>
      <c r="AX123" s="78">
        <v>0</v>
      </c>
      <c r="AY123" s="78">
        <v>0</v>
      </c>
      <c r="BT123" s="3" t="s">
        <v>71</v>
      </c>
      <c r="BU123" s="3">
        <v>0</v>
      </c>
      <c r="BV123" s="3">
        <v>0</v>
      </c>
    </row>
    <row r="124" spans="1:74" ht="15" customHeight="1" x14ac:dyDescent="0.25">
      <c r="A124" s="75">
        <v>5773655</v>
      </c>
      <c r="B124" t="s">
        <v>816</v>
      </c>
      <c r="C124" t="s">
        <v>817</v>
      </c>
      <c r="D124" t="s">
        <v>809</v>
      </c>
      <c r="E124" t="s">
        <v>87</v>
      </c>
      <c r="F124" s="75">
        <v>527</v>
      </c>
      <c r="G124" s="75">
        <v>333135</v>
      </c>
      <c r="H124">
        <v>710.28</v>
      </c>
      <c r="I124" t="s">
        <v>818</v>
      </c>
      <c r="J124" s="75">
        <v>218791</v>
      </c>
      <c r="K124" t="s">
        <v>312</v>
      </c>
      <c r="L124" t="s">
        <v>313</v>
      </c>
      <c r="M124" s="81">
        <v>46034.654780092591</v>
      </c>
      <c r="N124" s="81">
        <v>46036.656782407408</v>
      </c>
      <c r="O124" t="s">
        <v>58</v>
      </c>
      <c r="P124" t="s">
        <v>59</v>
      </c>
      <c r="Q124" t="s">
        <v>130</v>
      </c>
      <c r="R124" t="s">
        <v>60</v>
      </c>
      <c r="U124" s="75">
        <v>171763</v>
      </c>
      <c r="V124" t="s">
        <v>819</v>
      </c>
      <c r="W124" t="s">
        <v>819</v>
      </c>
      <c r="X124" t="s">
        <v>62</v>
      </c>
      <c r="Y124" t="s">
        <v>63</v>
      </c>
      <c r="AA124" t="s">
        <v>64</v>
      </c>
      <c r="AB124">
        <v>47.983333000000002</v>
      </c>
      <c r="AC124">
        <v>40.883333</v>
      </c>
      <c r="AD124">
        <v>7.1</v>
      </c>
      <c r="AE124">
        <v>1.9166669999999999</v>
      </c>
      <c r="AF124">
        <v>0</v>
      </c>
      <c r="AG124">
        <v>5.1833330000000002</v>
      </c>
      <c r="AH124">
        <v>5.1833330000000002</v>
      </c>
      <c r="AI124">
        <v>5.1333330000000004</v>
      </c>
      <c r="AJ124">
        <v>0.05</v>
      </c>
      <c r="AK124">
        <v>0</v>
      </c>
      <c r="AL124" s="76">
        <v>45790.381724537037</v>
      </c>
      <c r="AM124" s="75">
        <v>244</v>
      </c>
      <c r="AN124" t="s">
        <v>65</v>
      </c>
      <c r="AO124" t="s">
        <v>820</v>
      </c>
      <c r="AP124" t="s">
        <v>67</v>
      </c>
      <c r="AQ124" t="s">
        <v>68</v>
      </c>
      <c r="AR124" t="s">
        <v>69</v>
      </c>
      <c r="AS124" s="78"/>
      <c r="AT124" s="82" t="s">
        <v>696</v>
      </c>
      <c r="AU124" s="78">
        <v>2026</v>
      </c>
      <c r="AV124" s="78">
        <v>1</v>
      </c>
      <c r="AW124" s="78" t="s">
        <v>71</v>
      </c>
      <c r="AX124" s="78">
        <v>1</v>
      </c>
      <c r="AY124" s="78">
        <v>0</v>
      </c>
      <c r="BT124" s="2" t="s">
        <v>71</v>
      </c>
      <c r="BU124" s="2">
        <v>1</v>
      </c>
      <c r="BV124" s="2">
        <v>0</v>
      </c>
    </row>
    <row r="125" spans="1:74" ht="15" customHeight="1" x14ac:dyDescent="0.25">
      <c r="A125" s="75">
        <v>5776281</v>
      </c>
      <c r="B125" t="s">
        <v>821</v>
      </c>
      <c r="C125" t="s">
        <v>822</v>
      </c>
      <c r="D125" t="s">
        <v>257</v>
      </c>
      <c r="E125" t="s">
        <v>105</v>
      </c>
      <c r="F125" s="75">
        <v>608</v>
      </c>
      <c r="G125" s="75">
        <v>342863</v>
      </c>
      <c r="H125">
        <v>225</v>
      </c>
      <c r="I125" t="s">
        <v>163</v>
      </c>
      <c r="J125" s="75">
        <v>48887</v>
      </c>
      <c r="K125" t="s">
        <v>164</v>
      </c>
      <c r="L125" t="s">
        <v>165</v>
      </c>
      <c r="M125" s="81">
        <v>46036.475613425922</v>
      </c>
      <c r="N125" s="81">
        <v>46036.703981481478</v>
      </c>
      <c r="O125" t="s">
        <v>58</v>
      </c>
      <c r="P125" t="s">
        <v>59</v>
      </c>
      <c r="Q125" t="s">
        <v>77</v>
      </c>
      <c r="R125" t="s">
        <v>131</v>
      </c>
      <c r="U125" s="75">
        <v>172447</v>
      </c>
      <c r="V125" t="s">
        <v>823</v>
      </c>
      <c r="W125" t="s">
        <v>823</v>
      </c>
      <c r="X125" t="s">
        <v>62</v>
      </c>
      <c r="Y125" t="s">
        <v>824</v>
      </c>
      <c r="AA125" t="s">
        <v>64</v>
      </c>
      <c r="AB125">
        <v>5.4333340000000003</v>
      </c>
      <c r="AC125">
        <v>0.35</v>
      </c>
      <c r="AD125">
        <v>5.0833339999999998</v>
      </c>
      <c r="AE125">
        <v>0.16666700000000001</v>
      </c>
      <c r="AF125">
        <v>0</v>
      </c>
      <c r="AG125">
        <v>4.9166670000000003</v>
      </c>
      <c r="AH125">
        <v>4.9166670000000003</v>
      </c>
      <c r="AI125">
        <v>4.8833339999999996</v>
      </c>
      <c r="AJ125">
        <v>3.3333000000000002E-2</v>
      </c>
      <c r="AK125">
        <v>0</v>
      </c>
      <c r="AL125" s="76">
        <v>45866</v>
      </c>
      <c r="AM125" s="75">
        <v>170</v>
      </c>
      <c r="AN125" t="s">
        <v>65</v>
      </c>
      <c r="AO125" t="s">
        <v>825</v>
      </c>
      <c r="AP125" t="s">
        <v>67</v>
      </c>
      <c r="AQ125" t="s">
        <v>68</v>
      </c>
      <c r="AR125" t="s">
        <v>69</v>
      </c>
      <c r="AS125" s="79"/>
      <c r="AT125" s="82" t="s">
        <v>696</v>
      </c>
      <c r="AU125" s="78">
        <v>2026</v>
      </c>
      <c r="AV125" s="78">
        <v>1</v>
      </c>
      <c r="AW125" s="78" t="s">
        <v>137</v>
      </c>
      <c r="AX125" s="78">
        <v>1</v>
      </c>
      <c r="AY125" s="78">
        <v>0</v>
      </c>
      <c r="BT125" s="3" t="s">
        <v>137</v>
      </c>
      <c r="BU125" s="3">
        <v>1</v>
      </c>
      <c r="BV125" s="3">
        <v>0</v>
      </c>
    </row>
    <row r="126" spans="1:74" ht="15" customHeight="1" x14ac:dyDescent="0.25">
      <c r="A126" s="75">
        <v>5775095</v>
      </c>
      <c r="B126" t="s">
        <v>826</v>
      </c>
      <c r="C126" t="s">
        <v>827</v>
      </c>
      <c r="D126" t="s">
        <v>162</v>
      </c>
      <c r="E126" t="s">
        <v>54</v>
      </c>
      <c r="F126" s="75">
        <v>11</v>
      </c>
      <c r="G126" s="75">
        <v>302005</v>
      </c>
      <c r="H126">
        <v>800</v>
      </c>
      <c r="I126" t="s">
        <v>114</v>
      </c>
      <c r="J126" s="75">
        <v>219343</v>
      </c>
      <c r="K126" t="s">
        <v>828</v>
      </c>
      <c r="L126" t="s">
        <v>829</v>
      </c>
      <c r="M126" s="81">
        <v>46035.589224537027</v>
      </c>
      <c r="N126" s="81">
        <v>46036.711909722217</v>
      </c>
      <c r="O126" t="s">
        <v>58</v>
      </c>
      <c r="P126" t="s">
        <v>59</v>
      </c>
      <c r="Q126" t="s">
        <v>130</v>
      </c>
      <c r="R126" t="s">
        <v>60</v>
      </c>
      <c r="U126" s="75">
        <v>171917</v>
      </c>
      <c r="V126" t="s">
        <v>830</v>
      </c>
      <c r="W126" t="s">
        <v>830</v>
      </c>
      <c r="X126" t="s">
        <v>62</v>
      </c>
      <c r="Y126" t="s">
        <v>63</v>
      </c>
      <c r="AA126" t="s">
        <v>64</v>
      </c>
      <c r="AB126">
        <v>26.866667</v>
      </c>
      <c r="AC126">
        <v>20.65</v>
      </c>
      <c r="AD126">
        <v>6.2166670000000002</v>
      </c>
      <c r="AE126">
        <v>1.6667000000000001E-2</v>
      </c>
      <c r="AF126">
        <v>0</v>
      </c>
      <c r="AG126">
        <v>6.2</v>
      </c>
      <c r="AH126">
        <v>6.2</v>
      </c>
      <c r="AI126">
        <v>6.016667</v>
      </c>
      <c r="AJ126">
        <v>0.183333</v>
      </c>
      <c r="AK126">
        <v>0</v>
      </c>
      <c r="AL126" s="76">
        <v>45436</v>
      </c>
      <c r="AM126" s="75">
        <v>599</v>
      </c>
      <c r="AN126" t="s">
        <v>65</v>
      </c>
      <c r="AO126" t="s">
        <v>831</v>
      </c>
      <c r="AP126" t="s">
        <v>67</v>
      </c>
      <c r="AQ126" t="s">
        <v>68</v>
      </c>
      <c r="AR126" t="s">
        <v>69</v>
      </c>
      <c r="AS126" s="78"/>
      <c r="AT126" s="82" t="s">
        <v>696</v>
      </c>
      <c r="AU126" s="78">
        <v>2026</v>
      </c>
      <c r="AV126" s="78">
        <v>1</v>
      </c>
      <c r="AW126" s="78" t="s">
        <v>71</v>
      </c>
      <c r="AX126" s="78">
        <v>1</v>
      </c>
      <c r="AY126" s="78">
        <v>0</v>
      </c>
      <c r="BT126" s="2" t="s">
        <v>71</v>
      </c>
      <c r="BU126" s="2">
        <v>1</v>
      </c>
      <c r="BV126" s="2">
        <v>0</v>
      </c>
    </row>
    <row r="127" spans="1:74" ht="15" customHeight="1" x14ac:dyDescent="0.25">
      <c r="A127" s="75">
        <v>5762431</v>
      </c>
      <c r="B127" t="s">
        <v>832</v>
      </c>
      <c r="C127" t="s">
        <v>833</v>
      </c>
      <c r="D127" t="s">
        <v>265</v>
      </c>
      <c r="E127" t="s">
        <v>87</v>
      </c>
      <c r="F127" s="75">
        <v>280</v>
      </c>
      <c r="G127" s="75">
        <v>286423</v>
      </c>
      <c r="H127">
        <v>364.96</v>
      </c>
      <c r="I127" t="s">
        <v>55</v>
      </c>
      <c r="J127" s="75">
        <v>218787</v>
      </c>
      <c r="K127" t="s">
        <v>96</v>
      </c>
      <c r="L127" t="s">
        <v>97</v>
      </c>
      <c r="M127" s="81">
        <v>46030.437384259261</v>
      </c>
      <c r="N127" s="81">
        <v>46036.779016203713</v>
      </c>
      <c r="O127" t="s">
        <v>58</v>
      </c>
      <c r="P127" t="s">
        <v>59</v>
      </c>
      <c r="Q127" t="s">
        <v>130</v>
      </c>
      <c r="R127" t="s">
        <v>60</v>
      </c>
      <c r="U127" s="75">
        <v>170641</v>
      </c>
      <c r="V127" t="s">
        <v>834</v>
      </c>
      <c r="W127" t="s">
        <v>835</v>
      </c>
      <c r="X127" t="s">
        <v>62</v>
      </c>
      <c r="Y127" t="s">
        <v>63</v>
      </c>
      <c r="AA127" t="s">
        <v>416</v>
      </c>
      <c r="AB127">
        <v>152.1</v>
      </c>
      <c r="AC127">
        <v>132.23333299999999</v>
      </c>
      <c r="AD127">
        <v>19.866667</v>
      </c>
      <c r="AE127">
        <v>6.6667000000000004E-2</v>
      </c>
      <c r="AF127">
        <v>0</v>
      </c>
      <c r="AG127">
        <v>19.8</v>
      </c>
      <c r="AH127">
        <v>19.8</v>
      </c>
      <c r="AI127">
        <v>19.100000000000001</v>
      </c>
      <c r="AJ127">
        <v>0.7</v>
      </c>
      <c r="AK127">
        <v>0</v>
      </c>
      <c r="AL127" s="76">
        <v>44893</v>
      </c>
      <c r="AM127" s="75">
        <v>1137</v>
      </c>
      <c r="AN127" t="s">
        <v>65</v>
      </c>
      <c r="AO127" t="s">
        <v>836</v>
      </c>
      <c r="AP127" t="s">
        <v>67</v>
      </c>
      <c r="AQ127" t="s">
        <v>68</v>
      </c>
      <c r="AR127" t="s">
        <v>69</v>
      </c>
      <c r="AS127" s="79"/>
      <c r="AT127" s="82" t="s">
        <v>696</v>
      </c>
      <c r="AU127" s="78">
        <v>2026</v>
      </c>
      <c r="AV127" s="78">
        <v>1</v>
      </c>
      <c r="AW127" s="78" t="s">
        <v>71</v>
      </c>
      <c r="AX127" s="78">
        <v>0</v>
      </c>
      <c r="AY127" s="78">
        <v>0</v>
      </c>
      <c r="BT127" s="3" t="s">
        <v>71</v>
      </c>
      <c r="BU127" s="3">
        <v>0</v>
      </c>
      <c r="BV127" s="3">
        <v>0</v>
      </c>
    </row>
    <row r="128" spans="1:74" ht="15" customHeight="1" x14ac:dyDescent="0.25">
      <c r="A128" s="75">
        <v>5774995</v>
      </c>
      <c r="B128" t="s">
        <v>837</v>
      </c>
      <c r="C128" t="s">
        <v>838</v>
      </c>
      <c r="D128" t="s">
        <v>527</v>
      </c>
      <c r="E128" t="s">
        <v>87</v>
      </c>
      <c r="F128" s="75">
        <v>26</v>
      </c>
      <c r="G128" s="75">
        <v>275239</v>
      </c>
      <c r="H128">
        <v>398.82</v>
      </c>
      <c r="I128" t="s">
        <v>55</v>
      </c>
      <c r="J128" s="75">
        <v>216233</v>
      </c>
      <c r="K128" t="s">
        <v>88</v>
      </c>
      <c r="L128" t="s">
        <v>89</v>
      </c>
      <c r="M128" s="81">
        <v>46035.55605324074</v>
      </c>
      <c r="N128" s="81">
        <v>46037.32949074074</v>
      </c>
      <c r="O128" t="s">
        <v>58</v>
      </c>
      <c r="P128" t="s">
        <v>59</v>
      </c>
      <c r="Q128" t="s">
        <v>98</v>
      </c>
      <c r="R128" t="s">
        <v>156</v>
      </c>
      <c r="U128" s="75">
        <v>172117</v>
      </c>
      <c r="V128" t="s">
        <v>839</v>
      </c>
      <c r="W128" t="s">
        <v>840</v>
      </c>
      <c r="X128" t="s">
        <v>62</v>
      </c>
      <c r="Y128" t="s">
        <v>63</v>
      </c>
      <c r="AA128" t="s">
        <v>64</v>
      </c>
      <c r="AB128">
        <v>42.433334000000002</v>
      </c>
      <c r="AC128">
        <v>34.766666999999998</v>
      </c>
      <c r="AD128">
        <v>7.6666670000000003</v>
      </c>
      <c r="AE128">
        <v>0.35</v>
      </c>
      <c r="AF128">
        <v>0</v>
      </c>
      <c r="AG128">
        <v>7.3166669999999998</v>
      </c>
      <c r="AH128">
        <v>7.3166669999999998</v>
      </c>
      <c r="AI128">
        <v>6.5666669999999998</v>
      </c>
      <c r="AJ128">
        <v>0.75</v>
      </c>
      <c r="AK128">
        <v>0</v>
      </c>
      <c r="AL128" s="76">
        <v>44866</v>
      </c>
      <c r="AM128" s="75">
        <v>1169</v>
      </c>
      <c r="AN128" t="s">
        <v>65</v>
      </c>
      <c r="AO128" t="s">
        <v>841</v>
      </c>
      <c r="AP128" t="s">
        <v>67</v>
      </c>
      <c r="AQ128" t="s">
        <v>68</v>
      </c>
      <c r="AR128" t="s">
        <v>69</v>
      </c>
      <c r="AS128" s="78"/>
      <c r="AT128" s="82" t="s">
        <v>696</v>
      </c>
      <c r="AU128" s="78">
        <v>2026</v>
      </c>
      <c r="AV128" s="78">
        <v>1</v>
      </c>
      <c r="AW128" s="78" t="s">
        <v>71</v>
      </c>
      <c r="AX128" s="78">
        <v>1</v>
      </c>
      <c r="AY128" s="78">
        <v>0</v>
      </c>
      <c r="BT128" s="2" t="s">
        <v>71</v>
      </c>
      <c r="BU128" s="2">
        <v>1</v>
      </c>
      <c r="BV128" s="2">
        <v>0</v>
      </c>
    </row>
    <row r="129" spans="1:74" ht="15" customHeight="1" x14ac:dyDescent="0.25">
      <c r="A129" s="75">
        <v>5776377</v>
      </c>
      <c r="B129" t="s">
        <v>842</v>
      </c>
      <c r="C129" t="s">
        <v>843</v>
      </c>
      <c r="D129" t="s">
        <v>527</v>
      </c>
      <c r="E129" t="s">
        <v>105</v>
      </c>
      <c r="F129" s="75">
        <v>1158</v>
      </c>
      <c r="G129" s="75">
        <v>334957</v>
      </c>
      <c r="H129">
        <v>456.52</v>
      </c>
      <c r="I129" t="s">
        <v>175</v>
      </c>
      <c r="J129" s="75">
        <v>83605</v>
      </c>
      <c r="K129" t="s">
        <v>844</v>
      </c>
      <c r="L129" t="s">
        <v>845</v>
      </c>
      <c r="M129" s="81">
        <v>46036.521331018521</v>
      </c>
      <c r="N129" s="81">
        <v>46037.331331018519</v>
      </c>
      <c r="O129" t="s">
        <v>58</v>
      </c>
      <c r="P129" t="s">
        <v>59</v>
      </c>
      <c r="Q129" t="s">
        <v>90</v>
      </c>
      <c r="R129" t="s">
        <v>99</v>
      </c>
      <c r="U129" s="75">
        <v>172489</v>
      </c>
      <c r="V129" t="s">
        <v>846</v>
      </c>
      <c r="W129" t="s">
        <v>847</v>
      </c>
      <c r="X129" t="s">
        <v>62</v>
      </c>
      <c r="Y129" t="s">
        <v>63</v>
      </c>
      <c r="AA129" t="s">
        <v>64</v>
      </c>
      <c r="AB129">
        <v>19.416665999999999</v>
      </c>
      <c r="AC129">
        <v>14.15</v>
      </c>
      <c r="AD129">
        <v>5.2666659999999998</v>
      </c>
      <c r="AE129">
        <v>0.3</v>
      </c>
      <c r="AF129">
        <v>0</v>
      </c>
      <c r="AG129">
        <v>4.966666</v>
      </c>
      <c r="AH129">
        <v>4.966666</v>
      </c>
      <c r="AI129">
        <v>4.7833329999999998</v>
      </c>
      <c r="AJ129">
        <v>0.183333</v>
      </c>
      <c r="AK129">
        <v>0</v>
      </c>
      <c r="AL129" s="76">
        <v>45821.56181712963</v>
      </c>
      <c r="AM129" s="75">
        <v>214</v>
      </c>
      <c r="AN129" t="s">
        <v>65</v>
      </c>
      <c r="AO129" t="s">
        <v>848</v>
      </c>
      <c r="AP129" t="s">
        <v>67</v>
      </c>
      <c r="AQ129" t="s">
        <v>68</v>
      </c>
      <c r="AR129" t="s">
        <v>69</v>
      </c>
      <c r="AS129" s="79"/>
      <c r="AT129" s="82" t="s">
        <v>696</v>
      </c>
      <c r="AU129" s="78">
        <v>2026</v>
      </c>
      <c r="AV129" s="78">
        <v>1</v>
      </c>
      <c r="AW129" s="78" t="s">
        <v>71</v>
      </c>
      <c r="AX129" s="78">
        <v>1</v>
      </c>
      <c r="AY129" s="78">
        <v>0</v>
      </c>
      <c r="BT129" s="3" t="s">
        <v>71</v>
      </c>
      <c r="BU129" s="3">
        <v>1</v>
      </c>
      <c r="BV129" s="3">
        <v>0</v>
      </c>
    </row>
    <row r="130" spans="1:74" ht="15" customHeight="1" x14ac:dyDescent="0.25">
      <c r="A130" s="75">
        <v>5775065</v>
      </c>
      <c r="B130" t="s">
        <v>849</v>
      </c>
      <c r="C130" t="s">
        <v>688</v>
      </c>
      <c r="D130" t="s">
        <v>809</v>
      </c>
      <c r="E130" t="s">
        <v>87</v>
      </c>
      <c r="F130" s="75">
        <v>579</v>
      </c>
      <c r="G130" s="75">
        <v>325841</v>
      </c>
      <c r="H130">
        <v>382.47</v>
      </c>
      <c r="I130" t="s">
        <v>55</v>
      </c>
      <c r="J130" s="75">
        <v>216233</v>
      </c>
      <c r="K130" t="s">
        <v>88</v>
      </c>
      <c r="L130" t="s">
        <v>89</v>
      </c>
      <c r="M130" s="81">
        <v>46035.583865740737</v>
      </c>
      <c r="N130" s="81">
        <v>46037.370162037027</v>
      </c>
      <c r="O130" t="s">
        <v>58</v>
      </c>
      <c r="P130" t="s">
        <v>59</v>
      </c>
      <c r="Q130" t="s">
        <v>90</v>
      </c>
      <c r="R130" t="s">
        <v>60</v>
      </c>
      <c r="U130" s="75">
        <v>171913</v>
      </c>
      <c r="V130" t="s">
        <v>850</v>
      </c>
      <c r="W130" t="s">
        <v>850</v>
      </c>
      <c r="X130" t="s">
        <v>62</v>
      </c>
      <c r="Y130" t="s">
        <v>63</v>
      </c>
      <c r="AA130" t="s">
        <v>81</v>
      </c>
      <c r="AB130">
        <v>42.816667000000002</v>
      </c>
      <c r="AC130">
        <v>39.266666999999998</v>
      </c>
      <c r="AD130">
        <v>3.55</v>
      </c>
      <c r="AE130">
        <v>0.31666699999999998</v>
      </c>
      <c r="AF130">
        <v>0</v>
      </c>
      <c r="AG130">
        <v>3.233333</v>
      </c>
      <c r="AH130">
        <v>3.233333</v>
      </c>
      <c r="AI130">
        <v>3.2</v>
      </c>
      <c r="AJ130">
        <v>3.3333000000000002E-2</v>
      </c>
      <c r="AK130">
        <v>0</v>
      </c>
      <c r="AL130" s="76">
        <v>45561</v>
      </c>
      <c r="AM130" s="75">
        <v>474</v>
      </c>
      <c r="AN130" t="s">
        <v>65</v>
      </c>
      <c r="AO130" t="s">
        <v>691</v>
      </c>
      <c r="AP130" t="s">
        <v>67</v>
      </c>
      <c r="AQ130" t="s">
        <v>68</v>
      </c>
      <c r="AR130" t="s">
        <v>69</v>
      </c>
      <c r="AS130" s="78"/>
      <c r="AT130" s="82" t="s">
        <v>696</v>
      </c>
      <c r="AU130" s="78">
        <v>2026</v>
      </c>
      <c r="AV130" s="78">
        <v>1</v>
      </c>
      <c r="AW130" s="78" t="s">
        <v>71</v>
      </c>
      <c r="AX130" s="78">
        <v>1</v>
      </c>
      <c r="AY130" s="78">
        <v>0</v>
      </c>
      <c r="BT130" s="2" t="s">
        <v>71</v>
      </c>
      <c r="BU130" s="2">
        <v>1</v>
      </c>
      <c r="BV130" s="2">
        <v>0</v>
      </c>
    </row>
    <row r="131" spans="1:74" ht="15" customHeight="1" x14ac:dyDescent="0.25">
      <c r="A131" s="75">
        <v>5773813</v>
      </c>
      <c r="B131" t="s">
        <v>851</v>
      </c>
      <c r="C131" t="s">
        <v>852</v>
      </c>
      <c r="D131" t="s">
        <v>809</v>
      </c>
      <c r="E131" t="s">
        <v>87</v>
      </c>
      <c r="F131" s="75">
        <v>21</v>
      </c>
      <c r="G131" s="75">
        <v>290947</v>
      </c>
      <c r="H131">
        <v>0.01</v>
      </c>
      <c r="I131" t="s">
        <v>853</v>
      </c>
      <c r="J131" s="75">
        <v>52957</v>
      </c>
      <c r="K131" t="s">
        <v>575</v>
      </c>
      <c r="L131" t="s">
        <v>576</v>
      </c>
      <c r="M131" s="81">
        <v>46034.701793981483</v>
      </c>
      <c r="N131" s="81">
        <v>46037.372546296298</v>
      </c>
      <c r="O131" t="s">
        <v>58</v>
      </c>
      <c r="P131" t="s">
        <v>59</v>
      </c>
      <c r="Q131" t="s">
        <v>90</v>
      </c>
      <c r="R131" t="s">
        <v>60</v>
      </c>
      <c r="U131" s="75">
        <v>171415</v>
      </c>
      <c r="V131" t="s">
        <v>854</v>
      </c>
      <c r="X131" t="s">
        <v>392</v>
      </c>
      <c r="Y131" t="s">
        <v>393</v>
      </c>
      <c r="AA131" t="s">
        <v>101</v>
      </c>
      <c r="AB131">
        <v>64.016666999999998</v>
      </c>
      <c r="AC131">
        <v>52.916666999999997</v>
      </c>
      <c r="AD131">
        <v>11.1</v>
      </c>
      <c r="AE131">
        <v>2.8333330000000001</v>
      </c>
      <c r="AF131">
        <v>0</v>
      </c>
      <c r="AG131">
        <v>8.266667</v>
      </c>
      <c r="AH131">
        <v>8.266667</v>
      </c>
      <c r="AI131">
        <v>8.1166669999999996</v>
      </c>
      <c r="AJ131">
        <v>0.15</v>
      </c>
      <c r="AK131">
        <v>0</v>
      </c>
      <c r="AL131" s="76">
        <v>45191</v>
      </c>
      <c r="AM131" s="75">
        <v>843</v>
      </c>
      <c r="AN131" t="s">
        <v>65</v>
      </c>
      <c r="AO131" t="s">
        <v>855</v>
      </c>
      <c r="AP131" t="s">
        <v>67</v>
      </c>
      <c r="AQ131" t="s">
        <v>121</v>
      </c>
      <c r="AR131" t="s">
        <v>69</v>
      </c>
      <c r="AS131" s="79"/>
      <c r="AT131" s="82" t="s">
        <v>696</v>
      </c>
      <c r="AU131" s="78">
        <v>2026</v>
      </c>
      <c r="AV131" s="78">
        <v>1</v>
      </c>
      <c r="AW131" s="78" t="s">
        <v>392</v>
      </c>
      <c r="AX131" s="78">
        <v>0</v>
      </c>
      <c r="AY131" s="78">
        <v>0</v>
      </c>
      <c r="BT131" s="3" t="s">
        <v>392</v>
      </c>
      <c r="BU131" s="3">
        <v>0</v>
      </c>
      <c r="BV131" s="3">
        <v>0</v>
      </c>
    </row>
    <row r="132" spans="1:74" ht="15" customHeight="1" x14ac:dyDescent="0.25">
      <c r="A132" s="75">
        <v>5772825</v>
      </c>
      <c r="B132" t="s">
        <v>856</v>
      </c>
      <c r="C132" t="s">
        <v>857</v>
      </c>
      <c r="D132" t="s">
        <v>809</v>
      </c>
      <c r="E132" t="s">
        <v>87</v>
      </c>
      <c r="F132" s="75">
        <v>404</v>
      </c>
      <c r="G132" s="75">
        <v>288509</v>
      </c>
      <c r="H132">
        <v>740.61</v>
      </c>
      <c r="I132" t="s">
        <v>55</v>
      </c>
      <c r="J132" s="75">
        <v>216233</v>
      </c>
      <c r="K132" t="s">
        <v>88</v>
      </c>
      <c r="L132" t="s">
        <v>89</v>
      </c>
      <c r="M132" s="81">
        <v>46034.480439814812</v>
      </c>
      <c r="N132" s="81">
        <v>46037.373530092591</v>
      </c>
      <c r="O132" t="s">
        <v>58</v>
      </c>
      <c r="P132" t="s">
        <v>59</v>
      </c>
      <c r="Q132" t="s">
        <v>90</v>
      </c>
      <c r="R132" t="s">
        <v>60</v>
      </c>
      <c r="U132" s="75">
        <v>171389</v>
      </c>
      <c r="V132" t="s">
        <v>858</v>
      </c>
      <c r="W132" t="s">
        <v>859</v>
      </c>
      <c r="X132" t="s">
        <v>62</v>
      </c>
      <c r="Y132" t="s">
        <v>63</v>
      </c>
      <c r="AA132" t="s">
        <v>416</v>
      </c>
      <c r="AB132">
        <v>69.383332999999993</v>
      </c>
      <c r="AC132">
        <v>55.75</v>
      </c>
      <c r="AD132">
        <v>13.633333</v>
      </c>
      <c r="AE132">
        <v>0.71666600000000003</v>
      </c>
      <c r="AF132">
        <v>0</v>
      </c>
      <c r="AG132">
        <v>12.916667</v>
      </c>
      <c r="AH132">
        <v>12.916667</v>
      </c>
      <c r="AI132">
        <v>12.466666999999999</v>
      </c>
      <c r="AJ132">
        <v>0.45</v>
      </c>
      <c r="AK132">
        <v>0</v>
      </c>
      <c r="AL132" s="76">
        <v>44952</v>
      </c>
      <c r="AM132" s="75">
        <v>1082</v>
      </c>
      <c r="AN132" t="s">
        <v>65</v>
      </c>
      <c r="AO132" t="s">
        <v>860</v>
      </c>
      <c r="AP132" t="s">
        <v>67</v>
      </c>
      <c r="AQ132" t="s">
        <v>68</v>
      </c>
      <c r="AR132" t="s">
        <v>69</v>
      </c>
      <c r="AS132" s="78"/>
      <c r="AT132" s="82" t="s">
        <v>696</v>
      </c>
      <c r="AU132" s="78">
        <v>2026</v>
      </c>
      <c r="AV132" s="78">
        <v>1</v>
      </c>
      <c r="AW132" s="78" t="s">
        <v>71</v>
      </c>
      <c r="AX132" s="78">
        <v>0</v>
      </c>
      <c r="AY132" s="78">
        <v>0</v>
      </c>
      <c r="BT132" s="2" t="s">
        <v>71</v>
      </c>
      <c r="BU132" s="2">
        <v>0</v>
      </c>
      <c r="BV132" s="2">
        <v>0</v>
      </c>
    </row>
    <row r="133" spans="1:74" ht="15" customHeight="1" x14ac:dyDescent="0.25">
      <c r="A133" s="75">
        <v>5776435</v>
      </c>
      <c r="B133" t="s">
        <v>861</v>
      </c>
      <c r="C133" t="s">
        <v>862</v>
      </c>
      <c r="D133" t="s">
        <v>150</v>
      </c>
      <c r="E133" t="s">
        <v>54</v>
      </c>
      <c r="F133" s="75">
        <v>870</v>
      </c>
      <c r="G133" s="75">
        <v>302085</v>
      </c>
      <c r="H133">
        <v>450</v>
      </c>
      <c r="I133" t="s">
        <v>55</v>
      </c>
      <c r="J133" s="75">
        <v>218497</v>
      </c>
      <c r="K133" t="s">
        <v>56</v>
      </c>
      <c r="L133" t="s">
        <v>57</v>
      </c>
      <c r="M133" s="81">
        <v>46036.554259259261</v>
      </c>
      <c r="N133" s="81">
        <v>46037.427442129629</v>
      </c>
      <c r="O133" t="s">
        <v>58</v>
      </c>
      <c r="P133" t="s">
        <v>59</v>
      </c>
      <c r="Q133" t="s">
        <v>130</v>
      </c>
      <c r="R133" t="s">
        <v>131</v>
      </c>
      <c r="U133" s="75">
        <v>172517</v>
      </c>
      <c r="V133" t="s">
        <v>863</v>
      </c>
      <c r="W133" t="s">
        <v>863</v>
      </c>
      <c r="X133" t="s">
        <v>62</v>
      </c>
      <c r="Y133" t="s">
        <v>63</v>
      </c>
      <c r="AA133" t="s">
        <v>101</v>
      </c>
      <c r="AB133">
        <v>20.883334000000001</v>
      </c>
      <c r="AC133">
        <v>12</v>
      </c>
      <c r="AD133">
        <v>8.8833339999999996</v>
      </c>
      <c r="AE133">
        <v>0.1</v>
      </c>
      <c r="AF133">
        <v>0</v>
      </c>
      <c r="AG133">
        <v>8.783334</v>
      </c>
      <c r="AH133">
        <v>8.783334</v>
      </c>
      <c r="AI133">
        <v>8.5666670000000007</v>
      </c>
      <c r="AJ133">
        <v>0.216667</v>
      </c>
      <c r="AK133">
        <v>0</v>
      </c>
      <c r="AL133" s="76">
        <v>45408.67800925926</v>
      </c>
      <c r="AM133" s="75">
        <v>627</v>
      </c>
      <c r="AN133" t="s">
        <v>65</v>
      </c>
      <c r="AO133" t="s">
        <v>864</v>
      </c>
      <c r="AP133" t="s">
        <v>67</v>
      </c>
      <c r="AQ133" t="s">
        <v>68</v>
      </c>
      <c r="AR133" t="s">
        <v>69</v>
      </c>
      <c r="AS133" s="79"/>
      <c r="AT133" s="82" t="s">
        <v>696</v>
      </c>
      <c r="AU133" s="78">
        <v>2026</v>
      </c>
      <c r="AV133" s="78">
        <v>1</v>
      </c>
      <c r="AW133" s="78" t="s">
        <v>71</v>
      </c>
      <c r="AX133" s="78">
        <v>0</v>
      </c>
      <c r="AY133" s="78">
        <v>0</v>
      </c>
      <c r="BT133" s="3" t="s">
        <v>71</v>
      </c>
      <c r="BU133" s="3">
        <v>0</v>
      </c>
      <c r="BV133" s="3">
        <v>0</v>
      </c>
    </row>
    <row r="134" spans="1:74" ht="15" customHeight="1" x14ac:dyDescent="0.25">
      <c r="A134" s="75">
        <v>5777011</v>
      </c>
      <c r="B134" t="s">
        <v>865</v>
      </c>
      <c r="C134" t="s">
        <v>396</v>
      </c>
      <c r="D134" t="s">
        <v>527</v>
      </c>
      <c r="E134" t="s">
        <v>54</v>
      </c>
      <c r="F134" s="75">
        <v>1</v>
      </c>
      <c r="G134" s="75">
        <v>330947</v>
      </c>
      <c r="H134">
        <v>800</v>
      </c>
      <c r="I134" t="s">
        <v>141</v>
      </c>
      <c r="J134" s="75">
        <v>225005</v>
      </c>
      <c r="K134" t="s">
        <v>397</v>
      </c>
      <c r="L134" t="s">
        <v>398</v>
      </c>
      <c r="M134" s="81">
        <v>46036.750497685192</v>
      </c>
      <c r="N134" s="81">
        <v>46037.428298611107</v>
      </c>
      <c r="O134" t="s">
        <v>58</v>
      </c>
      <c r="P134" t="s">
        <v>59</v>
      </c>
      <c r="Q134" t="s">
        <v>90</v>
      </c>
      <c r="R134" t="s">
        <v>99</v>
      </c>
      <c r="U134" s="75">
        <v>172737</v>
      </c>
      <c r="V134" t="s">
        <v>866</v>
      </c>
      <c r="W134" t="s">
        <v>866</v>
      </c>
      <c r="X134" t="s">
        <v>118</v>
      </c>
      <c r="Y134" t="s">
        <v>400</v>
      </c>
      <c r="AA134" t="s">
        <v>81</v>
      </c>
      <c r="AB134">
        <v>16.216667000000001</v>
      </c>
      <c r="AC134">
        <v>13.733333999999999</v>
      </c>
      <c r="AD134">
        <v>2.483333</v>
      </c>
      <c r="AE134">
        <v>0.73333300000000001</v>
      </c>
      <c r="AF134">
        <v>0</v>
      </c>
      <c r="AG134">
        <v>1.75</v>
      </c>
      <c r="AH134">
        <v>1.75</v>
      </c>
      <c r="AI134">
        <v>1.6166670000000001</v>
      </c>
      <c r="AJ134">
        <v>0.13333300000000001</v>
      </c>
      <c r="AK134">
        <v>0</v>
      </c>
      <c r="AL134" s="76">
        <v>45713</v>
      </c>
      <c r="AM134" s="75">
        <v>323</v>
      </c>
      <c r="AN134" t="s">
        <v>65</v>
      </c>
      <c r="AO134" t="s">
        <v>401</v>
      </c>
      <c r="AP134" t="s">
        <v>67</v>
      </c>
      <c r="AQ134" t="s">
        <v>121</v>
      </c>
      <c r="AR134" t="s">
        <v>69</v>
      </c>
      <c r="AS134" s="78"/>
      <c r="AT134" s="82" t="s">
        <v>696</v>
      </c>
      <c r="AU134" s="78">
        <v>2026</v>
      </c>
      <c r="AV134" s="78">
        <v>1</v>
      </c>
      <c r="AW134" s="78" t="s">
        <v>122</v>
      </c>
      <c r="AX134" s="78">
        <v>1</v>
      </c>
      <c r="AY134" s="78">
        <v>0</v>
      </c>
      <c r="BT134" s="2" t="s">
        <v>122</v>
      </c>
      <c r="BU134" s="2">
        <v>1</v>
      </c>
      <c r="BV134" s="2">
        <v>0</v>
      </c>
    </row>
    <row r="135" spans="1:74" ht="15" customHeight="1" x14ac:dyDescent="0.25">
      <c r="A135" s="75">
        <v>5772873</v>
      </c>
      <c r="B135" t="s">
        <v>867</v>
      </c>
      <c r="C135" t="s">
        <v>544</v>
      </c>
      <c r="D135" t="s">
        <v>265</v>
      </c>
      <c r="E135" t="s">
        <v>87</v>
      </c>
      <c r="F135" s="75">
        <v>57</v>
      </c>
      <c r="G135" s="75">
        <v>275351</v>
      </c>
      <c r="H135">
        <v>364.95</v>
      </c>
      <c r="I135" t="s">
        <v>55</v>
      </c>
      <c r="J135" s="75">
        <v>218787</v>
      </c>
      <c r="K135" t="s">
        <v>96</v>
      </c>
      <c r="L135" t="s">
        <v>97</v>
      </c>
      <c r="M135" s="81">
        <v>46034.481504629628</v>
      </c>
      <c r="N135" s="81">
        <v>46037.494537037041</v>
      </c>
      <c r="O135" t="s">
        <v>277</v>
      </c>
      <c r="P135" t="s">
        <v>59</v>
      </c>
      <c r="Q135" t="s">
        <v>98</v>
      </c>
      <c r="R135" t="s">
        <v>99</v>
      </c>
      <c r="U135" s="75">
        <v>173107</v>
      </c>
      <c r="V135" t="s">
        <v>868</v>
      </c>
      <c r="X135" t="s">
        <v>62</v>
      </c>
      <c r="Y135" t="s">
        <v>63</v>
      </c>
      <c r="AA135" t="s">
        <v>81</v>
      </c>
      <c r="AB135">
        <v>72.166664999999995</v>
      </c>
      <c r="AC135">
        <v>11.983332000000001</v>
      </c>
      <c r="AD135">
        <v>60.183332999999998</v>
      </c>
      <c r="AE135">
        <v>59.766666999999998</v>
      </c>
      <c r="AF135">
        <v>0</v>
      </c>
      <c r="AG135">
        <v>0.41666599999999998</v>
      </c>
      <c r="AI135">
        <v>0.23333300000000001</v>
      </c>
      <c r="AJ135">
        <v>0.183333</v>
      </c>
      <c r="AK135">
        <v>0</v>
      </c>
      <c r="AL135" s="76">
        <v>44865</v>
      </c>
      <c r="AM135" s="75">
        <v>1169</v>
      </c>
      <c r="AN135" t="s">
        <v>65</v>
      </c>
      <c r="AO135" t="s">
        <v>546</v>
      </c>
      <c r="AP135" t="s">
        <v>67</v>
      </c>
      <c r="AQ135" t="s">
        <v>68</v>
      </c>
      <c r="AR135" t="s">
        <v>69</v>
      </c>
      <c r="AS135" s="79"/>
      <c r="AT135" s="82" t="s">
        <v>696</v>
      </c>
      <c r="AU135" s="78">
        <v>2026</v>
      </c>
      <c r="AV135" s="78">
        <v>1</v>
      </c>
      <c r="AW135" s="78" t="s">
        <v>71</v>
      </c>
      <c r="AX135" s="78">
        <v>1</v>
      </c>
      <c r="AY135" s="78">
        <v>0</v>
      </c>
      <c r="BT135" s="3" t="s">
        <v>71</v>
      </c>
      <c r="BU135" s="3">
        <v>1</v>
      </c>
      <c r="BV135" s="3">
        <v>0</v>
      </c>
    </row>
    <row r="136" spans="1:74" ht="15" customHeight="1" x14ac:dyDescent="0.25">
      <c r="A136" s="75">
        <v>5776913</v>
      </c>
      <c r="B136" t="s">
        <v>869</v>
      </c>
      <c r="C136" t="s">
        <v>870</v>
      </c>
      <c r="D136" t="s">
        <v>527</v>
      </c>
      <c r="E136" t="s">
        <v>87</v>
      </c>
      <c r="F136" s="75">
        <v>384</v>
      </c>
      <c r="G136" s="75">
        <v>286819</v>
      </c>
      <c r="H136">
        <v>364.96</v>
      </c>
      <c r="I136" t="s">
        <v>55</v>
      </c>
      <c r="J136" s="75">
        <v>218787</v>
      </c>
      <c r="K136" t="s">
        <v>96</v>
      </c>
      <c r="L136" t="s">
        <v>97</v>
      </c>
      <c r="M136" s="81">
        <v>46036.715729166674</v>
      </c>
      <c r="N136" s="81">
        <v>46037.527789351851</v>
      </c>
      <c r="O136" t="s">
        <v>58</v>
      </c>
      <c r="P136" t="s">
        <v>59</v>
      </c>
      <c r="Q136" t="s">
        <v>90</v>
      </c>
      <c r="R136" t="s">
        <v>60</v>
      </c>
      <c r="U136" s="75">
        <v>172775</v>
      </c>
      <c r="V136" t="s">
        <v>871</v>
      </c>
      <c r="W136" t="s">
        <v>871</v>
      </c>
      <c r="X136" t="s">
        <v>62</v>
      </c>
      <c r="Y136" t="s">
        <v>63</v>
      </c>
      <c r="AA136" t="s">
        <v>81</v>
      </c>
      <c r="AB136">
        <v>19.449998999999998</v>
      </c>
      <c r="AC136">
        <v>15.733333</v>
      </c>
      <c r="AD136">
        <v>3.716666</v>
      </c>
      <c r="AE136">
        <v>0.38333299999999998</v>
      </c>
      <c r="AF136">
        <v>0</v>
      </c>
      <c r="AG136">
        <v>3.3333330000000001</v>
      </c>
      <c r="AH136">
        <v>3.3333330000000001</v>
      </c>
      <c r="AI136">
        <v>3.0333329999999998</v>
      </c>
      <c r="AJ136">
        <v>0.3</v>
      </c>
      <c r="AK136">
        <v>0</v>
      </c>
      <c r="AL136" s="76">
        <v>44916</v>
      </c>
      <c r="AM136" s="75">
        <v>1120</v>
      </c>
      <c r="AN136" t="s">
        <v>65</v>
      </c>
      <c r="AO136" t="s">
        <v>872</v>
      </c>
      <c r="AP136" t="s">
        <v>67</v>
      </c>
      <c r="AQ136" t="s">
        <v>68</v>
      </c>
      <c r="AR136" t="s">
        <v>69</v>
      </c>
      <c r="AS136" s="78"/>
      <c r="AT136" s="82" t="s">
        <v>696</v>
      </c>
      <c r="AU136" s="78">
        <v>2026</v>
      </c>
      <c r="AV136" s="78">
        <v>1</v>
      </c>
      <c r="AW136" s="78" t="s">
        <v>71</v>
      </c>
      <c r="AX136" s="78">
        <v>1</v>
      </c>
      <c r="AY136" s="78">
        <v>0</v>
      </c>
      <c r="BT136" s="2" t="s">
        <v>71</v>
      </c>
      <c r="BU136" s="2">
        <v>1</v>
      </c>
      <c r="BV136" s="2">
        <v>0</v>
      </c>
    </row>
    <row r="137" spans="1:74" ht="15" customHeight="1" x14ac:dyDescent="0.25">
      <c r="A137" s="75">
        <v>5775031</v>
      </c>
      <c r="B137" t="s">
        <v>873</v>
      </c>
      <c r="C137" t="s">
        <v>874</v>
      </c>
      <c r="D137" t="s">
        <v>74</v>
      </c>
      <c r="E137" t="s">
        <v>87</v>
      </c>
      <c r="F137" s="75">
        <v>221</v>
      </c>
      <c r="G137" s="75">
        <v>286119</v>
      </c>
      <c r="H137">
        <v>521.37</v>
      </c>
      <c r="I137" t="s">
        <v>55</v>
      </c>
      <c r="J137" s="75">
        <v>218787</v>
      </c>
      <c r="K137" t="s">
        <v>96</v>
      </c>
      <c r="L137" t="s">
        <v>97</v>
      </c>
      <c r="M137" s="81">
        <v>46035.569895833331</v>
      </c>
      <c r="N137" s="81">
        <v>46037.537141203713</v>
      </c>
      <c r="O137" t="s">
        <v>58</v>
      </c>
      <c r="P137" t="s">
        <v>59</v>
      </c>
      <c r="Q137" t="s">
        <v>90</v>
      </c>
      <c r="R137" t="s">
        <v>60</v>
      </c>
      <c r="U137" s="75">
        <v>172765</v>
      </c>
      <c r="V137" t="s">
        <v>875</v>
      </c>
      <c r="W137" t="s">
        <v>876</v>
      </c>
      <c r="X137" t="s">
        <v>62</v>
      </c>
      <c r="Y137" t="s">
        <v>63</v>
      </c>
      <c r="AA137" t="s">
        <v>416</v>
      </c>
      <c r="AB137">
        <v>47.1</v>
      </c>
      <c r="AC137">
        <v>28.516666000000001</v>
      </c>
      <c r="AD137">
        <v>18.583334000000001</v>
      </c>
      <c r="AE137">
        <v>0.1</v>
      </c>
      <c r="AF137">
        <v>0</v>
      </c>
      <c r="AG137">
        <v>18.483333999999999</v>
      </c>
      <c r="AH137">
        <v>18.483333999999999</v>
      </c>
      <c r="AI137">
        <v>17.583333</v>
      </c>
      <c r="AJ137">
        <v>0.90000100000000005</v>
      </c>
      <c r="AK137">
        <v>0</v>
      </c>
      <c r="AL137" s="76">
        <v>44942</v>
      </c>
      <c r="AM137" s="75">
        <v>1093</v>
      </c>
      <c r="AN137" t="s">
        <v>65</v>
      </c>
      <c r="AO137" t="s">
        <v>877</v>
      </c>
      <c r="AP137" t="s">
        <v>67</v>
      </c>
      <c r="AQ137" t="s">
        <v>68</v>
      </c>
      <c r="AR137" t="s">
        <v>69</v>
      </c>
      <c r="AS137" s="79"/>
      <c r="AT137" s="82" t="s">
        <v>696</v>
      </c>
      <c r="AU137" s="78">
        <v>2026</v>
      </c>
      <c r="AV137" s="78">
        <v>1</v>
      </c>
      <c r="AW137" s="78" t="s">
        <v>71</v>
      </c>
      <c r="AX137" s="78">
        <v>0</v>
      </c>
      <c r="AY137" s="78">
        <v>0</v>
      </c>
      <c r="BT137" s="3" t="s">
        <v>71</v>
      </c>
      <c r="BU137" s="3">
        <v>0</v>
      </c>
      <c r="BV137" s="3">
        <v>0</v>
      </c>
    </row>
    <row r="138" spans="1:74" ht="15" customHeight="1" x14ac:dyDescent="0.25">
      <c r="A138" s="75">
        <v>5774673</v>
      </c>
      <c r="B138" t="s">
        <v>878</v>
      </c>
      <c r="C138" t="s">
        <v>879</v>
      </c>
      <c r="D138" t="s">
        <v>74</v>
      </c>
      <c r="E138" t="s">
        <v>87</v>
      </c>
      <c r="F138" s="75">
        <v>1</v>
      </c>
      <c r="G138" s="75">
        <v>179417</v>
      </c>
      <c r="H138">
        <v>7500</v>
      </c>
      <c r="I138" t="s">
        <v>880</v>
      </c>
      <c r="J138" s="75">
        <v>149307</v>
      </c>
      <c r="K138" t="s">
        <v>350</v>
      </c>
      <c r="L138" t="s">
        <v>351</v>
      </c>
      <c r="M138" s="81">
        <v>46035.451817129629</v>
      </c>
      <c r="N138" s="81">
        <v>46037.57707175926</v>
      </c>
      <c r="O138" t="s">
        <v>58</v>
      </c>
      <c r="P138" t="s">
        <v>59</v>
      </c>
      <c r="Q138" t="s">
        <v>90</v>
      </c>
      <c r="R138" t="s">
        <v>99</v>
      </c>
      <c r="T138" t="s">
        <v>881</v>
      </c>
      <c r="U138" s="75">
        <v>171821</v>
      </c>
      <c r="V138" t="s">
        <v>882</v>
      </c>
      <c r="X138" t="s">
        <v>62</v>
      </c>
      <c r="Y138" t="s">
        <v>883</v>
      </c>
      <c r="AA138" t="s">
        <v>416</v>
      </c>
      <c r="AB138">
        <v>50.933332999999998</v>
      </c>
      <c r="AC138">
        <v>36.5</v>
      </c>
      <c r="AD138">
        <v>14.433332999999999</v>
      </c>
      <c r="AE138">
        <v>0.933334</v>
      </c>
      <c r="AF138">
        <v>0</v>
      </c>
      <c r="AG138">
        <v>13.499999000000001</v>
      </c>
      <c r="AH138">
        <v>13.499999000000001</v>
      </c>
      <c r="AI138">
        <v>12.866666</v>
      </c>
      <c r="AJ138">
        <v>0.63333300000000003</v>
      </c>
      <c r="AK138">
        <v>0</v>
      </c>
      <c r="AL138" s="76">
        <v>43980</v>
      </c>
      <c r="AM138" s="75">
        <v>2055</v>
      </c>
      <c r="AN138" t="s">
        <v>65</v>
      </c>
      <c r="AO138" t="s">
        <v>884</v>
      </c>
      <c r="AP138" t="s">
        <v>67</v>
      </c>
      <c r="AQ138" t="s">
        <v>68</v>
      </c>
      <c r="AR138" t="s">
        <v>69</v>
      </c>
      <c r="AS138" s="78"/>
      <c r="AT138" s="82" t="s">
        <v>696</v>
      </c>
      <c r="AU138" s="78">
        <v>2026</v>
      </c>
      <c r="AV138" s="78">
        <v>1</v>
      </c>
      <c r="AW138" s="78" t="s">
        <v>137</v>
      </c>
      <c r="AX138" s="78">
        <v>0</v>
      </c>
      <c r="AY138" s="78">
        <v>0</v>
      </c>
      <c r="BT138" s="2" t="s">
        <v>137</v>
      </c>
      <c r="BU138" s="2">
        <v>0</v>
      </c>
      <c r="BV138" s="2">
        <v>0</v>
      </c>
    </row>
    <row r="139" spans="1:74" ht="15" customHeight="1" x14ac:dyDescent="0.25">
      <c r="A139" s="75">
        <v>5776197</v>
      </c>
      <c r="B139" t="s">
        <v>885</v>
      </c>
      <c r="C139" t="s">
        <v>886</v>
      </c>
      <c r="D139" t="s">
        <v>182</v>
      </c>
      <c r="E139" t="s">
        <v>105</v>
      </c>
      <c r="F139" s="75">
        <v>672</v>
      </c>
      <c r="G139" s="75">
        <v>139299</v>
      </c>
      <c r="H139">
        <v>400</v>
      </c>
      <c r="I139" t="s">
        <v>55</v>
      </c>
      <c r="J139" s="75">
        <v>48887</v>
      </c>
      <c r="K139" t="s">
        <v>164</v>
      </c>
      <c r="L139" t="s">
        <v>165</v>
      </c>
      <c r="M139" s="81">
        <v>46036.439641203702</v>
      </c>
      <c r="N139" s="81">
        <v>46037.601458333331</v>
      </c>
      <c r="O139" t="s">
        <v>277</v>
      </c>
      <c r="P139" t="s">
        <v>59</v>
      </c>
      <c r="Q139" t="s">
        <v>77</v>
      </c>
      <c r="R139" t="s">
        <v>99</v>
      </c>
      <c r="U139" s="75">
        <v>172759</v>
      </c>
      <c r="V139" t="s">
        <v>887</v>
      </c>
      <c r="X139" t="s">
        <v>62</v>
      </c>
      <c r="Y139" t="s">
        <v>63</v>
      </c>
      <c r="AA139" t="s">
        <v>81</v>
      </c>
      <c r="AB139">
        <v>27.816666999999999</v>
      </c>
      <c r="AC139">
        <v>22.483332999999998</v>
      </c>
      <c r="AD139">
        <v>5.3333339999999998</v>
      </c>
      <c r="AE139">
        <v>1.833334</v>
      </c>
      <c r="AF139">
        <v>0</v>
      </c>
      <c r="AG139">
        <v>3.5</v>
      </c>
      <c r="AH139">
        <v>3.5</v>
      </c>
      <c r="AI139">
        <v>3.1833330000000002</v>
      </c>
      <c r="AJ139">
        <v>0.31666699999999998</v>
      </c>
      <c r="AK139">
        <v>0</v>
      </c>
      <c r="AL139" s="76">
        <v>43733</v>
      </c>
      <c r="AM139" s="75">
        <v>2303</v>
      </c>
      <c r="AN139" t="s">
        <v>65</v>
      </c>
      <c r="AO139" t="s">
        <v>598</v>
      </c>
      <c r="AP139" t="s">
        <v>67</v>
      </c>
      <c r="AQ139" t="s">
        <v>68</v>
      </c>
      <c r="AR139" t="s">
        <v>69</v>
      </c>
      <c r="AS139" s="79"/>
      <c r="AT139" s="82" t="s">
        <v>696</v>
      </c>
      <c r="AU139" s="78">
        <v>2026</v>
      </c>
      <c r="AV139" s="78">
        <v>1</v>
      </c>
      <c r="AW139" s="78" t="s">
        <v>71</v>
      </c>
      <c r="AX139" s="78">
        <v>1</v>
      </c>
      <c r="AY139" s="78">
        <v>0</v>
      </c>
      <c r="BT139" s="3" t="s">
        <v>71</v>
      </c>
      <c r="BU139" s="3">
        <v>1</v>
      </c>
      <c r="BV139" s="3">
        <v>0</v>
      </c>
    </row>
    <row r="140" spans="1:74" ht="15" customHeight="1" x14ac:dyDescent="0.25">
      <c r="A140" s="75">
        <v>5776649</v>
      </c>
      <c r="B140" t="s">
        <v>888</v>
      </c>
      <c r="C140" t="s">
        <v>889</v>
      </c>
      <c r="D140" t="s">
        <v>150</v>
      </c>
      <c r="E140" t="s">
        <v>87</v>
      </c>
      <c r="F140" s="75">
        <v>206</v>
      </c>
      <c r="G140" s="75">
        <v>286085</v>
      </c>
      <c r="H140">
        <v>364.95</v>
      </c>
      <c r="I140" t="s">
        <v>55</v>
      </c>
      <c r="J140" s="75">
        <v>218787</v>
      </c>
      <c r="K140" t="s">
        <v>96</v>
      </c>
      <c r="L140" t="s">
        <v>97</v>
      </c>
      <c r="M140" s="81">
        <v>46036.625613425917</v>
      </c>
      <c r="N140" s="81">
        <v>46037.627650462957</v>
      </c>
      <c r="O140" t="s">
        <v>58</v>
      </c>
      <c r="P140" t="s">
        <v>59</v>
      </c>
      <c r="Q140" t="s">
        <v>90</v>
      </c>
      <c r="R140" t="s">
        <v>131</v>
      </c>
      <c r="U140" s="75">
        <v>172773</v>
      </c>
      <c r="V140" t="s">
        <v>890</v>
      </c>
      <c r="W140" t="s">
        <v>891</v>
      </c>
      <c r="X140" t="s">
        <v>62</v>
      </c>
      <c r="Y140" t="s">
        <v>63</v>
      </c>
      <c r="AA140" t="s">
        <v>64</v>
      </c>
      <c r="AB140">
        <v>23.983335</v>
      </c>
      <c r="AC140">
        <v>17.233333999999999</v>
      </c>
      <c r="AD140">
        <v>6.7500010000000001</v>
      </c>
      <c r="AE140">
        <v>0.16666700000000001</v>
      </c>
      <c r="AF140">
        <v>0</v>
      </c>
      <c r="AG140">
        <v>6.5833339999999998</v>
      </c>
      <c r="AH140">
        <v>6.5833339999999998</v>
      </c>
      <c r="AI140">
        <v>6.4166670000000003</v>
      </c>
      <c r="AJ140">
        <v>0.16666700000000001</v>
      </c>
      <c r="AK140">
        <v>0</v>
      </c>
      <c r="AL140" s="76">
        <v>44870</v>
      </c>
      <c r="AM140" s="75">
        <v>1166</v>
      </c>
      <c r="AN140" t="s">
        <v>65</v>
      </c>
      <c r="AO140" t="s">
        <v>892</v>
      </c>
      <c r="AP140" t="s">
        <v>67</v>
      </c>
      <c r="AQ140" t="s">
        <v>68</v>
      </c>
      <c r="AR140" t="s">
        <v>69</v>
      </c>
      <c r="AS140" s="78"/>
      <c r="AT140" s="82" t="s">
        <v>696</v>
      </c>
      <c r="AU140" s="78">
        <v>2026</v>
      </c>
      <c r="AV140" s="78">
        <v>1</v>
      </c>
      <c r="AW140" s="78" t="s">
        <v>71</v>
      </c>
      <c r="AX140" s="78">
        <v>1</v>
      </c>
      <c r="AY140" s="78">
        <v>0</v>
      </c>
      <c r="BT140" s="2" t="s">
        <v>71</v>
      </c>
      <c r="BU140" s="2">
        <v>1</v>
      </c>
      <c r="BV140" s="2">
        <v>0</v>
      </c>
    </row>
    <row r="141" spans="1:74" ht="15" customHeight="1" x14ac:dyDescent="0.25">
      <c r="A141" s="75">
        <v>5775369</v>
      </c>
      <c r="B141" t="s">
        <v>893</v>
      </c>
      <c r="C141" t="s">
        <v>894</v>
      </c>
      <c r="D141" t="s">
        <v>527</v>
      </c>
      <c r="E141" t="s">
        <v>87</v>
      </c>
      <c r="F141" s="75">
        <v>296</v>
      </c>
      <c r="G141" s="75">
        <v>286471</v>
      </c>
      <c r="H141">
        <v>364.96</v>
      </c>
      <c r="I141" t="s">
        <v>55</v>
      </c>
      <c r="J141" s="75">
        <v>218787</v>
      </c>
      <c r="K141" t="s">
        <v>96</v>
      </c>
      <c r="L141" t="s">
        <v>97</v>
      </c>
      <c r="M141" s="81">
        <v>46035.675034722219</v>
      </c>
      <c r="N141" s="81">
        <v>46037.634513888886</v>
      </c>
      <c r="O141" t="s">
        <v>58</v>
      </c>
      <c r="P141" t="s">
        <v>59</v>
      </c>
      <c r="Q141" t="s">
        <v>130</v>
      </c>
      <c r="R141" t="s">
        <v>60</v>
      </c>
      <c r="U141" s="75">
        <v>172121</v>
      </c>
      <c r="V141" t="s">
        <v>895</v>
      </c>
      <c r="W141" t="s">
        <v>895</v>
      </c>
      <c r="X141" t="s">
        <v>62</v>
      </c>
      <c r="Y141" t="s">
        <v>63</v>
      </c>
      <c r="AA141" t="s">
        <v>64</v>
      </c>
      <c r="AB141">
        <v>46.966665999999996</v>
      </c>
      <c r="AC141">
        <v>41.166666999999997</v>
      </c>
      <c r="AD141">
        <v>5.7999989999999997</v>
      </c>
      <c r="AE141">
        <v>8.3333000000000004E-2</v>
      </c>
      <c r="AF141">
        <v>0</v>
      </c>
      <c r="AG141">
        <v>5.716666</v>
      </c>
      <c r="AH141">
        <v>5.716666</v>
      </c>
      <c r="AI141">
        <v>5.1166660000000004</v>
      </c>
      <c r="AJ141">
        <v>0.6</v>
      </c>
      <c r="AK141">
        <v>0</v>
      </c>
      <c r="AL141" s="76">
        <v>44922</v>
      </c>
      <c r="AM141" s="75">
        <v>1113</v>
      </c>
      <c r="AN141" t="s">
        <v>65</v>
      </c>
      <c r="AO141" t="s">
        <v>665</v>
      </c>
      <c r="AP141" t="s">
        <v>67</v>
      </c>
      <c r="AQ141" t="s">
        <v>68</v>
      </c>
      <c r="AR141" t="s">
        <v>69</v>
      </c>
      <c r="AS141" s="79"/>
      <c r="AT141" s="82" t="s">
        <v>696</v>
      </c>
      <c r="AU141" s="78">
        <v>2026</v>
      </c>
      <c r="AV141" s="78">
        <v>1</v>
      </c>
      <c r="AW141" s="78" t="s">
        <v>71</v>
      </c>
      <c r="AX141" s="78">
        <v>1</v>
      </c>
      <c r="AY141" s="78">
        <v>0</v>
      </c>
      <c r="BT141" s="3" t="s">
        <v>71</v>
      </c>
      <c r="BU141" s="3">
        <v>1</v>
      </c>
      <c r="BV141" s="3">
        <v>0</v>
      </c>
    </row>
    <row r="142" spans="1:74" ht="15" customHeight="1" x14ac:dyDescent="0.25">
      <c r="A142" s="75">
        <v>5773693</v>
      </c>
      <c r="B142" t="s">
        <v>896</v>
      </c>
      <c r="C142" t="s">
        <v>897</v>
      </c>
      <c r="D142" t="s">
        <v>809</v>
      </c>
      <c r="E142" t="s">
        <v>54</v>
      </c>
      <c r="F142" s="75">
        <v>1</v>
      </c>
      <c r="G142" s="75">
        <v>329355</v>
      </c>
      <c r="H142">
        <v>500</v>
      </c>
      <c r="I142" t="s">
        <v>141</v>
      </c>
      <c r="J142" s="75">
        <v>224909</v>
      </c>
      <c r="K142" t="s">
        <v>898</v>
      </c>
      <c r="L142" t="s">
        <v>899</v>
      </c>
      <c r="M142" s="81">
        <v>46034.661261574067</v>
      </c>
      <c r="N142" s="81">
        <v>46037.655150462961</v>
      </c>
      <c r="O142" t="s">
        <v>58</v>
      </c>
      <c r="P142" t="s">
        <v>59</v>
      </c>
      <c r="Q142" t="s">
        <v>77</v>
      </c>
      <c r="R142" t="s">
        <v>131</v>
      </c>
      <c r="U142" s="75">
        <v>172109</v>
      </c>
      <c r="V142" t="s">
        <v>900</v>
      </c>
      <c r="W142" t="s">
        <v>901</v>
      </c>
      <c r="X142" t="s">
        <v>62</v>
      </c>
      <c r="Y142" t="s">
        <v>63</v>
      </c>
      <c r="AA142" t="s">
        <v>416</v>
      </c>
      <c r="AB142">
        <v>71.700001999999998</v>
      </c>
      <c r="AC142">
        <v>58.8</v>
      </c>
      <c r="AD142">
        <v>12.900002000000001</v>
      </c>
      <c r="AE142">
        <v>0.13333400000000001</v>
      </c>
      <c r="AF142">
        <v>0</v>
      </c>
      <c r="AG142">
        <v>12.766667999999999</v>
      </c>
      <c r="AH142">
        <v>12.766667999999999</v>
      </c>
      <c r="AI142">
        <v>11.166667</v>
      </c>
      <c r="AJ142">
        <v>1.600001</v>
      </c>
      <c r="AK142">
        <v>0</v>
      </c>
      <c r="AL142" s="76">
        <v>45614.611793981479</v>
      </c>
      <c r="AM142" s="75">
        <v>420</v>
      </c>
      <c r="AN142" t="s">
        <v>65</v>
      </c>
      <c r="AO142" t="s">
        <v>902</v>
      </c>
      <c r="AP142" t="s">
        <v>67</v>
      </c>
      <c r="AQ142" t="s">
        <v>68</v>
      </c>
      <c r="AR142" t="s">
        <v>69</v>
      </c>
      <c r="AS142" s="78"/>
      <c r="AT142" s="82" t="s">
        <v>696</v>
      </c>
      <c r="AU142" s="78">
        <v>2026</v>
      </c>
      <c r="AV142" s="78">
        <v>1</v>
      </c>
      <c r="AW142" s="78" t="s">
        <v>71</v>
      </c>
      <c r="AX142" s="78">
        <v>0</v>
      </c>
      <c r="AY142" s="78">
        <v>0</v>
      </c>
      <c r="BT142" s="2" t="s">
        <v>71</v>
      </c>
      <c r="BU142" s="2">
        <v>0</v>
      </c>
      <c r="BV142" s="2">
        <v>0</v>
      </c>
    </row>
    <row r="143" spans="1:74" ht="15" customHeight="1" x14ac:dyDescent="0.25">
      <c r="A143" s="75">
        <v>5776207</v>
      </c>
      <c r="B143" t="s">
        <v>903</v>
      </c>
      <c r="C143" t="s">
        <v>904</v>
      </c>
      <c r="D143" t="s">
        <v>74</v>
      </c>
      <c r="E143" t="s">
        <v>54</v>
      </c>
      <c r="F143" s="75">
        <v>93</v>
      </c>
      <c r="G143" s="75">
        <v>240507</v>
      </c>
      <c r="H143">
        <v>188.59</v>
      </c>
      <c r="I143" t="s">
        <v>195</v>
      </c>
      <c r="J143" s="75">
        <v>1819</v>
      </c>
      <c r="K143" t="s">
        <v>759</v>
      </c>
      <c r="L143" t="s">
        <v>760</v>
      </c>
      <c r="M143" s="81">
        <v>46036.443738425929</v>
      </c>
      <c r="N143" s="81">
        <v>46037.732048611113</v>
      </c>
      <c r="O143" t="s">
        <v>58</v>
      </c>
      <c r="P143" t="s">
        <v>59</v>
      </c>
      <c r="Q143" t="s">
        <v>905</v>
      </c>
      <c r="R143" t="s">
        <v>60</v>
      </c>
      <c r="U143" s="75">
        <v>172405</v>
      </c>
      <c r="V143" t="s">
        <v>906</v>
      </c>
      <c r="W143" t="s">
        <v>906</v>
      </c>
      <c r="X143" t="s">
        <v>62</v>
      </c>
      <c r="Y143" t="s">
        <v>63</v>
      </c>
      <c r="AA143" t="s">
        <v>64</v>
      </c>
      <c r="AB143">
        <v>30.866667</v>
      </c>
      <c r="AC143">
        <v>23.85</v>
      </c>
      <c r="AD143">
        <v>7.016667</v>
      </c>
      <c r="AE143">
        <v>6.6667000000000004E-2</v>
      </c>
      <c r="AF143">
        <v>0</v>
      </c>
      <c r="AG143">
        <v>6.95</v>
      </c>
      <c r="AH143">
        <v>6.95</v>
      </c>
      <c r="AI143">
        <v>6.9</v>
      </c>
      <c r="AJ143">
        <v>0.05</v>
      </c>
      <c r="AK143">
        <v>0</v>
      </c>
      <c r="AL143" s="76">
        <v>44169</v>
      </c>
      <c r="AM143" s="75">
        <v>1867</v>
      </c>
      <c r="AN143" t="s">
        <v>65</v>
      </c>
      <c r="AO143" t="s">
        <v>762</v>
      </c>
      <c r="AP143" t="s">
        <v>67</v>
      </c>
      <c r="AQ143" t="s">
        <v>68</v>
      </c>
      <c r="AR143" t="s">
        <v>69</v>
      </c>
      <c r="AS143" s="79"/>
      <c r="AT143" s="82" t="s">
        <v>696</v>
      </c>
      <c r="AU143" s="78">
        <v>2026</v>
      </c>
      <c r="AV143" s="78">
        <v>1</v>
      </c>
      <c r="AW143" s="78" t="s">
        <v>71</v>
      </c>
      <c r="AX143" s="78">
        <v>1</v>
      </c>
      <c r="AY143" s="78">
        <v>0</v>
      </c>
      <c r="BT143" s="3" t="s">
        <v>71</v>
      </c>
      <c r="BU143" s="3">
        <v>1</v>
      </c>
      <c r="BV143" s="3">
        <v>0</v>
      </c>
    </row>
    <row r="144" spans="1:74" ht="15" customHeight="1" x14ac:dyDescent="0.25">
      <c r="A144" s="75">
        <v>5769177</v>
      </c>
      <c r="B144" t="s">
        <v>907</v>
      </c>
      <c r="C144" t="s">
        <v>908</v>
      </c>
      <c r="D144" t="s">
        <v>265</v>
      </c>
      <c r="E144" t="s">
        <v>87</v>
      </c>
      <c r="F144" s="75">
        <v>434</v>
      </c>
      <c r="G144" s="75">
        <v>287949</v>
      </c>
      <c r="H144">
        <v>154.15</v>
      </c>
      <c r="I144" t="s">
        <v>853</v>
      </c>
      <c r="J144" s="75">
        <v>49495</v>
      </c>
      <c r="K144" t="s">
        <v>460</v>
      </c>
      <c r="L144" t="s">
        <v>461</v>
      </c>
      <c r="M144" s="81">
        <v>46031.60460648148</v>
      </c>
      <c r="N144" s="81">
        <v>46037.758611111109</v>
      </c>
      <c r="O144" t="s">
        <v>58</v>
      </c>
      <c r="P144" t="s">
        <v>59</v>
      </c>
      <c r="Q144" t="s">
        <v>90</v>
      </c>
      <c r="R144" t="s">
        <v>99</v>
      </c>
      <c r="U144" s="75">
        <v>171397</v>
      </c>
      <c r="V144" t="s">
        <v>909</v>
      </c>
      <c r="X144" t="s">
        <v>62</v>
      </c>
      <c r="Y144" t="s">
        <v>910</v>
      </c>
      <c r="AA144" t="s">
        <v>416</v>
      </c>
      <c r="AB144">
        <v>147.55000100000001</v>
      </c>
      <c r="AC144">
        <v>126.516668</v>
      </c>
      <c r="AD144">
        <v>21.033332999999999</v>
      </c>
      <c r="AE144">
        <v>1.2333339999999999</v>
      </c>
      <c r="AF144">
        <v>0</v>
      </c>
      <c r="AG144">
        <v>19.799999</v>
      </c>
      <c r="AH144">
        <v>19.799999</v>
      </c>
      <c r="AI144">
        <v>19.2</v>
      </c>
      <c r="AJ144">
        <v>0.59999899999999995</v>
      </c>
      <c r="AK144">
        <v>0</v>
      </c>
      <c r="AL144" s="76">
        <v>45428</v>
      </c>
      <c r="AM144" s="75">
        <v>603</v>
      </c>
      <c r="AN144" t="s">
        <v>65</v>
      </c>
      <c r="AO144" t="s">
        <v>911</v>
      </c>
      <c r="AP144" t="s">
        <v>67</v>
      </c>
      <c r="AQ144" t="s">
        <v>68</v>
      </c>
      <c r="AR144" t="s">
        <v>69</v>
      </c>
      <c r="AS144" s="78"/>
      <c r="AT144" s="82" t="s">
        <v>696</v>
      </c>
      <c r="AU144" s="78">
        <v>2026</v>
      </c>
      <c r="AV144" s="78">
        <v>1</v>
      </c>
      <c r="AW144" s="78" t="s">
        <v>137</v>
      </c>
      <c r="AX144" s="78">
        <v>0</v>
      </c>
      <c r="AY144" s="78">
        <v>0</v>
      </c>
      <c r="BT144" s="2" t="s">
        <v>137</v>
      </c>
      <c r="BU144" s="2">
        <v>0</v>
      </c>
      <c r="BV144" s="2">
        <v>0</v>
      </c>
    </row>
    <row r="145" spans="1:74" ht="15" customHeight="1" x14ac:dyDescent="0.25">
      <c r="A145" s="75">
        <v>5777923</v>
      </c>
      <c r="B145" t="s">
        <v>912</v>
      </c>
      <c r="C145" t="s">
        <v>913</v>
      </c>
      <c r="D145" t="s">
        <v>809</v>
      </c>
      <c r="E145" t="s">
        <v>87</v>
      </c>
      <c r="F145" s="75">
        <v>220</v>
      </c>
      <c r="G145" s="75">
        <v>286115</v>
      </c>
      <c r="H145">
        <v>521.37</v>
      </c>
      <c r="I145" t="s">
        <v>55</v>
      </c>
      <c r="J145" s="75">
        <v>218787</v>
      </c>
      <c r="K145" t="s">
        <v>96</v>
      </c>
      <c r="L145" t="s">
        <v>97</v>
      </c>
      <c r="M145" s="81">
        <v>46037.500578703701</v>
      </c>
      <c r="N145" s="81">
        <v>46038.516527777778</v>
      </c>
      <c r="O145" t="s">
        <v>58</v>
      </c>
      <c r="P145" t="s">
        <v>59</v>
      </c>
      <c r="Q145" t="s">
        <v>98</v>
      </c>
      <c r="R145" t="s">
        <v>60</v>
      </c>
      <c r="U145" s="75">
        <v>173149</v>
      </c>
      <c r="V145" t="s">
        <v>914</v>
      </c>
      <c r="W145" t="s">
        <v>915</v>
      </c>
      <c r="X145" t="s">
        <v>62</v>
      </c>
      <c r="Y145" t="s">
        <v>63</v>
      </c>
      <c r="AA145" t="s">
        <v>64</v>
      </c>
      <c r="AB145">
        <v>24.333334000000001</v>
      </c>
      <c r="AC145">
        <v>19.100000000000001</v>
      </c>
      <c r="AD145">
        <v>5.2333340000000002</v>
      </c>
      <c r="AE145">
        <v>0.25</v>
      </c>
      <c r="AF145">
        <v>0</v>
      </c>
      <c r="AG145">
        <v>4.9833340000000002</v>
      </c>
      <c r="AH145">
        <v>4.9833340000000002</v>
      </c>
      <c r="AI145">
        <v>4.8166669999999998</v>
      </c>
      <c r="AJ145">
        <v>0.16666700000000001</v>
      </c>
      <c r="AK145">
        <v>0</v>
      </c>
      <c r="AL145" s="76">
        <v>44922</v>
      </c>
      <c r="AM145" s="75">
        <v>1115</v>
      </c>
      <c r="AN145" t="s">
        <v>65</v>
      </c>
      <c r="AO145" t="s">
        <v>916</v>
      </c>
      <c r="AP145" t="s">
        <v>67</v>
      </c>
      <c r="AQ145" t="s">
        <v>68</v>
      </c>
      <c r="AR145" t="s">
        <v>69</v>
      </c>
      <c r="AS145" s="79"/>
      <c r="AT145" s="82" t="s">
        <v>696</v>
      </c>
      <c r="AU145" s="78">
        <v>2026</v>
      </c>
      <c r="AV145" s="78">
        <v>1</v>
      </c>
      <c r="AW145" s="78" t="s">
        <v>71</v>
      </c>
      <c r="AX145" s="78">
        <v>1</v>
      </c>
      <c r="AY145" s="78">
        <v>0</v>
      </c>
      <c r="BT145" s="3" t="s">
        <v>71</v>
      </c>
      <c r="BU145" s="3">
        <v>1</v>
      </c>
      <c r="BV145" s="3">
        <v>0</v>
      </c>
    </row>
    <row r="146" spans="1:74" ht="15" customHeight="1" x14ac:dyDescent="0.25">
      <c r="A146" s="75">
        <v>5777787</v>
      </c>
      <c r="B146" t="s">
        <v>917</v>
      </c>
      <c r="C146" t="s">
        <v>918</v>
      </c>
      <c r="D146" t="s">
        <v>809</v>
      </c>
      <c r="E146" t="s">
        <v>87</v>
      </c>
      <c r="F146" s="75">
        <v>507</v>
      </c>
      <c r="G146" s="75">
        <v>292001</v>
      </c>
      <c r="H146">
        <v>364.95</v>
      </c>
      <c r="I146" t="s">
        <v>55</v>
      </c>
      <c r="J146" s="75">
        <v>218787</v>
      </c>
      <c r="K146" t="s">
        <v>96</v>
      </c>
      <c r="L146" t="s">
        <v>97</v>
      </c>
      <c r="M146" s="81">
        <v>46037.451979166668</v>
      </c>
      <c r="N146" s="81">
        <v>46038.516770833332</v>
      </c>
      <c r="O146" t="s">
        <v>58</v>
      </c>
      <c r="P146" t="s">
        <v>59</v>
      </c>
      <c r="Q146" t="s">
        <v>90</v>
      </c>
      <c r="R146" t="s">
        <v>60</v>
      </c>
      <c r="U146" s="75">
        <v>173075</v>
      </c>
      <c r="V146" t="s">
        <v>919</v>
      </c>
      <c r="W146" t="s">
        <v>919</v>
      </c>
      <c r="X146" t="s">
        <v>62</v>
      </c>
      <c r="Y146" t="s">
        <v>63</v>
      </c>
      <c r="AA146" t="s">
        <v>64</v>
      </c>
      <c r="AB146">
        <v>25.516667999999999</v>
      </c>
      <c r="AC146">
        <v>19.2</v>
      </c>
      <c r="AD146">
        <v>6.3166679999999999</v>
      </c>
      <c r="AE146">
        <v>0.216667</v>
      </c>
      <c r="AF146">
        <v>0</v>
      </c>
      <c r="AG146">
        <v>6.1000009999999998</v>
      </c>
      <c r="AH146">
        <v>6.1000009999999998</v>
      </c>
      <c r="AI146">
        <v>6.033334</v>
      </c>
      <c r="AJ146">
        <v>6.6667000000000004E-2</v>
      </c>
      <c r="AK146">
        <v>0</v>
      </c>
      <c r="AL146" s="76">
        <v>45156</v>
      </c>
      <c r="AM146" s="75">
        <v>881</v>
      </c>
      <c r="AN146" t="s">
        <v>65</v>
      </c>
      <c r="AO146" t="s">
        <v>920</v>
      </c>
      <c r="AP146" t="s">
        <v>67</v>
      </c>
      <c r="AQ146" t="s">
        <v>68</v>
      </c>
      <c r="AR146" t="s">
        <v>69</v>
      </c>
      <c r="AS146" s="78"/>
      <c r="AT146" s="82" t="s">
        <v>696</v>
      </c>
      <c r="AU146" s="78">
        <v>2026</v>
      </c>
      <c r="AV146" s="78">
        <v>1</v>
      </c>
      <c r="AW146" s="78" t="s">
        <v>71</v>
      </c>
      <c r="AX146" s="78">
        <v>1</v>
      </c>
      <c r="AY146" s="78">
        <v>0</v>
      </c>
      <c r="BT146" s="2" t="s">
        <v>71</v>
      </c>
      <c r="BU146" s="2">
        <v>1</v>
      </c>
      <c r="BV146" s="2">
        <v>0</v>
      </c>
    </row>
    <row r="147" spans="1:74" ht="15" customHeight="1" x14ac:dyDescent="0.25">
      <c r="A147" s="75">
        <v>5778763</v>
      </c>
      <c r="B147" t="s">
        <v>921</v>
      </c>
      <c r="C147" t="s">
        <v>922</v>
      </c>
      <c r="D147" t="s">
        <v>527</v>
      </c>
      <c r="E147" t="s">
        <v>87</v>
      </c>
      <c r="F147" s="75">
        <v>481</v>
      </c>
      <c r="G147" s="75">
        <v>301959</v>
      </c>
      <c r="H147">
        <v>512.08000000000004</v>
      </c>
      <c r="I147" t="s">
        <v>55</v>
      </c>
      <c r="J147" s="75">
        <v>49495</v>
      </c>
      <c r="K147" t="s">
        <v>460</v>
      </c>
      <c r="L147" t="s">
        <v>461</v>
      </c>
      <c r="M147" s="81">
        <v>46038.278344907398</v>
      </c>
      <c r="N147" s="81">
        <v>46038.517384259263</v>
      </c>
      <c r="O147" t="s">
        <v>58</v>
      </c>
      <c r="P147" t="s">
        <v>59</v>
      </c>
      <c r="Q147" t="s">
        <v>90</v>
      </c>
      <c r="R147" t="s">
        <v>99</v>
      </c>
      <c r="U147" s="75"/>
      <c r="X147" t="s">
        <v>62</v>
      </c>
      <c r="Y147" t="s">
        <v>63</v>
      </c>
      <c r="AA147" t="s">
        <v>81</v>
      </c>
      <c r="AB147">
        <v>5.6833340000000003</v>
      </c>
      <c r="AC147">
        <v>5.3833339999999996</v>
      </c>
      <c r="AD147">
        <v>0.3</v>
      </c>
      <c r="AE147">
        <v>0.183333</v>
      </c>
      <c r="AF147">
        <v>0</v>
      </c>
      <c r="AG147">
        <v>0.11666700000000001</v>
      </c>
      <c r="AH147">
        <v>0.11666700000000001</v>
      </c>
      <c r="AI147">
        <v>0</v>
      </c>
      <c r="AJ147">
        <v>0.11666700000000001</v>
      </c>
      <c r="AK147">
        <v>0</v>
      </c>
      <c r="AL147" s="76">
        <v>45387</v>
      </c>
      <c r="AM147" s="75">
        <v>651</v>
      </c>
      <c r="AN147" t="s">
        <v>65</v>
      </c>
      <c r="AO147" t="s">
        <v>923</v>
      </c>
      <c r="AP147" t="s">
        <v>67</v>
      </c>
      <c r="AQ147" t="s">
        <v>68</v>
      </c>
      <c r="AR147" t="s">
        <v>69</v>
      </c>
      <c r="AS147" s="79"/>
      <c r="AT147" s="82" t="s">
        <v>696</v>
      </c>
      <c r="AU147" s="78">
        <v>2026</v>
      </c>
      <c r="AV147" s="78">
        <v>1</v>
      </c>
      <c r="AW147" s="78" t="s">
        <v>71</v>
      </c>
      <c r="AX147" s="78">
        <v>1</v>
      </c>
      <c r="AY147" s="78">
        <v>0</v>
      </c>
      <c r="BT147" s="3" t="s">
        <v>71</v>
      </c>
      <c r="BU147" s="3">
        <v>1</v>
      </c>
      <c r="BV147" s="3">
        <v>0</v>
      </c>
    </row>
    <row r="148" spans="1:74" ht="15" customHeight="1" x14ac:dyDescent="0.25">
      <c r="A148" s="75">
        <v>5778695</v>
      </c>
      <c r="B148" t="s">
        <v>924</v>
      </c>
      <c r="C148" t="s">
        <v>925</v>
      </c>
      <c r="D148" t="s">
        <v>527</v>
      </c>
      <c r="E148" t="s">
        <v>54</v>
      </c>
      <c r="F148" s="75">
        <v>1</v>
      </c>
      <c r="G148" s="75">
        <v>293657</v>
      </c>
      <c r="H148">
        <v>932.99</v>
      </c>
      <c r="I148" t="s">
        <v>114</v>
      </c>
      <c r="J148" s="75">
        <v>218115</v>
      </c>
      <c r="K148" t="s">
        <v>514</v>
      </c>
      <c r="L148" t="s">
        <v>515</v>
      </c>
      <c r="M148" s="81">
        <v>46038.049351851849</v>
      </c>
      <c r="N148" s="81">
        <v>46038.522372685176</v>
      </c>
      <c r="O148" t="s">
        <v>58</v>
      </c>
      <c r="P148" t="s">
        <v>59</v>
      </c>
      <c r="Q148" t="s">
        <v>90</v>
      </c>
      <c r="R148" t="s">
        <v>60</v>
      </c>
      <c r="U148" s="75">
        <v>173449</v>
      </c>
      <c r="V148" t="s">
        <v>926</v>
      </c>
      <c r="W148" t="s">
        <v>926</v>
      </c>
      <c r="X148" t="s">
        <v>79</v>
      </c>
      <c r="Y148" t="s">
        <v>246</v>
      </c>
      <c r="AA148" t="s">
        <v>81</v>
      </c>
      <c r="AB148">
        <v>11.299999</v>
      </c>
      <c r="AC148">
        <v>10.666665999999999</v>
      </c>
      <c r="AD148">
        <v>0.63333300000000003</v>
      </c>
      <c r="AE148">
        <v>0.316666</v>
      </c>
      <c r="AF148">
        <v>0</v>
      </c>
      <c r="AG148">
        <v>0.31666699999999998</v>
      </c>
      <c r="AH148">
        <v>0.31666699999999998</v>
      </c>
      <c r="AI148">
        <v>0</v>
      </c>
      <c r="AJ148">
        <v>0.31666699999999998</v>
      </c>
      <c r="AK148">
        <v>0</v>
      </c>
      <c r="AL148" s="76">
        <v>45196.541828703703</v>
      </c>
      <c r="AM148" s="75">
        <v>841</v>
      </c>
      <c r="AN148" t="s">
        <v>65</v>
      </c>
      <c r="AO148" t="s">
        <v>517</v>
      </c>
      <c r="AP148" t="s">
        <v>67</v>
      </c>
      <c r="AQ148" t="s">
        <v>83</v>
      </c>
      <c r="AR148" t="s">
        <v>69</v>
      </c>
      <c r="AS148" s="78"/>
      <c r="AT148" s="82" t="s">
        <v>696</v>
      </c>
      <c r="AU148" s="78">
        <v>2026</v>
      </c>
      <c r="AV148" s="78">
        <v>1</v>
      </c>
      <c r="AW148" s="78" t="s">
        <v>84</v>
      </c>
      <c r="AX148" s="78">
        <v>1</v>
      </c>
      <c r="AY148" s="78">
        <v>0</v>
      </c>
      <c r="BT148" s="2" t="s">
        <v>84</v>
      </c>
      <c r="BU148" s="2">
        <v>1</v>
      </c>
      <c r="BV148" s="2">
        <v>0</v>
      </c>
    </row>
    <row r="149" spans="1:74" ht="15" customHeight="1" x14ac:dyDescent="0.25">
      <c r="A149" s="75">
        <v>5776423</v>
      </c>
      <c r="B149" t="s">
        <v>927</v>
      </c>
      <c r="C149" t="s">
        <v>928</v>
      </c>
      <c r="D149" t="s">
        <v>809</v>
      </c>
      <c r="E149" t="s">
        <v>54</v>
      </c>
      <c r="F149" s="75">
        <v>108</v>
      </c>
      <c r="G149" s="75">
        <v>295681</v>
      </c>
      <c r="H149">
        <v>100</v>
      </c>
      <c r="I149" t="s">
        <v>195</v>
      </c>
      <c r="J149" s="75">
        <v>13955</v>
      </c>
      <c r="K149" t="s">
        <v>75</v>
      </c>
      <c r="L149" t="s">
        <v>76</v>
      </c>
      <c r="M149" s="81">
        <v>46036.542905092603</v>
      </c>
      <c r="N149" s="81">
        <v>46038.52616898148</v>
      </c>
      <c r="O149" t="s">
        <v>58</v>
      </c>
      <c r="P149" t="s">
        <v>59</v>
      </c>
      <c r="Q149" t="s">
        <v>77</v>
      </c>
      <c r="R149" t="s">
        <v>60</v>
      </c>
      <c r="U149" s="75">
        <v>172771</v>
      </c>
      <c r="V149" t="s">
        <v>929</v>
      </c>
      <c r="W149" t="s">
        <v>930</v>
      </c>
      <c r="X149" t="s">
        <v>62</v>
      </c>
      <c r="Y149" t="s">
        <v>931</v>
      </c>
      <c r="AA149" t="s">
        <v>64</v>
      </c>
      <c r="AB149">
        <v>47.533332999999999</v>
      </c>
      <c r="AC149">
        <v>42.6</v>
      </c>
      <c r="AD149">
        <v>4.9333330000000002</v>
      </c>
      <c r="AE149">
        <v>0.3</v>
      </c>
      <c r="AF149">
        <v>0</v>
      </c>
      <c r="AG149">
        <v>4.6333330000000004</v>
      </c>
      <c r="AH149">
        <v>4.6333330000000004</v>
      </c>
      <c r="AI149">
        <v>4.233333</v>
      </c>
      <c r="AJ149">
        <v>0.4</v>
      </c>
      <c r="AK149">
        <v>0</v>
      </c>
      <c r="AL149" s="76">
        <v>45436</v>
      </c>
      <c r="AM149" s="75">
        <v>600</v>
      </c>
      <c r="AN149" t="s">
        <v>65</v>
      </c>
      <c r="AO149" t="s">
        <v>932</v>
      </c>
      <c r="AP149" t="s">
        <v>67</v>
      </c>
      <c r="AQ149" t="s">
        <v>68</v>
      </c>
      <c r="AR149" t="s">
        <v>69</v>
      </c>
      <c r="AS149" s="79"/>
      <c r="AT149" s="82" t="s">
        <v>696</v>
      </c>
      <c r="AU149" s="78">
        <v>2026</v>
      </c>
      <c r="AV149" s="78">
        <v>1</v>
      </c>
      <c r="AW149" s="78" t="s">
        <v>71</v>
      </c>
      <c r="AX149" s="78">
        <v>1</v>
      </c>
      <c r="AY149" s="78">
        <v>0</v>
      </c>
      <c r="BT149" s="3" t="s">
        <v>71</v>
      </c>
      <c r="BU149" s="3">
        <v>1</v>
      </c>
      <c r="BV149" s="3">
        <v>0</v>
      </c>
    </row>
    <row r="150" spans="1:74" ht="15" customHeight="1" x14ac:dyDescent="0.25">
      <c r="A150" s="75">
        <v>5775281</v>
      </c>
      <c r="B150" t="s">
        <v>933</v>
      </c>
      <c r="C150" t="s">
        <v>934</v>
      </c>
      <c r="D150" t="s">
        <v>527</v>
      </c>
      <c r="E150" t="s">
        <v>126</v>
      </c>
      <c r="F150" s="75">
        <v>31</v>
      </c>
      <c r="G150" s="75">
        <v>329599</v>
      </c>
      <c r="H150">
        <v>0.01</v>
      </c>
      <c r="I150" t="s">
        <v>175</v>
      </c>
      <c r="J150" s="75">
        <v>19489</v>
      </c>
      <c r="K150" t="s">
        <v>935</v>
      </c>
      <c r="L150" t="s">
        <v>936</v>
      </c>
      <c r="M150" s="81">
        <v>46035.646423611113</v>
      </c>
      <c r="N150" s="81">
        <v>46038.528703703712</v>
      </c>
      <c r="O150" t="s">
        <v>58</v>
      </c>
      <c r="P150" t="s">
        <v>59</v>
      </c>
      <c r="Q150" t="s">
        <v>90</v>
      </c>
      <c r="R150" t="s">
        <v>60</v>
      </c>
      <c r="T150" t="s">
        <v>937</v>
      </c>
      <c r="U150" s="75">
        <v>173457</v>
      </c>
      <c r="V150" t="s">
        <v>938</v>
      </c>
      <c r="W150" t="s">
        <v>939</v>
      </c>
      <c r="X150" t="s">
        <v>62</v>
      </c>
      <c r="Y150" t="s">
        <v>63</v>
      </c>
      <c r="AA150" t="s">
        <v>295</v>
      </c>
      <c r="AB150">
        <v>69.050000999999995</v>
      </c>
      <c r="AC150">
        <v>38.533334000000004</v>
      </c>
      <c r="AD150">
        <v>30.516667000000002</v>
      </c>
      <c r="AE150">
        <v>3.6666669999999999</v>
      </c>
      <c r="AF150">
        <v>0</v>
      </c>
      <c r="AG150">
        <v>26.85</v>
      </c>
      <c r="AH150">
        <v>26.85</v>
      </c>
      <c r="AI150">
        <v>24.5</v>
      </c>
      <c r="AJ150">
        <v>2.35</v>
      </c>
      <c r="AK150">
        <v>0</v>
      </c>
      <c r="AL150" s="76">
        <v>45901</v>
      </c>
      <c r="AM150" s="75">
        <v>134</v>
      </c>
      <c r="AN150" t="s">
        <v>65</v>
      </c>
      <c r="AO150" t="s">
        <v>940</v>
      </c>
      <c r="AP150" t="s">
        <v>67</v>
      </c>
      <c r="AQ150" t="s">
        <v>68</v>
      </c>
      <c r="AR150" t="s">
        <v>69</v>
      </c>
      <c r="AS150" s="78"/>
      <c r="AT150" s="82" t="s">
        <v>696</v>
      </c>
      <c r="AU150" s="78">
        <v>2026</v>
      </c>
      <c r="AV150" s="78">
        <v>1</v>
      </c>
      <c r="AW150" s="78" t="s">
        <v>71</v>
      </c>
      <c r="AX150" s="78">
        <v>0</v>
      </c>
      <c r="AY150" s="78">
        <v>1</v>
      </c>
      <c r="BT150" s="2" t="s">
        <v>71</v>
      </c>
      <c r="BU150" s="2">
        <v>0</v>
      </c>
      <c r="BV150" s="2">
        <v>1</v>
      </c>
    </row>
    <row r="151" spans="1:74" ht="15" customHeight="1" x14ac:dyDescent="0.25">
      <c r="A151" s="75">
        <v>5778873</v>
      </c>
      <c r="B151" t="s">
        <v>941</v>
      </c>
      <c r="C151" t="s">
        <v>942</v>
      </c>
      <c r="D151" t="s">
        <v>150</v>
      </c>
      <c r="E151" t="s">
        <v>54</v>
      </c>
      <c r="F151" s="75">
        <v>1</v>
      </c>
      <c r="G151" s="75">
        <v>254945</v>
      </c>
      <c r="H151">
        <v>1047.25</v>
      </c>
      <c r="I151" t="s">
        <v>114</v>
      </c>
      <c r="J151" s="75">
        <v>204493</v>
      </c>
      <c r="K151" t="s">
        <v>943</v>
      </c>
      <c r="L151" t="s">
        <v>944</v>
      </c>
      <c r="M151" s="81">
        <v>46038.359976851847</v>
      </c>
      <c r="N151" s="81">
        <v>46038.528865740736</v>
      </c>
      <c r="O151" t="s">
        <v>58</v>
      </c>
      <c r="P151" t="s">
        <v>59</v>
      </c>
      <c r="Q151" t="s">
        <v>341</v>
      </c>
      <c r="R151" t="s">
        <v>131</v>
      </c>
      <c r="U151" s="75">
        <v>173651</v>
      </c>
      <c r="V151" t="s">
        <v>945</v>
      </c>
      <c r="X151" t="s">
        <v>62</v>
      </c>
      <c r="Y151" t="s">
        <v>63</v>
      </c>
      <c r="AA151" t="s">
        <v>81</v>
      </c>
      <c r="AB151">
        <v>4</v>
      </c>
      <c r="AC151">
        <v>0.35</v>
      </c>
      <c r="AD151">
        <v>3.65</v>
      </c>
      <c r="AE151">
        <v>0.1</v>
      </c>
      <c r="AF151">
        <v>0</v>
      </c>
      <c r="AG151">
        <v>3.55</v>
      </c>
      <c r="AH151">
        <v>3.55</v>
      </c>
      <c r="AI151">
        <v>3.2166670000000002</v>
      </c>
      <c r="AJ151">
        <v>0.33333299999999999</v>
      </c>
      <c r="AK151">
        <v>0</v>
      </c>
      <c r="AL151" s="76">
        <v>44844.379606481481</v>
      </c>
      <c r="AM151" s="75">
        <v>1193</v>
      </c>
      <c r="AN151" t="s">
        <v>65</v>
      </c>
      <c r="AO151" t="s">
        <v>946</v>
      </c>
      <c r="AP151" t="s">
        <v>67</v>
      </c>
      <c r="AQ151" t="s">
        <v>68</v>
      </c>
      <c r="AR151" t="s">
        <v>69</v>
      </c>
      <c r="AS151" s="79"/>
      <c r="AT151" s="82" t="s">
        <v>696</v>
      </c>
      <c r="AU151" s="78">
        <v>2026</v>
      </c>
      <c r="AV151" s="78">
        <v>1</v>
      </c>
      <c r="AW151" s="78" t="s">
        <v>71</v>
      </c>
      <c r="AX151" s="78">
        <v>1</v>
      </c>
      <c r="AY151" s="78">
        <v>0</v>
      </c>
      <c r="BT151" s="3" t="s">
        <v>71</v>
      </c>
      <c r="BU151" s="3">
        <v>1</v>
      </c>
      <c r="BV151" s="3">
        <v>0</v>
      </c>
    </row>
    <row r="152" spans="1:74" ht="15" customHeight="1" x14ac:dyDescent="0.25">
      <c r="A152" s="75">
        <v>5777939</v>
      </c>
      <c r="B152" t="s">
        <v>947</v>
      </c>
      <c r="C152" t="s">
        <v>948</v>
      </c>
      <c r="D152" t="s">
        <v>527</v>
      </c>
      <c r="E152" t="s">
        <v>54</v>
      </c>
      <c r="F152" s="75">
        <v>9</v>
      </c>
      <c r="G152" s="75">
        <v>342223</v>
      </c>
      <c r="H152">
        <v>560</v>
      </c>
      <c r="I152" t="s">
        <v>175</v>
      </c>
      <c r="J152" s="75">
        <v>204817</v>
      </c>
      <c r="K152" t="s">
        <v>949</v>
      </c>
      <c r="L152" t="s">
        <v>950</v>
      </c>
      <c r="M152" s="81">
        <v>46037.505023148151</v>
      </c>
      <c r="N152" s="81">
        <v>46038.547974537039</v>
      </c>
      <c r="O152" t="s">
        <v>58</v>
      </c>
      <c r="P152" t="s">
        <v>59</v>
      </c>
      <c r="Q152" t="s">
        <v>130</v>
      </c>
      <c r="R152" t="s">
        <v>131</v>
      </c>
      <c r="U152" s="75">
        <v>173463</v>
      </c>
      <c r="V152" t="s">
        <v>951</v>
      </c>
      <c r="W152" t="s">
        <v>952</v>
      </c>
      <c r="X152" t="s">
        <v>62</v>
      </c>
      <c r="Y152" t="s">
        <v>63</v>
      </c>
      <c r="AA152" t="s">
        <v>101</v>
      </c>
      <c r="AB152">
        <v>24.966667999999999</v>
      </c>
      <c r="AC152">
        <v>14.883333</v>
      </c>
      <c r="AD152">
        <v>10.083335</v>
      </c>
      <c r="AE152">
        <v>0.81666700000000003</v>
      </c>
      <c r="AF152">
        <v>0</v>
      </c>
      <c r="AG152">
        <v>9.2666679999999992</v>
      </c>
      <c r="AH152">
        <v>9.2666679999999992</v>
      </c>
      <c r="AI152">
        <v>8.6000010000000007</v>
      </c>
      <c r="AJ152">
        <v>0.66666700000000001</v>
      </c>
      <c r="AK152">
        <v>0</v>
      </c>
      <c r="AL152" s="76">
        <v>45889.579675925917</v>
      </c>
      <c r="AM152" s="75">
        <v>147</v>
      </c>
      <c r="AN152" t="s">
        <v>65</v>
      </c>
      <c r="AO152" t="s">
        <v>953</v>
      </c>
      <c r="AP152" t="s">
        <v>67</v>
      </c>
      <c r="AQ152" t="s">
        <v>68</v>
      </c>
      <c r="AR152" t="s">
        <v>69</v>
      </c>
      <c r="AS152" s="78"/>
      <c r="AT152" s="82" t="s">
        <v>696</v>
      </c>
      <c r="AU152" s="78">
        <v>2026</v>
      </c>
      <c r="AV152" s="78">
        <v>1</v>
      </c>
      <c r="AW152" s="78" t="s">
        <v>71</v>
      </c>
      <c r="AX152" s="78">
        <v>0</v>
      </c>
      <c r="AY152" s="78">
        <v>0</v>
      </c>
      <c r="BT152" s="2" t="s">
        <v>71</v>
      </c>
      <c r="BU152" s="2">
        <v>0</v>
      </c>
      <c r="BV152" s="2">
        <v>0</v>
      </c>
    </row>
    <row r="153" spans="1:74" ht="15" customHeight="1" x14ac:dyDescent="0.25">
      <c r="A153" s="75">
        <v>5778451</v>
      </c>
      <c r="B153" t="s">
        <v>954</v>
      </c>
      <c r="C153" t="s">
        <v>955</v>
      </c>
      <c r="D153" t="s">
        <v>956</v>
      </c>
      <c r="E153" t="s">
        <v>54</v>
      </c>
      <c r="F153" s="75">
        <v>1</v>
      </c>
      <c r="G153" s="75">
        <v>330947</v>
      </c>
      <c r="H153">
        <v>800</v>
      </c>
      <c r="I153" t="s">
        <v>141</v>
      </c>
      <c r="J153" s="75">
        <v>225005</v>
      </c>
      <c r="K153" t="s">
        <v>397</v>
      </c>
      <c r="L153" t="s">
        <v>398</v>
      </c>
      <c r="M153" s="81">
        <v>46037.699363425927</v>
      </c>
      <c r="N153" s="81">
        <v>46038.589120370372</v>
      </c>
      <c r="O153" t="s">
        <v>277</v>
      </c>
      <c r="P153" t="s">
        <v>59</v>
      </c>
      <c r="Q153" t="s">
        <v>130</v>
      </c>
      <c r="R153" t="s">
        <v>99</v>
      </c>
      <c r="U153" s="75">
        <v>173795</v>
      </c>
      <c r="V153" t="s">
        <v>957</v>
      </c>
      <c r="W153" t="s">
        <v>958</v>
      </c>
      <c r="X153" t="s">
        <v>118</v>
      </c>
      <c r="Y153" t="s">
        <v>400</v>
      </c>
      <c r="AA153" t="s">
        <v>64</v>
      </c>
      <c r="AB153">
        <v>21.283332000000001</v>
      </c>
      <c r="AC153">
        <v>16.733332999999998</v>
      </c>
      <c r="AD153">
        <v>4.5499989999999997</v>
      </c>
      <c r="AE153">
        <v>0.283333</v>
      </c>
      <c r="AF153">
        <v>0</v>
      </c>
      <c r="AG153">
        <v>4.2666659999999998</v>
      </c>
      <c r="AH153">
        <v>4.2666659999999998</v>
      </c>
      <c r="AI153">
        <v>3.5833330000000001</v>
      </c>
      <c r="AJ153">
        <v>0.68333299999999997</v>
      </c>
      <c r="AK153">
        <v>0</v>
      </c>
      <c r="AL153" s="76">
        <v>45713</v>
      </c>
      <c r="AM153" s="75">
        <v>324</v>
      </c>
      <c r="AN153" t="s">
        <v>65</v>
      </c>
      <c r="AO153" t="s">
        <v>401</v>
      </c>
      <c r="AP153" t="s">
        <v>67</v>
      </c>
      <c r="AQ153" t="s">
        <v>121</v>
      </c>
      <c r="AR153" t="s">
        <v>69</v>
      </c>
      <c r="AS153" s="79"/>
      <c r="AT153" s="82" t="s">
        <v>696</v>
      </c>
      <c r="AU153" s="78">
        <v>2026</v>
      </c>
      <c r="AV153" s="78">
        <v>1</v>
      </c>
      <c r="AW153" s="78" t="s">
        <v>122</v>
      </c>
      <c r="AX153" s="78">
        <v>1</v>
      </c>
      <c r="AY153" s="78">
        <v>0</v>
      </c>
      <c r="BT153" s="3" t="s">
        <v>122</v>
      </c>
      <c r="BU153" s="3">
        <v>1</v>
      </c>
      <c r="BV153" s="3">
        <v>0</v>
      </c>
    </row>
    <row r="154" spans="1:74" ht="15" customHeight="1" x14ac:dyDescent="0.25">
      <c r="A154" s="75">
        <v>5778795</v>
      </c>
      <c r="B154" t="s">
        <v>959</v>
      </c>
      <c r="C154" t="s">
        <v>960</v>
      </c>
      <c r="D154" t="s">
        <v>956</v>
      </c>
      <c r="E154" t="s">
        <v>54</v>
      </c>
      <c r="F154" s="75">
        <v>16</v>
      </c>
      <c r="G154" s="75">
        <v>298395</v>
      </c>
      <c r="H154">
        <v>640</v>
      </c>
      <c r="I154" t="s">
        <v>55</v>
      </c>
      <c r="J154" s="75">
        <v>202197</v>
      </c>
      <c r="K154" t="s">
        <v>305</v>
      </c>
      <c r="L154" t="s">
        <v>306</v>
      </c>
      <c r="M154" s="81">
        <v>46038.34097222222</v>
      </c>
      <c r="N154" s="81">
        <v>46038.597928240742</v>
      </c>
      <c r="O154" t="s">
        <v>58</v>
      </c>
      <c r="P154" t="s">
        <v>59</v>
      </c>
      <c r="Q154" t="s">
        <v>90</v>
      </c>
      <c r="R154" t="s">
        <v>99</v>
      </c>
      <c r="U154" s="75">
        <v>173533</v>
      </c>
      <c r="V154" t="s">
        <v>961</v>
      </c>
      <c r="X154" t="s">
        <v>62</v>
      </c>
      <c r="Y154" t="s">
        <v>63</v>
      </c>
      <c r="AA154" t="s">
        <v>64</v>
      </c>
      <c r="AB154">
        <v>6.1166669999999996</v>
      </c>
      <c r="AC154">
        <v>1.65</v>
      </c>
      <c r="AD154">
        <v>4.4666670000000002</v>
      </c>
      <c r="AE154">
        <v>0.11666700000000001</v>
      </c>
      <c r="AF154">
        <v>0</v>
      </c>
      <c r="AG154">
        <v>4.3499999999999996</v>
      </c>
      <c r="AH154">
        <v>4.3499999999999996</v>
      </c>
      <c r="AI154">
        <v>4.3499999999999996</v>
      </c>
      <c r="AJ154">
        <v>0</v>
      </c>
      <c r="AK154">
        <v>0</v>
      </c>
      <c r="AL154" s="76">
        <v>45302</v>
      </c>
      <c r="AM154" s="75">
        <v>736</v>
      </c>
      <c r="AN154" t="s">
        <v>65</v>
      </c>
      <c r="AO154" t="s">
        <v>309</v>
      </c>
      <c r="AP154" t="s">
        <v>67</v>
      </c>
      <c r="AQ154" t="s">
        <v>68</v>
      </c>
      <c r="AR154" t="s">
        <v>69</v>
      </c>
      <c r="AS154" s="78"/>
      <c r="AT154" s="82" t="s">
        <v>696</v>
      </c>
      <c r="AU154" s="78">
        <v>2026</v>
      </c>
      <c r="AV154" s="78">
        <v>1</v>
      </c>
      <c r="AW154" s="78" t="s">
        <v>71</v>
      </c>
      <c r="AX154" s="78">
        <v>1</v>
      </c>
      <c r="AY154" s="78">
        <v>0</v>
      </c>
      <c r="BT154" s="2" t="s">
        <v>71</v>
      </c>
      <c r="BU154" s="2">
        <v>1</v>
      </c>
      <c r="BV154" s="2">
        <v>0</v>
      </c>
    </row>
    <row r="155" spans="1:74" ht="15" customHeight="1" x14ac:dyDescent="0.25">
      <c r="A155" s="75">
        <v>5777949</v>
      </c>
      <c r="B155" t="s">
        <v>962</v>
      </c>
      <c r="C155" t="s">
        <v>963</v>
      </c>
      <c r="D155" t="s">
        <v>809</v>
      </c>
      <c r="E155" t="s">
        <v>87</v>
      </c>
      <c r="F155" s="75">
        <v>32</v>
      </c>
      <c r="G155" s="75">
        <v>275251</v>
      </c>
      <c r="H155">
        <v>368.16</v>
      </c>
      <c r="I155" t="s">
        <v>55</v>
      </c>
      <c r="J155" s="75">
        <v>218791</v>
      </c>
      <c r="K155" t="s">
        <v>312</v>
      </c>
      <c r="L155" t="s">
        <v>313</v>
      </c>
      <c r="M155" s="81">
        <v>46037.514548611107</v>
      </c>
      <c r="N155" s="81">
        <v>46038.628831018519</v>
      </c>
      <c r="O155" t="s">
        <v>58</v>
      </c>
      <c r="P155" t="s">
        <v>59</v>
      </c>
      <c r="Q155" t="s">
        <v>90</v>
      </c>
      <c r="R155" t="s">
        <v>60</v>
      </c>
      <c r="U155" s="75">
        <v>173155</v>
      </c>
      <c r="V155" t="s">
        <v>964</v>
      </c>
      <c r="W155" t="s">
        <v>964</v>
      </c>
      <c r="X155" t="s">
        <v>62</v>
      </c>
      <c r="Y155" t="s">
        <v>63</v>
      </c>
      <c r="AA155" t="s">
        <v>64</v>
      </c>
      <c r="AB155">
        <v>26.7</v>
      </c>
      <c r="AC155">
        <v>21.966667000000001</v>
      </c>
      <c r="AD155">
        <v>4.733333</v>
      </c>
      <c r="AE155">
        <v>0.2</v>
      </c>
      <c r="AF155">
        <v>0</v>
      </c>
      <c r="AG155">
        <v>4.5333329999999998</v>
      </c>
      <c r="AH155">
        <v>4.5333329999999998</v>
      </c>
      <c r="AI155">
        <v>4.5</v>
      </c>
      <c r="AJ155">
        <v>3.3333000000000002E-2</v>
      </c>
      <c r="AK155">
        <v>0</v>
      </c>
      <c r="AL155" s="76">
        <v>44876.507071759261</v>
      </c>
      <c r="AM155" s="75">
        <v>1161</v>
      </c>
      <c r="AN155" t="s">
        <v>65</v>
      </c>
      <c r="AO155" t="s">
        <v>965</v>
      </c>
      <c r="AP155" t="s">
        <v>67</v>
      </c>
      <c r="AQ155" t="s">
        <v>68</v>
      </c>
      <c r="AR155" t="s">
        <v>69</v>
      </c>
      <c r="AS155" s="79"/>
      <c r="AT155" s="82" t="s">
        <v>696</v>
      </c>
      <c r="AU155" s="78">
        <v>2026</v>
      </c>
      <c r="AV155" s="78">
        <v>1</v>
      </c>
      <c r="AW155" s="78" t="s">
        <v>71</v>
      </c>
      <c r="AX155" s="78">
        <v>1</v>
      </c>
      <c r="AY155" s="78">
        <v>0</v>
      </c>
      <c r="BT155" s="3" t="s">
        <v>71</v>
      </c>
      <c r="BU155" s="3">
        <v>1</v>
      </c>
      <c r="BV155" s="3">
        <v>0</v>
      </c>
    </row>
    <row r="156" spans="1:74" ht="15" customHeight="1" x14ac:dyDescent="0.25">
      <c r="A156" s="75">
        <v>5778769</v>
      </c>
      <c r="B156" t="s">
        <v>966</v>
      </c>
      <c r="C156" t="s">
        <v>967</v>
      </c>
      <c r="D156" t="s">
        <v>527</v>
      </c>
      <c r="E156" t="s">
        <v>87</v>
      </c>
      <c r="F156" s="75">
        <v>1</v>
      </c>
      <c r="G156" s="75">
        <v>279637</v>
      </c>
      <c r="H156">
        <v>880</v>
      </c>
      <c r="I156" t="s">
        <v>266</v>
      </c>
      <c r="J156" s="75">
        <v>210995</v>
      </c>
      <c r="K156" t="s">
        <v>968</v>
      </c>
      <c r="L156" t="s">
        <v>969</v>
      </c>
      <c r="M156" s="81">
        <v>46038.294988425929</v>
      </c>
      <c r="N156" s="81">
        <v>46038.629930555559</v>
      </c>
      <c r="O156" t="s">
        <v>58</v>
      </c>
      <c r="P156" t="s">
        <v>59</v>
      </c>
      <c r="Q156" t="s">
        <v>341</v>
      </c>
      <c r="R156" t="s">
        <v>60</v>
      </c>
      <c r="T156" t="s">
        <v>970</v>
      </c>
      <c r="U156" s="75">
        <v>173495</v>
      </c>
      <c r="V156" t="s">
        <v>971</v>
      </c>
      <c r="W156" t="s">
        <v>971</v>
      </c>
      <c r="X156" t="s">
        <v>79</v>
      </c>
      <c r="Y156" t="s">
        <v>224</v>
      </c>
      <c r="AA156" t="s">
        <v>81</v>
      </c>
      <c r="AB156">
        <v>8</v>
      </c>
      <c r="AC156">
        <v>3.55</v>
      </c>
      <c r="AD156">
        <v>4.45</v>
      </c>
      <c r="AE156">
        <v>0.466667</v>
      </c>
      <c r="AF156">
        <v>0</v>
      </c>
      <c r="AG156">
        <v>3.983333</v>
      </c>
      <c r="AH156">
        <v>3.983333</v>
      </c>
      <c r="AI156">
        <v>3.85</v>
      </c>
      <c r="AJ156">
        <v>0.13333300000000001</v>
      </c>
      <c r="AK156">
        <v>0</v>
      </c>
      <c r="AL156" s="76">
        <v>44496</v>
      </c>
      <c r="AM156" s="75">
        <v>1542</v>
      </c>
      <c r="AN156" t="s">
        <v>65</v>
      </c>
      <c r="AO156" t="s">
        <v>972</v>
      </c>
      <c r="AP156" t="s">
        <v>67</v>
      </c>
      <c r="AQ156" t="s">
        <v>83</v>
      </c>
      <c r="AR156" t="s">
        <v>69</v>
      </c>
      <c r="AS156" s="78"/>
      <c r="AT156" s="82" t="s">
        <v>696</v>
      </c>
      <c r="AU156" s="78">
        <v>2026</v>
      </c>
      <c r="AV156" s="78">
        <v>1</v>
      </c>
      <c r="AW156" s="78" t="s">
        <v>226</v>
      </c>
      <c r="AX156" s="78">
        <v>1</v>
      </c>
      <c r="AY156" s="78">
        <v>0</v>
      </c>
      <c r="BT156" s="2" t="s">
        <v>226</v>
      </c>
      <c r="BU156" s="2">
        <v>1</v>
      </c>
      <c r="BV156" s="2">
        <v>0</v>
      </c>
    </row>
    <row r="157" spans="1:74" ht="15" customHeight="1" x14ac:dyDescent="0.25">
      <c r="A157" s="75">
        <v>5777473</v>
      </c>
      <c r="B157" t="s">
        <v>973</v>
      </c>
      <c r="C157" t="s">
        <v>974</v>
      </c>
      <c r="D157" t="s">
        <v>74</v>
      </c>
      <c r="E157" t="s">
        <v>54</v>
      </c>
      <c r="F157" s="75">
        <v>1</v>
      </c>
      <c r="G157" s="75">
        <v>345611</v>
      </c>
      <c r="H157">
        <v>1499</v>
      </c>
      <c r="I157" t="s">
        <v>141</v>
      </c>
      <c r="J157" s="75">
        <v>227259</v>
      </c>
      <c r="K157" t="s">
        <v>975</v>
      </c>
      <c r="L157" t="s">
        <v>976</v>
      </c>
      <c r="M157" s="81">
        <v>46037.370995370373</v>
      </c>
      <c r="N157" s="81">
        <v>46038.641956018517</v>
      </c>
      <c r="O157" t="s">
        <v>58</v>
      </c>
      <c r="P157" t="s">
        <v>59</v>
      </c>
      <c r="R157" t="s">
        <v>60</v>
      </c>
      <c r="U157" s="75">
        <v>172925</v>
      </c>
      <c r="V157" t="s">
        <v>977</v>
      </c>
      <c r="X157" t="s">
        <v>62</v>
      </c>
      <c r="Y157" t="s">
        <v>63</v>
      </c>
      <c r="AA157" t="s">
        <v>64</v>
      </c>
      <c r="AB157">
        <v>30.416667</v>
      </c>
      <c r="AC157">
        <v>24.533332999999999</v>
      </c>
      <c r="AD157">
        <v>5.8833339999999996</v>
      </c>
      <c r="AE157">
        <v>0.05</v>
      </c>
      <c r="AF157">
        <v>0</v>
      </c>
      <c r="AG157">
        <v>5.8333339999999998</v>
      </c>
      <c r="AH157">
        <v>5.8333339999999998</v>
      </c>
      <c r="AI157">
        <v>5.7</v>
      </c>
      <c r="AJ157">
        <v>0.13333400000000001</v>
      </c>
      <c r="AK157">
        <v>0</v>
      </c>
      <c r="AL157" s="76">
        <v>46001.649780092594</v>
      </c>
      <c r="AM157" s="75">
        <v>35</v>
      </c>
      <c r="AN157" t="s">
        <v>65</v>
      </c>
      <c r="AO157" t="s">
        <v>978</v>
      </c>
      <c r="AP157" t="s">
        <v>67</v>
      </c>
      <c r="AQ157" t="s">
        <v>68</v>
      </c>
      <c r="AR157" t="s">
        <v>69</v>
      </c>
      <c r="AS157" s="79"/>
      <c r="AT157" s="82" t="s">
        <v>696</v>
      </c>
      <c r="AU157" s="78">
        <v>2026</v>
      </c>
      <c r="AV157" s="78">
        <v>1</v>
      </c>
      <c r="AW157" s="78" t="s">
        <v>71</v>
      </c>
      <c r="AX157" s="78">
        <v>1</v>
      </c>
      <c r="AY157" s="78">
        <v>0</v>
      </c>
      <c r="BT157" s="3" t="s">
        <v>71</v>
      </c>
      <c r="BU157" s="3">
        <v>1</v>
      </c>
      <c r="BV157" s="3">
        <v>0</v>
      </c>
    </row>
    <row r="158" spans="1:74" ht="15" customHeight="1" x14ac:dyDescent="0.25">
      <c r="A158" s="75">
        <v>5774137</v>
      </c>
      <c r="B158" t="s">
        <v>979</v>
      </c>
      <c r="C158" t="s">
        <v>980</v>
      </c>
      <c r="D158" t="s">
        <v>809</v>
      </c>
      <c r="E158" t="s">
        <v>87</v>
      </c>
      <c r="F158" s="75">
        <v>16</v>
      </c>
      <c r="G158" s="75">
        <v>250813</v>
      </c>
      <c r="H158">
        <v>2383.33</v>
      </c>
      <c r="I158" t="s">
        <v>114</v>
      </c>
      <c r="J158" s="75">
        <v>203391</v>
      </c>
      <c r="K158" t="s">
        <v>622</v>
      </c>
      <c r="L158" t="s">
        <v>623</v>
      </c>
      <c r="M158" s="81">
        <v>46035.132430555554</v>
      </c>
      <c r="N158" s="81">
        <v>46038.695798611108</v>
      </c>
      <c r="O158" t="s">
        <v>58</v>
      </c>
      <c r="P158" t="s">
        <v>59</v>
      </c>
      <c r="Q158" t="s">
        <v>90</v>
      </c>
      <c r="R158" t="s">
        <v>131</v>
      </c>
      <c r="U158" s="75">
        <v>172807</v>
      </c>
      <c r="V158" t="s">
        <v>981</v>
      </c>
      <c r="W158" t="s">
        <v>982</v>
      </c>
      <c r="X158" t="s">
        <v>118</v>
      </c>
      <c r="Y158" t="s">
        <v>119</v>
      </c>
      <c r="AA158" t="s">
        <v>295</v>
      </c>
      <c r="AB158">
        <v>85.433331999999993</v>
      </c>
      <c r="AC158">
        <v>27.716666</v>
      </c>
      <c r="AD158">
        <v>57.716665999999996</v>
      </c>
      <c r="AE158">
        <v>0.46666600000000003</v>
      </c>
      <c r="AF158">
        <v>0</v>
      </c>
      <c r="AG158">
        <v>57.25</v>
      </c>
      <c r="AH158">
        <v>57.25</v>
      </c>
      <c r="AI158">
        <v>57</v>
      </c>
      <c r="AJ158">
        <v>0.25</v>
      </c>
      <c r="AK158">
        <v>0</v>
      </c>
      <c r="AL158" s="76">
        <v>44624</v>
      </c>
      <c r="AM158" s="75">
        <v>1411</v>
      </c>
      <c r="AN158" t="s">
        <v>65</v>
      </c>
      <c r="AO158" t="s">
        <v>626</v>
      </c>
      <c r="AP158" t="s">
        <v>67</v>
      </c>
      <c r="AQ158" t="s">
        <v>121</v>
      </c>
      <c r="AR158" t="s">
        <v>69</v>
      </c>
      <c r="AS158" s="78"/>
      <c r="AT158" s="82" t="s">
        <v>696</v>
      </c>
      <c r="AU158" s="78">
        <v>2026</v>
      </c>
      <c r="AV158" s="78">
        <v>1</v>
      </c>
      <c r="AW158" s="78" t="s">
        <v>122</v>
      </c>
      <c r="AX158" s="78">
        <v>0</v>
      </c>
      <c r="AY158" s="78">
        <v>1</v>
      </c>
      <c r="BT158" s="2" t="s">
        <v>122</v>
      </c>
      <c r="BU158" s="2">
        <v>0</v>
      </c>
      <c r="BV158" s="2">
        <v>1</v>
      </c>
    </row>
    <row r="159" spans="1:74" ht="15" customHeight="1" x14ac:dyDescent="0.25">
      <c r="A159" s="75">
        <v>5778711</v>
      </c>
      <c r="B159" t="s">
        <v>983</v>
      </c>
      <c r="C159" t="s">
        <v>984</v>
      </c>
      <c r="D159" t="s">
        <v>809</v>
      </c>
      <c r="E159" t="s">
        <v>87</v>
      </c>
      <c r="F159" s="75">
        <v>117</v>
      </c>
      <c r="G159" s="75">
        <v>285571</v>
      </c>
      <c r="H159">
        <v>368.16</v>
      </c>
      <c r="I159" t="s">
        <v>55</v>
      </c>
      <c r="J159" s="75">
        <v>218791</v>
      </c>
      <c r="K159" t="s">
        <v>312</v>
      </c>
      <c r="L159" t="s">
        <v>313</v>
      </c>
      <c r="M159" s="81">
        <v>46038.097754629627</v>
      </c>
      <c r="N159" s="81">
        <v>46039.404733796298</v>
      </c>
      <c r="O159" t="s">
        <v>58</v>
      </c>
      <c r="P159" t="s">
        <v>59</v>
      </c>
      <c r="Q159" t="s">
        <v>90</v>
      </c>
      <c r="R159" t="s">
        <v>144</v>
      </c>
      <c r="U159" s="75">
        <v>173451</v>
      </c>
      <c r="V159" t="s">
        <v>985</v>
      </c>
      <c r="W159" t="s">
        <v>985</v>
      </c>
      <c r="X159" t="s">
        <v>62</v>
      </c>
      <c r="Y159" t="s">
        <v>63</v>
      </c>
      <c r="AA159" t="s">
        <v>64</v>
      </c>
      <c r="AB159">
        <v>31.316666000000001</v>
      </c>
      <c r="AC159">
        <v>22.266666000000001</v>
      </c>
      <c r="AD159">
        <v>9.0500000000000007</v>
      </c>
      <c r="AE159">
        <v>1.066667</v>
      </c>
      <c r="AF159">
        <v>0</v>
      </c>
      <c r="AG159">
        <v>7.983333</v>
      </c>
      <c r="AH159">
        <v>7.983333</v>
      </c>
      <c r="AI159">
        <v>7.8333329999999997</v>
      </c>
      <c r="AJ159">
        <v>0.15</v>
      </c>
      <c r="AK159">
        <v>0</v>
      </c>
      <c r="AL159" s="76">
        <v>44862.768287037034</v>
      </c>
      <c r="AM159" s="75">
        <v>1175</v>
      </c>
      <c r="AN159" t="s">
        <v>65</v>
      </c>
      <c r="AO159" t="s">
        <v>986</v>
      </c>
      <c r="AP159" t="s">
        <v>67</v>
      </c>
      <c r="AQ159" t="s">
        <v>68</v>
      </c>
      <c r="AR159" t="s">
        <v>69</v>
      </c>
      <c r="AS159" s="79"/>
      <c r="AT159" s="82" t="s">
        <v>696</v>
      </c>
      <c r="AU159" s="78">
        <v>2026</v>
      </c>
      <c r="AV159" s="78">
        <v>1</v>
      </c>
      <c r="AW159" s="78" t="s">
        <v>71</v>
      </c>
      <c r="AX159" s="78">
        <v>1</v>
      </c>
      <c r="AY159" s="78">
        <v>0</v>
      </c>
      <c r="BT159" s="3" t="s">
        <v>71</v>
      </c>
      <c r="BU159" s="3">
        <v>1</v>
      </c>
      <c r="BV159" s="3">
        <v>0</v>
      </c>
    </row>
    <row r="160" spans="1:74" ht="15" customHeight="1" x14ac:dyDescent="0.25">
      <c r="A160" s="75">
        <v>5778411</v>
      </c>
      <c r="B160" t="s">
        <v>987</v>
      </c>
      <c r="C160" t="s">
        <v>988</v>
      </c>
      <c r="D160" t="s">
        <v>809</v>
      </c>
      <c r="E160" t="s">
        <v>87</v>
      </c>
      <c r="F160" s="75">
        <v>297</v>
      </c>
      <c r="G160" s="75">
        <v>286473</v>
      </c>
      <c r="H160">
        <v>364.96</v>
      </c>
      <c r="I160" t="s">
        <v>55</v>
      </c>
      <c r="J160" s="75">
        <v>218787</v>
      </c>
      <c r="K160" t="s">
        <v>96</v>
      </c>
      <c r="L160" t="s">
        <v>97</v>
      </c>
      <c r="M160" s="81">
        <v>46037.681006944447</v>
      </c>
      <c r="N160" s="81">
        <v>46039.416284722232</v>
      </c>
      <c r="O160" t="s">
        <v>58</v>
      </c>
      <c r="P160" t="s">
        <v>59</v>
      </c>
      <c r="Q160" t="s">
        <v>90</v>
      </c>
      <c r="R160" t="s">
        <v>60</v>
      </c>
      <c r="U160" s="75">
        <v>173473</v>
      </c>
      <c r="V160" t="s">
        <v>989</v>
      </c>
      <c r="W160" t="s">
        <v>990</v>
      </c>
      <c r="X160" t="s">
        <v>62</v>
      </c>
      <c r="Y160" t="s">
        <v>63</v>
      </c>
      <c r="AA160" t="s">
        <v>101</v>
      </c>
      <c r="AB160">
        <v>41.583334000000001</v>
      </c>
      <c r="AC160">
        <v>31.216667000000001</v>
      </c>
      <c r="AD160">
        <v>10.366667</v>
      </c>
      <c r="AE160">
        <v>0.4</v>
      </c>
      <c r="AF160">
        <v>0</v>
      </c>
      <c r="AG160">
        <v>9.9666669999999993</v>
      </c>
      <c r="AH160">
        <v>9.9666669999999993</v>
      </c>
      <c r="AI160">
        <v>9.8000000000000007</v>
      </c>
      <c r="AJ160">
        <v>0.16666700000000001</v>
      </c>
      <c r="AK160">
        <v>0</v>
      </c>
      <c r="AL160" s="76">
        <v>44924</v>
      </c>
      <c r="AM160" s="75">
        <v>1113</v>
      </c>
      <c r="AN160" t="s">
        <v>65</v>
      </c>
      <c r="AO160" t="s">
        <v>991</v>
      </c>
      <c r="AP160" t="s">
        <v>67</v>
      </c>
      <c r="AQ160" t="s">
        <v>68</v>
      </c>
      <c r="AR160" t="s">
        <v>69</v>
      </c>
      <c r="AS160" s="78"/>
      <c r="AT160" s="82" t="s">
        <v>696</v>
      </c>
      <c r="AU160" s="78">
        <v>2026</v>
      </c>
      <c r="AV160" s="78">
        <v>1</v>
      </c>
      <c r="AW160" s="78" t="s">
        <v>71</v>
      </c>
      <c r="AX160" s="78">
        <v>0</v>
      </c>
      <c r="AY160" s="78">
        <v>0</v>
      </c>
      <c r="BT160" s="2" t="s">
        <v>71</v>
      </c>
      <c r="BU160" s="2">
        <v>0</v>
      </c>
      <c r="BV160" s="2">
        <v>0</v>
      </c>
    </row>
    <row r="161" spans="1:74" ht="15" customHeight="1" x14ac:dyDescent="0.25">
      <c r="A161" s="75">
        <v>5775463</v>
      </c>
      <c r="B161" t="s">
        <v>992</v>
      </c>
      <c r="C161" t="s">
        <v>993</v>
      </c>
      <c r="D161" t="s">
        <v>809</v>
      </c>
      <c r="E161" t="s">
        <v>105</v>
      </c>
      <c r="F161" s="75">
        <v>2</v>
      </c>
      <c r="G161" s="75">
        <v>332691</v>
      </c>
      <c r="H161">
        <v>882.2</v>
      </c>
      <c r="I161" t="s">
        <v>175</v>
      </c>
      <c r="J161" s="75">
        <v>225537</v>
      </c>
      <c r="K161" t="s">
        <v>994</v>
      </c>
      <c r="L161" t="s">
        <v>995</v>
      </c>
      <c r="M161" s="81">
        <v>46035.722731481481</v>
      </c>
      <c r="N161" s="81">
        <v>46039.525231481479</v>
      </c>
      <c r="O161" t="s">
        <v>58</v>
      </c>
      <c r="P161" t="s">
        <v>59</v>
      </c>
      <c r="Q161" t="s">
        <v>90</v>
      </c>
      <c r="R161" t="s">
        <v>60</v>
      </c>
      <c r="U161" s="75">
        <v>172135</v>
      </c>
      <c r="V161" t="s">
        <v>996</v>
      </c>
      <c r="X161" t="s">
        <v>62</v>
      </c>
      <c r="Y161" t="s">
        <v>271</v>
      </c>
      <c r="AA161" t="s">
        <v>101</v>
      </c>
      <c r="AB161">
        <v>91.183334000000002</v>
      </c>
      <c r="AC161">
        <v>77.216667000000001</v>
      </c>
      <c r="AD161">
        <v>13.966666999999999</v>
      </c>
      <c r="AE161">
        <v>2.3333330000000001</v>
      </c>
      <c r="AF161">
        <v>0</v>
      </c>
      <c r="AG161">
        <v>11.633334</v>
      </c>
      <c r="AH161">
        <v>11.633334</v>
      </c>
      <c r="AI161">
        <v>10.716666999999999</v>
      </c>
      <c r="AJ161">
        <v>0.91666700000000001</v>
      </c>
      <c r="AK161">
        <v>0</v>
      </c>
      <c r="AL161" s="76">
        <v>45803.47896990741</v>
      </c>
      <c r="AM161" s="75">
        <v>232</v>
      </c>
      <c r="AN161" t="s">
        <v>65</v>
      </c>
      <c r="AO161" t="s">
        <v>997</v>
      </c>
      <c r="AP161" t="s">
        <v>67</v>
      </c>
      <c r="AQ161" t="s">
        <v>68</v>
      </c>
      <c r="AR161" t="s">
        <v>69</v>
      </c>
      <c r="AS161" s="79"/>
      <c r="AT161" s="82" t="s">
        <v>696</v>
      </c>
      <c r="AU161" s="78">
        <v>2026</v>
      </c>
      <c r="AV161" s="78">
        <v>1</v>
      </c>
      <c r="AW161" s="78" t="s">
        <v>137</v>
      </c>
      <c r="AX161" s="78">
        <v>0</v>
      </c>
      <c r="AY161" s="78">
        <v>0</v>
      </c>
      <c r="BT161" s="3" t="s">
        <v>137</v>
      </c>
      <c r="BU161" s="3">
        <v>0</v>
      </c>
      <c r="BV161" s="3">
        <v>0</v>
      </c>
    </row>
    <row r="162" spans="1:74" ht="15" customHeight="1" x14ac:dyDescent="0.25">
      <c r="A162" s="75">
        <v>5777165</v>
      </c>
      <c r="B162" t="s">
        <v>998</v>
      </c>
      <c r="C162" t="s">
        <v>999</v>
      </c>
      <c r="D162" t="s">
        <v>257</v>
      </c>
      <c r="E162" t="s">
        <v>105</v>
      </c>
      <c r="F162" s="75">
        <v>66</v>
      </c>
      <c r="G162" s="75">
        <v>345623</v>
      </c>
      <c r="H162">
        <v>1590</v>
      </c>
      <c r="I162" t="s">
        <v>175</v>
      </c>
      <c r="J162" s="75">
        <v>204139</v>
      </c>
      <c r="K162" t="s">
        <v>1000</v>
      </c>
      <c r="L162" t="s">
        <v>1001</v>
      </c>
      <c r="M162" s="81">
        <v>46037.000451388893</v>
      </c>
      <c r="N162" s="81">
        <v>46039.556875000002</v>
      </c>
      <c r="O162" t="s">
        <v>58</v>
      </c>
      <c r="P162" t="s">
        <v>59</v>
      </c>
      <c r="Q162" t="s">
        <v>90</v>
      </c>
      <c r="R162" t="s">
        <v>60</v>
      </c>
      <c r="U162" s="75">
        <v>172761</v>
      </c>
      <c r="V162" t="s">
        <v>1002</v>
      </c>
      <c r="X162" t="s">
        <v>62</v>
      </c>
      <c r="Y162" t="s">
        <v>271</v>
      </c>
      <c r="AA162" t="s">
        <v>101</v>
      </c>
      <c r="AB162">
        <v>61.2</v>
      </c>
      <c r="AC162">
        <v>48.8</v>
      </c>
      <c r="AD162">
        <v>12.4</v>
      </c>
      <c r="AE162">
        <v>2</v>
      </c>
      <c r="AF162">
        <v>0</v>
      </c>
      <c r="AG162">
        <v>10.4</v>
      </c>
      <c r="AH162">
        <v>10.4</v>
      </c>
      <c r="AI162">
        <v>9.9166659999999993</v>
      </c>
      <c r="AJ162">
        <v>0.48333399999999999</v>
      </c>
      <c r="AK162">
        <v>0</v>
      </c>
      <c r="AL162" s="76">
        <v>44641</v>
      </c>
      <c r="AM162" s="75">
        <v>1396</v>
      </c>
      <c r="AN162" t="s">
        <v>65</v>
      </c>
      <c r="AO162" t="s">
        <v>1003</v>
      </c>
      <c r="AP162" t="s">
        <v>67</v>
      </c>
      <c r="AQ162" t="s">
        <v>68</v>
      </c>
      <c r="AR162" t="s">
        <v>69</v>
      </c>
      <c r="AS162" s="78"/>
      <c r="AT162" s="82" t="s">
        <v>696</v>
      </c>
      <c r="AU162" s="78">
        <v>2026</v>
      </c>
      <c r="AV162" s="78">
        <v>1</v>
      </c>
      <c r="AW162" s="78" t="s">
        <v>137</v>
      </c>
      <c r="AX162" s="78">
        <v>0</v>
      </c>
      <c r="AY162" s="78">
        <v>0</v>
      </c>
      <c r="BT162" s="2" t="s">
        <v>137</v>
      </c>
      <c r="BU162" s="2">
        <v>0</v>
      </c>
      <c r="BV162" s="2">
        <v>0</v>
      </c>
    </row>
    <row r="163" spans="1:74" ht="15" customHeight="1" x14ac:dyDescent="0.25">
      <c r="A163" s="75">
        <v>5779115</v>
      </c>
      <c r="B163" t="s">
        <v>1004</v>
      </c>
      <c r="C163" t="s">
        <v>256</v>
      </c>
      <c r="D163" t="s">
        <v>150</v>
      </c>
      <c r="E163" t="s">
        <v>54</v>
      </c>
      <c r="F163" s="75">
        <v>11</v>
      </c>
      <c r="G163" s="75">
        <v>295427</v>
      </c>
      <c r="H163">
        <v>200</v>
      </c>
      <c r="I163" t="s">
        <v>55</v>
      </c>
      <c r="J163" s="75">
        <v>218297</v>
      </c>
      <c r="K163" t="s">
        <v>258</v>
      </c>
      <c r="L163" t="s">
        <v>259</v>
      </c>
      <c r="M163" s="81">
        <v>46038.427951388891</v>
      </c>
      <c r="N163" s="81">
        <v>46039.633402777778</v>
      </c>
      <c r="O163" t="s">
        <v>58</v>
      </c>
      <c r="P163" t="s">
        <v>59</v>
      </c>
      <c r="Q163" t="s">
        <v>77</v>
      </c>
      <c r="R163" t="s">
        <v>131</v>
      </c>
      <c r="U163" s="75">
        <v>174161</v>
      </c>
      <c r="V163" t="s">
        <v>1005</v>
      </c>
      <c r="W163" t="s">
        <v>1006</v>
      </c>
      <c r="X163" t="s">
        <v>62</v>
      </c>
      <c r="Y163" t="s">
        <v>63</v>
      </c>
      <c r="AA163" t="s">
        <v>101</v>
      </c>
      <c r="AB163">
        <v>28.833335000000002</v>
      </c>
      <c r="AC163">
        <v>17.183333999999999</v>
      </c>
      <c r="AD163">
        <v>11.650001</v>
      </c>
      <c r="AE163">
        <v>0.16666700000000001</v>
      </c>
      <c r="AF163">
        <v>0</v>
      </c>
      <c r="AG163">
        <v>11.483333999999999</v>
      </c>
      <c r="AH163">
        <v>11.483333999999999</v>
      </c>
      <c r="AI163">
        <v>10.9</v>
      </c>
      <c r="AJ163">
        <v>0.58333400000000002</v>
      </c>
      <c r="AK163">
        <v>0</v>
      </c>
      <c r="AL163" s="76">
        <v>45293.488159722219</v>
      </c>
      <c r="AM163" s="75">
        <v>744</v>
      </c>
      <c r="AN163" t="s">
        <v>65</v>
      </c>
      <c r="AO163" t="s">
        <v>262</v>
      </c>
      <c r="AP163" t="s">
        <v>67</v>
      </c>
      <c r="AQ163" t="s">
        <v>68</v>
      </c>
      <c r="AR163" t="s">
        <v>69</v>
      </c>
      <c r="AS163" s="79"/>
      <c r="AT163" s="82" t="s">
        <v>696</v>
      </c>
      <c r="AU163" s="78">
        <v>2026</v>
      </c>
      <c r="AV163" s="78">
        <v>1</v>
      </c>
      <c r="AW163" s="78" t="s">
        <v>71</v>
      </c>
      <c r="AX163" s="78">
        <v>0</v>
      </c>
      <c r="AY163" s="78">
        <v>0</v>
      </c>
      <c r="BT163" s="3" t="s">
        <v>71</v>
      </c>
      <c r="BU163" s="3">
        <v>0</v>
      </c>
      <c r="BV163" s="3">
        <v>0</v>
      </c>
    </row>
    <row r="164" spans="1:74" ht="15" customHeight="1" x14ac:dyDescent="0.25">
      <c r="A164" s="75">
        <v>5778739</v>
      </c>
      <c r="B164" t="s">
        <v>1007</v>
      </c>
      <c r="C164" t="s">
        <v>1008</v>
      </c>
      <c r="D164" t="s">
        <v>527</v>
      </c>
      <c r="E164" t="s">
        <v>54</v>
      </c>
      <c r="F164" s="75">
        <v>1</v>
      </c>
      <c r="G164" s="75">
        <v>333435</v>
      </c>
      <c r="H164">
        <v>800</v>
      </c>
      <c r="I164" t="s">
        <v>141</v>
      </c>
      <c r="J164" s="75">
        <v>225239</v>
      </c>
      <c r="K164" t="s">
        <v>1009</v>
      </c>
      <c r="L164" t="s">
        <v>1010</v>
      </c>
      <c r="M164" s="81">
        <v>46038.22859953704</v>
      </c>
      <c r="N164" s="81">
        <v>46040.326620370368</v>
      </c>
      <c r="O164" t="s">
        <v>58</v>
      </c>
      <c r="P164" t="s">
        <v>59</v>
      </c>
      <c r="Q164" t="s">
        <v>130</v>
      </c>
      <c r="R164" t="s">
        <v>131</v>
      </c>
      <c r="U164" s="75">
        <v>173477</v>
      </c>
      <c r="V164" t="s">
        <v>1011</v>
      </c>
      <c r="W164" t="s">
        <v>1011</v>
      </c>
      <c r="X164" t="s">
        <v>62</v>
      </c>
      <c r="Y164" t="s">
        <v>63</v>
      </c>
      <c r="AA164" t="s">
        <v>101</v>
      </c>
      <c r="AB164">
        <v>50.250000999999997</v>
      </c>
      <c r="AC164">
        <v>39.85</v>
      </c>
      <c r="AD164">
        <v>10.400001</v>
      </c>
      <c r="AE164">
        <v>0.16666700000000001</v>
      </c>
      <c r="AF164">
        <v>0</v>
      </c>
      <c r="AG164">
        <v>10.233333999999999</v>
      </c>
      <c r="AH164">
        <v>10.233333999999999</v>
      </c>
      <c r="AI164">
        <v>9.8166670000000007</v>
      </c>
      <c r="AJ164">
        <v>0.41666700000000001</v>
      </c>
      <c r="AK164">
        <v>0</v>
      </c>
      <c r="AL164" s="76">
        <v>45784.642500000002</v>
      </c>
      <c r="AM164" s="75">
        <v>253</v>
      </c>
      <c r="AN164" t="s">
        <v>65</v>
      </c>
      <c r="AO164" t="s">
        <v>1012</v>
      </c>
      <c r="AP164" t="s">
        <v>67</v>
      </c>
      <c r="AQ164" t="s">
        <v>68</v>
      </c>
      <c r="AR164" t="s">
        <v>69</v>
      </c>
      <c r="AS164" s="78"/>
      <c r="AT164" s="82" t="s">
        <v>696</v>
      </c>
      <c r="AU164" s="78">
        <v>2026</v>
      </c>
      <c r="AV164" s="78">
        <v>1</v>
      </c>
      <c r="AW164" s="78" t="s">
        <v>71</v>
      </c>
      <c r="AX164" s="78">
        <v>0</v>
      </c>
      <c r="AY164" s="78">
        <v>0</v>
      </c>
      <c r="BT164" s="2" t="s">
        <v>71</v>
      </c>
      <c r="BU164" s="2">
        <v>0</v>
      </c>
      <c r="BV164" s="2">
        <v>0</v>
      </c>
    </row>
    <row r="165" spans="1:74" ht="15" customHeight="1" x14ac:dyDescent="0.25">
      <c r="A165" s="75">
        <v>5778859</v>
      </c>
      <c r="B165" t="s">
        <v>1013</v>
      </c>
      <c r="C165" t="s">
        <v>1014</v>
      </c>
      <c r="D165" t="s">
        <v>527</v>
      </c>
      <c r="E165" t="s">
        <v>54</v>
      </c>
      <c r="F165" s="75">
        <v>1</v>
      </c>
      <c r="G165" s="75">
        <v>296181</v>
      </c>
      <c r="H165">
        <v>690</v>
      </c>
      <c r="I165" t="s">
        <v>114</v>
      </c>
      <c r="J165" s="75">
        <v>218483</v>
      </c>
      <c r="K165" t="s">
        <v>1015</v>
      </c>
      <c r="L165" t="s">
        <v>1016</v>
      </c>
      <c r="M165" s="81">
        <v>46038.357835648138</v>
      </c>
      <c r="N165" s="81">
        <v>46040.328831018523</v>
      </c>
      <c r="O165" t="s">
        <v>58</v>
      </c>
      <c r="P165" t="s">
        <v>59</v>
      </c>
      <c r="R165" t="s">
        <v>60</v>
      </c>
      <c r="U165" s="75">
        <v>173661</v>
      </c>
      <c r="V165" t="s">
        <v>1017</v>
      </c>
      <c r="W165" t="s">
        <v>1017</v>
      </c>
      <c r="X165" t="s">
        <v>62</v>
      </c>
      <c r="Y165" t="s">
        <v>63</v>
      </c>
      <c r="AA165" t="s">
        <v>101</v>
      </c>
      <c r="AB165">
        <v>47.250000999999997</v>
      </c>
      <c r="AC165">
        <v>38.566667000000002</v>
      </c>
      <c r="AD165">
        <v>8.6833340000000003</v>
      </c>
      <c r="AE165">
        <v>0.466667</v>
      </c>
      <c r="AF165">
        <v>0</v>
      </c>
      <c r="AG165">
        <v>8.2166669999999993</v>
      </c>
      <c r="AH165">
        <v>8.2166669999999993</v>
      </c>
      <c r="AI165">
        <v>8.1</v>
      </c>
      <c r="AJ165">
        <v>0.11666700000000001</v>
      </c>
      <c r="AK165">
        <v>0</v>
      </c>
      <c r="AL165" s="76">
        <v>45219</v>
      </c>
      <c r="AM165" s="75">
        <v>819</v>
      </c>
      <c r="AN165" t="s">
        <v>65</v>
      </c>
      <c r="AO165" t="s">
        <v>1018</v>
      </c>
      <c r="AP165" t="s">
        <v>67</v>
      </c>
      <c r="AQ165" t="s">
        <v>68</v>
      </c>
      <c r="AR165" t="s">
        <v>69</v>
      </c>
      <c r="AS165" s="79"/>
      <c r="AT165" s="82" t="s">
        <v>696</v>
      </c>
      <c r="AU165" s="78">
        <v>2026</v>
      </c>
      <c r="AV165" s="78">
        <v>1</v>
      </c>
      <c r="AW165" s="78" t="s">
        <v>71</v>
      </c>
      <c r="AX165" s="78">
        <v>0</v>
      </c>
      <c r="AY165" s="78">
        <v>0</v>
      </c>
      <c r="BT165" s="3" t="s">
        <v>71</v>
      </c>
      <c r="BU165" s="3">
        <v>0</v>
      </c>
      <c r="BV165" s="3">
        <v>0</v>
      </c>
    </row>
    <row r="166" spans="1:74" ht="15" customHeight="1" x14ac:dyDescent="0.25">
      <c r="A166" s="75">
        <v>5779963</v>
      </c>
      <c r="B166" t="s">
        <v>1019</v>
      </c>
      <c r="C166" t="s">
        <v>1020</v>
      </c>
      <c r="D166" t="s">
        <v>527</v>
      </c>
      <c r="E166" t="s">
        <v>54</v>
      </c>
      <c r="F166" s="75">
        <v>64</v>
      </c>
      <c r="G166" s="75">
        <v>276205</v>
      </c>
      <c r="H166">
        <v>400</v>
      </c>
      <c r="I166" t="s">
        <v>242</v>
      </c>
      <c r="J166" s="75">
        <v>73599</v>
      </c>
      <c r="K166" t="s">
        <v>1021</v>
      </c>
      <c r="L166" t="s">
        <v>1022</v>
      </c>
      <c r="M166" s="81">
        <v>46038.676435185182</v>
      </c>
      <c r="N166" s="81">
        <v>46040.36891203704</v>
      </c>
      <c r="O166" t="s">
        <v>58</v>
      </c>
      <c r="P166" t="s">
        <v>59</v>
      </c>
      <c r="Q166" t="s">
        <v>77</v>
      </c>
      <c r="R166" t="s">
        <v>60</v>
      </c>
      <c r="U166" s="75">
        <v>174287</v>
      </c>
      <c r="V166" t="s">
        <v>1023</v>
      </c>
      <c r="W166" t="s">
        <v>1024</v>
      </c>
      <c r="X166" t="s">
        <v>118</v>
      </c>
      <c r="Y166" t="s">
        <v>1025</v>
      </c>
      <c r="AA166" t="s">
        <v>81</v>
      </c>
      <c r="AB166">
        <v>40.516666000000001</v>
      </c>
      <c r="AC166">
        <v>36.433332999999998</v>
      </c>
      <c r="AD166">
        <v>4.0833329999999997</v>
      </c>
      <c r="AE166">
        <v>0.41666700000000001</v>
      </c>
      <c r="AF166">
        <v>0</v>
      </c>
      <c r="AG166">
        <v>3.6666660000000002</v>
      </c>
      <c r="AH166">
        <v>3.6666660000000002</v>
      </c>
      <c r="AI166">
        <v>3.5666660000000001</v>
      </c>
      <c r="AJ166">
        <v>0.1</v>
      </c>
      <c r="AK166">
        <v>0</v>
      </c>
      <c r="AL166" s="76">
        <v>44452</v>
      </c>
      <c r="AM166" s="75">
        <v>1586</v>
      </c>
      <c r="AN166" t="s">
        <v>65</v>
      </c>
      <c r="AO166" t="s">
        <v>1026</v>
      </c>
      <c r="AP166" t="s">
        <v>67</v>
      </c>
      <c r="AQ166" t="s">
        <v>121</v>
      </c>
      <c r="AR166" t="s">
        <v>69</v>
      </c>
      <c r="AS166" s="78"/>
      <c r="AT166" s="82" t="s">
        <v>696</v>
      </c>
      <c r="AU166" s="78">
        <v>2026</v>
      </c>
      <c r="AV166" s="78">
        <v>1</v>
      </c>
      <c r="AW166" s="78" t="s">
        <v>347</v>
      </c>
      <c r="AX166" s="78">
        <v>1</v>
      </c>
      <c r="AY166" s="78">
        <v>0</v>
      </c>
      <c r="BT166" s="2" t="s">
        <v>347</v>
      </c>
      <c r="BU166" s="2">
        <v>1</v>
      </c>
      <c r="BV166" s="2">
        <v>0</v>
      </c>
    </row>
    <row r="167" spans="1:74" ht="15" customHeight="1" x14ac:dyDescent="0.25">
      <c r="A167" s="75">
        <v>5774759</v>
      </c>
      <c r="B167" t="s">
        <v>1027</v>
      </c>
      <c r="C167" t="s">
        <v>1028</v>
      </c>
      <c r="D167" t="s">
        <v>527</v>
      </c>
      <c r="E167" t="s">
        <v>105</v>
      </c>
      <c r="F167" s="75">
        <v>972</v>
      </c>
      <c r="G167" s="75">
        <v>278813</v>
      </c>
      <c r="H167">
        <v>613.79999999999995</v>
      </c>
      <c r="I167" t="s">
        <v>266</v>
      </c>
      <c r="J167" s="75">
        <v>48887</v>
      </c>
      <c r="K167" t="s">
        <v>164</v>
      </c>
      <c r="L167" t="s">
        <v>165</v>
      </c>
      <c r="M167" s="81">
        <v>46035.467511574083</v>
      </c>
      <c r="N167" s="81">
        <v>46040.383229166669</v>
      </c>
      <c r="O167" t="s">
        <v>58</v>
      </c>
      <c r="P167" t="s">
        <v>59</v>
      </c>
      <c r="Q167" t="s">
        <v>77</v>
      </c>
      <c r="R167" t="s">
        <v>156</v>
      </c>
      <c r="T167" t="s">
        <v>507</v>
      </c>
      <c r="U167" s="75">
        <v>173459</v>
      </c>
      <c r="V167" t="s">
        <v>1029</v>
      </c>
      <c r="W167" t="s">
        <v>1030</v>
      </c>
      <c r="X167" t="s">
        <v>62</v>
      </c>
      <c r="Y167" t="s">
        <v>63</v>
      </c>
      <c r="AA167" t="s">
        <v>416</v>
      </c>
      <c r="AB167">
        <v>117.8</v>
      </c>
      <c r="AC167">
        <v>98.199999000000005</v>
      </c>
      <c r="AD167">
        <v>19.600000999999999</v>
      </c>
      <c r="AE167">
        <v>0.31666699999999998</v>
      </c>
      <c r="AF167">
        <v>0</v>
      </c>
      <c r="AG167">
        <v>19.283334</v>
      </c>
      <c r="AH167">
        <v>19.283334</v>
      </c>
      <c r="AI167">
        <v>17.416667</v>
      </c>
      <c r="AJ167">
        <v>1.8666670000000001</v>
      </c>
      <c r="AK167">
        <v>0</v>
      </c>
      <c r="AL167" s="76">
        <v>44441</v>
      </c>
      <c r="AM167" s="75">
        <v>1594</v>
      </c>
      <c r="AN167" t="s">
        <v>65</v>
      </c>
      <c r="AO167" t="s">
        <v>1031</v>
      </c>
      <c r="AP167" t="s">
        <v>67</v>
      </c>
      <c r="AQ167" t="s">
        <v>68</v>
      </c>
      <c r="AR167" t="s">
        <v>69</v>
      </c>
      <c r="AS167" s="79"/>
      <c r="AT167" s="82" t="s">
        <v>696</v>
      </c>
      <c r="AU167" s="78">
        <v>2026</v>
      </c>
      <c r="AV167" s="78">
        <v>1</v>
      </c>
      <c r="AW167" s="78" t="s">
        <v>71</v>
      </c>
      <c r="AX167" s="78">
        <v>0</v>
      </c>
      <c r="AY167" s="78">
        <v>0</v>
      </c>
      <c r="BT167" s="3" t="s">
        <v>71</v>
      </c>
      <c r="BU167" s="3">
        <v>0</v>
      </c>
      <c r="BV167" s="3">
        <v>0</v>
      </c>
    </row>
    <row r="168" spans="1:74" ht="15" customHeight="1" x14ac:dyDescent="0.25">
      <c r="A168" s="75">
        <v>5780815</v>
      </c>
      <c r="B168" t="s">
        <v>1032</v>
      </c>
      <c r="C168" t="s">
        <v>1033</v>
      </c>
      <c r="D168" t="s">
        <v>527</v>
      </c>
      <c r="E168" t="s">
        <v>87</v>
      </c>
      <c r="F168" s="75">
        <v>1</v>
      </c>
      <c r="G168" s="75">
        <v>255313</v>
      </c>
      <c r="H168">
        <v>7075</v>
      </c>
      <c r="I168" t="s">
        <v>880</v>
      </c>
      <c r="J168" s="75">
        <v>204713</v>
      </c>
      <c r="K168" t="s">
        <v>1034</v>
      </c>
      <c r="L168" t="s">
        <v>1035</v>
      </c>
      <c r="M168" s="81">
        <v>46039.36886574074</v>
      </c>
      <c r="N168" s="81">
        <v>46041.31322916667</v>
      </c>
      <c r="O168" t="s">
        <v>58</v>
      </c>
      <c r="P168" t="s">
        <v>59</v>
      </c>
      <c r="Q168" t="s">
        <v>90</v>
      </c>
      <c r="R168" t="s">
        <v>99</v>
      </c>
      <c r="U168" s="75">
        <v>174233</v>
      </c>
      <c r="V168" t="s">
        <v>1036</v>
      </c>
      <c r="X168" t="s">
        <v>118</v>
      </c>
      <c r="Y168" t="s">
        <v>119</v>
      </c>
      <c r="AA168" t="s">
        <v>81</v>
      </c>
      <c r="AB168">
        <v>46.600000999999999</v>
      </c>
      <c r="AC168">
        <v>45.666666999999997</v>
      </c>
      <c r="AD168">
        <v>0.933334</v>
      </c>
      <c r="AE168">
        <v>0.466667</v>
      </c>
      <c r="AF168">
        <v>0</v>
      </c>
      <c r="AG168">
        <v>0.466667</v>
      </c>
      <c r="AH168">
        <v>0.466667</v>
      </c>
      <c r="AI168">
        <v>0.466667</v>
      </c>
      <c r="AJ168">
        <v>0</v>
      </c>
      <c r="AK168">
        <v>0</v>
      </c>
      <c r="AL168" s="76">
        <v>45160.595625000002</v>
      </c>
      <c r="AM168" s="75">
        <v>878</v>
      </c>
      <c r="AN168" t="s">
        <v>65</v>
      </c>
      <c r="AO168" t="s">
        <v>1037</v>
      </c>
      <c r="AP168" t="s">
        <v>67</v>
      </c>
      <c r="AQ168" t="s">
        <v>121</v>
      </c>
      <c r="AR168" t="s">
        <v>69</v>
      </c>
      <c r="AS168" s="78"/>
      <c r="AT168" s="82" t="s">
        <v>1038</v>
      </c>
      <c r="AU168" s="78">
        <v>2026</v>
      </c>
      <c r="AV168" s="78">
        <v>1</v>
      </c>
      <c r="AW168" s="78" t="s">
        <v>122</v>
      </c>
      <c r="AX168" s="78">
        <v>1</v>
      </c>
      <c r="AY168" s="78">
        <v>0</v>
      </c>
      <c r="BT168" s="2" t="s">
        <v>122</v>
      </c>
      <c r="BU168" s="2">
        <v>1</v>
      </c>
      <c r="BV168" s="2">
        <v>0</v>
      </c>
    </row>
    <row r="169" spans="1:74" ht="15" customHeight="1" x14ac:dyDescent="0.25">
      <c r="A169" s="75">
        <v>5781401</v>
      </c>
      <c r="B169" t="s">
        <v>1039</v>
      </c>
      <c r="C169" t="s">
        <v>1040</v>
      </c>
      <c r="D169" t="s">
        <v>162</v>
      </c>
      <c r="E169" t="s">
        <v>87</v>
      </c>
      <c r="F169" s="75">
        <v>26</v>
      </c>
      <c r="G169" s="75">
        <v>280175</v>
      </c>
      <c r="H169">
        <v>981.35</v>
      </c>
      <c r="I169" t="s">
        <v>266</v>
      </c>
      <c r="J169" s="75">
        <v>201809</v>
      </c>
      <c r="K169" t="s">
        <v>505</v>
      </c>
      <c r="L169" t="s">
        <v>506</v>
      </c>
      <c r="M169" s="81">
        <v>46040.354803240742</v>
      </c>
      <c r="N169" s="81">
        <v>46041.569849537038</v>
      </c>
      <c r="O169" t="s">
        <v>58</v>
      </c>
      <c r="P169" t="s">
        <v>59</v>
      </c>
      <c r="Q169" t="s">
        <v>90</v>
      </c>
      <c r="R169" t="s">
        <v>99</v>
      </c>
      <c r="T169" t="s">
        <v>1041</v>
      </c>
      <c r="U169" s="75">
        <v>174367</v>
      </c>
      <c r="V169" t="s">
        <v>1042</v>
      </c>
      <c r="X169" t="s">
        <v>62</v>
      </c>
      <c r="Y169" t="s">
        <v>1043</v>
      </c>
      <c r="AA169" t="s">
        <v>81</v>
      </c>
      <c r="AB169">
        <v>29.133334000000001</v>
      </c>
      <c r="AC169">
        <v>28.983332999999998</v>
      </c>
      <c r="AD169">
        <v>0.150001</v>
      </c>
      <c r="AE169">
        <v>0.13333400000000001</v>
      </c>
      <c r="AF169">
        <v>0</v>
      </c>
      <c r="AG169">
        <v>1.6667000000000001E-2</v>
      </c>
      <c r="AH169">
        <v>1.6667000000000001E-2</v>
      </c>
      <c r="AI169">
        <v>0</v>
      </c>
      <c r="AJ169">
        <v>1.6667000000000001E-2</v>
      </c>
      <c r="AK169">
        <v>0</v>
      </c>
      <c r="AL169" s="76">
        <v>44357</v>
      </c>
      <c r="AM169" s="75">
        <v>1683</v>
      </c>
      <c r="AN169" t="s">
        <v>65</v>
      </c>
      <c r="AO169" t="s">
        <v>1044</v>
      </c>
      <c r="AP169" t="s">
        <v>67</v>
      </c>
      <c r="AQ169" t="s">
        <v>68</v>
      </c>
      <c r="AR169" t="s">
        <v>69</v>
      </c>
      <c r="AS169" s="79"/>
      <c r="AT169" s="82" t="s">
        <v>1038</v>
      </c>
      <c r="AU169" s="78">
        <v>2026</v>
      </c>
      <c r="AV169" s="78">
        <v>1</v>
      </c>
      <c r="AW169" s="78" t="s">
        <v>137</v>
      </c>
      <c r="AX169" s="78">
        <v>1</v>
      </c>
      <c r="AY169" s="78">
        <v>0</v>
      </c>
      <c r="BT169" s="3" t="s">
        <v>137</v>
      </c>
      <c r="BU169" s="3">
        <v>1</v>
      </c>
      <c r="BV169" s="3">
        <v>0</v>
      </c>
    </row>
    <row r="170" spans="1:74" ht="15" customHeight="1" x14ac:dyDescent="0.25">
      <c r="A170" s="75">
        <v>5778925</v>
      </c>
      <c r="B170" t="s">
        <v>1045</v>
      </c>
      <c r="C170" t="s">
        <v>1046</v>
      </c>
      <c r="D170" t="s">
        <v>527</v>
      </c>
      <c r="E170" t="s">
        <v>87</v>
      </c>
      <c r="F170" s="75">
        <v>300</v>
      </c>
      <c r="G170" s="75">
        <v>285733</v>
      </c>
      <c r="H170">
        <v>616.59</v>
      </c>
      <c r="I170" t="s">
        <v>266</v>
      </c>
      <c r="J170" s="75">
        <v>49495</v>
      </c>
      <c r="K170" t="s">
        <v>460</v>
      </c>
      <c r="L170" t="s">
        <v>461</v>
      </c>
      <c r="M170" s="81">
        <v>46038.368773148148</v>
      </c>
      <c r="N170" s="81">
        <v>46041.593298611107</v>
      </c>
      <c r="O170" t="s">
        <v>58</v>
      </c>
      <c r="P170" t="s">
        <v>59</v>
      </c>
      <c r="Q170" t="s">
        <v>90</v>
      </c>
      <c r="R170" t="s">
        <v>99</v>
      </c>
      <c r="U170" s="75">
        <v>174479</v>
      </c>
      <c r="V170" t="s">
        <v>1047</v>
      </c>
      <c r="W170" t="s">
        <v>1048</v>
      </c>
      <c r="X170" t="s">
        <v>62</v>
      </c>
      <c r="Y170" t="s">
        <v>1049</v>
      </c>
      <c r="AA170" t="s">
        <v>101</v>
      </c>
      <c r="AB170">
        <v>77.299999</v>
      </c>
      <c r="AC170">
        <v>66.733333000000002</v>
      </c>
      <c r="AD170">
        <v>10.566666</v>
      </c>
      <c r="AE170">
        <v>0.15</v>
      </c>
      <c r="AF170">
        <v>0</v>
      </c>
      <c r="AG170">
        <v>10.416665999999999</v>
      </c>
      <c r="AH170">
        <v>10.416665999999999</v>
      </c>
      <c r="AI170">
        <v>10.066666</v>
      </c>
      <c r="AJ170">
        <v>0.35</v>
      </c>
      <c r="AK170">
        <v>0</v>
      </c>
      <c r="AL170" s="76">
        <v>44862.600069444437</v>
      </c>
      <c r="AM170" s="75">
        <v>1175</v>
      </c>
      <c r="AN170" t="s">
        <v>65</v>
      </c>
      <c r="AO170" t="s">
        <v>1050</v>
      </c>
      <c r="AP170" t="s">
        <v>67</v>
      </c>
      <c r="AQ170" t="s">
        <v>68</v>
      </c>
      <c r="AR170" t="s">
        <v>69</v>
      </c>
      <c r="AS170" s="78"/>
      <c r="AT170" s="82" t="s">
        <v>1038</v>
      </c>
      <c r="AU170" s="78">
        <v>2026</v>
      </c>
      <c r="AV170" s="78">
        <v>1</v>
      </c>
      <c r="AW170" s="78" t="s">
        <v>137</v>
      </c>
      <c r="AX170" s="78">
        <v>0</v>
      </c>
      <c r="AY170" s="78">
        <v>0</v>
      </c>
      <c r="BT170" s="2" t="s">
        <v>137</v>
      </c>
      <c r="BU170" s="2">
        <v>0</v>
      </c>
      <c r="BV170" s="2">
        <v>0</v>
      </c>
    </row>
    <row r="171" spans="1:74" ht="15" customHeight="1" x14ac:dyDescent="0.25">
      <c r="A171" s="75">
        <v>5781711</v>
      </c>
      <c r="B171" t="s">
        <v>1051</v>
      </c>
      <c r="C171" t="s">
        <v>181</v>
      </c>
      <c r="D171" t="s">
        <v>1052</v>
      </c>
      <c r="E171" t="s">
        <v>54</v>
      </c>
      <c r="F171" s="75">
        <v>771</v>
      </c>
      <c r="G171" s="75">
        <v>299845</v>
      </c>
      <c r="H171">
        <v>470.52</v>
      </c>
      <c r="I171" t="s">
        <v>55</v>
      </c>
      <c r="J171" s="75">
        <v>218497</v>
      </c>
      <c r="K171" t="s">
        <v>56</v>
      </c>
      <c r="L171" t="s">
        <v>57</v>
      </c>
      <c r="M171" s="81">
        <v>46040.860983796287</v>
      </c>
      <c r="N171" s="81">
        <v>46041.89025462963</v>
      </c>
      <c r="O171" t="s">
        <v>58</v>
      </c>
      <c r="P171" t="s">
        <v>59</v>
      </c>
      <c r="Q171" t="s">
        <v>130</v>
      </c>
      <c r="R171" t="s">
        <v>60</v>
      </c>
      <c r="U171" s="75">
        <v>174455</v>
      </c>
      <c r="V171" t="s">
        <v>1053</v>
      </c>
      <c r="W171" t="s">
        <v>1053</v>
      </c>
      <c r="X171" t="s">
        <v>62</v>
      </c>
      <c r="Y171" t="s">
        <v>63</v>
      </c>
      <c r="AA171" t="s">
        <v>416</v>
      </c>
      <c r="AB171">
        <v>24.583333</v>
      </c>
      <c r="AC171">
        <v>6.4</v>
      </c>
      <c r="AD171">
        <v>18.183333000000001</v>
      </c>
      <c r="AE171">
        <v>8.3334000000000005E-2</v>
      </c>
      <c r="AF171">
        <v>0</v>
      </c>
      <c r="AG171">
        <v>18.099999</v>
      </c>
      <c r="AH171">
        <v>18.099999</v>
      </c>
      <c r="AI171">
        <v>17.416665999999999</v>
      </c>
      <c r="AJ171">
        <v>0.68333299999999997</v>
      </c>
      <c r="AK171">
        <v>0</v>
      </c>
      <c r="AL171" s="76">
        <v>45321.725312499999</v>
      </c>
      <c r="AM171" s="75">
        <v>719</v>
      </c>
      <c r="AN171" t="s">
        <v>65</v>
      </c>
      <c r="AO171" t="s">
        <v>1054</v>
      </c>
      <c r="AP171" t="s">
        <v>67</v>
      </c>
      <c r="AQ171" t="s">
        <v>68</v>
      </c>
      <c r="AR171" t="s">
        <v>69</v>
      </c>
      <c r="AS171" s="79"/>
      <c r="AT171" s="82" t="s">
        <v>1038</v>
      </c>
      <c r="AU171" s="78">
        <v>2026</v>
      </c>
      <c r="AV171" s="78">
        <v>1</v>
      </c>
      <c r="AW171" s="78" t="s">
        <v>71</v>
      </c>
      <c r="AX171" s="78">
        <v>0</v>
      </c>
      <c r="AY171" s="78">
        <v>0</v>
      </c>
      <c r="BT171" s="3" t="s">
        <v>71</v>
      </c>
      <c r="BU171" s="3">
        <v>0</v>
      </c>
      <c r="BV171" s="3">
        <v>0</v>
      </c>
    </row>
    <row r="172" spans="1:74" ht="15" customHeight="1" x14ac:dyDescent="0.25">
      <c r="A172" s="75">
        <v>5779975</v>
      </c>
      <c r="B172" t="s">
        <v>1055</v>
      </c>
      <c r="C172" t="s">
        <v>1056</v>
      </c>
      <c r="D172" t="s">
        <v>182</v>
      </c>
      <c r="E172" t="s">
        <v>105</v>
      </c>
      <c r="F172" s="75">
        <v>25</v>
      </c>
      <c r="G172" s="75">
        <v>150625</v>
      </c>
      <c r="H172">
        <v>573</v>
      </c>
      <c r="I172" t="s">
        <v>368</v>
      </c>
      <c r="J172" s="75">
        <v>214913</v>
      </c>
      <c r="K172" t="s">
        <v>1057</v>
      </c>
      <c r="L172" t="s">
        <v>1058</v>
      </c>
      <c r="M172" s="81">
        <v>46038.680104166669</v>
      </c>
      <c r="N172" s="81">
        <v>46042.436377314807</v>
      </c>
      <c r="O172" t="s">
        <v>554</v>
      </c>
      <c r="P172" t="s">
        <v>59</v>
      </c>
      <c r="Q172" t="s">
        <v>130</v>
      </c>
      <c r="R172" t="s">
        <v>99</v>
      </c>
      <c r="U172" s="75">
        <v>175277</v>
      </c>
      <c r="V172" t="s">
        <v>1059</v>
      </c>
      <c r="X172" t="s">
        <v>62</v>
      </c>
      <c r="Y172" t="s">
        <v>63</v>
      </c>
      <c r="AA172" t="s">
        <v>64</v>
      </c>
      <c r="AB172">
        <v>90.083332999999996</v>
      </c>
      <c r="AC172">
        <v>81.616667000000007</v>
      </c>
      <c r="AD172">
        <v>8.466666</v>
      </c>
      <c r="AE172">
        <v>1.2</v>
      </c>
      <c r="AF172">
        <v>0</v>
      </c>
      <c r="AG172">
        <v>7.2666659999999998</v>
      </c>
      <c r="AH172">
        <v>7.2666659999999998</v>
      </c>
      <c r="AI172">
        <v>5.8</v>
      </c>
      <c r="AJ172">
        <v>1.466666</v>
      </c>
      <c r="AK172">
        <v>0</v>
      </c>
      <c r="AL172" s="76">
        <v>43910</v>
      </c>
      <c r="AM172" s="75">
        <v>2128</v>
      </c>
      <c r="AN172" t="s">
        <v>65</v>
      </c>
      <c r="AO172" t="s">
        <v>1060</v>
      </c>
      <c r="AP172" t="s">
        <v>67</v>
      </c>
      <c r="AQ172" t="s">
        <v>68</v>
      </c>
      <c r="AR172" t="s">
        <v>69</v>
      </c>
      <c r="AS172" s="78"/>
      <c r="AT172" s="82" t="s">
        <v>1038</v>
      </c>
      <c r="AU172" s="78">
        <v>2026</v>
      </c>
      <c r="AV172" s="78">
        <v>1</v>
      </c>
      <c r="AW172" s="78" t="s">
        <v>71</v>
      </c>
      <c r="AX172" s="78">
        <v>1</v>
      </c>
      <c r="AY172" s="78">
        <v>0</v>
      </c>
      <c r="BT172" s="2" t="s">
        <v>71</v>
      </c>
      <c r="BU172" s="2">
        <v>1</v>
      </c>
      <c r="BV172" s="2">
        <v>0</v>
      </c>
    </row>
    <row r="173" spans="1:74" ht="15" customHeight="1" x14ac:dyDescent="0.25">
      <c r="A173" s="75">
        <v>5779807</v>
      </c>
      <c r="B173" t="s">
        <v>1061</v>
      </c>
      <c r="C173" t="s">
        <v>1062</v>
      </c>
      <c r="D173" t="s">
        <v>162</v>
      </c>
      <c r="E173" t="s">
        <v>87</v>
      </c>
      <c r="F173" s="75">
        <v>333</v>
      </c>
      <c r="G173" s="75">
        <v>286645</v>
      </c>
      <c r="H173">
        <v>364.96</v>
      </c>
      <c r="I173" t="s">
        <v>55</v>
      </c>
      <c r="J173" s="75">
        <v>218787</v>
      </c>
      <c r="K173" t="s">
        <v>96</v>
      </c>
      <c r="L173" t="s">
        <v>97</v>
      </c>
      <c r="M173" s="81">
        <v>46038.652592592603</v>
      </c>
      <c r="N173" s="81">
        <v>46042.47215277778</v>
      </c>
      <c r="O173" t="s">
        <v>58</v>
      </c>
      <c r="P173" t="s">
        <v>59</v>
      </c>
      <c r="Q173" t="s">
        <v>130</v>
      </c>
      <c r="R173" t="s">
        <v>156</v>
      </c>
      <c r="U173" s="75">
        <v>174451</v>
      </c>
      <c r="V173" t="s">
        <v>1063</v>
      </c>
      <c r="W173" t="s">
        <v>1064</v>
      </c>
      <c r="X173" t="s">
        <v>62</v>
      </c>
      <c r="Y173" t="s">
        <v>63</v>
      </c>
      <c r="AA173" t="s">
        <v>101</v>
      </c>
      <c r="AB173">
        <v>91.6</v>
      </c>
      <c r="AC173">
        <v>81.3</v>
      </c>
      <c r="AD173">
        <v>10.3</v>
      </c>
      <c r="AE173">
        <v>0.35</v>
      </c>
      <c r="AF173">
        <v>0</v>
      </c>
      <c r="AG173">
        <v>9.9499999999999993</v>
      </c>
      <c r="AH173">
        <v>9.9499999999999993</v>
      </c>
      <c r="AI173">
        <v>8.6</v>
      </c>
      <c r="AJ173">
        <v>1.35</v>
      </c>
      <c r="AK173">
        <v>0</v>
      </c>
      <c r="AL173" s="76">
        <v>44931</v>
      </c>
      <c r="AM173" s="75">
        <v>1107</v>
      </c>
      <c r="AN173" t="s">
        <v>65</v>
      </c>
      <c r="AO173" t="s">
        <v>1065</v>
      </c>
      <c r="AP173" t="s">
        <v>67</v>
      </c>
      <c r="AQ173" t="s">
        <v>68</v>
      </c>
      <c r="AR173" t="s">
        <v>69</v>
      </c>
      <c r="AS173" s="79"/>
      <c r="AT173" s="82" t="s">
        <v>1038</v>
      </c>
      <c r="AU173" s="78">
        <v>2026</v>
      </c>
      <c r="AV173" s="78">
        <v>1</v>
      </c>
      <c r="AW173" s="78" t="s">
        <v>71</v>
      </c>
      <c r="AX173" s="78">
        <v>0</v>
      </c>
      <c r="AY173" s="78">
        <v>0</v>
      </c>
      <c r="BT173" s="3" t="s">
        <v>71</v>
      </c>
      <c r="BU173" s="3">
        <v>0</v>
      </c>
      <c r="BV173" s="3">
        <v>0</v>
      </c>
    </row>
    <row r="174" spans="1:74" ht="15" customHeight="1" x14ac:dyDescent="0.25">
      <c r="A174" s="75">
        <v>5779815</v>
      </c>
      <c r="B174" t="s">
        <v>1066</v>
      </c>
      <c r="C174" t="s">
        <v>1067</v>
      </c>
      <c r="D174" t="s">
        <v>162</v>
      </c>
      <c r="E174" t="s">
        <v>87</v>
      </c>
      <c r="F174" s="75">
        <v>426</v>
      </c>
      <c r="G174" s="75">
        <v>289277</v>
      </c>
      <c r="H174">
        <v>382.47</v>
      </c>
      <c r="I174" t="s">
        <v>55</v>
      </c>
      <c r="J174" s="75">
        <v>216233</v>
      </c>
      <c r="K174" t="s">
        <v>88</v>
      </c>
      <c r="L174" t="s">
        <v>89</v>
      </c>
      <c r="M174" s="81">
        <v>46038.65347222222</v>
      </c>
      <c r="N174" s="81">
        <v>46042.474791666667</v>
      </c>
      <c r="O174" t="s">
        <v>58</v>
      </c>
      <c r="P174" t="s">
        <v>59</v>
      </c>
      <c r="Q174" t="s">
        <v>90</v>
      </c>
      <c r="R174" t="s">
        <v>131</v>
      </c>
      <c r="U174" s="75">
        <v>174449</v>
      </c>
      <c r="V174" t="s">
        <v>1068</v>
      </c>
      <c r="W174" t="s">
        <v>1069</v>
      </c>
      <c r="X174" t="s">
        <v>62</v>
      </c>
      <c r="Y174" t="s">
        <v>63</v>
      </c>
      <c r="AA174" t="s">
        <v>101</v>
      </c>
      <c r="AB174">
        <v>91.65</v>
      </c>
      <c r="AC174">
        <v>81.05</v>
      </c>
      <c r="AD174">
        <v>10.6</v>
      </c>
      <c r="AE174">
        <v>0.1</v>
      </c>
      <c r="AF174">
        <v>0</v>
      </c>
      <c r="AG174">
        <v>10.5</v>
      </c>
      <c r="AH174">
        <v>10.5</v>
      </c>
      <c r="AI174">
        <v>10.083333</v>
      </c>
      <c r="AJ174">
        <v>0.41666700000000001</v>
      </c>
      <c r="AK174">
        <v>0</v>
      </c>
      <c r="AL174" s="76">
        <v>44998</v>
      </c>
      <c r="AM174" s="75">
        <v>1040</v>
      </c>
      <c r="AN174" t="s">
        <v>65</v>
      </c>
      <c r="AO174" t="s">
        <v>1070</v>
      </c>
      <c r="AP174" t="s">
        <v>67</v>
      </c>
      <c r="AQ174" t="s">
        <v>68</v>
      </c>
      <c r="AR174" t="s">
        <v>69</v>
      </c>
      <c r="AS174" s="78"/>
      <c r="AT174" s="82" t="s">
        <v>1038</v>
      </c>
      <c r="AU174" s="78">
        <v>2026</v>
      </c>
      <c r="AV174" s="78">
        <v>1</v>
      </c>
      <c r="AW174" s="78" t="s">
        <v>71</v>
      </c>
      <c r="AX174" s="78">
        <v>0</v>
      </c>
      <c r="AY174" s="78">
        <v>0</v>
      </c>
      <c r="BT174" s="2" t="s">
        <v>71</v>
      </c>
      <c r="BU174" s="2">
        <v>0</v>
      </c>
      <c r="BV174" s="2">
        <v>0</v>
      </c>
    </row>
    <row r="175" spans="1:74" ht="15" customHeight="1" x14ac:dyDescent="0.25">
      <c r="A175" s="75">
        <v>5778007</v>
      </c>
      <c r="B175" t="s">
        <v>1071</v>
      </c>
      <c r="C175" t="s">
        <v>838</v>
      </c>
      <c r="D175" t="s">
        <v>162</v>
      </c>
      <c r="E175" t="s">
        <v>87</v>
      </c>
      <c r="F175" s="75">
        <v>26</v>
      </c>
      <c r="G175" s="75">
        <v>275239</v>
      </c>
      <c r="H175">
        <v>398.82</v>
      </c>
      <c r="I175" t="s">
        <v>55</v>
      </c>
      <c r="J175" s="75">
        <v>216233</v>
      </c>
      <c r="K175" t="s">
        <v>88</v>
      </c>
      <c r="L175" t="s">
        <v>89</v>
      </c>
      <c r="M175" s="81">
        <v>46037.549178240741</v>
      </c>
      <c r="N175" s="81">
        <v>46042.482465277782</v>
      </c>
      <c r="O175" t="s">
        <v>58</v>
      </c>
      <c r="P175" t="s">
        <v>59</v>
      </c>
      <c r="Q175" t="s">
        <v>90</v>
      </c>
      <c r="R175" t="s">
        <v>60</v>
      </c>
      <c r="U175" s="75">
        <v>174447</v>
      </c>
      <c r="V175" t="s">
        <v>1072</v>
      </c>
      <c r="W175" t="s">
        <v>1073</v>
      </c>
      <c r="X175" t="s">
        <v>62</v>
      </c>
      <c r="Y175" t="s">
        <v>63</v>
      </c>
      <c r="AA175" t="s">
        <v>416</v>
      </c>
      <c r="AB175">
        <v>118.316667</v>
      </c>
      <c r="AC175">
        <v>103.41666600000001</v>
      </c>
      <c r="AD175">
        <v>14.900001</v>
      </c>
      <c r="AE175">
        <v>0.25</v>
      </c>
      <c r="AF175">
        <v>0</v>
      </c>
      <c r="AG175">
        <v>14.650001</v>
      </c>
      <c r="AH175">
        <v>14.650001</v>
      </c>
      <c r="AI175">
        <v>14.166667</v>
      </c>
      <c r="AJ175">
        <v>0.48333399999999999</v>
      </c>
      <c r="AK175">
        <v>0</v>
      </c>
      <c r="AL175" s="76">
        <v>44866</v>
      </c>
      <c r="AM175" s="75">
        <v>1171</v>
      </c>
      <c r="AN175" t="s">
        <v>65</v>
      </c>
      <c r="AO175" t="s">
        <v>841</v>
      </c>
      <c r="AP175" t="s">
        <v>67</v>
      </c>
      <c r="AQ175" t="s">
        <v>68</v>
      </c>
      <c r="AR175" t="s">
        <v>69</v>
      </c>
      <c r="AS175" s="79"/>
      <c r="AT175" s="82" t="s">
        <v>1038</v>
      </c>
      <c r="AU175" s="78">
        <v>2026</v>
      </c>
      <c r="AV175" s="78">
        <v>1</v>
      </c>
      <c r="AW175" s="78" t="s">
        <v>71</v>
      </c>
      <c r="AX175" s="78">
        <v>0</v>
      </c>
      <c r="AY175" s="78">
        <v>0</v>
      </c>
      <c r="BT175" s="3" t="s">
        <v>71</v>
      </c>
      <c r="BU175" s="3">
        <v>0</v>
      </c>
      <c r="BV175" s="3">
        <v>0</v>
      </c>
    </row>
    <row r="176" spans="1:74" ht="15" customHeight="1" x14ac:dyDescent="0.25">
      <c r="A176" s="75">
        <v>5782835</v>
      </c>
      <c r="B176" t="s">
        <v>1074</v>
      </c>
      <c r="C176" t="s">
        <v>1075</v>
      </c>
      <c r="D176" t="s">
        <v>162</v>
      </c>
      <c r="E176" t="s">
        <v>87</v>
      </c>
      <c r="F176" s="75">
        <v>410</v>
      </c>
      <c r="G176" s="75">
        <v>288779</v>
      </c>
      <c r="H176">
        <v>740.61</v>
      </c>
      <c r="I176" t="s">
        <v>55</v>
      </c>
      <c r="J176" s="75">
        <v>216233</v>
      </c>
      <c r="K176" t="s">
        <v>88</v>
      </c>
      <c r="L176" t="s">
        <v>89</v>
      </c>
      <c r="M176" s="81">
        <v>46041.473171296297</v>
      </c>
      <c r="N176" s="81">
        <v>46042.484930555547</v>
      </c>
      <c r="O176" t="s">
        <v>58</v>
      </c>
      <c r="P176" t="s">
        <v>59</v>
      </c>
      <c r="Q176" t="s">
        <v>90</v>
      </c>
      <c r="R176" t="s">
        <v>60</v>
      </c>
      <c r="U176" s="75">
        <v>174959</v>
      </c>
      <c r="V176" t="s">
        <v>1076</v>
      </c>
      <c r="W176" t="s">
        <v>1076</v>
      </c>
      <c r="X176" t="s">
        <v>62</v>
      </c>
      <c r="Y176" t="s">
        <v>63</v>
      </c>
      <c r="AA176" t="s">
        <v>64</v>
      </c>
      <c r="AB176">
        <v>24.233333999999999</v>
      </c>
      <c r="AC176">
        <v>16.600000000000001</v>
      </c>
      <c r="AD176">
        <v>7.6333339999999996</v>
      </c>
      <c r="AE176">
        <v>0.7</v>
      </c>
      <c r="AF176">
        <v>0</v>
      </c>
      <c r="AG176">
        <v>6.9333340000000003</v>
      </c>
      <c r="AH176">
        <v>6.9333340000000003</v>
      </c>
      <c r="AI176">
        <v>6.766667</v>
      </c>
      <c r="AJ176">
        <v>0.16666700000000001</v>
      </c>
      <c r="AK176">
        <v>0</v>
      </c>
      <c r="AL176" s="76">
        <v>45016</v>
      </c>
      <c r="AM176" s="75">
        <v>1025</v>
      </c>
      <c r="AN176" t="s">
        <v>65</v>
      </c>
      <c r="AO176" t="s">
        <v>1077</v>
      </c>
      <c r="AP176" t="s">
        <v>67</v>
      </c>
      <c r="AQ176" t="s">
        <v>68</v>
      </c>
      <c r="AR176" t="s">
        <v>69</v>
      </c>
      <c r="AS176" s="78"/>
      <c r="AT176" s="82" t="s">
        <v>1038</v>
      </c>
      <c r="AU176" s="78">
        <v>2026</v>
      </c>
      <c r="AV176" s="78">
        <v>1</v>
      </c>
      <c r="AW176" s="78" t="s">
        <v>71</v>
      </c>
      <c r="AX176" s="78">
        <v>1</v>
      </c>
      <c r="AY176" s="78">
        <v>0</v>
      </c>
      <c r="BT176" s="2" t="s">
        <v>71</v>
      </c>
      <c r="BU176" s="2">
        <v>1</v>
      </c>
      <c r="BV176" s="2">
        <v>0</v>
      </c>
    </row>
    <row r="177" spans="1:74" ht="15" customHeight="1" x14ac:dyDescent="0.25">
      <c r="A177" s="75">
        <v>5782827</v>
      </c>
      <c r="B177" t="s">
        <v>1078</v>
      </c>
      <c r="C177" t="s">
        <v>1079</v>
      </c>
      <c r="D177" t="s">
        <v>162</v>
      </c>
      <c r="E177" t="s">
        <v>87</v>
      </c>
      <c r="F177" s="75">
        <v>187</v>
      </c>
      <c r="G177" s="75">
        <v>285899</v>
      </c>
      <c r="H177">
        <v>398.82</v>
      </c>
      <c r="I177" t="s">
        <v>55</v>
      </c>
      <c r="J177" s="75">
        <v>216233</v>
      </c>
      <c r="K177" t="s">
        <v>88</v>
      </c>
      <c r="L177" t="s">
        <v>89</v>
      </c>
      <c r="M177" s="81">
        <v>46041.473078703697</v>
      </c>
      <c r="N177" s="81">
        <v>46042.485300925917</v>
      </c>
      <c r="O177" t="s">
        <v>58</v>
      </c>
      <c r="P177" t="s">
        <v>59</v>
      </c>
      <c r="Q177" t="s">
        <v>90</v>
      </c>
      <c r="R177" t="s">
        <v>60</v>
      </c>
      <c r="U177" s="75">
        <v>174945</v>
      </c>
      <c r="V177" t="s">
        <v>1080</v>
      </c>
      <c r="W177" t="s">
        <v>1080</v>
      </c>
      <c r="X177" t="s">
        <v>62</v>
      </c>
      <c r="Y177" t="s">
        <v>63</v>
      </c>
      <c r="AA177" t="s">
        <v>64</v>
      </c>
      <c r="AB177">
        <v>24.25</v>
      </c>
      <c r="AC177">
        <v>17.733332999999998</v>
      </c>
      <c r="AD177">
        <v>6.516667</v>
      </c>
      <c r="AE177">
        <v>0.35</v>
      </c>
      <c r="AF177">
        <v>0</v>
      </c>
      <c r="AG177">
        <v>6.1666670000000003</v>
      </c>
      <c r="AH177">
        <v>6.1666670000000003</v>
      </c>
      <c r="AI177">
        <v>6.1666670000000003</v>
      </c>
      <c r="AJ177">
        <v>0</v>
      </c>
      <c r="AK177">
        <v>0</v>
      </c>
      <c r="AL177" s="76">
        <v>44875</v>
      </c>
      <c r="AM177" s="75">
        <v>1166</v>
      </c>
      <c r="AN177" t="s">
        <v>65</v>
      </c>
      <c r="AO177" t="s">
        <v>1081</v>
      </c>
      <c r="AP177" t="s">
        <v>67</v>
      </c>
      <c r="AQ177" t="s">
        <v>68</v>
      </c>
      <c r="AR177" t="s">
        <v>69</v>
      </c>
      <c r="AS177" s="79"/>
      <c r="AT177" s="82" t="s">
        <v>1038</v>
      </c>
      <c r="AU177" s="78">
        <v>2026</v>
      </c>
      <c r="AV177" s="78">
        <v>1</v>
      </c>
      <c r="AW177" s="78" t="s">
        <v>71</v>
      </c>
      <c r="AX177" s="78">
        <v>1</v>
      </c>
      <c r="AY177" s="78">
        <v>0</v>
      </c>
      <c r="BT177" s="3" t="s">
        <v>71</v>
      </c>
      <c r="BU177" s="3">
        <v>1</v>
      </c>
      <c r="BV177" s="3">
        <v>0</v>
      </c>
    </row>
    <row r="178" spans="1:74" ht="15" customHeight="1" x14ac:dyDescent="0.25">
      <c r="A178" s="75">
        <v>5783829</v>
      </c>
      <c r="B178" t="s">
        <v>1082</v>
      </c>
      <c r="C178" t="s">
        <v>1083</v>
      </c>
      <c r="D178" t="s">
        <v>527</v>
      </c>
      <c r="E178" t="s">
        <v>54</v>
      </c>
      <c r="F178" s="75">
        <v>20</v>
      </c>
      <c r="G178" s="75">
        <v>302193</v>
      </c>
      <c r="H178">
        <v>900</v>
      </c>
      <c r="I178" t="s">
        <v>55</v>
      </c>
      <c r="J178" s="75">
        <v>64169</v>
      </c>
      <c r="K178" t="s">
        <v>1084</v>
      </c>
      <c r="L178" t="s">
        <v>1085</v>
      </c>
      <c r="M178" s="81">
        <v>46042.02140046296</v>
      </c>
      <c r="N178" s="81">
        <v>46042.508831018517</v>
      </c>
      <c r="O178" t="s">
        <v>58</v>
      </c>
      <c r="P178" t="s">
        <v>59</v>
      </c>
      <c r="Q178" t="s">
        <v>90</v>
      </c>
      <c r="R178" t="s">
        <v>60</v>
      </c>
      <c r="U178" s="75">
        <v>175275</v>
      </c>
      <c r="V178" t="s">
        <v>1086</v>
      </c>
      <c r="W178" t="s">
        <v>1086</v>
      </c>
      <c r="X178" t="s">
        <v>118</v>
      </c>
      <c r="Y178" t="s">
        <v>119</v>
      </c>
      <c r="AA178" t="s">
        <v>81</v>
      </c>
      <c r="AB178">
        <v>11.650001</v>
      </c>
      <c r="AC178">
        <v>8.8833339999999996</v>
      </c>
      <c r="AD178">
        <v>2.766667</v>
      </c>
      <c r="AE178">
        <v>1</v>
      </c>
      <c r="AF178">
        <v>0</v>
      </c>
      <c r="AG178">
        <v>1.766667</v>
      </c>
      <c r="AH178">
        <v>1.766667</v>
      </c>
      <c r="AI178">
        <v>1.766667</v>
      </c>
      <c r="AJ178">
        <v>0</v>
      </c>
      <c r="AK178">
        <v>0</v>
      </c>
      <c r="AL178" s="76">
        <v>45460</v>
      </c>
      <c r="AM178" s="75">
        <v>582</v>
      </c>
      <c r="AN178" t="s">
        <v>65</v>
      </c>
      <c r="AO178" t="s">
        <v>1087</v>
      </c>
      <c r="AP178" t="s">
        <v>67</v>
      </c>
      <c r="AQ178" t="s">
        <v>121</v>
      </c>
      <c r="AR178" t="s">
        <v>69</v>
      </c>
      <c r="AS178" s="78"/>
      <c r="AT178" s="82" t="s">
        <v>1038</v>
      </c>
      <c r="AU178" s="78">
        <v>2026</v>
      </c>
      <c r="AV178" s="78">
        <v>1</v>
      </c>
      <c r="AW178" s="78" t="s">
        <v>122</v>
      </c>
      <c r="AX178" s="78">
        <v>1</v>
      </c>
      <c r="AY178" s="78">
        <v>0</v>
      </c>
      <c r="BT178" s="2" t="s">
        <v>122</v>
      </c>
      <c r="BU178" s="2">
        <v>1</v>
      </c>
      <c r="BV178" s="2">
        <v>0</v>
      </c>
    </row>
    <row r="179" spans="1:74" ht="15" customHeight="1" x14ac:dyDescent="0.25">
      <c r="A179" s="75">
        <v>5779511</v>
      </c>
      <c r="B179" t="s">
        <v>1088</v>
      </c>
      <c r="C179" t="s">
        <v>1089</v>
      </c>
      <c r="D179" t="s">
        <v>809</v>
      </c>
      <c r="E179" t="s">
        <v>87</v>
      </c>
      <c r="F179" s="75">
        <v>112</v>
      </c>
      <c r="G179" s="75">
        <v>302153</v>
      </c>
      <c r="H179">
        <v>623.5</v>
      </c>
      <c r="I179" t="s">
        <v>55</v>
      </c>
      <c r="J179" s="75">
        <v>203659</v>
      </c>
      <c r="K179" t="s">
        <v>1090</v>
      </c>
      <c r="L179" t="s">
        <v>1091</v>
      </c>
      <c r="M179" s="81">
        <v>46038.570034722223</v>
      </c>
      <c r="N179" s="81">
        <v>46042.534988425927</v>
      </c>
      <c r="O179" t="s">
        <v>58</v>
      </c>
      <c r="P179" t="s">
        <v>59</v>
      </c>
      <c r="Q179" t="s">
        <v>90</v>
      </c>
      <c r="R179" t="s">
        <v>144</v>
      </c>
      <c r="T179" t="s">
        <v>507</v>
      </c>
      <c r="U179" s="75">
        <v>174119</v>
      </c>
      <c r="V179" t="s">
        <v>1092</v>
      </c>
      <c r="W179" t="s">
        <v>1092</v>
      </c>
      <c r="X179" t="s">
        <v>62</v>
      </c>
      <c r="Y179" t="s">
        <v>510</v>
      </c>
      <c r="AA179" t="s">
        <v>64</v>
      </c>
      <c r="AB179">
        <v>95.066668000000007</v>
      </c>
      <c r="AC179">
        <v>86.183334000000002</v>
      </c>
      <c r="AD179">
        <v>8.8833339999999996</v>
      </c>
      <c r="AE179">
        <v>1.6666669999999999</v>
      </c>
      <c r="AF179">
        <v>0</v>
      </c>
      <c r="AG179">
        <v>7.2166670000000002</v>
      </c>
      <c r="AH179">
        <v>7.2166670000000002</v>
      </c>
      <c r="AI179">
        <v>4.1666670000000003</v>
      </c>
      <c r="AJ179">
        <v>3.05</v>
      </c>
      <c r="AK179">
        <v>0</v>
      </c>
      <c r="AL179" s="76">
        <v>45398</v>
      </c>
      <c r="AM179" s="75">
        <v>640</v>
      </c>
      <c r="AN179" t="s">
        <v>65</v>
      </c>
      <c r="AO179" t="s">
        <v>1093</v>
      </c>
      <c r="AP179" t="s">
        <v>67</v>
      </c>
      <c r="AQ179" t="s">
        <v>68</v>
      </c>
      <c r="AR179" t="s">
        <v>69</v>
      </c>
      <c r="AS179" s="79"/>
      <c r="AT179" s="82" t="s">
        <v>1038</v>
      </c>
      <c r="AU179" s="78">
        <v>2026</v>
      </c>
      <c r="AV179" s="78">
        <v>1</v>
      </c>
      <c r="AW179" s="78" t="s">
        <v>137</v>
      </c>
      <c r="AX179" s="78">
        <v>1</v>
      </c>
      <c r="AY179" s="78">
        <v>0</v>
      </c>
      <c r="BT179" s="3" t="s">
        <v>137</v>
      </c>
      <c r="BU179" s="3">
        <v>1</v>
      </c>
      <c r="BV179" s="3">
        <v>0</v>
      </c>
    </row>
    <row r="180" spans="1:74" ht="15" customHeight="1" x14ac:dyDescent="0.25">
      <c r="A180" s="75">
        <v>5783387</v>
      </c>
      <c r="B180" t="s">
        <v>1094</v>
      </c>
      <c r="C180" t="s">
        <v>1095</v>
      </c>
      <c r="D180" t="s">
        <v>527</v>
      </c>
      <c r="E180" t="s">
        <v>54</v>
      </c>
      <c r="F180" s="75">
        <v>9</v>
      </c>
      <c r="G180" s="75">
        <v>341041</v>
      </c>
      <c r="H180">
        <v>425</v>
      </c>
      <c r="I180" t="s">
        <v>141</v>
      </c>
      <c r="J180" s="75">
        <v>226759</v>
      </c>
      <c r="K180" t="s">
        <v>736</v>
      </c>
      <c r="L180" t="s">
        <v>737</v>
      </c>
      <c r="M180" s="81">
        <v>46041.637060185189</v>
      </c>
      <c r="N180" s="81">
        <v>46042.555034722223</v>
      </c>
      <c r="O180" t="s">
        <v>58</v>
      </c>
      <c r="P180" t="s">
        <v>59</v>
      </c>
      <c r="Q180" t="s">
        <v>130</v>
      </c>
      <c r="R180" t="s">
        <v>60</v>
      </c>
      <c r="U180" s="75">
        <v>175259</v>
      </c>
      <c r="V180" t="s">
        <v>1096</v>
      </c>
      <c r="W180" t="s">
        <v>1096</v>
      </c>
      <c r="X180" t="s">
        <v>62</v>
      </c>
      <c r="Y180" t="s">
        <v>931</v>
      </c>
      <c r="AA180" t="s">
        <v>64</v>
      </c>
      <c r="AB180">
        <v>21.95</v>
      </c>
      <c r="AC180">
        <v>14.800001</v>
      </c>
      <c r="AD180">
        <v>7.1499990000000002</v>
      </c>
      <c r="AE180">
        <v>0.31666699999999998</v>
      </c>
      <c r="AF180">
        <v>0</v>
      </c>
      <c r="AG180">
        <v>6.8333320000000004</v>
      </c>
      <c r="AH180">
        <v>6.8333320000000004</v>
      </c>
      <c r="AI180">
        <v>3.9166660000000002</v>
      </c>
      <c r="AJ180">
        <v>2.9166660000000002</v>
      </c>
      <c r="AK180">
        <v>0</v>
      </c>
      <c r="AL180" s="76">
        <v>45930.750416666669</v>
      </c>
      <c r="AM180" s="75">
        <v>110</v>
      </c>
      <c r="AN180" t="s">
        <v>65</v>
      </c>
      <c r="AO180" t="s">
        <v>1097</v>
      </c>
      <c r="AP180" t="s">
        <v>67</v>
      </c>
      <c r="AQ180" t="s">
        <v>68</v>
      </c>
      <c r="AR180" t="s">
        <v>69</v>
      </c>
      <c r="AS180" s="78"/>
      <c r="AT180" s="82" t="s">
        <v>1038</v>
      </c>
      <c r="AU180" s="78">
        <v>2026</v>
      </c>
      <c r="AV180" s="78">
        <v>1</v>
      </c>
      <c r="AW180" s="78" t="s">
        <v>71</v>
      </c>
      <c r="AX180" s="78">
        <v>1</v>
      </c>
      <c r="AY180" s="78">
        <v>0</v>
      </c>
      <c r="BT180" s="2" t="s">
        <v>71</v>
      </c>
      <c r="BU180" s="2">
        <v>1</v>
      </c>
      <c r="BV180" s="2">
        <v>0</v>
      </c>
    </row>
    <row r="181" spans="1:74" ht="15" customHeight="1" x14ac:dyDescent="0.25">
      <c r="A181" s="75">
        <v>5779101</v>
      </c>
      <c r="B181" t="s">
        <v>1098</v>
      </c>
      <c r="C181" t="s">
        <v>1099</v>
      </c>
      <c r="D181" t="s">
        <v>74</v>
      </c>
      <c r="E181" t="s">
        <v>87</v>
      </c>
      <c r="F181" s="75">
        <v>172</v>
      </c>
      <c r="G181" s="75">
        <v>285847</v>
      </c>
      <c r="H181">
        <v>364.95</v>
      </c>
      <c r="I181" t="s">
        <v>55</v>
      </c>
      <c r="J181" s="75">
        <v>218787</v>
      </c>
      <c r="K181" t="s">
        <v>96</v>
      </c>
      <c r="L181" t="s">
        <v>97</v>
      </c>
      <c r="M181" s="81">
        <v>46038.424490740741</v>
      </c>
      <c r="N181" s="81">
        <v>46042.582372685189</v>
      </c>
      <c r="O181" t="s">
        <v>58</v>
      </c>
      <c r="P181" t="s">
        <v>59</v>
      </c>
      <c r="Q181" t="s">
        <v>90</v>
      </c>
      <c r="R181" t="s">
        <v>131</v>
      </c>
      <c r="U181" s="75">
        <v>174441</v>
      </c>
      <c r="V181" t="s">
        <v>1100</v>
      </c>
      <c r="W181" t="s">
        <v>1101</v>
      </c>
      <c r="X181" t="s">
        <v>62</v>
      </c>
      <c r="Y181" t="s">
        <v>63</v>
      </c>
      <c r="AA181" t="s">
        <v>416</v>
      </c>
      <c r="AB181">
        <v>99.716667000000001</v>
      </c>
      <c r="AC181">
        <v>84.05</v>
      </c>
      <c r="AD181">
        <v>15.666667</v>
      </c>
      <c r="AE181">
        <v>0.11666700000000001</v>
      </c>
      <c r="AF181">
        <v>0</v>
      </c>
      <c r="AG181">
        <v>15.55</v>
      </c>
      <c r="AH181">
        <v>15.55</v>
      </c>
      <c r="AI181">
        <v>14.8</v>
      </c>
      <c r="AJ181">
        <v>0.75</v>
      </c>
      <c r="AK181">
        <v>0</v>
      </c>
      <c r="AL181" s="76">
        <v>44873</v>
      </c>
      <c r="AM181" s="75">
        <v>1165</v>
      </c>
      <c r="AN181" t="s">
        <v>65</v>
      </c>
      <c r="AO181" t="s">
        <v>1102</v>
      </c>
      <c r="AP181" t="s">
        <v>67</v>
      </c>
      <c r="AQ181" t="s">
        <v>68</v>
      </c>
      <c r="AR181" t="s">
        <v>69</v>
      </c>
      <c r="AS181" s="79"/>
      <c r="AT181" s="82" t="s">
        <v>1038</v>
      </c>
      <c r="AU181" s="78">
        <v>2026</v>
      </c>
      <c r="AV181" s="78">
        <v>1</v>
      </c>
      <c r="AW181" s="78" t="s">
        <v>71</v>
      </c>
      <c r="AX181" s="78">
        <v>0</v>
      </c>
      <c r="AY181" s="78">
        <v>0</v>
      </c>
      <c r="BT181" s="3" t="s">
        <v>71</v>
      </c>
      <c r="BU181" s="3">
        <v>0</v>
      </c>
      <c r="BV181" s="3">
        <v>0</v>
      </c>
    </row>
    <row r="182" spans="1:74" ht="15" customHeight="1" x14ac:dyDescent="0.25">
      <c r="A182" s="75">
        <v>5782959</v>
      </c>
      <c r="B182" t="s">
        <v>1103</v>
      </c>
      <c r="C182" t="s">
        <v>1104</v>
      </c>
      <c r="D182" t="s">
        <v>527</v>
      </c>
      <c r="E182" t="s">
        <v>54</v>
      </c>
      <c r="F182" s="75">
        <v>1</v>
      </c>
      <c r="G182" s="75">
        <v>345611</v>
      </c>
      <c r="H182">
        <v>1499</v>
      </c>
      <c r="I182" t="s">
        <v>141</v>
      </c>
      <c r="J182" s="75">
        <v>227259</v>
      </c>
      <c r="K182" t="s">
        <v>975</v>
      </c>
      <c r="L182" t="s">
        <v>976</v>
      </c>
      <c r="M182" s="81">
        <v>46041.499756944453</v>
      </c>
      <c r="N182" s="81">
        <v>46042.593148148153</v>
      </c>
      <c r="O182" t="s">
        <v>58</v>
      </c>
      <c r="P182" t="s">
        <v>59</v>
      </c>
      <c r="Q182" t="s">
        <v>130</v>
      </c>
      <c r="R182" t="s">
        <v>156</v>
      </c>
      <c r="U182" s="75">
        <v>175281</v>
      </c>
      <c r="V182" t="s">
        <v>1105</v>
      </c>
      <c r="W182" t="s">
        <v>1106</v>
      </c>
      <c r="X182" t="s">
        <v>62</v>
      </c>
      <c r="Y182" t="s">
        <v>63</v>
      </c>
      <c r="AA182" t="s">
        <v>101</v>
      </c>
      <c r="AB182">
        <v>26.2</v>
      </c>
      <c r="AC182">
        <v>16.399999999999999</v>
      </c>
      <c r="AD182">
        <v>9.8000000000000007</v>
      </c>
      <c r="AE182">
        <v>6.6667000000000004E-2</v>
      </c>
      <c r="AF182">
        <v>0</v>
      </c>
      <c r="AG182">
        <v>9.733333</v>
      </c>
      <c r="AH182">
        <v>9.733333</v>
      </c>
      <c r="AI182">
        <v>9.1999999999999993</v>
      </c>
      <c r="AJ182">
        <v>0.53333299999999995</v>
      </c>
      <c r="AK182">
        <v>0</v>
      </c>
      <c r="AL182" s="76">
        <v>46001.649780092594</v>
      </c>
      <c r="AM182" s="75">
        <v>39</v>
      </c>
      <c r="AN182" t="s">
        <v>65</v>
      </c>
      <c r="AO182" t="s">
        <v>978</v>
      </c>
      <c r="AP182" t="s">
        <v>67</v>
      </c>
      <c r="AQ182" t="s">
        <v>68</v>
      </c>
      <c r="AR182" t="s">
        <v>69</v>
      </c>
      <c r="AS182" s="78"/>
      <c r="AT182" s="82" t="s">
        <v>1038</v>
      </c>
      <c r="AU182" s="78">
        <v>2026</v>
      </c>
      <c r="AV182" s="78">
        <v>1</v>
      </c>
      <c r="AW182" s="78" t="s">
        <v>71</v>
      </c>
      <c r="AX182" s="78">
        <v>0</v>
      </c>
      <c r="AY182" s="78">
        <v>0</v>
      </c>
      <c r="BT182" s="2" t="s">
        <v>71</v>
      </c>
      <c r="BU182" s="2">
        <v>0</v>
      </c>
      <c r="BV182" s="2">
        <v>0</v>
      </c>
    </row>
    <row r="183" spans="1:74" ht="15" customHeight="1" x14ac:dyDescent="0.25">
      <c r="A183" s="75">
        <v>5778137</v>
      </c>
      <c r="B183" t="s">
        <v>1107</v>
      </c>
      <c r="C183" t="s">
        <v>1108</v>
      </c>
      <c r="D183" t="s">
        <v>182</v>
      </c>
      <c r="E183" t="s">
        <v>126</v>
      </c>
      <c r="F183" s="75">
        <v>7</v>
      </c>
      <c r="G183" s="75">
        <v>343535</v>
      </c>
      <c r="H183">
        <v>190</v>
      </c>
      <c r="I183" t="s">
        <v>141</v>
      </c>
      <c r="J183" s="75">
        <v>218051</v>
      </c>
      <c r="K183" t="s">
        <v>802</v>
      </c>
      <c r="L183" t="s">
        <v>803</v>
      </c>
      <c r="M183" s="81">
        <v>46037.601018518522</v>
      </c>
      <c r="N183" s="81">
        <v>46042.622916666667</v>
      </c>
      <c r="O183" t="s">
        <v>58</v>
      </c>
      <c r="P183" t="s">
        <v>59</v>
      </c>
      <c r="Q183" t="s">
        <v>130</v>
      </c>
      <c r="R183" t="s">
        <v>99</v>
      </c>
      <c r="U183" s="75">
        <v>175279</v>
      </c>
      <c r="V183" t="s">
        <v>1109</v>
      </c>
      <c r="X183" t="s">
        <v>62</v>
      </c>
      <c r="Y183" t="s">
        <v>63</v>
      </c>
      <c r="AA183" t="s">
        <v>64</v>
      </c>
      <c r="AB183">
        <v>120.483334</v>
      </c>
      <c r="AC183">
        <v>114.533333</v>
      </c>
      <c r="AD183">
        <v>5.9500010000000003</v>
      </c>
      <c r="AE183">
        <v>0.26666699999999999</v>
      </c>
      <c r="AF183">
        <v>0</v>
      </c>
      <c r="AG183">
        <v>5.6833340000000003</v>
      </c>
      <c r="AH183">
        <v>5.6833340000000003</v>
      </c>
      <c r="AI183">
        <v>5.2166670000000002</v>
      </c>
      <c r="AJ183">
        <v>0.466667</v>
      </c>
      <c r="AK183">
        <v>0</v>
      </c>
      <c r="AL183" s="76">
        <v>45882</v>
      </c>
      <c r="AM183" s="75">
        <v>155</v>
      </c>
      <c r="AN183" t="s">
        <v>65</v>
      </c>
      <c r="AO183" t="s">
        <v>806</v>
      </c>
      <c r="AP183" t="s">
        <v>67</v>
      </c>
      <c r="AQ183" t="s">
        <v>68</v>
      </c>
      <c r="AR183" t="s">
        <v>69</v>
      </c>
      <c r="AS183" s="79"/>
      <c r="AT183" s="82" t="s">
        <v>1038</v>
      </c>
      <c r="AU183" s="78">
        <v>2026</v>
      </c>
      <c r="AV183" s="78">
        <v>1</v>
      </c>
      <c r="AW183" s="78" t="s">
        <v>71</v>
      </c>
      <c r="AX183" s="78">
        <v>1</v>
      </c>
      <c r="AY183" s="78">
        <v>0</v>
      </c>
      <c r="BT183" s="3" t="s">
        <v>71</v>
      </c>
      <c r="BU183" s="3">
        <v>1</v>
      </c>
      <c r="BV183" s="3">
        <v>0</v>
      </c>
    </row>
    <row r="184" spans="1:74" ht="15" customHeight="1" x14ac:dyDescent="0.25">
      <c r="A184" s="75">
        <v>5779285</v>
      </c>
      <c r="B184" t="s">
        <v>1110</v>
      </c>
      <c r="C184" t="s">
        <v>452</v>
      </c>
      <c r="D184" t="s">
        <v>74</v>
      </c>
      <c r="E184" t="s">
        <v>54</v>
      </c>
      <c r="F184" s="75">
        <v>1</v>
      </c>
      <c r="G184" s="75">
        <v>331211</v>
      </c>
      <c r="H184">
        <v>800</v>
      </c>
      <c r="I184" t="s">
        <v>141</v>
      </c>
      <c r="J184" s="75">
        <v>225435</v>
      </c>
      <c r="K184" t="s">
        <v>453</v>
      </c>
      <c r="L184" t="s">
        <v>454</v>
      </c>
      <c r="M184" s="81">
        <v>46038.477488425917</v>
      </c>
      <c r="N184" s="81">
        <v>46042.668368055558</v>
      </c>
      <c r="O184" t="s">
        <v>58</v>
      </c>
      <c r="P184" t="s">
        <v>59</v>
      </c>
      <c r="Q184" t="s">
        <v>77</v>
      </c>
      <c r="R184" t="s">
        <v>60</v>
      </c>
      <c r="U184" s="75">
        <v>174443</v>
      </c>
      <c r="V184" t="s">
        <v>1111</v>
      </c>
      <c r="W184" t="s">
        <v>1112</v>
      </c>
      <c r="X184" t="s">
        <v>62</v>
      </c>
      <c r="Y184" t="s">
        <v>63</v>
      </c>
      <c r="AA184" t="s">
        <v>101</v>
      </c>
      <c r="AB184">
        <v>100.483333</v>
      </c>
      <c r="AC184">
        <v>92.066665999999998</v>
      </c>
      <c r="AD184">
        <v>8.4166670000000003</v>
      </c>
      <c r="AE184">
        <v>0.216667</v>
      </c>
      <c r="AF184">
        <v>0</v>
      </c>
      <c r="AG184">
        <v>8.1999999999999993</v>
      </c>
      <c r="AH184">
        <v>8.1999999999999993</v>
      </c>
      <c r="AI184">
        <v>7.8666669999999996</v>
      </c>
      <c r="AJ184">
        <v>0.33333299999999999</v>
      </c>
      <c r="AK184">
        <v>0</v>
      </c>
      <c r="AL184" s="76">
        <v>45796.459490740737</v>
      </c>
      <c r="AM184" s="75">
        <v>242</v>
      </c>
      <c r="AN184" t="s">
        <v>65</v>
      </c>
      <c r="AO184" t="s">
        <v>457</v>
      </c>
      <c r="AP184" t="s">
        <v>67</v>
      </c>
      <c r="AQ184" t="s">
        <v>68</v>
      </c>
      <c r="AR184" t="s">
        <v>69</v>
      </c>
      <c r="AS184" s="78"/>
      <c r="AT184" s="82" t="s">
        <v>1038</v>
      </c>
      <c r="AU184" s="78">
        <v>2026</v>
      </c>
      <c r="AV184" s="78">
        <v>1</v>
      </c>
      <c r="AW184" s="78" t="s">
        <v>71</v>
      </c>
      <c r="AX184" s="78">
        <v>0</v>
      </c>
      <c r="AY184" s="78">
        <v>0</v>
      </c>
      <c r="BT184" s="2" t="s">
        <v>71</v>
      </c>
      <c r="BU184" s="2">
        <v>0</v>
      </c>
      <c r="BV184" s="2">
        <v>0</v>
      </c>
    </row>
    <row r="185" spans="1:74" ht="15" customHeight="1" x14ac:dyDescent="0.25">
      <c r="A185" s="75">
        <v>5783453</v>
      </c>
      <c r="B185" t="s">
        <v>1113</v>
      </c>
      <c r="C185" t="s">
        <v>1114</v>
      </c>
      <c r="D185" t="s">
        <v>162</v>
      </c>
      <c r="E185" t="s">
        <v>105</v>
      </c>
      <c r="F185" s="75">
        <v>2</v>
      </c>
      <c r="G185" s="75">
        <v>327357</v>
      </c>
      <c r="H185">
        <v>580</v>
      </c>
      <c r="I185" t="s">
        <v>175</v>
      </c>
      <c r="J185" s="75">
        <v>225215</v>
      </c>
      <c r="K185" t="s">
        <v>106</v>
      </c>
      <c r="L185" t="s">
        <v>107</v>
      </c>
      <c r="M185" s="81">
        <v>46041.660393518519</v>
      </c>
      <c r="N185" s="81">
        <v>46042.706307870372</v>
      </c>
      <c r="O185" t="s">
        <v>58</v>
      </c>
      <c r="P185" t="s">
        <v>59</v>
      </c>
      <c r="Q185" t="s">
        <v>90</v>
      </c>
      <c r="R185" t="s">
        <v>60</v>
      </c>
      <c r="U185" s="75">
        <v>175249</v>
      </c>
      <c r="V185" t="s">
        <v>1115</v>
      </c>
      <c r="W185" t="s">
        <v>1115</v>
      </c>
      <c r="X185" t="s">
        <v>62</v>
      </c>
      <c r="Y185" t="s">
        <v>63</v>
      </c>
      <c r="AA185" t="s">
        <v>64</v>
      </c>
      <c r="AB185">
        <v>25.066666000000001</v>
      </c>
      <c r="AC185">
        <v>18.649999999999999</v>
      </c>
      <c r="AD185">
        <v>6.4166660000000002</v>
      </c>
      <c r="AE185">
        <v>0.26666600000000001</v>
      </c>
      <c r="AF185">
        <v>0</v>
      </c>
      <c r="AG185">
        <v>6.15</v>
      </c>
      <c r="AH185">
        <v>6.15</v>
      </c>
      <c r="AI185">
        <v>3.8</v>
      </c>
      <c r="AJ185">
        <v>2.35</v>
      </c>
      <c r="AK185">
        <v>0</v>
      </c>
      <c r="AL185" s="76">
        <v>45576.666770833333</v>
      </c>
      <c r="AM185" s="75">
        <v>464</v>
      </c>
      <c r="AN185" t="s">
        <v>65</v>
      </c>
      <c r="AO185" t="s">
        <v>1116</v>
      </c>
      <c r="AP185" t="s">
        <v>67</v>
      </c>
      <c r="AQ185" t="s">
        <v>68</v>
      </c>
      <c r="AR185" t="s">
        <v>69</v>
      </c>
      <c r="AS185" s="79"/>
      <c r="AT185" s="82" t="s">
        <v>1038</v>
      </c>
      <c r="AU185" s="78">
        <v>2026</v>
      </c>
      <c r="AV185" s="78">
        <v>1</v>
      </c>
      <c r="AW185" s="78" t="s">
        <v>71</v>
      </c>
      <c r="AX185" s="78">
        <v>1</v>
      </c>
      <c r="AY185" s="78">
        <v>0</v>
      </c>
      <c r="BT185" s="3" t="s">
        <v>71</v>
      </c>
      <c r="BU185" s="3">
        <v>1</v>
      </c>
      <c r="BV185" s="3">
        <v>0</v>
      </c>
    </row>
    <row r="186" spans="1:74" ht="15" customHeight="1" x14ac:dyDescent="0.25">
      <c r="A186" s="75">
        <v>5784403</v>
      </c>
      <c r="B186" t="s">
        <v>1117</v>
      </c>
      <c r="C186" t="s">
        <v>1118</v>
      </c>
      <c r="D186" t="s">
        <v>162</v>
      </c>
      <c r="E186" t="s">
        <v>54</v>
      </c>
      <c r="F186" s="75">
        <v>871</v>
      </c>
      <c r="G186" s="75">
        <v>328167</v>
      </c>
      <c r="H186">
        <v>450</v>
      </c>
      <c r="I186" t="s">
        <v>175</v>
      </c>
      <c r="J186" s="75">
        <v>218497</v>
      </c>
      <c r="K186" t="s">
        <v>56</v>
      </c>
      <c r="L186" t="s">
        <v>57</v>
      </c>
      <c r="M186" s="81">
        <v>46042.451053240737</v>
      </c>
      <c r="N186" s="81">
        <v>46042.754907407398</v>
      </c>
      <c r="O186" t="s">
        <v>58</v>
      </c>
      <c r="P186" t="s">
        <v>59</v>
      </c>
      <c r="R186" t="s">
        <v>60</v>
      </c>
      <c r="U186" s="75">
        <v>175673</v>
      </c>
      <c r="V186" t="s">
        <v>1119</v>
      </c>
      <c r="W186" t="s">
        <v>1119</v>
      </c>
      <c r="X186" t="s">
        <v>62</v>
      </c>
      <c r="Y186" t="s">
        <v>63</v>
      </c>
      <c r="AA186" t="s">
        <v>64</v>
      </c>
      <c r="AB186">
        <v>7.2333350000000003</v>
      </c>
      <c r="AC186">
        <v>0.98333400000000004</v>
      </c>
      <c r="AD186">
        <v>6.2500010000000001</v>
      </c>
      <c r="AE186">
        <v>0.36666700000000002</v>
      </c>
      <c r="AF186">
        <v>0</v>
      </c>
      <c r="AG186">
        <v>5.8833339999999996</v>
      </c>
      <c r="AH186">
        <v>5.8833339999999996</v>
      </c>
      <c r="AI186">
        <v>5.6833340000000003</v>
      </c>
      <c r="AJ186">
        <v>0.2</v>
      </c>
      <c r="AK186">
        <v>0</v>
      </c>
      <c r="AL186" s="76">
        <v>45621</v>
      </c>
      <c r="AM186" s="75">
        <v>421</v>
      </c>
      <c r="AN186" t="s">
        <v>65</v>
      </c>
      <c r="AO186" t="s">
        <v>1120</v>
      </c>
      <c r="AP186" t="s">
        <v>67</v>
      </c>
      <c r="AQ186" t="s">
        <v>68</v>
      </c>
      <c r="AR186" t="s">
        <v>69</v>
      </c>
      <c r="AS186" s="78"/>
      <c r="AT186" s="82" t="s">
        <v>1038</v>
      </c>
      <c r="AU186" s="78">
        <v>2026</v>
      </c>
      <c r="AV186" s="78">
        <v>1</v>
      </c>
      <c r="AW186" s="78" t="s">
        <v>71</v>
      </c>
      <c r="AX186" s="78">
        <v>1</v>
      </c>
      <c r="AY186" s="78">
        <v>0</v>
      </c>
      <c r="BT186" s="2" t="s">
        <v>71</v>
      </c>
      <c r="BU186" s="2">
        <v>1</v>
      </c>
      <c r="BV186" s="2">
        <v>0</v>
      </c>
    </row>
    <row r="187" spans="1:74" ht="15" customHeight="1" x14ac:dyDescent="0.25">
      <c r="A187" s="75">
        <v>5785369</v>
      </c>
      <c r="B187" t="s">
        <v>1121</v>
      </c>
      <c r="C187" t="s">
        <v>1122</v>
      </c>
      <c r="D187" t="s">
        <v>527</v>
      </c>
      <c r="E187" t="s">
        <v>87</v>
      </c>
      <c r="F187" s="75">
        <v>34</v>
      </c>
      <c r="G187" s="75">
        <v>279699</v>
      </c>
      <c r="H187">
        <v>516.22</v>
      </c>
      <c r="I187" t="s">
        <v>266</v>
      </c>
      <c r="J187" s="75">
        <v>149307</v>
      </c>
      <c r="K187" t="s">
        <v>350</v>
      </c>
      <c r="L187" t="s">
        <v>351</v>
      </c>
      <c r="M187" s="81">
        <v>46042.70890046296</v>
      </c>
      <c r="N187" s="81">
        <v>46043.354108796288</v>
      </c>
      <c r="O187" t="s">
        <v>277</v>
      </c>
      <c r="P187" t="s">
        <v>59</v>
      </c>
      <c r="Q187" t="s">
        <v>90</v>
      </c>
      <c r="R187" t="s">
        <v>99</v>
      </c>
      <c r="U187" s="75">
        <v>175997</v>
      </c>
      <c r="V187" t="s">
        <v>1123</v>
      </c>
      <c r="X187" t="s">
        <v>62</v>
      </c>
      <c r="Y187" t="s">
        <v>1124</v>
      </c>
      <c r="AA187" t="s">
        <v>81</v>
      </c>
      <c r="AB187">
        <v>15.433334</v>
      </c>
      <c r="AC187">
        <v>14.6</v>
      </c>
      <c r="AD187">
        <v>0.83333400000000002</v>
      </c>
      <c r="AE187">
        <v>0.15</v>
      </c>
      <c r="AF187">
        <v>0</v>
      </c>
      <c r="AG187">
        <v>0.683334</v>
      </c>
      <c r="AH187">
        <v>0.683334</v>
      </c>
      <c r="AI187">
        <v>0.41666700000000001</v>
      </c>
      <c r="AJ187">
        <v>0.26666699999999999</v>
      </c>
      <c r="AK187">
        <v>0</v>
      </c>
      <c r="AL187" s="76">
        <v>44782</v>
      </c>
      <c r="AM187" s="75">
        <v>1260</v>
      </c>
      <c r="AN187" t="s">
        <v>65</v>
      </c>
      <c r="AO187" t="s">
        <v>1125</v>
      </c>
      <c r="AP187" t="s">
        <v>67</v>
      </c>
      <c r="AQ187" t="s">
        <v>68</v>
      </c>
      <c r="AR187" t="s">
        <v>69</v>
      </c>
      <c r="AS187" s="79"/>
      <c r="AT187" s="82" t="s">
        <v>1038</v>
      </c>
      <c r="AU187" s="78">
        <v>2026</v>
      </c>
      <c r="AV187" s="78">
        <v>1</v>
      </c>
      <c r="AW187" s="78" t="s">
        <v>137</v>
      </c>
      <c r="AX187" s="78">
        <v>1</v>
      </c>
      <c r="AY187" s="78">
        <v>0</v>
      </c>
      <c r="BT187" s="3" t="s">
        <v>137</v>
      </c>
      <c r="BU187" s="3">
        <v>1</v>
      </c>
      <c r="BV187" s="3">
        <v>0</v>
      </c>
    </row>
    <row r="188" spans="1:74" ht="15" customHeight="1" x14ac:dyDescent="0.25">
      <c r="A188" s="75">
        <v>5784429</v>
      </c>
      <c r="B188" t="s">
        <v>1126</v>
      </c>
      <c r="C188" t="s">
        <v>1127</v>
      </c>
      <c r="D188" t="s">
        <v>527</v>
      </c>
      <c r="E188" t="s">
        <v>54</v>
      </c>
      <c r="F188" s="75">
        <v>1</v>
      </c>
      <c r="G188" s="75">
        <v>345319</v>
      </c>
      <c r="H188">
        <v>800</v>
      </c>
      <c r="I188" t="s">
        <v>203</v>
      </c>
      <c r="J188" s="75">
        <v>228541</v>
      </c>
      <c r="K188" t="s">
        <v>1128</v>
      </c>
      <c r="L188" t="s">
        <v>1129</v>
      </c>
      <c r="M188" s="81">
        <v>46042.453090277777</v>
      </c>
      <c r="N188" s="81">
        <v>46043.388738425929</v>
      </c>
      <c r="O188" t="s">
        <v>391</v>
      </c>
      <c r="P188" t="s">
        <v>59</v>
      </c>
      <c r="Q188" t="s">
        <v>130</v>
      </c>
      <c r="R188" t="s">
        <v>60</v>
      </c>
      <c r="U188" s="75">
        <v>175671</v>
      </c>
      <c r="V188" t="s">
        <v>1130</v>
      </c>
      <c r="W188" t="s">
        <v>1130</v>
      </c>
      <c r="X188" t="s">
        <v>62</v>
      </c>
      <c r="Y188" t="s">
        <v>63</v>
      </c>
      <c r="AA188" t="s">
        <v>101</v>
      </c>
      <c r="AB188">
        <v>22.4</v>
      </c>
      <c r="AC188">
        <v>14.2</v>
      </c>
      <c r="AD188">
        <v>8.1999999999999993</v>
      </c>
      <c r="AE188">
        <v>0.1</v>
      </c>
      <c r="AF188">
        <v>0</v>
      </c>
      <c r="AG188">
        <v>8.1</v>
      </c>
      <c r="AH188">
        <v>8.1</v>
      </c>
      <c r="AI188">
        <v>7.7</v>
      </c>
      <c r="AJ188">
        <v>0.4</v>
      </c>
      <c r="AK188">
        <v>0</v>
      </c>
      <c r="AL188" s="76">
        <v>45929.628067129634</v>
      </c>
      <c r="AM188" s="75">
        <v>112</v>
      </c>
      <c r="AN188" t="s">
        <v>65</v>
      </c>
      <c r="AO188" t="s">
        <v>1131</v>
      </c>
      <c r="AP188" t="s">
        <v>67</v>
      </c>
      <c r="AQ188" t="s">
        <v>68</v>
      </c>
      <c r="AR188" t="s">
        <v>69</v>
      </c>
      <c r="AS188" s="78"/>
      <c r="AT188" s="82" t="s">
        <v>1038</v>
      </c>
      <c r="AU188" s="78">
        <v>2026</v>
      </c>
      <c r="AV188" s="78">
        <v>1</v>
      </c>
      <c r="AW188" s="78" t="s">
        <v>71</v>
      </c>
      <c r="AX188" s="78">
        <v>0</v>
      </c>
      <c r="AY188" s="78">
        <v>0</v>
      </c>
      <c r="BT188" s="2" t="s">
        <v>71</v>
      </c>
      <c r="BU188" s="2">
        <v>0</v>
      </c>
      <c r="BV188" s="2">
        <v>0</v>
      </c>
    </row>
    <row r="189" spans="1:74" ht="15" customHeight="1" x14ac:dyDescent="0.25">
      <c r="A189" s="75">
        <v>5783627</v>
      </c>
      <c r="B189" t="s">
        <v>1132</v>
      </c>
      <c r="C189" t="s">
        <v>1133</v>
      </c>
      <c r="D189" t="s">
        <v>809</v>
      </c>
      <c r="E189" t="s">
        <v>54</v>
      </c>
      <c r="F189" s="75">
        <v>11</v>
      </c>
      <c r="G189" s="75">
        <v>295427</v>
      </c>
      <c r="H189">
        <v>200</v>
      </c>
      <c r="I189" t="s">
        <v>55</v>
      </c>
      <c r="J189" s="75">
        <v>218297</v>
      </c>
      <c r="K189" t="s">
        <v>258</v>
      </c>
      <c r="L189" t="s">
        <v>259</v>
      </c>
      <c r="M189" s="81">
        <v>46041.728055555563</v>
      </c>
      <c r="N189" s="81">
        <v>46043.425150462957</v>
      </c>
      <c r="O189" t="s">
        <v>58</v>
      </c>
      <c r="P189" t="s">
        <v>59</v>
      </c>
      <c r="Q189" t="s">
        <v>77</v>
      </c>
      <c r="R189" t="s">
        <v>60</v>
      </c>
      <c r="U189" s="75">
        <v>175247</v>
      </c>
      <c r="V189" t="s">
        <v>1134</v>
      </c>
      <c r="W189" t="s">
        <v>1134</v>
      </c>
      <c r="X189" t="s">
        <v>62</v>
      </c>
      <c r="Y189" t="s">
        <v>63</v>
      </c>
      <c r="AA189" t="s">
        <v>101</v>
      </c>
      <c r="AB189">
        <v>40.650002000000001</v>
      </c>
      <c r="AC189">
        <v>29.483333999999999</v>
      </c>
      <c r="AD189">
        <v>11.166668</v>
      </c>
      <c r="AE189">
        <v>8.3334000000000005E-2</v>
      </c>
      <c r="AF189">
        <v>0</v>
      </c>
      <c r="AG189">
        <v>11.083334000000001</v>
      </c>
      <c r="AH189">
        <v>11.083334000000001</v>
      </c>
      <c r="AI189">
        <v>10.166667</v>
      </c>
      <c r="AJ189">
        <v>0.91666700000000001</v>
      </c>
      <c r="AK189">
        <v>0</v>
      </c>
      <c r="AL189" s="76">
        <v>45293.488159722219</v>
      </c>
      <c r="AM189" s="75">
        <v>748</v>
      </c>
      <c r="AN189" t="s">
        <v>65</v>
      </c>
      <c r="AO189" t="s">
        <v>262</v>
      </c>
      <c r="AP189" t="s">
        <v>67</v>
      </c>
      <c r="AQ189" t="s">
        <v>68</v>
      </c>
      <c r="AR189" t="s">
        <v>69</v>
      </c>
      <c r="AS189" s="79"/>
      <c r="AT189" s="82" t="s">
        <v>1038</v>
      </c>
      <c r="AU189" s="78">
        <v>2026</v>
      </c>
      <c r="AV189" s="78">
        <v>1</v>
      </c>
      <c r="AW189" s="78" t="s">
        <v>71</v>
      </c>
      <c r="AX189" s="78">
        <v>0</v>
      </c>
      <c r="AY189" s="78">
        <v>0</v>
      </c>
      <c r="BT189" s="3" t="s">
        <v>71</v>
      </c>
      <c r="BU189" s="3">
        <v>0</v>
      </c>
      <c r="BV189" s="3">
        <v>0</v>
      </c>
    </row>
    <row r="190" spans="1:74" ht="15" customHeight="1" x14ac:dyDescent="0.25">
      <c r="A190" s="75">
        <v>5778357</v>
      </c>
      <c r="B190" t="s">
        <v>1135</v>
      </c>
      <c r="C190" t="s">
        <v>1136</v>
      </c>
      <c r="D190" t="s">
        <v>1137</v>
      </c>
      <c r="E190" t="s">
        <v>54</v>
      </c>
      <c r="F190" s="75">
        <v>248</v>
      </c>
      <c r="G190" s="75">
        <v>47577</v>
      </c>
      <c r="H190">
        <v>2950</v>
      </c>
      <c r="I190" t="s">
        <v>114</v>
      </c>
      <c r="J190" s="75">
        <v>49223</v>
      </c>
      <c r="K190" t="s">
        <v>1138</v>
      </c>
      <c r="L190" t="s">
        <v>1139</v>
      </c>
      <c r="M190" s="81">
        <v>46037.660312499997</v>
      </c>
      <c r="N190" s="81">
        <v>46043.451203703713</v>
      </c>
      <c r="O190" t="s">
        <v>58</v>
      </c>
      <c r="P190" t="s">
        <v>59</v>
      </c>
      <c r="Q190" t="s">
        <v>90</v>
      </c>
      <c r="R190" t="s">
        <v>60</v>
      </c>
      <c r="U190" s="75">
        <v>175289</v>
      </c>
      <c r="V190" t="s">
        <v>1140</v>
      </c>
      <c r="W190" t="s">
        <v>1140</v>
      </c>
      <c r="X190" t="s">
        <v>118</v>
      </c>
      <c r="Y190" t="s">
        <v>119</v>
      </c>
      <c r="Z190" t="s">
        <v>1141</v>
      </c>
      <c r="AA190" t="s">
        <v>101</v>
      </c>
      <c r="AB190">
        <v>138.88333299999999</v>
      </c>
      <c r="AC190">
        <v>34.916666999999997</v>
      </c>
      <c r="AD190">
        <v>103.966666</v>
      </c>
      <c r="AE190">
        <v>94.683333000000005</v>
      </c>
      <c r="AF190">
        <v>94.55</v>
      </c>
      <c r="AG190">
        <v>9.2833330000000007</v>
      </c>
      <c r="AH190">
        <v>103.833333</v>
      </c>
      <c r="AI190">
        <v>8.5500000000000007</v>
      </c>
      <c r="AJ190">
        <v>0.73333300000000001</v>
      </c>
      <c r="AK190">
        <v>0</v>
      </c>
      <c r="AL190" s="76">
        <v>43022</v>
      </c>
      <c r="AM190" s="75">
        <v>3015</v>
      </c>
      <c r="AN190" t="s">
        <v>65</v>
      </c>
      <c r="AO190" t="s">
        <v>1142</v>
      </c>
      <c r="AP190" t="s">
        <v>67</v>
      </c>
      <c r="AQ190" t="s">
        <v>121</v>
      </c>
      <c r="AR190" t="s">
        <v>69</v>
      </c>
      <c r="AS190" s="78"/>
      <c r="AT190" s="82" t="s">
        <v>1038</v>
      </c>
      <c r="AU190" s="78">
        <v>2026</v>
      </c>
      <c r="AV190" s="78">
        <v>1</v>
      </c>
      <c r="AW190" s="78" t="s">
        <v>122</v>
      </c>
      <c r="AX190" s="78">
        <v>0</v>
      </c>
      <c r="AY190" s="78">
        <v>0</v>
      </c>
      <c r="BT190" s="2" t="s">
        <v>122</v>
      </c>
      <c r="BU190" s="2">
        <v>0</v>
      </c>
      <c r="BV190" s="2">
        <v>0</v>
      </c>
    </row>
    <row r="191" spans="1:74" ht="15" customHeight="1" x14ac:dyDescent="0.25">
      <c r="A191" s="75">
        <v>5782833</v>
      </c>
      <c r="B191" t="s">
        <v>1143</v>
      </c>
      <c r="C191" t="s">
        <v>1144</v>
      </c>
      <c r="D191" t="s">
        <v>74</v>
      </c>
      <c r="E191" t="s">
        <v>87</v>
      </c>
      <c r="F191" s="75">
        <v>337</v>
      </c>
      <c r="G191" s="75">
        <v>286679</v>
      </c>
      <c r="H191">
        <v>364.96</v>
      </c>
      <c r="I191" t="s">
        <v>55</v>
      </c>
      <c r="J191" s="75">
        <v>218787</v>
      </c>
      <c r="K191" t="s">
        <v>96</v>
      </c>
      <c r="L191" t="s">
        <v>97</v>
      </c>
      <c r="M191" s="81">
        <v>46041.47314814815</v>
      </c>
      <c r="N191" s="81">
        <v>46043.477511574078</v>
      </c>
      <c r="O191" t="s">
        <v>58</v>
      </c>
      <c r="P191" t="s">
        <v>59</v>
      </c>
      <c r="Q191" t="s">
        <v>90</v>
      </c>
      <c r="R191" t="s">
        <v>60</v>
      </c>
      <c r="U191" s="75">
        <v>175285</v>
      </c>
      <c r="V191" t="s">
        <v>1145</v>
      </c>
      <c r="W191" t="s">
        <v>1146</v>
      </c>
      <c r="X191" t="s">
        <v>62</v>
      </c>
      <c r="Y191" t="s">
        <v>63</v>
      </c>
      <c r="AA191" t="s">
        <v>64</v>
      </c>
      <c r="AB191">
        <v>48.066668</v>
      </c>
      <c r="AC191">
        <v>38.866667</v>
      </c>
      <c r="AD191">
        <v>9.2000010000000003</v>
      </c>
      <c r="AE191">
        <v>2.85</v>
      </c>
      <c r="AF191">
        <v>0</v>
      </c>
      <c r="AG191">
        <v>6.3500009999999998</v>
      </c>
      <c r="AH191">
        <v>6.3500009999999998</v>
      </c>
      <c r="AI191">
        <v>6.1166669999999996</v>
      </c>
      <c r="AJ191">
        <v>0.23333400000000001</v>
      </c>
      <c r="AK191">
        <v>0</v>
      </c>
      <c r="AL191" s="76">
        <v>44910</v>
      </c>
      <c r="AM191" s="75">
        <v>1131</v>
      </c>
      <c r="AN191" t="s">
        <v>65</v>
      </c>
      <c r="AO191" t="s">
        <v>1147</v>
      </c>
      <c r="AP191" t="s">
        <v>67</v>
      </c>
      <c r="AQ191" t="s">
        <v>68</v>
      </c>
      <c r="AR191" t="s">
        <v>69</v>
      </c>
      <c r="AS191" s="79"/>
      <c r="AT191" s="82" t="s">
        <v>1038</v>
      </c>
      <c r="AU191" s="78">
        <v>2026</v>
      </c>
      <c r="AV191" s="78">
        <v>1</v>
      </c>
      <c r="AW191" s="78" t="s">
        <v>71</v>
      </c>
      <c r="AX191" s="78">
        <v>1</v>
      </c>
      <c r="AY191" s="78">
        <v>0</v>
      </c>
      <c r="BT191" s="3" t="s">
        <v>71</v>
      </c>
      <c r="BU191" s="3">
        <v>1</v>
      </c>
      <c r="BV191" s="3">
        <v>0</v>
      </c>
    </row>
    <row r="192" spans="1:74" ht="15" customHeight="1" x14ac:dyDescent="0.25">
      <c r="A192" s="75">
        <v>5785365</v>
      </c>
      <c r="B192" t="s">
        <v>1148</v>
      </c>
      <c r="C192" t="s">
        <v>1149</v>
      </c>
      <c r="D192" t="s">
        <v>527</v>
      </c>
      <c r="E192" t="s">
        <v>87</v>
      </c>
      <c r="F192" s="75">
        <v>315</v>
      </c>
      <c r="G192" s="75">
        <v>286577</v>
      </c>
      <c r="H192">
        <v>364.96</v>
      </c>
      <c r="I192" t="s">
        <v>55</v>
      </c>
      <c r="J192" s="75">
        <v>218787</v>
      </c>
      <c r="K192" t="s">
        <v>96</v>
      </c>
      <c r="L192" t="s">
        <v>97</v>
      </c>
      <c r="M192" s="81">
        <v>46042.705277777779</v>
      </c>
      <c r="N192" s="81">
        <v>46043.573321759257</v>
      </c>
      <c r="O192" t="s">
        <v>58</v>
      </c>
      <c r="P192" t="s">
        <v>59</v>
      </c>
      <c r="Q192" t="s">
        <v>130</v>
      </c>
      <c r="R192" t="s">
        <v>60</v>
      </c>
      <c r="U192" s="75">
        <v>175973</v>
      </c>
      <c r="V192" t="s">
        <v>1150</v>
      </c>
      <c r="W192" t="s">
        <v>1150</v>
      </c>
      <c r="X192" t="s">
        <v>62</v>
      </c>
      <c r="Y192" t="s">
        <v>63</v>
      </c>
      <c r="AA192" t="s">
        <v>64</v>
      </c>
      <c r="AB192">
        <v>20.733332999999998</v>
      </c>
      <c r="AC192">
        <v>16.5</v>
      </c>
      <c r="AD192">
        <v>4.233333</v>
      </c>
      <c r="AE192">
        <v>8.3333000000000004E-2</v>
      </c>
      <c r="AF192">
        <v>0</v>
      </c>
      <c r="AG192">
        <v>4.1500000000000004</v>
      </c>
      <c r="AH192">
        <v>4.1500000000000004</v>
      </c>
      <c r="AI192">
        <v>3.55</v>
      </c>
      <c r="AJ192">
        <v>0.6</v>
      </c>
      <c r="AK192">
        <v>0</v>
      </c>
      <c r="AL192" s="76">
        <v>44911</v>
      </c>
      <c r="AM192" s="75">
        <v>1131</v>
      </c>
      <c r="AN192" t="s">
        <v>65</v>
      </c>
      <c r="AO192" t="s">
        <v>1151</v>
      </c>
      <c r="AP192" t="s">
        <v>67</v>
      </c>
      <c r="AQ192" t="s">
        <v>68</v>
      </c>
      <c r="AR192" t="s">
        <v>69</v>
      </c>
      <c r="AS192" s="78"/>
      <c r="AT192" s="82" t="s">
        <v>1038</v>
      </c>
      <c r="AU192" s="78">
        <v>2026</v>
      </c>
      <c r="AV192" s="78">
        <v>1</v>
      </c>
      <c r="AW192" s="78" t="s">
        <v>71</v>
      </c>
      <c r="AX192" s="78">
        <v>1</v>
      </c>
      <c r="AY192" s="78">
        <v>0</v>
      </c>
      <c r="BT192" s="2" t="s">
        <v>71</v>
      </c>
      <c r="BU192" s="2">
        <v>1</v>
      </c>
      <c r="BV192" s="2">
        <v>0</v>
      </c>
    </row>
    <row r="193" spans="1:74" ht="15" customHeight="1" x14ac:dyDescent="0.25">
      <c r="A193" s="75">
        <v>5784703</v>
      </c>
      <c r="B193" t="s">
        <v>1152</v>
      </c>
      <c r="C193" t="s">
        <v>667</v>
      </c>
      <c r="D193" t="s">
        <v>74</v>
      </c>
      <c r="E193" t="s">
        <v>87</v>
      </c>
      <c r="F193" s="75">
        <v>307</v>
      </c>
      <c r="G193" s="75">
        <v>286503</v>
      </c>
      <c r="H193">
        <v>364.96</v>
      </c>
      <c r="I193" t="s">
        <v>55</v>
      </c>
      <c r="J193" s="75">
        <v>218787</v>
      </c>
      <c r="K193" t="s">
        <v>96</v>
      </c>
      <c r="L193" t="s">
        <v>97</v>
      </c>
      <c r="M193" s="81">
        <v>46042.535381944443</v>
      </c>
      <c r="N193" s="81">
        <v>46043.574247685188</v>
      </c>
      <c r="O193" t="s">
        <v>58</v>
      </c>
      <c r="P193" t="s">
        <v>59</v>
      </c>
      <c r="Q193" t="s">
        <v>90</v>
      </c>
      <c r="R193" t="s">
        <v>60</v>
      </c>
      <c r="U193" s="75">
        <v>175761</v>
      </c>
      <c r="V193" t="s">
        <v>1153</v>
      </c>
      <c r="W193" t="s">
        <v>1153</v>
      </c>
      <c r="X193" t="s">
        <v>62</v>
      </c>
      <c r="Y193" t="s">
        <v>63</v>
      </c>
      <c r="AA193" t="s">
        <v>64</v>
      </c>
      <c r="AB193">
        <v>24.9</v>
      </c>
      <c r="AC193">
        <v>20.3</v>
      </c>
      <c r="AD193">
        <v>4.5999999999999996</v>
      </c>
      <c r="AE193">
        <v>0.15</v>
      </c>
      <c r="AF193">
        <v>0</v>
      </c>
      <c r="AG193">
        <v>4.45</v>
      </c>
      <c r="AH193">
        <v>4.45</v>
      </c>
      <c r="AI193">
        <v>4.233333</v>
      </c>
      <c r="AJ193">
        <v>0.216667</v>
      </c>
      <c r="AK193">
        <v>0</v>
      </c>
      <c r="AL193" s="76">
        <v>44933</v>
      </c>
      <c r="AM193" s="75">
        <v>1109</v>
      </c>
      <c r="AN193" t="s">
        <v>65</v>
      </c>
      <c r="AO193" t="s">
        <v>669</v>
      </c>
      <c r="AP193" t="s">
        <v>67</v>
      </c>
      <c r="AQ193" t="s">
        <v>68</v>
      </c>
      <c r="AR193" t="s">
        <v>69</v>
      </c>
      <c r="AS193" s="79"/>
      <c r="AT193" s="82" t="s">
        <v>1038</v>
      </c>
      <c r="AU193" s="78">
        <v>2026</v>
      </c>
      <c r="AV193" s="78">
        <v>1</v>
      </c>
      <c r="AW193" s="78" t="s">
        <v>71</v>
      </c>
      <c r="AX193" s="78">
        <v>1</v>
      </c>
      <c r="AY193" s="78">
        <v>0</v>
      </c>
      <c r="BT193" s="3" t="s">
        <v>71</v>
      </c>
      <c r="BU193" s="3">
        <v>1</v>
      </c>
      <c r="BV193" s="3">
        <v>0</v>
      </c>
    </row>
    <row r="194" spans="1:74" ht="15" customHeight="1" x14ac:dyDescent="0.25">
      <c r="A194" s="75">
        <v>5783801</v>
      </c>
      <c r="B194" t="s">
        <v>1154</v>
      </c>
      <c r="C194" t="s">
        <v>1155</v>
      </c>
      <c r="D194" t="s">
        <v>74</v>
      </c>
      <c r="E194" t="s">
        <v>87</v>
      </c>
      <c r="F194" s="75">
        <v>427</v>
      </c>
      <c r="G194" s="75">
        <v>289279</v>
      </c>
      <c r="H194">
        <v>740.61</v>
      </c>
      <c r="I194" t="s">
        <v>55</v>
      </c>
      <c r="J194" s="75">
        <v>216233</v>
      </c>
      <c r="K194" t="s">
        <v>88</v>
      </c>
      <c r="L194" t="s">
        <v>89</v>
      </c>
      <c r="M194" s="81">
        <v>46041.882581018523</v>
      </c>
      <c r="N194" s="81">
        <v>46043.574976851851</v>
      </c>
      <c r="O194" t="s">
        <v>58</v>
      </c>
      <c r="P194" t="s">
        <v>59</v>
      </c>
      <c r="Q194" t="s">
        <v>90</v>
      </c>
      <c r="R194" t="s">
        <v>60</v>
      </c>
      <c r="U194" s="75">
        <v>175299</v>
      </c>
      <c r="V194" t="s">
        <v>1156</v>
      </c>
      <c r="W194" t="s">
        <v>1156</v>
      </c>
      <c r="X194" t="s">
        <v>62</v>
      </c>
      <c r="Y194" t="s">
        <v>63</v>
      </c>
      <c r="AA194" t="s">
        <v>64</v>
      </c>
      <c r="AB194">
        <v>40.566665999999998</v>
      </c>
      <c r="AC194">
        <v>32.666665999999999</v>
      </c>
      <c r="AD194">
        <v>7.9</v>
      </c>
      <c r="AE194">
        <v>0.15</v>
      </c>
      <c r="AF194">
        <v>0</v>
      </c>
      <c r="AG194">
        <v>7.75</v>
      </c>
      <c r="AH194">
        <v>7.75</v>
      </c>
      <c r="AI194">
        <v>7.6666670000000003</v>
      </c>
      <c r="AJ194">
        <v>8.3333000000000004E-2</v>
      </c>
      <c r="AK194">
        <v>0</v>
      </c>
      <c r="AL194" s="76">
        <v>45001</v>
      </c>
      <c r="AM194" s="75">
        <v>1040</v>
      </c>
      <c r="AN194" t="s">
        <v>65</v>
      </c>
      <c r="AO194" t="s">
        <v>1157</v>
      </c>
      <c r="AP194" t="s">
        <v>67</v>
      </c>
      <c r="AQ194" t="s">
        <v>68</v>
      </c>
      <c r="AR194" t="s">
        <v>69</v>
      </c>
      <c r="AS194" s="78"/>
      <c r="AT194" s="82" t="s">
        <v>1038</v>
      </c>
      <c r="AU194" s="78">
        <v>2026</v>
      </c>
      <c r="AV194" s="78">
        <v>1</v>
      </c>
      <c r="AW194" s="78" t="s">
        <v>71</v>
      </c>
      <c r="AX194" s="78">
        <v>1</v>
      </c>
      <c r="AY194" s="78">
        <v>0</v>
      </c>
      <c r="BT194" s="2" t="s">
        <v>71</v>
      </c>
      <c r="BU194" s="2">
        <v>1</v>
      </c>
      <c r="BV194" s="2">
        <v>0</v>
      </c>
    </row>
    <row r="195" spans="1:74" ht="15" customHeight="1" x14ac:dyDescent="0.25">
      <c r="A195" s="75">
        <v>5785393</v>
      </c>
      <c r="B195" t="s">
        <v>1158</v>
      </c>
      <c r="C195" t="s">
        <v>1159</v>
      </c>
      <c r="D195" t="s">
        <v>162</v>
      </c>
      <c r="E195" t="s">
        <v>87</v>
      </c>
      <c r="F195" s="75">
        <v>199</v>
      </c>
      <c r="G195" s="75">
        <v>285985</v>
      </c>
      <c r="H195">
        <v>398.82</v>
      </c>
      <c r="I195" t="s">
        <v>55</v>
      </c>
      <c r="J195" s="75">
        <v>216233</v>
      </c>
      <c r="K195" t="s">
        <v>88</v>
      </c>
      <c r="L195" t="s">
        <v>89</v>
      </c>
      <c r="M195" s="81">
        <v>46042.722858796304</v>
      </c>
      <c r="N195" s="81">
        <v>46043.63821759259</v>
      </c>
      <c r="O195" t="s">
        <v>58</v>
      </c>
      <c r="P195" t="s">
        <v>59</v>
      </c>
      <c r="Q195" t="s">
        <v>90</v>
      </c>
      <c r="R195" t="s">
        <v>131</v>
      </c>
      <c r="U195" s="75">
        <v>175979</v>
      </c>
      <c r="V195" t="s">
        <v>1160</v>
      </c>
      <c r="W195" t="s">
        <v>1160</v>
      </c>
      <c r="X195" t="s">
        <v>62</v>
      </c>
      <c r="Y195" t="s">
        <v>63</v>
      </c>
      <c r="AA195" t="s">
        <v>64</v>
      </c>
      <c r="AB195">
        <v>21.900001</v>
      </c>
      <c r="AC195">
        <v>16.2</v>
      </c>
      <c r="AD195">
        <v>5.7000010000000003</v>
      </c>
      <c r="AE195">
        <v>0.13333300000000001</v>
      </c>
      <c r="AF195">
        <v>0</v>
      </c>
      <c r="AG195">
        <v>5.5666679999999999</v>
      </c>
      <c r="AH195">
        <v>5.5666679999999999</v>
      </c>
      <c r="AI195">
        <v>5.3333339999999998</v>
      </c>
      <c r="AJ195">
        <v>0.23333400000000001</v>
      </c>
      <c r="AK195">
        <v>0</v>
      </c>
      <c r="AL195" s="76">
        <v>44972</v>
      </c>
      <c r="AM195" s="75">
        <v>1070</v>
      </c>
      <c r="AN195" t="s">
        <v>65</v>
      </c>
      <c r="AO195" t="s">
        <v>1161</v>
      </c>
      <c r="AP195" t="s">
        <v>67</v>
      </c>
      <c r="AQ195" t="s">
        <v>68</v>
      </c>
      <c r="AR195" t="s">
        <v>69</v>
      </c>
      <c r="AS195" s="79"/>
      <c r="AT195" s="82" t="s">
        <v>1038</v>
      </c>
      <c r="AU195" s="78">
        <v>2026</v>
      </c>
      <c r="AV195" s="78">
        <v>1</v>
      </c>
      <c r="AW195" s="78" t="s">
        <v>71</v>
      </c>
      <c r="AX195" s="78">
        <v>1</v>
      </c>
      <c r="AY195" s="78">
        <v>0</v>
      </c>
      <c r="BT195" s="3" t="s">
        <v>71</v>
      </c>
      <c r="BU195" s="3">
        <v>1</v>
      </c>
      <c r="BV195" s="3">
        <v>0</v>
      </c>
    </row>
    <row r="196" spans="1:74" ht="15" customHeight="1" x14ac:dyDescent="0.25">
      <c r="A196" s="75">
        <v>5784635</v>
      </c>
      <c r="B196" t="s">
        <v>1162</v>
      </c>
      <c r="C196" t="s">
        <v>698</v>
      </c>
      <c r="D196" t="s">
        <v>956</v>
      </c>
      <c r="E196" t="s">
        <v>105</v>
      </c>
      <c r="F196" s="75">
        <v>68</v>
      </c>
      <c r="G196" s="75">
        <v>341605</v>
      </c>
      <c r="H196">
        <v>1419</v>
      </c>
      <c r="I196" t="s">
        <v>141</v>
      </c>
      <c r="J196" s="75">
        <v>214913</v>
      </c>
      <c r="K196" t="s">
        <v>1057</v>
      </c>
      <c r="L196" t="s">
        <v>1058</v>
      </c>
      <c r="M196" s="81">
        <v>46042.500902777778</v>
      </c>
      <c r="N196" s="81">
        <v>46043.699687499997</v>
      </c>
      <c r="O196" t="s">
        <v>58</v>
      </c>
      <c r="P196" t="s">
        <v>59</v>
      </c>
      <c r="Q196" t="s">
        <v>90</v>
      </c>
      <c r="R196" t="s">
        <v>99</v>
      </c>
      <c r="U196" s="75">
        <v>176045</v>
      </c>
      <c r="V196" t="s">
        <v>1163</v>
      </c>
      <c r="X196" t="s">
        <v>62</v>
      </c>
      <c r="Y196" t="s">
        <v>63</v>
      </c>
      <c r="AA196" t="s">
        <v>101</v>
      </c>
      <c r="AB196">
        <v>28.700001</v>
      </c>
      <c r="AC196">
        <v>19.066666999999999</v>
      </c>
      <c r="AD196">
        <v>9.6333339999999996</v>
      </c>
      <c r="AE196">
        <v>1.050001</v>
      </c>
      <c r="AF196">
        <v>0</v>
      </c>
      <c r="AG196">
        <v>8.5833329999999997</v>
      </c>
      <c r="AH196">
        <v>8.5833329999999997</v>
      </c>
      <c r="AI196">
        <v>8.5500000000000007</v>
      </c>
      <c r="AJ196">
        <v>3.3333000000000002E-2</v>
      </c>
      <c r="AK196">
        <v>0</v>
      </c>
      <c r="AL196" s="76">
        <v>45975.575995370367</v>
      </c>
      <c r="AM196" s="75">
        <v>66</v>
      </c>
      <c r="AN196" t="s">
        <v>65</v>
      </c>
      <c r="AO196" t="s">
        <v>1164</v>
      </c>
      <c r="AP196" t="s">
        <v>67</v>
      </c>
      <c r="AQ196" t="s">
        <v>68</v>
      </c>
      <c r="AR196" t="s">
        <v>69</v>
      </c>
      <c r="AS196" s="78"/>
      <c r="AT196" s="82" t="s">
        <v>1038</v>
      </c>
      <c r="AU196" s="78">
        <v>2026</v>
      </c>
      <c r="AV196" s="78">
        <v>1</v>
      </c>
      <c r="AW196" s="78" t="s">
        <v>71</v>
      </c>
      <c r="AX196" s="78">
        <v>0</v>
      </c>
      <c r="AY196" s="78">
        <v>0</v>
      </c>
      <c r="BT196" s="2" t="s">
        <v>71</v>
      </c>
      <c r="BU196" s="2">
        <v>0</v>
      </c>
      <c r="BV196" s="2">
        <v>0</v>
      </c>
    </row>
    <row r="197" spans="1:74" ht="15" customHeight="1" x14ac:dyDescent="0.25">
      <c r="A197" s="75">
        <v>5786489</v>
      </c>
      <c r="B197" t="s">
        <v>1165</v>
      </c>
      <c r="C197" t="s">
        <v>409</v>
      </c>
      <c r="D197" t="s">
        <v>527</v>
      </c>
      <c r="E197" t="s">
        <v>87</v>
      </c>
      <c r="F197" s="75">
        <v>235</v>
      </c>
      <c r="G197" s="75">
        <v>286311</v>
      </c>
      <c r="H197">
        <v>364.96</v>
      </c>
      <c r="I197" t="s">
        <v>55</v>
      </c>
      <c r="J197" s="75">
        <v>216233</v>
      </c>
      <c r="K197" t="s">
        <v>88</v>
      </c>
      <c r="L197" t="s">
        <v>89</v>
      </c>
      <c r="M197" s="81">
        <v>46043.493726851862</v>
      </c>
      <c r="N197" s="81">
        <v>46044.362233796302</v>
      </c>
      <c r="O197" t="s">
        <v>58</v>
      </c>
      <c r="P197" t="s">
        <v>59</v>
      </c>
      <c r="Q197" t="s">
        <v>90</v>
      </c>
      <c r="R197" t="s">
        <v>60</v>
      </c>
      <c r="U197" s="75">
        <v>176465</v>
      </c>
      <c r="V197" t="s">
        <v>1166</v>
      </c>
      <c r="W197" t="s">
        <v>1166</v>
      </c>
      <c r="X197" t="s">
        <v>62</v>
      </c>
      <c r="Y197" t="s">
        <v>63</v>
      </c>
      <c r="AA197" t="s">
        <v>64</v>
      </c>
      <c r="AB197">
        <v>20.8</v>
      </c>
      <c r="AC197">
        <v>15.3</v>
      </c>
      <c r="AD197">
        <v>5.5</v>
      </c>
      <c r="AE197">
        <v>0.2</v>
      </c>
      <c r="AF197">
        <v>0</v>
      </c>
      <c r="AG197">
        <v>5.3</v>
      </c>
      <c r="AH197">
        <v>5.3</v>
      </c>
      <c r="AI197">
        <v>5</v>
      </c>
      <c r="AJ197">
        <v>0.3</v>
      </c>
      <c r="AK197">
        <v>0</v>
      </c>
      <c r="AL197" s="76">
        <v>44921</v>
      </c>
      <c r="AM197" s="75">
        <v>1122</v>
      </c>
      <c r="AN197" t="s">
        <v>65</v>
      </c>
      <c r="AO197" t="s">
        <v>411</v>
      </c>
      <c r="AP197" t="s">
        <v>67</v>
      </c>
      <c r="AQ197" t="s">
        <v>68</v>
      </c>
      <c r="AR197" t="s">
        <v>69</v>
      </c>
      <c r="AS197" s="79"/>
      <c r="AT197" s="82" t="s">
        <v>1038</v>
      </c>
      <c r="AU197" s="78">
        <v>2026</v>
      </c>
      <c r="AV197" s="78">
        <v>1</v>
      </c>
      <c r="AW197" s="78" t="s">
        <v>71</v>
      </c>
      <c r="AX197" s="78">
        <v>1</v>
      </c>
      <c r="AY197" s="78">
        <v>0</v>
      </c>
      <c r="BT197" s="3" t="s">
        <v>71</v>
      </c>
      <c r="BU197" s="3">
        <v>1</v>
      </c>
      <c r="BV197" s="3">
        <v>0</v>
      </c>
    </row>
    <row r="198" spans="1:74" ht="15" customHeight="1" x14ac:dyDescent="0.25">
      <c r="A198" s="75">
        <v>5786453</v>
      </c>
      <c r="B198" t="s">
        <v>1167</v>
      </c>
      <c r="C198" t="s">
        <v>764</v>
      </c>
      <c r="D198" t="s">
        <v>150</v>
      </c>
      <c r="E198" t="s">
        <v>87</v>
      </c>
      <c r="F198" s="75">
        <v>340</v>
      </c>
      <c r="G198" s="75">
        <v>286689</v>
      </c>
      <c r="H198">
        <v>364.96</v>
      </c>
      <c r="I198" t="s">
        <v>55</v>
      </c>
      <c r="J198" s="75">
        <v>218787</v>
      </c>
      <c r="K198" t="s">
        <v>96</v>
      </c>
      <c r="L198" t="s">
        <v>97</v>
      </c>
      <c r="M198" s="81">
        <v>46043.486759259264</v>
      </c>
      <c r="N198" s="81">
        <v>46044.362546296303</v>
      </c>
      <c r="O198" t="s">
        <v>58</v>
      </c>
      <c r="P198" t="s">
        <v>59</v>
      </c>
      <c r="Q198" t="s">
        <v>90</v>
      </c>
      <c r="R198" t="s">
        <v>131</v>
      </c>
      <c r="U198" s="75">
        <v>176789</v>
      </c>
      <c r="V198" t="s">
        <v>1168</v>
      </c>
      <c r="W198" t="s">
        <v>1169</v>
      </c>
      <c r="X198" t="s">
        <v>62</v>
      </c>
      <c r="Y198" t="s">
        <v>63</v>
      </c>
      <c r="AA198" t="s">
        <v>64</v>
      </c>
      <c r="AB198">
        <v>20.966666</v>
      </c>
      <c r="AC198">
        <v>14.683332999999999</v>
      </c>
      <c r="AD198">
        <v>6.2833329999999998</v>
      </c>
      <c r="AE198">
        <v>0.2</v>
      </c>
      <c r="AF198">
        <v>0</v>
      </c>
      <c r="AG198">
        <v>6.0833329999999997</v>
      </c>
      <c r="AH198">
        <v>6.0833329999999997</v>
      </c>
      <c r="AI198">
        <v>5.95</v>
      </c>
      <c r="AJ198">
        <v>0.13333300000000001</v>
      </c>
      <c r="AK198">
        <v>0</v>
      </c>
      <c r="AL198" s="76">
        <v>44914</v>
      </c>
      <c r="AM198" s="75">
        <v>1129</v>
      </c>
      <c r="AN198" t="s">
        <v>65</v>
      </c>
      <c r="AO198" t="s">
        <v>766</v>
      </c>
      <c r="AP198" t="s">
        <v>67</v>
      </c>
      <c r="AQ198" t="s">
        <v>68</v>
      </c>
      <c r="AR198" t="s">
        <v>69</v>
      </c>
      <c r="AS198" s="78"/>
      <c r="AT198" s="82" t="s">
        <v>1038</v>
      </c>
      <c r="AU198" s="78">
        <v>2026</v>
      </c>
      <c r="AV198" s="78">
        <v>1</v>
      </c>
      <c r="AW198" s="78" t="s">
        <v>71</v>
      </c>
      <c r="AX198" s="78">
        <v>1</v>
      </c>
      <c r="AY198" s="78">
        <v>0</v>
      </c>
      <c r="BT198" s="2" t="s">
        <v>71</v>
      </c>
      <c r="BU198" s="2">
        <v>1</v>
      </c>
      <c r="BV198" s="2">
        <v>0</v>
      </c>
    </row>
    <row r="199" spans="1:74" ht="15" customHeight="1" x14ac:dyDescent="0.25">
      <c r="A199" s="75">
        <v>5784107</v>
      </c>
      <c r="B199" t="s">
        <v>1170</v>
      </c>
      <c r="C199" t="s">
        <v>1171</v>
      </c>
      <c r="D199" t="s">
        <v>956</v>
      </c>
      <c r="E199" t="s">
        <v>87</v>
      </c>
      <c r="F199" s="75">
        <v>358</v>
      </c>
      <c r="G199" s="75">
        <v>286749</v>
      </c>
      <c r="H199">
        <v>364.96</v>
      </c>
      <c r="I199" t="s">
        <v>55</v>
      </c>
      <c r="J199" s="75">
        <v>218787</v>
      </c>
      <c r="K199" t="s">
        <v>96</v>
      </c>
      <c r="L199" t="s">
        <v>97</v>
      </c>
      <c r="M199" s="81">
        <v>46042.368738425917</v>
      </c>
      <c r="N199" s="81">
        <v>46044.367118055547</v>
      </c>
      <c r="O199" t="s">
        <v>58</v>
      </c>
      <c r="P199" t="s">
        <v>59</v>
      </c>
      <c r="Q199" t="s">
        <v>90</v>
      </c>
      <c r="R199" t="s">
        <v>99</v>
      </c>
      <c r="U199" s="75">
        <v>176803</v>
      </c>
      <c r="V199" t="s">
        <v>1172</v>
      </c>
      <c r="W199" t="s">
        <v>1173</v>
      </c>
      <c r="X199" t="s">
        <v>62</v>
      </c>
      <c r="Y199" t="s">
        <v>63</v>
      </c>
      <c r="AA199" t="s">
        <v>101</v>
      </c>
      <c r="AB199">
        <v>47.883335000000002</v>
      </c>
      <c r="AC199">
        <v>38.683334000000002</v>
      </c>
      <c r="AD199">
        <v>9.2000010000000003</v>
      </c>
      <c r="AE199">
        <v>0.36666700000000002</v>
      </c>
      <c r="AF199">
        <v>0</v>
      </c>
      <c r="AG199">
        <v>8.8333340000000007</v>
      </c>
      <c r="AH199">
        <v>8.8333340000000007</v>
      </c>
      <c r="AI199">
        <v>8.5500000000000007</v>
      </c>
      <c r="AJ199">
        <v>0.28333399999999997</v>
      </c>
      <c r="AK199">
        <v>0</v>
      </c>
      <c r="AL199" s="76">
        <v>44973</v>
      </c>
      <c r="AM199" s="75">
        <v>1069</v>
      </c>
      <c r="AN199" t="s">
        <v>65</v>
      </c>
      <c r="AO199" t="s">
        <v>1174</v>
      </c>
      <c r="AP199" t="s">
        <v>67</v>
      </c>
      <c r="AQ199" t="s">
        <v>68</v>
      </c>
      <c r="AR199" t="s">
        <v>69</v>
      </c>
      <c r="AS199" s="79"/>
      <c r="AT199" s="82" t="s">
        <v>1038</v>
      </c>
      <c r="AU199" s="78">
        <v>2026</v>
      </c>
      <c r="AV199" s="78">
        <v>1</v>
      </c>
      <c r="AW199" s="78" t="s">
        <v>71</v>
      </c>
      <c r="AX199" s="78">
        <v>0</v>
      </c>
      <c r="AY199" s="78">
        <v>0</v>
      </c>
      <c r="BT199" s="3" t="s">
        <v>71</v>
      </c>
      <c r="BU199" s="3">
        <v>0</v>
      </c>
      <c r="BV199" s="3">
        <v>0</v>
      </c>
    </row>
    <row r="200" spans="1:74" ht="15" customHeight="1" x14ac:dyDescent="0.25">
      <c r="A200" s="75">
        <v>5786669</v>
      </c>
      <c r="B200" t="s">
        <v>1175</v>
      </c>
      <c r="C200" t="s">
        <v>1176</v>
      </c>
      <c r="D200" t="s">
        <v>527</v>
      </c>
      <c r="E200" t="s">
        <v>54</v>
      </c>
      <c r="F200" s="75">
        <v>1</v>
      </c>
      <c r="G200" s="75">
        <v>335749</v>
      </c>
      <c r="H200">
        <v>179.8</v>
      </c>
      <c r="I200" t="s">
        <v>127</v>
      </c>
      <c r="J200" s="75">
        <v>88921</v>
      </c>
      <c r="K200" t="s">
        <v>1177</v>
      </c>
      <c r="L200" t="s">
        <v>1178</v>
      </c>
      <c r="M200" s="81">
        <v>46043.570983796293</v>
      </c>
      <c r="N200" s="81">
        <v>46044.408703703702</v>
      </c>
      <c r="O200" t="s">
        <v>391</v>
      </c>
      <c r="P200" t="s">
        <v>59</v>
      </c>
      <c r="Q200" t="s">
        <v>130</v>
      </c>
      <c r="R200" t="s">
        <v>131</v>
      </c>
      <c r="U200" s="75">
        <v>176809</v>
      </c>
      <c r="V200" t="s">
        <v>1179</v>
      </c>
      <c r="W200" t="s">
        <v>1180</v>
      </c>
      <c r="X200" t="s">
        <v>62</v>
      </c>
      <c r="Y200" t="s">
        <v>233</v>
      </c>
      <c r="AA200" t="s">
        <v>81</v>
      </c>
      <c r="AB200">
        <v>20.016667000000002</v>
      </c>
      <c r="AC200">
        <v>18.100000000000001</v>
      </c>
      <c r="AD200">
        <v>1.9166669999999999</v>
      </c>
      <c r="AE200">
        <v>0.41666700000000001</v>
      </c>
      <c r="AF200">
        <v>0</v>
      </c>
      <c r="AG200">
        <v>1.5</v>
      </c>
      <c r="AH200">
        <v>1.5</v>
      </c>
      <c r="AI200">
        <v>0.66666599999999998</v>
      </c>
      <c r="AJ200">
        <v>0.83333400000000002</v>
      </c>
      <c r="AK200">
        <v>0</v>
      </c>
      <c r="AL200" s="76">
        <v>45342</v>
      </c>
      <c r="AM200" s="75">
        <v>701</v>
      </c>
      <c r="AN200" t="s">
        <v>65</v>
      </c>
      <c r="AO200" t="s">
        <v>1181</v>
      </c>
      <c r="AP200" t="s">
        <v>67</v>
      </c>
      <c r="AQ200" t="s">
        <v>68</v>
      </c>
      <c r="AR200" t="s">
        <v>69</v>
      </c>
      <c r="AS200" s="78"/>
      <c r="AT200" s="82" t="s">
        <v>1038</v>
      </c>
      <c r="AU200" s="78">
        <v>2026</v>
      </c>
      <c r="AV200" s="78">
        <v>1</v>
      </c>
      <c r="AW200" s="78" t="s">
        <v>137</v>
      </c>
      <c r="AX200" s="78">
        <v>1</v>
      </c>
      <c r="AY200" s="78">
        <v>0</v>
      </c>
      <c r="BT200" s="2" t="s">
        <v>137</v>
      </c>
      <c r="BU200" s="2">
        <v>1</v>
      </c>
      <c r="BV200" s="2">
        <v>0</v>
      </c>
    </row>
    <row r="201" spans="1:74" ht="15" customHeight="1" x14ac:dyDescent="0.25">
      <c r="A201" s="75">
        <v>5787441</v>
      </c>
      <c r="B201" t="s">
        <v>1182</v>
      </c>
      <c r="C201" t="s">
        <v>1183</v>
      </c>
      <c r="D201" t="s">
        <v>527</v>
      </c>
      <c r="E201" t="s">
        <v>126</v>
      </c>
      <c r="F201" s="75">
        <v>47</v>
      </c>
      <c r="G201" s="75">
        <v>335795</v>
      </c>
      <c r="H201">
        <v>160</v>
      </c>
      <c r="I201" t="s">
        <v>1184</v>
      </c>
      <c r="J201" s="75">
        <v>19489</v>
      </c>
      <c r="K201" t="s">
        <v>935</v>
      </c>
      <c r="L201" t="s">
        <v>936</v>
      </c>
      <c r="M201" s="81">
        <v>46043.884583333333</v>
      </c>
      <c r="N201" s="81">
        <v>46044.442824074067</v>
      </c>
      <c r="O201" t="s">
        <v>58</v>
      </c>
      <c r="P201" t="s">
        <v>59</v>
      </c>
      <c r="Q201" t="s">
        <v>130</v>
      </c>
      <c r="R201" t="s">
        <v>131</v>
      </c>
      <c r="U201" s="75">
        <v>176743</v>
      </c>
      <c r="V201" t="s">
        <v>1185</v>
      </c>
      <c r="W201" t="s">
        <v>1185</v>
      </c>
      <c r="X201" t="s">
        <v>62</v>
      </c>
      <c r="Y201" t="s">
        <v>1186</v>
      </c>
      <c r="AA201" t="s">
        <v>81</v>
      </c>
      <c r="AB201">
        <v>13.316667000000001</v>
      </c>
      <c r="AC201">
        <v>10.983333</v>
      </c>
      <c r="AD201">
        <v>2.3333339999999998</v>
      </c>
      <c r="AE201">
        <v>0.1</v>
      </c>
      <c r="AF201">
        <v>0</v>
      </c>
      <c r="AG201">
        <v>2.2333340000000002</v>
      </c>
      <c r="AH201">
        <v>2.2333340000000002</v>
      </c>
      <c r="AI201">
        <v>2.0833339999999998</v>
      </c>
      <c r="AJ201">
        <v>0.15</v>
      </c>
      <c r="AK201">
        <v>0</v>
      </c>
      <c r="AL201" s="76"/>
      <c r="AM201" s="75"/>
      <c r="AN201" t="s">
        <v>135</v>
      </c>
      <c r="AO201" t="s">
        <v>1187</v>
      </c>
      <c r="AP201" t="s">
        <v>67</v>
      </c>
      <c r="AQ201" t="s">
        <v>68</v>
      </c>
      <c r="AR201" t="s">
        <v>69</v>
      </c>
      <c r="AS201" s="79"/>
      <c r="AT201" s="82" t="s">
        <v>1038</v>
      </c>
      <c r="AU201" s="78">
        <v>2026</v>
      </c>
      <c r="AV201" s="78">
        <v>1</v>
      </c>
      <c r="AW201" s="78" t="s">
        <v>137</v>
      </c>
      <c r="AX201" s="78">
        <v>1</v>
      </c>
      <c r="AY201" s="78">
        <v>0</v>
      </c>
      <c r="BT201" s="3" t="s">
        <v>137</v>
      </c>
      <c r="BU201" s="3">
        <v>1</v>
      </c>
      <c r="BV201" s="3">
        <v>0</v>
      </c>
    </row>
    <row r="202" spans="1:74" ht="15" customHeight="1" x14ac:dyDescent="0.25">
      <c r="A202" s="75">
        <v>5786175</v>
      </c>
      <c r="B202" t="s">
        <v>1188</v>
      </c>
      <c r="C202" t="s">
        <v>256</v>
      </c>
      <c r="D202" t="s">
        <v>809</v>
      </c>
      <c r="E202" t="s">
        <v>54</v>
      </c>
      <c r="F202" s="75">
        <v>6</v>
      </c>
      <c r="G202" s="75">
        <v>295417</v>
      </c>
      <c r="H202">
        <v>200</v>
      </c>
      <c r="I202" t="s">
        <v>55</v>
      </c>
      <c r="J202" s="75">
        <v>218297</v>
      </c>
      <c r="K202" t="s">
        <v>258</v>
      </c>
      <c r="L202" t="s">
        <v>259</v>
      </c>
      <c r="M202" s="81">
        <v>46043.439201388886</v>
      </c>
      <c r="N202" s="81">
        <v>46044.503171296303</v>
      </c>
      <c r="O202" t="s">
        <v>58</v>
      </c>
      <c r="P202" t="s">
        <v>59</v>
      </c>
      <c r="Q202" t="s">
        <v>77</v>
      </c>
      <c r="R202" t="s">
        <v>60</v>
      </c>
      <c r="U202" s="75">
        <v>176365</v>
      </c>
      <c r="V202" t="s">
        <v>1189</v>
      </c>
      <c r="W202" t="s">
        <v>1189</v>
      </c>
      <c r="X202" t="s">
        <v>62</v>
      </c>
      <c r="Y202" t="s">
        <v>63</v>
      </c>
      <c r="AA202" t="s">
        <v>64</v>
      </c>
      <c r="AB202">
        <v>25.500001000000001</v>
      </c>
      <c r="AC202">
        <v>17.866667</v>
      </c>
      <c r="AD202">
        <v>7.6333339999999996</v>
      </c>
      <c r="AE202">
        <v>0.16666700000000001</v>
      </c>
      <c r="AF202">
        <v>0</v>
      </c>
      <c r="AG202">
        <v>7.4666670000000002</v>
      </c>
      <c r="AH202">
        <v>7.4666670000000002</v>
      </c>
      <c r="AI202">
        <v>7.4666670000000002</v>
      </c>
      <c r="AJ202">
        <v>0</v>
      </c>
      <c r="AK202">
        <v>0</v>
      </c>
      <c r="AL202" s="76">
        <v>45287.721863425933</v>
      </c>
      <c r="AM202" s="75">
        <v>755</v>
      </c>
      <c r="AN202" t="s">
        <v>65</v>
      </c>
      <c r="AO202" t="s">
        <v>1190</v>
      </c>
      <c r="AP202" t="s">
        <v>67</v>
      </c>
      <c r="AQ202" t="s">
        <v>68</v>
      </c>
      <c r="AR202" t="s">
        <v>69</v>
      </c>
      <c r="AS202" s="78"/>
      <c r="AT202" s="82" t="s">
        <v>1038</v>
      </c>
      <c r="AU202" s="78">
        <v>2026</v>
      </c>
      <c r="AV202" s="78">
        <v>1</v>
      </c>
      <c r="AW202" s="78" t="s">
        <v>71</v>
      </c>
      <c r="AX202" s="78">
        <v>1</v>
      </c>
      <c r="AY202" s="78">
        <v>0</v>
      </c>
      <c r="BT202" s="2" t="s">
        <v>71</v>
      </c>
      <c r="BU202" s="2">
        <v>1</v>
      </c>
      <c r="BV202" s="2">
        <v>0</v>
      </c>
    </row>
    <row r="203" spans="1:74" ht="15" customHeight="1" x14ac:dyDescent="0.25">
      <c r="A203" s="75">
        <v>5780143</v>
      </c>
      <c r="B203" t="s">
        <v>1191</v>
      </c>
      <c r="C203" t="s">
        <v>1192</v>
      </c>
      <c r="D203" t="s">
        <v>74</v>
      </c>
      <c r="E203" t="s">
        <v>105</v>
      </c>
      <c r="F203" s="75">
        <v>224</v>
      </c>
      <c r="G203" s="75">
        <v>324793</v>
      </c>
      <c r="H203">
        <v>0.01</v>
      </c>
      <c r="I203" t="s">
        <v>55</v>
      </c>
      <c r="J203" s="75">
        <v>71001</v>
      </c>
      <c r="K203" t="s">
        <v>1193</v>
      </c>
      <c r="L203" t="s">
        <v>1194</v>
      </c>
      <c r="M203" s="81">
        <v>46038.713831018518</v>
      </c>
      <c r="N203" s="81">
        <v>46044.561319444438</v>
      </c>
      <c r="O203" t="s">
        <v>58</v>
      </c>
      <c r="P203" t="s">
        <v>59</v>
      </c>
      <c r="Q203" t="s">
        <v>90</v>
      </c>
      <c r="R203" t="s">
        <v>131</v>
      </c>
      <c r="U203" s="75">
        <v>176317</v>
      </c>
      <c r="V203" t="s">
        <v>1195</v>
      </c>
      <c r="W203" t="s">
        <v>1196</v>
      </c>
      <c r="X203" t="s">
        <v>118</v>
      </c>
      <c r="Y203" t="s">
        <v>119</v>
      </c>
      <c r="AA203" t="s">
        <v>295</v>
      </c>
      <c r="AB203">
        <v>140.13333399999999</v>
      </c>
      <c r="AC203">
        <v>99.233333999999999</v>
      </c>
      <c r="AD203">
        <v>40.9</v>
      </c>
      <c r="AE203">
        <v>8.1999999999999993</v>
      </c>
      <c r="AF203">
        <v>0</v>
      </c>
      <c r="AG203">
        <v>32.700000000000003</v>
      </c>
      <c r="AH203">
        <v>32.700000000000003</v>
      </c>
      <c r="AI203">
        <v>31.5</v>
      </c>
      <c r="AJ203">
        <v>1.2</v>
      </c>
      <c r="AK203">
        <v>0</v>
      </c>
      <c r="AL203" s="76">
        <v>45583.721759259257</v>
      </c>
      <c r="AM203" s="75">
        <v>454</v>
      </c>
      <c r="AN203" t="s">
        <v>65</v>
      </c>
      <c r="AO203" t="s">
        <v>1197</v>
      </c>
      <c r="AP203" t="s">
        <v>67</v>
      </c>
      <c r="AQ203" t="s">
        <v>121</v>
      </c>
      <c r="AR203" t="s">
        <v>69</v>
      </c>
      <c r="AS203" s="79"/>
      <c r="AT203" s="82" t="s">
        <v>1038</v>
      </c>
      <c r="AU203" s="78">
        <v>2026</v>
      </c>
      <c r="AV203" s="78">
        <v>1</v>
      </c>
      <c r="AW203" s="78" t="s">
        <v>122</v>
      </c>
      <c r="AX203" s="78">
        <v>0</v>
      </c>
      <c r="AY203" s="78">
        <v>1</v>
      </c>
      <c r="BT203" s="3" t="s">
        <v>122</v>
      </c>
      <c r="BU203" s="3">
        <v>0</v>
      </c>
      <c r="BV203" s="3">
        <v>1</v>
      </c>
    </row>
    <row r="204" spans="1:74" ht="15" customHeight="1" x14ac:dyDescent="0.25">
      <c r="A204" s="75">
        <v>5784903</v>
      </c>
      <c r="B204" t="s">
        <v>1198</v>
      </c>
      <c r="C204" t="s">
        <v>1199</v>
      </c>
      <c r="D204" t="s">
        <v>74</v>
      </c>
      <c r="E204" t="s">
        <v>54</v>
      </c>
      <c r="F204" s="75">
        <v>1</v>
      </c>
      <c r="G204" s="75">
        <v>256135</v>
      </c>
      <c r="H204">
        <v>799.9</v>
      </c>
      <c r="I204" t="s">
        <v>114</v>
      </c>
      <c r="J204" s="75">
        <v>204871</v>
      </c>
      <c r="K204" t="s">
        <v>1200</v>
      </c>
      <c r="L204" t="s">
        <v>1201</v>
      </c>
      <c r="M204" s="81">
        <v>46042.594618055547</v>
      </c>
      <c r="N204" s="81">
        <v>46044.583124999997</v>
      </c>
      <c r="O204" t="s">
        <v>58</v>
      </c>
      <c r="P204" t="s">
        <v>59</v>
      </c>
      <c r="Q204" t="s">
        <v>130</v>
      </c>
      <c r="R204" t="s">
        <v>60</v>
      </c>
      <c r="U204" s="75">
        <v>175825</v>
      </c>
      <c r="V204" t="s">
        <v>1202</v>
      </c>
      <c r="W204" t="s">
        <v>1202</v>
      </c>
      <c r="X204" t="s">
        <v>118</v>
      </c>
      <c r="Y204" t="s">
        <v>1203</v>
      </c>
      <c r="AA204" t="s">
        <v>295</v>
      </c>
      <c r="AB204">
        <v>47.666666999999997</v>
      </c>
      <c r="AC204">
        <v>21.6</v>
      </c>
      <c r="AD204">
        <v>26.066666999999999</v>
      </c>
      <c r="AE204">
        <v>0.15</v>
      </c>
      <c r="AF204">
        <v>0</v>
      </c>
      <c r="AG204">
        <v>25.916667</v>
      </c>
      <c r="AH204">
        <v>25.916667</v>
      </c>
      <c r="AI204">
        <v>25.35</v>
      </c>
      <c r="AJ204">
        <v>0.56666700000000003</v>
      </c>
      <c r="AK204">
        <v>0</v>
      </c>
      <c r="AL204" s="76">
        <v>44860</v>
      </c>
      <c r="AM204" s="75">
        <v>1182</v>
      </c>
      <c r="AN204" t="s">
        <v>65</v>
      </c>
      <c r="AO204" t="s">
        <v>1204</v>
      </c>
      <c r="AP204" t="s">
        <v>67</v>
      </c>
      <c r="AQ204" t="s">
        <v>121</v>
      </c>
      <c r="AR204" t="s">
        <v>69</v>
      </c>
      <c r="AS204" s="78"/>
      <c r="AT204" s="82" t="s">
        <v>1038</v>
      </c>
      <c r="AU204" s="78">
        <v>2026</v>
      </c>
      <c r="AV204" s="78">
        <v>1</v>
      </c>
      <c r="AW204" s="78" t="s">
        <v>347</v>
      </c>
      <c r="AX204" s="78">
        <v>0</v>
      </c>
      <c r="AY204" s="78">
        <v>1</v>
      </c>
      <c r="BT204" s="2" t="s">
        <v>347</v>
      </c>
      <c r="BU204" s="2">
        <v>0</v>
      </c>
      <c r="BV204" s="2">
        <v>1</v>
      </c>
    </row>
    <row r="205" spans="1:74" ht="15" customHeight="1" x14ac:dyDescent="0.25">
      <c r="A205" s="75">
        <v>5786463</v>
      </c>
      <c r="B205" t="s">
        <v>1205</v>
      </c>
      <c r="C205" t="s">
        <v>1206</v>
      </c>
      <c r="D205" t="s">
        <v>809</v>
      </c>
      <c r="E205" t="s">
        <v>87</v>
      </c>
      <c r="F205" s="75">
        <v>77</v>
      </c>
      <c r="G205" s="75">
        <v>275405</v>
      </c>
      <c r="H205">
        <v>368.16</v>
      </c>
      <c r="I205" t="s">
        <v>55</v>
      </c>
      <c r="J205" s="75">
        <v>218791</v>
      </c>
      <c r="K205" t="s">
        <v>312</v>
      </c>
      <c r="L205" t="s">
        <v>313</v>
      </c>
      <c r="M205" s="81">
        <v>46043.486863425933</v>
      </c>
      <c r="N205" s="81">
        <v>46044.635729166657</v>
      </c>
      <c r="O205" t="s">
        <v>58</v>
      </c>
      <c r="P205" t="s">
        <v>59</v>
      </c>
      <c r="Q205" t="s">
        <v>90</v>
      </c>
      <c r="R205" t="s">
        <v>60</v>
      </c>
      <c r="U205" s="75">
        <v>176443</v>
      </c>
      <c r="V205" t="s">
        <v>1207</v>
      </c>
      <c r="W205" t="s">
        <v>1207</v>
      </c>
      <c r="X205" t="s">
        <v>62</v>
      </c>
      <c r="Y205" t="s">
        <v>63</v>
      </c>
      <c r="AA205" t="s">
        <v>64</v>
      </c>
      <c r="AB205">
        <v>27.516667000000002</v>
      </c>
      <c r="AC205">
        <v>20.983333999999999</v>
      </c>
      <c r="AD205">
        <v>6.5333329999999998</v>
      </c>
      <c r="AE205">
        <v>0.13333400000000001</v>
      </c>
      <c r="AF205">
        <v>0</v>
      </c>
      <c r="AG205">
        <v>6.3999990000000002</v>
      </c>
      <c r="AH205">
        <v>6.3999990000000002</v>
      </c>
      <c r="AI205">
        <v>6.3166659999999997</v>
      </c>
      <c r="AJ205">
        <v>8.3333000000000004E-2</v>
      </c>
      <c r="AK205">
        <v>0</v>
      </c>
      <c r="AL205" s="76">
        <v>44881.95034722222</v>
      </c>
      <c r="AM205" s="75">
        <v>1161</v>
      </c>
      <c r="AN205" t="s">
        <v>65</v>
      </c>
      <c r="AO205" t="s">
        <v>1208</v>
      </c>
      <c r="AP205" t="s">
        <v>67</v>
      </c>
      <c r="AQ205" t="s">
        <v>68</v>
      </c>
      <c r="AR205" t="s">
        <v>69</v>
      </c>
      <c r="AS205" s="79"/>
      <c r="AT205" s="82" t="s">
        <v>1038</v>
      </c>
      <c r="AU205" s="78">
        <v>2026</v>
      </c>
      <c r="AV205" s="78">
        <v>1</v>
      </c>
      <c r="AW205" s="78" t="s">
        <v>71</v>
      </c>
      <c r="AX205" s="78">
        <v>1</v>
      </c>
      <c r="AY205" s="78">
        <v>0</v>
      </c>
      <c r="BT205" s="3" t="s">
        <v>71</v>
      </c>
      <c r="BU205" s="3">
        <v>1</v>
      </c>
      <c r="BV205" s="3">
        <v>0</v>
      </c>
    </row>
    <row r="206" spans="1:74" ht="15" customHeight="1" x14ac:dyDescent="0.25">
      <c r="A206" s="75">
        <v>5785477</v>
      </c>
      <c r="B206" t="s">
        <v>1209</v>
      </c>
      <c r="C206" t="s">
        <v>1079</v>
      </c>
      <c r="D206" t="s">
        <v>74</v>
      </c>
      <c r="E206" t="s">
        <v>87</v>
      </c>
      <c r="F206" s="75">
        <v>187</v>
      </c>
      <c r="G206" s="75">
        <v>285899</v>
      </c>
      <c r="H206">
        <v>398.82</v>
      </c>
      <c r="I206" t="s">
        <v>55</v>
      </c>
      <c r="J206" s="75">
        <v>216233</v>
      </c>
      <c r="K206" t="s">
        <v>88</v>
      </c>
      <c r="L206" t="s">
        <v>89</v>
      </c>
      <c r="M206" s="81">
        <v>46042.764479166668</v>
      </c>
      <c r="N206" s="81">
        <v>46044.637789351851</v>
      </c>
      <c r="O206" t="s">
        <v>58</v>
      </c>
      <c r="P206" t="s">
        <v>59</v>
      </c>
      <c r="Q206" t="s">
        <v>90</v>
      </c>
      <c r="R206" t="s">
        <v>131</v>
      </c>
      <c r="U206" s="75">
        <v>175977</v>
      </c>
      <c r="V206" t="s">
        <v>1210</v>
      </c>
      <c r="W206" t="s">
        <v>1210</v>
      </c>
      <c r="X206" t="s">
        <v>62</v>
      </c>
      <c r="Y206" t="s">
        <v>63</v>
      </c>
      <c r="AA206" t="s">
        <v>101</v>
      </c>
      <c r="AB206">
        <v>44.883333</v>
      </c>
      <c r="AC206">
        <v>35.816665999999998</v>
      </c>
      <c r="AD206">
        <v>9.0666670000000007</v>
      </c>
      <c r="AE206">
        <v>0.16666700000000001</v>
      </c>
      <c r="AF206">
        <v>0</v>
      </c>
      <c r="AG206">
        <v>8.9</v>
      </c>
      <c r="AH206">
        <v>8.9</v>
      </c>
      <c r="AI206">
        <v>8.5500000000000007</v>
      </c>
      <c r="AJ206">
        <v>0.35</v>
      </c>
      <c r="AK206">
        <v>0</v>
      </c>
      <c r="AL206" s="76">
        <v>44875</v>
      </c>
      <c r="AM206" s="75">
        <v>1167</v>
      </c>
      <c r="AN206" t="s">
        <v>65</v>
      </c>
      <c r="AO206" t="s">
        <v>1081</v>
      </c>
      <c r="AP206" t="s">
        <v>67</v>
      </c>
      <c r="AQ206" t="s">
        <v>68</v>
      </c>
      <c r="AR206" t="s">
        <v>69</v>
      </c>
      <c r="AS206" s="78"/>
      <c r="AT206" s="82" t="s">
        <v>1038</v>
      </c>
      <c r="AU206" s="78">
        <v>2026</v>
      </c>
      <c r="AV206" s="78">
        <v>1</v>
      </c>
      <c r="AW206" s="78" t="s">
        <v>71</v>
      </c>
      <c r="AX206" s="78">
        <v>0</v>
      </c>
      <c r="AY206" s="78">
        <v>0</v>
      </c>
      <c r="BT206" s="2" t="s">
        <v>71</v>
      </c>
      <c r="BU206" s="2">
        <v>0</v>
      </c>
      <c r="BV206" s="2">
        <v>0</v>
      </c>
    </row>
    <row r="207" spans="1:74" ht="15" customHeight="1" x14ac:dyDescent="0.25">
      <c r="A207" s="75">
        <v>5787083</v>
      </c>
      <c r="B207" t="s">
        <v>1211</v>
      </c>
      <c r="C207" t="s">
        <v>1212</v>
      </c>
      <c r="D207" t="s">
        <v>74</v>
      </c>
      <c r="E207" t="s">
        <v>87</v>
      </c>
      <c r="F207" s="75">
        <v>330</v>
      </c>
      <c r="G207" s="75">
        <v>286631</v>
      </c>
      <c r="H207">
        <v>364.96</v>
      </c>
      <c r="I207" t="s">
        <v>55</v>
      </c>
      <c r="J207" s="75">
        <v>218787</v>
      </c>
      <c r="K207" t="s">
        <v>96</v>
      </c>
      <c r="L207" t="s">
        <v>97</v>
      </c>
      <c r="M207" s="81">
        <v>46043.680995370371</v>
      </c>
      <c r="N207" s="81">
        <v>46044.644259259258</v>
      </c>
      <c r="O207" t="s">
        <v>58</v>
      </c>
      <c r="P207" t="s">
        <v>59</v>
      </c>
      <c r="Q207" t="s">
        <v>90</v>
      </c>
      <c r="R207" t="s">
        <v>60</v>
      </c>
      <c r="U207" s="75">
        <v>176791</v>
      </c>
      <c r="V207" t="s">
        <v>1213</v>
      </c>
      <c r="W207" t="s">
        <v>1214</v>
      </c>
      <c r="X207" t="s">
        <v>62</v>
      </c>
      <c r="Y207" t="s">
        <v>63</v>
      </c>
      <c r="AA207" t="s">
        <v>64</v>
      </c>
      <c r="AB207">
        <v>23.083333</v>
      </c>
      <c r="AC207">
        <v>18.600000000000001</v>
      </c>
      <c r="AD207">
        <v>4.483333</v>
      </c>
      <c r="AE207">
        <v>0.283333</v>
      </c>
      <c r="AF207">
        <v>0</v>
      </c>
      <c r="AG207">
        <v>4.2</v>
      </c>
      <c r="AH207">
        <v>4.2</v>
      </c>
      <c r="AI207">
        <v>3.85</v>
      </c>
      <c r="AJ207">
        <v>0.35</v>
      </c>
      <c r="AK207">
        <v>0</v>
      </c>
      <c r="AL207" s="76">
        <v>44922</v>
      </c>
      <c r="AM207" s="75">
        <v>1121</v>
      </c>
      <c r="AN207" t="s">
        <v>65</v>
      </c>
      <c r="AO207" t="s">
        <v>1215</v>
      </c>
      <c r="AP207" t="s">
        <v>67</v>
      </c>
      <c r="AQ207" t="s">
        <v>68</v>
      </c>
      <c r="AR207" t="s">
        <v>69</v>
      </c>
      <c r="AS207" s="79"/>
      <c r="AT207" s="82" t="s">
        <v>1038</v>
      </c>
      <c r="AU207" s="78">
        <v>2026</v>
      </c>
      <c r="AV207" s="78">
        <v>1</v>
      </c>
      <c r="AW207" s="78" t="s">
        <v>71</v>
      </c>
      <c r="AX207" s="78">
        <v>1</v>
      </c>
      <c r="AY207" s="78">
        <v>0</v>
      </c>
      <c r="BT207" s="3" t="s">
        <v>71</v>
      </c>
      <c r="BU207" s="3">
        <v>1</v>
      </c>
      <c r="BV207" s="3">
        <v>0</v>
      </c>
    </row>
    <row r="208" spans="1:74" ht="15" customHeight="1" x14ac:dyDescent="0.25">
      <c r="A208" s="75">
        <v>5786117</v>
      </c>
      <c r="B208" t="s">
        <v>1216</v>
      </c>
      <c r="C208" t="s">
        <v>1217</v>
      </c>
      <c r="D208" t="s">
        <v>74</v>
      </c>
      <c r="E208" t="s">
        <v>87</v>
      </c>
      <c r="F208" s="75">
        <v>632</v>
      </c>
      <c r="G208" s="75">
        <v>350877</v>
      </c>
      <c r="H208">
        <v>398.82</v>
      </c>
      <c r="I208" t="s">
        <v>175</v>
      </c>
      <c r="J208" s="75">
        <v>216233</v>
      </c>
      <c r="K208" t="s">
        <v>88</v>
      </c>
      <c r="L208" t="s">
        <v>89</v>
      </c>
      <c r="M208" s="81">
        <v>46043.431168981479</v>
      </c>
      <c r="N208" s="81">
        <v>46044.651064814818</v>
      </c>
      <c r="O208" t="s">
        <v>58</v>
      </c>
      <c r="P208" t="s">
        <v>59</v>
      </c>
      <c r="Q208" t="s">
        <v>90</v>
      </c>
      <c r="R208" t="s">
        <v>99</v>
      </c>
      <c r="U208" s="75">
        <v>176785</v>
      </c>
      <c r="V208" t="s">
        <v>1218</v>
      </c>
      <c r="W208" t="s">
        <v>1219</v>
      </c>
      <c r="X208" t="s">
        <v>62</v>
      </c>
      <c r="Y208" t="s">
        <v>63</v>
      </c>
      <c r="AA208" t="s">
        <v>416</v>
      </c>
      <c r="AB208">
        <v>29.183332</v>
      </c>
      <c r="AC208">
        <v>15.616666</v>
      </c>
      <c r="AD208">
        <v>13.566666</v>
      </c>
      <c r="AE208">
        <v>0.11666600000000001</v>
      </c>
      <c r="AF208">
        <v>0</v>
      </c>
      <c r="AG208">
        <v>13.45</v>
      </c>
      <c r="AH208">
        <v>13.45</v>
      </c>
      <c r="AI208">
        <v>13.1</v>
      </c>
      <c r="AJ208">
        <v>0.35</v>
      </c>
      <c r="AK208">
        <v>0</v>
      </c>
      <c r="AL208" s="76">
        <v>46042.731851851851</v>
      </c>
      <c r="AM208" s="75">
        <v>0</v>
      </c>
      <c r="AN208" t="s">
        <v>1220</v>
      </c>
      <c r="AO208" t="s">
        <v>1221</v>
      </c>
      <c r="AP208" t="s">
        <v>67</v>
      </c>
      <c r="AQ208" t="s">
        <v>68</v>
      </c>
      <c r="AR208" t="s">
        <v>69</v>
      </c>
      <c r="AS208" s="78"/>
      <c r="AT208" s="82" t="s">
        <v>1038</v>
      </c>
      <c r="AU208" s="78">
        <v>2026</v>
      </c>
      <c r="AV208" s="78">
        <v>1</v>
      </c>
      <c r="AW208" s="78" t="s">
        <v>71</v>
      </c>
      <c r="AX208" s="78">
        <v>0</v>
      </c>
      <c r="AY208" s="78">
        <v>0</v>
      </c>
      <c r="BT208" s="2" t="s">
        <v>71</v>
      </c>
      <c r="BU208" s="2">
        <v>0</v>
      </c>
      <c r="BV208" s="2">
        <v>0</v>
      </c>
    </row>
    <row r="209" spans="1:74" ht="15" customHeight="1" x14ac:dyDescent="0.25">
      <c r="A209" s="75">
        <v>5787419</v>
      </c>
      <c r="B209" t="s">
        <v>1222</v>
      </c>
      <c r="C209" t="s">
        <v>1223</v>
      </c>
      <c r="D209" t="s">
        <v>74</v>
      </c>
      <c r="E209" t="s">
        <v>87</v>
      </c>
      <c r="F209" s="75">
        <v>205</v>
      </c>
      <c r="G209" s="75">
        <v>286083</v>
      </c>
      <c r="H209">
        <v>398.82</v>
      </c>
      <c r="I209" t="s">
        <v>55</v>
      </c>
      <c r="J209" s="75">
        <v>216233</v>
      </c>
      <c r="K209" t="s">
        <v>88</v>
      </c>
      <c r="L209" t="s">
        <v>89</v>
      </c>
      <c r="M209" s="81">
        <v>46043.840694444443</v>
      </c>
      <c r="N209" s="81">
        <v>46044.651956018519</v>
      </c>
      <c r="O209" t="s">
        <v>58</v>
      </c>
      <c r="P209" t="s">
        <v>59</v>
      </c>
      <c r="Q209" t="s">
        <v>90</v>
      </c>
      <c r="R209" t="s">
        <v>60</v>
      </c>
      <c r="U209" s="75">
        <v>176793</v>
      </c>
      <c r="V209" t="s">
        <v>1224</v>
      </c>
      <c r="W209" t="s">
        <v>1225</v>
      </c>
      <c r="X209" t="s">
        <v>62</v>
      </c>
      <c r="Y209" t="s">
        <v>63</v>
      </c>
      <c r="AA209" t="s">
        <v>81</v>
      </c>
      <c r="AB209">
        <v>19.400001</v>
      </c>
      <c r="AC209">
        <v>16.733332999999998</v>
      </c>
      <c r="AD209">
        <v>2.666668</v>
      </c>
      <c r="AE209">
        <v>0.13333400000000001</v>
      </c>
      <c r="AF209">
        <v>0</v>
      </c>
      <c r="AG209">
        <v>2.533334</v>
      </c>
      <c r="AH209">
        <v>2.533334</v>
      </c>
      <c r="AI209">
        <v>2.1666669999999999</v>
      </c>
      <c r="AJ209">
        <v>0.36666700000000002</v>
      </c>
      <c r="AK209">
        <v>0</v>
      </c>
      <c r="AL209" s="76">
        <v>44873</v>
      </c>
      <c r="AM209" s="75">
        <v>1170</v>
      </c>
      <c r="AN209" t="s">
        <v>65</v>
      </c>
      <c r="AO209" t="s">
        <v>1226</v>
      </c>
      <c r="AP209" t="s">
        <v>67</v>
      </c>
      <c r="AQ209" t="s">
        <v>68</v>
      </c>
      <c r="AR209" t="s">
        <v>69</v>
      </c>
      <c r="AS209" s="79"/>
      <c r="AT209" s="82" t="s">
        <v>1038</v>
      </c>
      <c r="AU209" s="78">
        <v>2026</v>
      </c>
      <c r="AV209" s="78">
        <v>1</v>
      </c>
      <c r="AW209" s="78" t="s">
        <v>71</v>
      </c>
      <c r="AX209" s="78">
        <v>1</v>
      </c>
      <c r="AY209" s="78">
        <v>0</v>
      </c>
      <c r="BT209" s="3" t="s">
        <v>71</v>
      </c>
      <c r="BU209" s="3">
        <v>1</v>
      </c>
      <c r="BV209" s="3">
        <v>0</v>
      </c>
    </row>
    <row r="210" spans="1:74" ht="15" customHeight="1" x14ac:dyDescent="0.25">
      <c r="A210" s="75">
        <v>5786109</v>
      </c>
      <c r="B210" t="s">
        <v>1227</v>
      </c>
      <c r="C210" t="s">
        <v>1228</v>
      </c>
      <c r="D210" t="s">
        <v>809</v>
      </c>
      <c r="E210" t="s">
        <v>126</v>
      </c>
      <c r="F210" s="75">
        <v>2</v>
      </c>
      <c r="G210" s="75">
        <v>271051</v>
      </c>
      <c r="H210">
        <v>12000</v>
      </c>
      <c r="I210" t="s">
        <v>1229</v>
      </c>
      <c r="J210" s="75">
        <v>215587</v>
      </c>
      <c r="K210" t="s">
        <v>1230</v>
      </c>
      <c r="L210" t="s">
        <v>1231</v>
      </c>
      <c r="M210" s="81">
        <v>46043.429560185177</v>
      </c>
      <c r="N210" s="81">
        <v>46044.667905092603</v>
      </c>
      <c r="O210" t="s">
        <v>58</v>
      </c>
      <c r="P210" t="s">
        <v>59</v>
      </c>
      <c r="Q210" t="s">
        <v>130</v>
      </c>
      <c r="R210" t="s">
        <v>99</v>
      </c>
      <c r="U210" s="75">
        <v>176373</v>
      </c>
      <c r="V210" t="s">
        <v>1232</v>
      </c>
      <c r="W210" t="s">
        <v>1232</v>
      </c>
      <c r="X210" t="s">
        <v>118</v>
      </c>
      <c r="Y210" t="s">
        <v>1233</v>
      </c>
      <c r="AA210" t="s">
        <v>64</v>
      </c>
      <c r="AB210">
        <v>29.65</v>
      </c>
      <c r="AC210">
        <v>24.283332999999999</v>
      </c>
      <c r="AD210">
        <v>5.3666669999999996</v>
      </c>
      <c r="AE210">
        <v>0.23333300000000001</v>
      </c>
      <c r="AF210">
        <v>0</v>
      </c>
      <c r="AG210">
        <v>5.1333339999999996</v>
      </c>
      <c r="AH210">
        <v>5.1333339999999996</v>
      </c>
      <c r="AI210">
        <v>4.9666670000000002</v>
      </c>
      <c r="AJ210">
        <v>0.16666700000000001</v>
      </c>
      <c r="AK210">
        <v>0</v>
      </c>
      <c r="AL210" s="76">
        <v>36526</v>
      </c>
      <c r="AM210" s="75">
        <v>9517</v>
      </c>
      <c r="AN210" t="s">
        <v>65</v>
      </c>
      <c r="AO210" t="s">
        <v>1234</v>
      </c>
      <c r="AP210" t="s">
        <v>67</v>
      </c>
      <c r="AQ210" t="s">
        <v>121</v>
      </c>
      <c r="AR210" t="s">
        <v>69</v>
      </c>
      <c r="AS210" s="78"/>
      <c r="AT210" s="82" t="s">
        <v>1038</v>
      </c>
      <c r="AU210" s="78">
        <v>2026</v>
      </c>
      <c r="AV210" s="78">
        <v>1</v>
      </c>
      <c r="AW210" s="78" t="s">
        <v>347</v>
      </c>
      <c r="AX210" s="78">
        <v>1</v>
      </c>
      <c r="AY210" s="78">
        <v>0</v>
      </c>
      <c r="BT210" s="2" t="s">
        <v>347</v>
      </c>
      <c r="BU210" s="2">
        <v>1</v>
      </c>
      <c r="BV210" s="2">
        <v>0</v>
      </c>
    </row>
    <row r="211" spans="1:74" ht="15" customHeight="1" x14ac:dyDescent="0.25">
      <c r="A211" s="75">
        <v>5786427</v>
      </c>
      <c r="B211" t="s">
        <v>1235</v>
      </c>
      <c r="C211" t="s">
        <v>1236</v>
      </c>
      <c r="D211" t="s">
        <v>809</v>
      </c>
      <c r="E211" t="s">
        <v>87</v>
      </c>
      <c r="F211" s="75">
        <v>157</v>
      </c>
      <c r="G211" s="75">
        <v>285773</v>
      </c>
      <c r="H211">
        <v>398.82</v>
      </c>
      <c r="I211" t="s">
        <v>55</v>
      </c>
      <c r="J211" s="75">
        <v>216233</v>
      </c>
      <c r="K211" t="s">
        <v>88</v>
      </c>
      <c r="L211" t="s">
        <v>89</v>
      </c>
      <c r="M211" s="81">
        <v>46043.479895833327</v>
      </c>
      <c r="N211" s="81">
        <v>46044.706157407411</v>
      </c>
      <c r="O211" t="s">
        <v>58</v>
      </c>
      <c r="P211" t="s">
        <v>59</v>
      </c>
      <c r="Q211" t="s">
        <v>130</v>
      </c>
      <c r="R211" t="s">
        <v>60</v>
      </c>
      <c r="U211" s="75">
        <v>176431</v>
      </c>
      <c r="V211" t="s">
        <v>1237</v>
      </c>
      <c r="W211" t="s">
        <v>1237</v>
      </c>
      <c r="X211" t="s">
        <v>62</v>
      </c>
      <c r="Y211" t="s">
        <v>63</v>
      </c>
      <c r="AA211" t="s">
        <v>64</v>
      </c>
      <c r="AB211">
        <v>29.400001</v>
      </c>
      <c r="AC211">
        <v>22.35</v>
      </c>
      <c r="AD211">
        <v>7.050001</v>
      </c>
      <c r="AE211">
        <v>0.216667</v>
      </c>
      <c r="AF211">
        <v>0</v>
      </c>
      <c r="AG211">
        <v>6.8333339999999998</v>
      </c>
      <c r="AH211">
        <v>6.8333339999999998</v>
      </c>
      <c r="AI211">
        <v>6.8333339999999998</v>
      </c>
      <c r="AJ211">
        <v>0</v>
      </c>
      <c r="AK211">
        <v>0</v>
      </c>
      <c r="AL211" s="76">
        <v>44914</v>
      </c>
      <c r="AM211" s="75">
        <v>1129</v>
      </c>
      <c r="AN211" t="s">
        <v>65</v>
      </c>
      <c r="AO211" t="s">
        <v>1238</v>
      </c>
      <c r="AP211" t="s">
        <v>67</v>
      </c>
      <c r="AQ211" t="s">
        <v>68</v>
      </c>
      <c r="AR211" t="s">
        <v>69</v>
      </c>
      <c r="AS211" s="79"/>
      <c r="AT211" s="82" t="s">
        <v>1038</v>
      </c>
      <c r="AU211" s="78">
        <v>2026</v>
      </c>
      <c r="AV211" s="78">
        <v>1</v>
      </c>
      <c r="AW211" s="78" t="s">
        <v>71</v>
      </c>
      <c r="AX211" s="78">
        <v>1</v>
      </c>
      <c r="AY211" s="78">
        <v>0</v>
      </c>
      <c r="BT211" s="3" t="s">
        <v>71</v>
      </c>
      <c r="BU211" s="3">
        <v>1</v>
      </c>
      <c r="BV211" s="3">
        <v>0</v>
      </c>
    </row>
    <row r="212" spans="1:74" ht="15" customHeight="1" x14ac:dyDescent="0.25">
      <c r="A212" s="75">
        <v>5787221</v>
      </c>
      <c r="B212" t="s">
        <v>1239</v>
      </c>
      <c r="C212" t="s">
        <v>1240</v>
      </c>
      <c r="D212" t="s">
        <v>74</v>
      </c>
      <c r="E212" t="s">
        <v>105</v>
      </c>
      <c r="F212" s="75">
        <v>1226</v>
      </c>
      <c r="G212" s="75">
        <v>340861</v>
      </c>
      <c r="H212">
        <v>442.11</v>
      </c>
      <c r="I212" t="s">
        <v>175</v>
      </c>
      <c r="J212" s="75">
        <v>83605</v>
      </c>
      <c r="K212" t="s">
        <v>844</v>
      </c>
      <c r="L212" t="s">
        <v>845</v>
      </c>
      <c r="M212" s="81">
        <v>46043.72284722222</v>
      </c>
      <c r="N212" s="81">
        <v>46044.715995370367</v>
      </c>
      <c r="O212" t="s">
        <v>58</v>
      </c>
      <c r="P212" t="s">
        <v>59</v>
      </c>
      <c r="Q212" t="s">
        <v>90</v>
      </c>
      <c r="R212" t="s">
        <v>60</v>
      </c>
      <c r="U212" s="75">
        <v>176799</v>
      </c>
      <c r="V212" t="s">
        <v>1241</v>
      </c>
      <c r="W212" t="s">
        <v>1241</v>
      </c>
      <c r="X212" t="s">
        <v>62</v>
      </c>
      <c r="Y212" t="s">
        <v>63</v>
      </c>
      <c r="AA212" t="s">
        <v>64</v>
      </c>
      <c r="AB212">
        <v>23.766667999999999</v>
      </c>
      <c r="AC212">
        <v>15.333334000000001</v>
      </c>
      <c r="AD212">
        <v>8.4333340000000003</v>
      </c>
      <c r="AE212">
        <v>0.78333399999999997</v>
      </c>
      <c r="AF212">
        <v>0</v>
      </c>
      <c r="AG212">
        <v>7.65</v>
      </c>
      <c r="AH212">
        <v>7.65</v>
      </c>
      <c r="AI212">
        <v>7.516667</v>
      </c>
      <c r="AJ212">
        <v>0.13333300000000001</v>
      </c>
      <c r="AK212">
        <v>0</v>
      </c>
      <c r="AL212" s="76">
        <v>45869.70894675926</v>
      </c>
      <c r="AM212" s="75">
        <v>174</v>
      </c>
      <c r="AN212" t="s">
        <v>65</v>
      </c>
      <c r="AO212" t="s">
        <v>1242</v>
      </c>
      <c r="AP212" t="s">
        <v>67</v>
      </c>
      <c r="AQ212" t="s">
        <v>68</v>
      </c>
      <c r="AR212" t="s">
        <v>69</v>
      </c>
      <c r="AS212" s="78"/>
      <c r="AT212" s="82" t="s">
        <v>1038</v>
      </c>
      <c r="AU212" s="78">
        <v>2026</v>
      </c>
      <c r="AV212" s="78">
        <v>1</v>
      </c>
      <c r="AW212" s="78" t="s">
        <v>71</v>
      </c>
      <c r="AX212" s="78">
        <v>1</v>
      </c>
      <c r="AY212" s="78">
        <v>0</v>
      </c>
      <c r="BT212" s="2" t="s">
        <v>71</v>
      </c>
      <c r="BU212" s="2">
        <v>1</v>
      </c>
      <c r="BV212" s="2">
        <v>0</v>
      </c>
    </row>
    <row r="213" spans="1:74" ht="15" customHeight="1" x14ac:dyDescent="0.25">
      <c r="A213" s="75">
        <v>5786841</v>
      </c>
      <c r="B213" t="s">
        <v>1243</v>
      </c>
      <c r="C213" t="s">
        <v>1067</v>
      </c>
      <c r="D213" t="s">
        <v>809</v>
      </c>
      <c r="E213" t="s">
        <v>87</v>
      </c>
      <c r="F213" s="75">
        <v>426</v>
      </c>
      <c r="G213" s="75">
        <v>289277</v>
      </c>
      <c r="H213">
        <v>382.47</v>
      </c>
      <c r="I213" t="s">
        <v>55</v>
      </c>
      <c r="J213" s="75">
        <v>216233</v>
      </c>
      <c r="K213" t="s">
        <v>88</v>
      </c>
      <c r="L213" t="s">
        <v>89</v>
      </c>
      <c r="M213" s="81">
        <v>46043.618703703702</v>
      </c>
      <c r="N213" s="81">
        <v>46045.379837962973</v>
      </c>
      <c r="O213" t="s">
        <v>58</v>
      </c>
      <c r="P213" t="s">
        <v>59</v>
      </c>
      <c r="Q213" t="s">
        <v>90</v>
      </c>
      <c r="R213" t="s">
        <v>99</v>
      </c>
      <c r="S213" t="s">
        <v>1244</v>
      </c>
      <c r="U213" s="75">
        <v>176589</v>
      </c>
      <c r="V213" t="s">
        <v>1245</v>
      </c>
      <c r="X213" t="s">
        <v>62</v>
      </c>
      <c r="Y213" t="s">
        <v>63</v>
      </c>
      <c r="AA213" t="s">
        <v>81</v>
      </c>
      <c r="AB213">
        <v>42.216667000000001</v>
      </c>
      <c r="AC213">
        <v>38.799999999999997</v>
      </c>
      <c r="AD213">
        <v>3.4166669999999999</v>
      </c>
      <c r="AE213">
        <v>8.3334000000000005E-2</v>
      </c>
      <c r="AF213">
        <v>0</v>
      </c>
      <c r="AG213">
        <v>3.3333330000000001</v>
      </c>
      <c r="AH213">
        <v>3.3333330000000001</v>
      </c>
      <c r="AI213">
        <v>3.25</v>
      </c>
      <c r="AJ213">
        <v>8.3333000000000004E-2</v>
      </c>
      <c r="AK213">
        <v>0</v>
      </c>
      <c r="AL213" s="76">
        <v>44998</v>
      </c>
      <c r="AM213" s="75">
        <v>1045</v>
      </c>
      <c r="AN213" t="s">
        <v>65</v>
      </c>
      <c r="AO213" t="s">
        <v>1070</v>
      </c>
      <c r="AP213" t="s">
        <v>67</v>
      </c>
      <c r="AQ213" t="s">
        <v>68</v>
      </c>
      <c r="AR213" t="s">
        <v>69</v>
      </c>
      <c r="AS213" s="79"/>
      <c r="AT213" s="82" t="s">
        <v>1038</v>
      </c>
      <c r="AU213" s="78">
        <v>2026</v>
      </c>
      <c r="AV213" s="78">
        <v>1</v>
      </c>
      <c r="AW213" s="78" t="s">
        <v>71</v>
      </c>
      <c r="AX213" s="78">
        <v>1</v>
      </c>
      <c r="AY213" s="78">
        <v>0</v>
      </c>
      <c r="BT213" s="3" t="s">
        <v>71</v>
      </c>
      <c r="BU213" s="3">
        <v>1</v>
      </c>
      <c r="BV213" s="3">
        <v>0</v>
      </c>
    </row>
    <row r="214" spans="1:74" ht="15" customHeight="1" x14ac:dyDescent="0.25">
      <c r="A214" s="75">
        <v>5786455</v>
      </c>
      <c r="B214" t="s">
        <v>1246</v>
      </c>
      <c r="C214" t="s">
        <v>1247</v>
      </c>
      <c r="D214" t="s">
        <v>809</v>
      </c>
      <c r="E214" t="s">
        <v>87</v>
      </c>
      <c r="F214" s="75">
        <v>336</v>
      </c>
      <c r="G214" s="75">
        <v>286677</v>
      </c>
      <c r="H214">
        <v>364.96</v>
      </c>
      <c r="I214" t="s">
        <v>55</v>
      </c>
      <c r="J214" s="75">
        <v>218787</v>
      </c>
      <c r="K214" t="s">
        <v>96</v>
      </c>
      <c r="L214" t="s">
        <v>97</v>
      </c>
      <c r="M214" s="81">
        <v>46043.48678240741</v>
      </c>
      <c r="N214" s="81">
        <v>46045.382407407407</v>
      </c>
      <c r="O214" t="s">
        <v>58</v>
      </c>
      <c r="P214" t="s">
        <v>59</v>
      </c>
      <c r="Q214" t="s">
        <v>90</v>
      </c>
      <c r="R214" t="s">
        <v>60</v>
      </c>
      <c r="S214" t="s">
        <v>583</v>
      </c>
      <c r="U214" s="75">
        <v>176483</v>
      </c>
      <c r="V214" t="s">
        <v>1248</v>
      </c>
      <c r="W214" t="s">
        <v>1248</v>
      </c>
      <c r="X214" t="s">
        <v>62</v>
      </c>
      <c r="Y214" t="s">
        <v>63</v>
      </c>
      <c r="AA214" t="s">
        <v>64</v>
      </c>
      <c r="AB214">
        <v>45.466665999999996</v>
      </c>
      <c r="AC214">
        <v>38.433332999999998</v>
      </c>
      <c r="AD214">
        <v>7.0333329999999998</v>
      </c>
      <c r="AE214">
        <v>0.25</v>
      </c>
      <c r="AF214">
        <v>0</v>
      </c>
      <c r="AG214">
        <v>6.7833329999999998</v>
      </c>
      <c r="AH214">
        <v>6.7833329999999998</v>
      </c>
      <c r="AI214">
        <v>6.35</v>
      </c>
      <c r="AJ214">
        <v>0.43333300000000002</v>
      </c>
      <c r="AK214">
        <v>0</v>
      </c>
      <c r="AL214" s="76">
        <v>44963</v>
      </c>
      <c r="AM214" s="75">
        <v>1080</v>
      </c>
      <c r="AN214" t="s">
        <v>65</v>
      </c>
      <c r="AO214" t="s">
        <v>1249</v>
      </c>
      <c r="AP214" t="s">
        <v>67</v>
      </c>
      <c r="AQ214" t="s">
        <v>68</v>
      </c>
      <c r="AR214" t="s">
        <v>69</v>
      </c>
      <c r="AS214" s="78"/>
      <c r="AT214" s="82" t="s">
        <v>1038</v>
      </c>
      <c r="AU214" s="78">
        <v>2026</v>
      </c>
      <c r="AV214" s="78">
        <v>1</v>
      </c>
      <c r="AW214" s="78" t="s">
        <v>71</v>
      </c>
      <c r="AX214" s="78">
        <v>1</v>
      </c>
      <c r="AY214" s="78">
        <v>0</v>
      </c>
      <c r="BT214" s="2" t="s">
        <v>71</v>
      </c>
      <c r="BU214" s="2">
        <v>1</v>
      </c>
      <c r="BV214" s="2">
        <v>0</v>
      </c>
    </row>
    <row r="215" spans="1:74" ht="15" customHeight="1" x14ac:dyDescent="0.25">
      <c r="A215" s="75">
        <v>5788141</v>
      </c>
      <c r="B215" t="s">
        <v>1250</v>
      </c>
      <c r="C215" t="s">
        <v>720</v>
      </c>
      <c r="D215" t="s">
        <v>809</v>
      </c>
      <c r="E215" t="s">
        <v>87</v>
      </c>
      <c r="F215" s="75">
        <v>17</v>
      </c>
      <c r="G215" s="75">
        <v>275221</v>
      </c>
      <c r="H215">
        <v>398.82</v>
      </c>
      <c r="I215" t="s">
        <v>55</v>
      </c>
      <c r="J215" s="75">
        <v>216233</v>
      </c>
      <c r="K215" t="s">
        <v>88</v>
      </c>
      <c r="L215" t="s">
        <v>89</v>
      </c>
      <c r="M215" s="81">
        <v>46044.445069444453</v>
      </c>
      <c r="N215" s="81">
        <v>46045.395138888889</v>
      </c>
      <c r="O215" t="s">
        <v>58</v>
      </c>
      <c r="P215" t="s">
        <v>59</v>
      </c>
      <c r="Q215" t="s">
        <v>90</v>
      </c>
      <c r="R215" t="s">
        <v>60</v>
      </c>
      <c r="S215" t="s">
        <v>583</v>
      </c>
      <c r="U215" s="75">
        <v>177359</v>
      </c>
      <c r="V215" t="s">
        <v>1251</v>
      </c>
      <c r="W215" t="s">
        <v>1251</v>
      </c>
      <c r="X215" t="s">
        <v>62</v>
      </c>
      <c r="Y215" t="s">
        <v>63</v>
      </c>
      <c r="AA215" t="s">
        <v>64</v>
      </c>
      <c r="AB215">
        <v>22.75</v>
      </c>
      <c r="AC215">
        <v>15.566667000000001</v>
      </c>
      <c r="AD215">
        <v>7.1833330000000002</v>
      </c>
      <c r="AE215">
        <v>0.33333299999999999</v>
      </c>
      <c r="AF215">
        <v>0</v>
      </c>
      <c r="AG215">
        <v>6.85</v>
      </c>
      <c r="AH215">
        <v>6.85</v>
      </c>
      <c r="AI215">
        <v>6.6166669999999996</v>
      </c>
      <c r="AJ215">
        <v>0.23333300000000001</v>
      </c>
      <c r="AK215">
        <v>0</v>
      </c>
      <c r="AL215" s="76">
        <v>44929</v>
      </c>
      <c r="AM215" s="75">
        <v>1115</v>
      </c>
      <c r="AN215" t="s">
        <v>65</v>
      </c>
      <c r="AO215" t="s">
        <v>723</v>
      </c>
      <c r="AP215" t="s">
        <v>67</v>
      </c>
      <c r="AQ215" t="s">
        <v>68</v>
      </c>
      <c r="AR215" t="s">
        <v>69</v>
      </c>
      <c r="AS215" s="79"/>
      <c r="AT215" s="82" t="s">
        <v>1038</v>
      </c>
      <c r="AU215" s="78">
        <v>2026</v>
      </c>
      <c r="AV215" s="78">
        <v>1</v>
      </c>
      <c r="AW215" s="78" t="s">
        <v>71</v>
      </c>
      <c r="AX215" s="78">
        <v>1</v>
      </c>
      <c r="AY215" s="78">
        <v>0</v>
      </c>
      <c r="BT215" s="3" t="s">
        <v>71</v>
      </c>
      <c r="BU215" s="3">
        <v>1</v>
      </c>
      <c r="BV215" s="3">
        <v>0</v>
      </c>
    </row>
    <row r="216" spans="1:74" ht="15" customHeight="1" x14ac:dyDescent="0.25">
      <c r="A216" s="75">
        <v>5788083</v>
      </c>
      <c r="B216" t="s">
        <v>1252</v>
      </c>
      <c r="C216" t="s">
        <v>1253</v>
      </c>
      <c r="D216" t="s">
        <v>809</v>
      </c>
      <c r="E216" t="s">
        <v>87</v>
      </c>
      <c r="F216" s="75">
        <v>81</v>
      </c>
      <c r="G216" s="75">
        <v>275443</v>
      </c>
      <c r="H216">
        <v>350</v>
      </c>
      <c r="I216" t="s">
        <v>55</v>
      </c>
      <c r="J216" s="75">
        <v>218791</v>
      </c>
      <c r="K216" t="s">
        <v>312</v>
      </c>
      <c r="L216" t="s">
        <v>313</v>
      </c>
      <c r="M216" s="81">
        <v>46044.431157407409</v>
      </c>
      <c r="N216" s="81">
        <v>46045.396585648137</v>
      </c>
      <c r="O216" t="s">
        <v>58</v>
      </c>
      <c r="P216" t="s">
        <v>59</v>
      </c>
      <c r="Q216" t="s">
        <v>90</v>
      </c>
      <c r="R216" t="s">
        <v>60</v>
      </c>
      <c r="S216" t="s">
        <v>583</v>
      </c>
      <c r="U216" s="75">
        <v>177347</v>
      </c>
      <c r="V216" t="s">
        <v>1254</v>
      </c>
      <c r="W216" t="s">
        <v>1255</v>
      </c>
      <c r="X216" t="s">
        <v>62</v>
      </c>
      <c r="Y216" t="s">
        <v>63</v>
      </c>
      <c r="AA216" t="s">
        <v>64</v>
      </c>
      <c r="AB216">
        <v>23.133333</v>
      </c>
      <c r="AC216">
        <v>15.633333</v>
      </c>
      <c r="AD216">
        <v>7.5</v>
      </c>
      <c r="AE216">
        <v>0.25</v>
      </c>
      <c r="AF216">
        <v>0</v>
      </c>
      <c r="AG216">
        <v>7.25</v>
      </c>
      <c r="AH216">
        <v>7.25</v>
      </c>
      <c r="AI216">
        <v>6.9</v>
      </c>
      <c r="AJ216">
        <v>0.35</v>
      </c>
      <c r="AK216">
        <v>0</v>
      </c>
      <c r="AL216" s="76">
        <v>44882.537048611113</v>
      </c>
      <c r="AM216" s="75">
        <v>1161</v>
      </c>
      <c r="AN216" t="s">
        <v>65</v>
      </c>
      <c r="AO216" t="s">
        <v>1256</v>
      </c>
      <c r="AP216" t="s">
        <v>67</v>
      </c>
      <c r="AQ216" t="s">
        <v>68</v>
      </c>
      <c r="AR216" t="s">
        <v>69</v>
      </c>
      <c r="AS216" s="78"/>
      <c r="AT216" s="82" t="s">
        <v>1038</v>
      </c>
      <c r="AU216" s="78">
        <v>2026</v>
      </c>
      <c r="AV216" s="78">
        <v>1</v>
      </c>
      <c r="AW216" s="78" t="s">
        <v>71</v>
      </c>
      <c r="AX216" s="78">
        <v>1</v>
      </c>
      <c r="AY216" s="78">
        <v>0</v>
      </c>
      <c r="BT216" s="2" t="s">
        <v>71</v>
      </c>
      <c r="BU216" s="2">
        <v>1</v>
      </c>
      <c r="BV216" s="2">
        <v>0</v>
      </c>
    </row>
    <row r="217" spans="1:74" ht="15" customHeight="1" x14ac:dyDescent="0.25">
      <c r="A217" s="75">
        <v>5786061</v>
      </c>
      <c r="B217" t="s">
        <v>1257</v>
      </c>
      <c r="C217" t="s">
        <v>1258</v>
      </c>
      <c r="D217" t="s">
        <v>74</v>
      </c>
      <c r="E217" t="s">
        <v>87</v>
      </c>
      <c r="F217" s="75">
        <v>531</v>
      </c>
      <c r="G217" s="75">
        <v>347277</v>
      </c>
      <c r="H217">
        <v>382.47</v>
      </c>
      <c r="I217" t="s">
        <v>175</v>
      </c>
      <c r="J217" s="75">
        <v>218791</v>
      </c>
      <c r="K217" t="s">
        <v>312</v>
      </c>
      <c r="L217" t="s">
        <v>313</v>
      </c>
      <c r="M217" s="81">
        <v>46043.417430555557</v>
      </c>
      <c r="N217" s="81">
        <v>46045.468935185178</v>
      </c>
      <c r="O217" t="s">
        <v>391</v>
      </c>
      <c r="P217" t="s">
        <v>59</v>
      </c>
      <c r="Q217" t="s">
        <v>130</v>
      </c>
      <c r="R217" t="s">
        <v>60</v>
      </c>
      <c r="S217" t="s">
        <v>583</v>
      </c>
      <c r="U217" s="75">
        <v>177417</v>
      </c>
      <c r="V217" t="s">
        <v>1259</v>
      </c>
      <c r="W217" t="s">
        <v>1259</v>
      </c>
      <c r="X217" t="s">
        <v>62</v>
      </c>
      <c r="Y217" t="s">
        <v>63</v>
      </c>
      <c r="Z217" t="s">
        <v>1260</v>
      </c>
      <c r="AA217" t="s">
        <v>64</v>
      </c>
      <c r="AB217">
        <v>49.15</v>
      </c>
      <c r="AC217">
        <v>18.600000000000001</v>
      </c>
      <c r="AD217">
        <v>30.55</v>
      </c>
      <c r="AE217">
        <v>25.883333</v>
      </c>
      <c r="AF217">
        <v>25.333333</v>
      </c>
      <c r="AG217">
        <v>4.6666670000000003</v>
      </c>
      <c r="AH217">
        <v>30</v>
      </c>
      <c r="AI217">
        <v>4.55</v>
      </c>
      <c r="AJ217">
        <v>0.11666700000000001</v>
      </c>
      <c r="AK217">
        <v>0</v>
      </c>
      <c r="AL217" s="76">
        <v>45945.738692129627</v>
      </c>
      <c r="AM217" s="75">
        <v>97</v>
      </c>
      <c r="AN217" t="s">
        <v>65</v>
      </c>
      <c r="AO217" t="s">
        <v>1261</v>
      </c>
      <c r="AP217" t="s">
        <v>67</v>
      </c>
      <c r="AQ217" t="s">
        <v>68</v>
      </c>
      <c r="AR217" t="s">
        <v>69</v>
      </c>
      <c r="AS217" s="79"/>
      <c r="AT217" s="82" t="s">
        <v>1038</v>
      </c>
      <c r="AU217" s="78">
        <v>2026</v>
      </c>
      <c r="AV217" s="78">
        <v>1</v>
      </c>
      <c r="AW217" s="78" t="s">
        <v>71</v>
      </c>
      <c r="AX217" s="78">
        <v>1</v>
      </c>
      <c r="AY217" s="78">
        <v>0</v>
      </c>
      <c r="BT217" s="3" t="s">
        <v>71</v>
      </c>
      <c r="BU217" s="3">
        <v>1</v>
      </c>
      <c r="BV217" s="3">
        <v>0</v>
      </c>
    </row>
    <row r="218" spans="1:74" ht="15" customHeight="1" x14ac:dyDescent="0.25">
      <c r="A218" s="75">
        <v>5787253</v>
      </c>
      <c r="B218" t="s">
        <v>1262</v>
      </c>
      <c r="C218" t="s">
        <v>355</v>
      </c>
      <c r="D218" t="s">
        <v>74</v>
      </c>
      <c r="E218" t="s">
        <v>54</v>
      </c>
      <c r="F218" s="75">
        <v>1</v>
      </c>
      <c r="G218" s="75">
        <v>298751</v>
      </c>
      <c r="H218">
        <v>314.39</v>
      </c>
      <c r="I218" t="s">
        <v>114</v>
      </c>
      <c r="J218" s="75">
        <v>218805</v>
      </c>
      <c r="K218" t="s">
        <v>356</v>
      </c>
      <c r="L218" t="s">
        <v>357</v>
      </c>
      <c r="M218" s="81">
        <v>46043.732673611114</v>
      </c>
      <c r="N218" s="81">
        <v>46045.508275462962</v>
      </c>
      <c r="O218" t="s">
        <v>58</v>
      </c>
      <c r="P218" t="s">
        <v>59</v>
      </c>
      <c r="Q218" t="s">
        <v>130</v>
      </c>
      <c r="R218" t="s">
        <v>60</v>
      </c>
      <c r="S218" t="s">
        <v>583</v>
      </c>
      <c r="U218" s="75">
        <v>176795</v>
      </c>
      <c r="V218" t="s">
        <v>1263</v>
      </c>
      <c r="W218" t="s">
        <v>1263</v>
      </c>
      <c r="X218" t="s">
        <v>62</v>
      </c>
      <c r="Y218" t="s">
        <v>63</v>
      </c>
      <c r="AA218" t="s">
        <v>101</v>
      </c>
      <c r="AB218">
        <v>42.533332999999999</v>
      </c>
      <c r="AC218">
        <v>32.183332999999998</v>
      </c>
      <c r="AD218">
        <v>10.35</v>
      </c>
      <c r="AE218">
        <v>0.13333300000000001</v>
      </c>
      <c r="AF218">
        <v>0</v>
      </c>
      <c r="AG218">
        <v>10.216666999999999</v>
      </c>
      <c r="AH218">
        <v>10.216666999999999</v>
      </c>
      <c r="AI218">
        <v>10.050000000000001</v>
      </c>
      <c r="AJ218">
        <v>0.16666700000000001</v>
      </c>
      <c r="AK218">
        <v>0</v>
      </c>
      <c r="AL218" s="76">
        <v>45288.671597222223</v>
      </c>
      <c r="AM218" s="75">
        <v>755</v>
      </c>
      <c r="AN218" t="s">
        <v>65</v>
      </c>
      <c r="AO218" t="s">
        <v>360</v>
      </c>
      <c r="AP218" t="s">
        <v>67</v>
      </c>
      <c r="AQ218" t="s">
        <v>68</v>
      </c>
      <c r="AR218" t="s">
        <v>69</v>
      </c>
      <c r="AS218" s="78"/>
      <c r="AT218" s="82" t="s">
        <v>1038</v>
      </c>
      <c r="AU218" s="78">
        <v>2026</v>
      </c>
      <c r="AV218" s="78">
        <v>1</v>
      </c>
      <c r="AW218" s="78" t="s">
        <v>71</v>
      </c>
      <c r="AX218" s="78">
        <v>0</v>
      </c>
      <c r="AY218" s="78">
        <v>0</v>
      </c>
      <c r="BT218" s="2" t="s">
        <v>71</v>
      </c>
      <c r="BU218" s="2">
        <v>0</v>
      </c>
      <c r="BV218" s="2">
        <v>0</v>
      </c>
    </row>
    <row r="219" spans="1:74" ht="15" customHeight="1" x14ac:dyDescent="0.25">
      <c r="A219" s="75">
        <v>5787187</v>
      </c>
      <c r="B219" t="s">
        <v>1264</v>
      </c>
      <c r="C219" t="s">
        <v>1265</v>
      </c>
      <c r="D219" t="s">
        <v>74</v>
      </c>
      <c r="E219" t="s">
        <v>105</v>
      </c>
      <c r="F219" s="75">
        <v>599</v>
      </c>
      <c r="G219" s="75">
        <v>168349</v>
      </c>
      <c r="H219">
        <v>1750</v>
      </c>
      <c r="I219" t="s">
        <v>55</v>
      </c>
      <c r="J219" s="75">
        <v>49331</v>
      </c>
      <c r="K219" t="s">
        <v>1266</v>
      </c>
      <c r="L219" t="s">
        <v>1267</v>
      </c>
      <c r="M219" s="81">
        <v>46043.715949074067</v>
      </c>
      <c r="N219" s="81">
        <v>46045.524837962963</v>
      </c>
      <c r="O219" t="s">
        <v>58</v>
      </c>
      <c r="P219" t="s">
        <v>59</v>
      </c>
      <c r="Q219" t="s">
        <v>90</v>
      </c>
      <c r="R219" t="s">
        <v>60</v>
      </c>
      <c r="S219" t="s">
        <v>1268</v>
      </c>
      <c r="U219" s="75">
        <v>176695</v>
      </c>
      <c r="V219" t="s">
        <v>1269</v>
      </c>
      <c r="W219" t="s">
        <v>1269</v>
      </c>
      <c r="X219" t="s">
        <v>79</v>
      </c>
      <c r="Y219" t="s">
        <v>224</v>
      </c>
      <c r="AA219" t="s">
        <v>81</v>
      </c>
      <c r="AB219">
        <v>43.366667999999997</v>
      </c>
      <c r="AC219">
        <v>40.833334000000001</v>
      </c>
      <c r="AD219">
        <v>2.533334</v>
      </c>
      <c r="AE219">
        <v>0.76666699999999999</v>
      </c>
      <c r="AF219">
        <v>0</v>
      </c>
      <c r="AG219">
        <v>1.766667</v>
      </c>
      <c r="AH219">
        <v>1.766667</v>
      </c>
      <c r="AI219">
        <v>1.45</v>
      </c>
      <c r="AJ219">
        <v>0.31666699999999998</v>
      </c>
      <c r="AK219">
        <v>0</v>
      </c>
      <c r="AL219" s="76">
        <v>43945.601631944453</v>
      </c>
      <c r="AM219" s="75">
        <v>2098</v>
      </c>
      <c r="AN219" t="s">
        <v>65</v>
      </c>
      <c r="AO219" t="s">
        <v>1270</v>
      </c>
      <c r="AP219" t="s">
        <v>67</v>
      </c>
      <c r="AQ219" t="s">
        <v>83</v>
      </c>
      <c r="AR219" t="s">
        <v>69</v>
      </c>
      <c r="AS219" s="79"/>
      <c r="AT219" s="82" t="s">
        <v>1038</v>
      </c>
      <c r="AU219" s="78">
        <v>2026</v>
      </c>
      <c r="AV219" s="78">
        <v>1</v>
      </c>
      <c r="AW219" s="78" t="s">
        <v>226</v>
      </c>
      <c r="AX219" s="78">
        <v>1</v>
      </c>
      <c r="AY219" s="78">
        <v>0</v>
      </c>
      <c r="BT219" s="3" t="s">
        <v>226</v>
      </c>
      <c r="BU219" s="3">
        <v>1</v>
      </c>
      <c r="BV219" s="3">
        <v>0</v>
      </c>
    </row>
    <row r="220" spans="1:74" ht="15" customHeight="1" x14ac:dyDescent="0.25">
      <c r="A220" s="75">
        <v>5782821</v>
      </c>
      <c r="B220" t="s">
        <v>1271</v>
      </c>
      <c r="C220" t="s">
        <v>1272</v>
      </c>
      <c r="D220" t="s">
        <v>74</v>
      </c>
      <c r="E220" t="s">
        <v>87</v>
      </c>
      <c r="F220" s="75">
        <v>73</v>
      </c>
      <c r="G220" s="75">
        <v>275397</v>
      </c>
      <c r="H220">
        <v>368.16</v>
      </c>
      <c r="I220" t="s">
        <v>55</v>
      </c>
      <c r="J220" s="75">
        <v>218791</v>
      </c>
      <c r="K220" t="s">
        <v>312</v>
      </c>
      <c r="L220" t="s">
        <v>313</v>
      </c>
      <c r="M220" s="81">
        <v>46041.472997685189</v>
      </c>
      <c r="N220" s="81">
        <v>46045.529814814807</v>
      </c>
      <c r="O220" t="s">
        <v>58</v>
      </c>
      <c r="P220" t="s">
        <v>59</v>
      </c>
      <c r="Q220" t="s">
        <v>90</v>
      </c>
      <c r="R220" t="s">
        <v>131</v>
      </c>
      <c r="S220" t="s">
        <v>1273</v>
      </c>
      <c r="U220" s="75">
        <v>176787</v>
      </c>
      <c r="V220" t="s">
        <v>1274</v>
      </c>
      <c r="W220" t="s">
        <v>1275</v>
      </c>
      <c r="X220" t="s">
        <v>62</v>
      </c>
      <c r="Y220" t="s">
        <v>63</v>
      </c>
      <c r="AA220" t="s">
        <v>101</v>
      </c>
      <c r="AB220">
        <v>97.266666999999998</v>
      </c>
      <c r="AC220">
        <v>87.2</v>
      </c>
      <c r="AD220">
        <v>10.066667000000001</v>
      </c>
      <c r="AE220">
        <v>0.86666699999999997</v>
      </c>
      <c r="AF220">
        <v>0</v>
      </c>
      <c r="AG220">
        <v>9.1999999999999993</v>
      </c>
      <c r="AH220">
        <v>9.1999999999999993</v>
      </c>
      <c r="AI220">
        <v>8.483333</v>
      </c>
      <c r="AJ220">
        <v>0.71666700000000005</v>
      </c>
      <c r="AK220">
        <v>0</v>
      </c>
      <c r="AL220" s="76">
        <v>44879.736851851849</v>
      </c>
      <c r="AM220" s="75">
        <v>1161</v>
      </c>
      <c r="AN220" t="s">
        <v>65</v>
      </c>
      <c r="AO220" t="s">
        <v>1276</v>
      </c>
      <c r="AP220" t="s">
        <v>67</v>
      </c>
      <c r="AQ220" t="s">
        <v>68</v>
      </c>
      <c r="AR220" t="s">
        <v>69</v>
      </c>
      <c r="AS220" s="78"/>
      <c r="AT220" s="82" t="s">
        <v>1038</v>
      </c>
      <c r="AU220" s="78">
        <v>2026</v>
      </c>
      <c r="AV220" s="78">
        <v>1</v>
      </c>
      <c r="AW220" s="78" t="s">
        <v>71</v>
      </c>
      <c r="AX220" s="78">
        <v>0</v>
      </c>
      <c r="AY220" s="78">
        <v>0</v>
      </c>
      <c r="BT220" s="2" t="s">
        <v>71</v>
      </c>
      <c r="BU220" s="2">
        <v>0</v>
      </c>
      <c r="BV220" s="2">
        <v>0</v>
      </c>
    </row>
    <row r="221" spans="1:74" ht="15" customHeight="1" x14ac:dyDescent="0.25">
      <c r="A221" s="75">
        <v>5787825</v>
      </c>
      <c r="B221" t="s">
        <v>1277</v>
      </c>
      <c r="C221" t="s">
        <v>1278</v>
      </c>
      <c r="D221" t="s">
        <v>527</v>
      </c>
      <c r="E221" t="s">
        <v>54</v>
      </c>
      <c r="F221" s="75">
        <v>108</v>
      </c>
      <c r="G221" s="75">
        <v>295681</v>
      </c>
      <c r="H221">
        <v>100</v>
      </c>
      <c r="I221" t="s">
        <v>195</v>
      </c>
      <c r="J221" s="75">
        <v>13955</v>
      </c>
      <c r="K221" t="s">
        <v>75</v>
      </c>
      <c r="L221" t="s">
        <v>76</v>
      </c>
      <c r="M221" s="81">
        <v>46044.386342592603</v>
      </c>
      <c r="N221" s="81">
        <v>46045.553761574083</v>
      </c>
      <c r="O221" t="s">
        <v>58</v>
      </c>
      <c r="P221" t="s">
        <v>59</v>
      </c>
      <c r="Q221" t="s">
        <v>77</v>
      </c>
      <c r="R221" t="s">
        <v>60</v>
      </c>
      <c r="S221" t="s">
        <v>583</v>
      </c>
      <c r="U221" s="75">
        <v>177683</v>
      </c>
      <c r="V221" t="s">
        <v>1279</v>
      </c>
      <c r="W221" t="s">
        <v>1280</v>
      </c>
      <c r="X221" t="s">
        <v>62</v>
      </c>
      <c r="Y221" t="s">
        <v>931</v>
      </c>
      <c r="AA221" t="s">
        <v>416</v>
      </c>
      <c r="AB221">
        <v>27.933333999999999</v>
      </c>
      <c r="AC221">
        <v>14.3</v>
      </c>
      <c r="AD221">
        <v>13.633334</v>
      </c>
      <c r="AE221">
        <v>0.13333300000000001</v>
      </c>
      <c r="AF221">
        <v>0</v>
      </c>
      <c r="AG221">
        <v>13.500000999999999</v>
      </c>
      <c r="AH221">
        <v>13.500000999999999</v>
      </c>
      <c r="AI221">
        <v>12.850001000000001</v>
      </c>
      <c r="AJ221">
        <v>0.65</v>
      </c>
      <c r="AK221">
        <v>0</v>
      </c>
      <c r="AL221" s="76">
        <v>45436</v>
      </c>
      <c r="AM221" s="75">
        <v>608</v>
      </c>
      <c r="AN221" t="s">
        <v>65</v>
      </c>
      <c r="AO221" t="s">
        <v>932</v>
      </c>
      <c r="AP221" t="s">
        <v>67</v>
      </c>
      <c r="AQ221" t="s">
        <v>68</v>
      </c>
      <c r="AR221" t="s">
        <v>69</v>
      </c>
      <c r="AS221" s="79"/>
      <c r="AT221" s="82" t="s">
        <v>1038</v>
      </c>
      <c r="AU221" s="78">
        <v>2026</v>
      </c>
      <c r="AV221" s="78">
        <v>1</v>
      </c>
      <c r="AW221" s="78" t="s">
        <v>71</v>
      </c>
      <c r="AX221" s="78">
        <v>0</v>
      </c>
      <c r="AY221" s="78">
        <v>0</v>
      </c>
      <c r="BT221" s="3" t="s">
        <v>71</v>
      </c>
      <c r="BU221" s="3">
        <v>0</v>
      </c>
      <c r="BV221" s="3">
        <v>0</v>
      </c>
    </row>
    <row r="222" spans="1:74" ht="15" customHeight="1" x14ac:dyDescent="0.25">
      <c r="A222" s="75">
        <v>5786537</v>
      </c>
      <c r="B222" t="s">
        <v>1281</v>
      </c>
      <c r="C222" t="s">
        <v>1282</v>
      </c>
      <c r="D222" t="s">
        <v>74</v>
      </c>
      <c r="E222" t="s">
        <v>126</v>
      </c>
      <c r="F222" s="75">
        <v>1</v>
      </c>
      <c r="G222" s="75">
        <v>350237</v>
      </c>
      <c r="H222">
        <v>3000</v>
      </c>
      <c r="I222" t="s">
        <v>141</v>
      </c>
      <c r="J222" s="75">
        <v>229209</v>
      </c>
      <c r="K222" t="s">
        <v>1283</v>
      </c>
      <c r="L222" t="s">
        <v>1284</v>
      </c>
      <c r="M222" s="81">
        <v>46043.505243055559</v>
      </c>
      <c r="N222" s="81">
        <v>46045.554814814823</v>
      </c>
      <c r="O222" t="s">
        <v>58</v>
      </c>
      <c r="P222" t="s">
        <v>59</v>
      </c>
      <c r="Q222" t="s">
        <v>130</v>
      </c>
      <c r="R222" t="s">
        <v>99</v>
      </c>
      <c r="S222" t="s">
        <v>1244</v>
      </c>
      <c r="U222" s="75">
        <v>176783</v>
      </c>
      <c r="V222" t="s">
        <v>1285</v>
      </c>
      <c r="W222" t="s">
        <v>1286</v>
      </c>
      <c r="X222" t="s">
        <v>62</v>
      </c>
      <c r="Y222" t="s">
        <v>63</v>
      </c>
      <c r="Z222" t="s">
        <v>1287</v>
      </c>
      <c r="AA222" t="s">
        <v>416</v>
      </c>
      <c r="AB222">
        <v>49.116667</v>
      </c>
      <c r="AC222">
        <v>27.15</v>
      </c>
      <c r="AD222">
        <v>21.966667000000001</v>
      </c>
      <c r="AE222">
        <v>3.5</v>
      </c>
      <c r="AF222">
        <v>3.45</v>
      </c>
      <c r="AG222">
        <v>18.466667000000001</v>
      </c>
      <c r="AH222">
        <v>21.916667</v>
      </c>
      <c r="AI222">
        <v>17.166667</v>
      </c>
      <c r="AJ222">
        <v>1.3</v>
      </c>
      <c r="AK222">
        <v>0</v>
      </c>
      <c r="AL222" s="76">
        <v>46006</v>
      </c>
      <c r="AM222" s="75">
        <v>37</v>
      </c>
      <c r="AN222" t="s">
        <v>65</v>
      </c>
      <c r="AO222" t="s">
        <v>1288</v>
      </c>
      <c r="AP222" t="s">
        <v>67</v>
      </c>
      <c r="AQ222" t="s">
        <v>68</v>
      </c>
      <c r="AR222" t="s">
        <v>69</v>
      </c>
      <c r="AS222" s="78"/>
      <c r="AT222" s="82" t="s">
        <v>1038</v>
      </c>
      <c r="AU222" s="78">
        <v>2026</v>
      </c>
      <c r="AV222" s="78">
        <v>1</v>
      </c>
      <c r="AW222" s="78" t="s">
        <v>71</v>
      </c>
      <c r="AX222" s="78">
        <v>0</v>
      </c>
      <c r="AY222" s="78">
        <v>0</v>
      </c>
      <c r="BT222" s="2" t="s">
        <v>71</v>
      </c>
      <c r="BU222" s="2">
        <v>0</v>
      </c>
      <c r="BV222" s="2">
        <v>0</v>
      </c>
    </row>
    <row r="223" spans="1:74" ht="15" customHeight="1" x14ac:dyDescent="0.25">
      <c r="A223" s="75">
        <v>5787143</v>
      </c>
      <c r="B223" t="s">
        <v>1289</v>
      </c>
      <c r="C223" t="s">
        <v>1290</v>
      </c>
      <c r="D223" t="s">
        <v>74</v>
      </c>
      <c r="E223" t="s">
        <v>87</v>
      </c>
      <c r="F223" s="75">
        <v>20</v>
      </c>
      <c r="G223" s="75">
        <v>280697</v>
      </c>
      <c r="H223">
        <v>376.42</v>
      </c>
      <c r="I223" t="s">
        <v>1291</v>
      </c>
      <c r="J223" s="75">
        <v>77293</v>
      </c>
      <c r="K223" t="s">
        <v>1292</v>
      </c>
      <c r="L223" t="s">
        <v>1293</v>
      </c>
      <c r="M223" s="81">
        <v>46043.701863425929</v>
      </c>
      <c r="N223" s="81">
        <v>46045.555914351848</v>
      </c>
      <c r="O223" t="s">
        <v>58</v>
      </c>
      <c r="P223" t="s">
        <v>59</v>
      </c>
      <c r="Q223" t="s">
        <v>90</v>
      </c>
      <c r="R223" t="s">
        <v>60</v>
      </c>
      <c r="S223" t="s">
        <v>1268</v>
      </c>
      <c r="U223" s="75">
        <v>176811</v>
      </c>
      <c r="V223" t="s">
        <v>1294</v>
      </c>
      <c r="W223" t="s">
        <v>1294</v>
      </c>
      <c r="X223" t="s">
        <v>79</v>
      </c>
      <c r="Y223" t="s">
        <v>224</v>
      </c>
      <c r="AA223" t="s">
        <v>81</v>
      </c>
      <c r="AB223">
        <v>44.433334000000002</v>
      </c>
      <c r="AC223">
        <v>41</v>
      </c>
      <c r="AD223">
        <v>3.4333339999999999</v>
      </c>
      <c r="AE223">
        <v>0.75000100000000003</v>
      </c>
      <c r="AF223">
        <v>0</v>
      </c>
      <c r="AG223">
        <v>2.6833330000000002</v>
      </c>
      <c r="AH223">
        <v>2.6833330000000002</v>
      </c>
      <c r="AI223">
        <v>2.3666659999999999</v>
      </c>
      <c r="AJ223">
        <v>0.31666699999999998</v>
      </c>
      <c r="AK223">
        <v>0</v>
      </c>
      <c r="AL223" s="76">
        <v>44834</v>
      </c>
      <c r="AM223" s="75">
        <v>1209</v>
      </c>
      <c r="AN223" t="s">
        <v>65</v>
      </c>
      <c r="AO223" t="s">
        <v>1295</v>
      </c>
      <c r="AP223" t="s">
        <v>67</v>
      </c>
      <c r="AQ223" t="s">
        <v>83</v>
      </c>
      <c r="AR223" t="s">
        <v>69</v>
      </c>
      <c r="AS223" s="79"/>
      <c r="AT223" s="82" t="s">
        <v>1038</v>
      </c>
      <c r="AU223" s="78">
        <v>2026</v>
      </c>
      <c r="AV223" s="78">
        <v>1</v>
      </c>
      <c r="AW223" s="78" t="s">
        <v>226</v>
      </c>
      <c r="AX223" s="78">
        <v>1</v>
      </c>
      <c r="AY223" s="78">
        <v>0</v>
      </c>
      <c r="BT223" s="3" t="s">
        <v>226</v>
      </c>
      <c r="BU223" s="3">
        <v>1</v>
      </c>
      <c r="BV223" s="3">
        <v>0</v>
      </c>
    </row>
    <row r="224" spans="1:74" ht="15" customHeight="1" x14ac:dyDescent="0.25">
      <c r="A224" s="75">
        <v>5788791</v>
      </c>
      <c r="B224" t="s">
        <v>1296</v>
      </c>
      <c r="C224" t="s">
        <v>1297</v>
      </c>
      <c r="D224" t="s">
        <v>956</v>
      </c>
      <c r="E224" t="s">
        <v>105</v>
      </c>
      <c r="F224" s="75">
        <v>931</v>
      </c>
      <c r="G224" s="75">
        <v>278731</v>
      </c>
      <c r="H224">
        <v>613.79999999999995</v>
      </c>
      <c r="I224" t="s">
        <v>266</v>
      </c>
      <c r="J224" s="75">
        <v>48887</v>
      </c>
      <c r="K224" t="s">
        <v>164</v>
      </c>
      <c r="L224" t="s">
        <v>165</v>
      </c>
      <c r="M224" s="81">
        <v>46044.641736111109</v>
      </c>
      <c r="N224" s="81">
        <v>46045.556712962964</v>
      </c>
      <c r="O224" t="s">
        <v>58</v>
      </c>
      <c r="P224" t="s">
        <v>59</v>
      </c>
      <c r="Q224" t="s">
        <v>130</v>
      </c>
      <c r="R224" t="s">
        <v>60</v>
      </c>
      <c r="S224" t="s">
        <v>583</v>
      </c>
      <c r="U224" s="75">
        <v>177685</v>
      </c>
      <c r="V224" t="s">
        <v>1298</v>
      </c>
      <c r="W224" t="s">
        <v>1299</v>
      </c>
      <c r="X224" t="s">
        <v>62</v>
      </c>
      <c r="Y224" t="s">
        <v>63</v>
      </c>
      <c r="AA224" t="s">
        <v>81</v>
      </c>
      <c r="AB224">
        <v>21.85</v>
      </c>
      <c r="AC224">
        <v>19.550001000000002</v>
      </c>
      <c r="AD224">
        <v>2.2999990000000001</v>
      </c>
      <c r="AE224">
        <v>0.11666600000000001</v>
      </c>
      <c r="AF224">
        <v>0</v>
      </c>
      <c r="AG224">
        <v>2.1833330000000002</v>
      </c>
      <c r="AH224">
        <v>2.1833330000000002</v>
      </c>
      <c r="AI224">
        <v>1.8333330000000001</v>
      </c>
      <c r="AJ224">
        <v>0.35</v>
      </c>
      <c r="AK224">
        <v>0</v>
      </c>
      <c r="AL224" s="76">
        <v>44441</v>
      </c>
      <c r="AM224" s="75">
        <v>1603</v>
      </c>
      <c r="AN224" t="s">
        <v>65</v>
      </c>
      <c r="AO224" t="s">
        <v>1300</v>
      </c>
      <c r="AP224" t="s">
        <v>67</v>
      </c>
      <c r="AQ224" t="s">
        <v>68</v>
      </c>
      <c r="AR224" t="s">
        <v>69</v>
      </c>
      <c r="AS224" s="78"/>
      <c r="AT224" s="82" t="s">
        <v>1038</v>
      </c>
      <c r="AU224" s="78">
        <v>2026</v>
      </c>
      <c r="AV224" s="78">
        <v>1</v>
      </c>
      <c r="AW224" s="78" t="s">
        <v>71</v>
      </c>
      <c r="AX224" s="78">
        <v>1</v>
      </c>
      <c r="AY224" s="78">
        <v>0</v>
      </c>
      <c r="BT224" s="2" t="s">
        <v>71</v>
      </c>
      <c r="BU224" s="2">
        <v>1</v>
      </c>
      <c r="BV224" s="2">
        <v>0</v>
      </c>
    </row>
    <row r="225" spans="1:74" ht="15" customHeight="1" x14ac:dyDescent="0.25">
      <c r="A225" s="75">
        <v>5789461</v>
      </c>
      <c r="B225" t="s">
        <v>1301</v>
      </c>
      <c r="C225" t="s">
        <v>1302</v>
      </c>
      <c r="D225" t="s">
        <v>527</v>
      </c>
      <c r="E225" t="s">
        <v>87</v>
      </c>
      <c r="F225" s="75">
        <v>140</v>
      </c>
      <c r="G225" s="75">
        <v>285621</v>
      </c>
      <c r="H225">
        <v>500</v>
      </c>
      <c r="I225" t="s">
        <v>55</v>
      </c>
      <c r="J225" s="75">
        <v>218791</v>
      </c>
      <c r="K225" t="s">
        <v>312</v>
      </c>
      <c r="L225" t="s">
        <v>313</v>
      </c>
      <c r="M225" s="81">
        <v>46045.056122685193</v>
      </c>
      <c r="N225" s="81">
        <v>46045.559247685182</v>
      </c>
      <c r="O225" t="s">
        <v>58</v>
      </c>
      <c r="P225" t="s">
        <v>59</v>
      </c>
      <c r="Q225" t="s">
        <v>90</v>
      </c>
      <c r="R225" t="s">
        <v>99</v>
      </c>
      <c r="S225" t="s">
        <v>1244</v>
      </c>
      <c r="U225" s="75">
        <v>177679</v>
      </c>
      <c r="V225" t="s">
        <v>1303</v>
      </c>
      <c r="W225" t="s">
        <v>1303</v>
      </c>
      <c r="X225" t="s">
        <v>62</v>
      </c>
      <c r="Y225" t="s">
        <v>63</v>
      </c>
      <c r="AA225" t="s">
        <v>81</v>
      </c>
      <c r="AB225">
        <v>11.966666999999999</v>
      </c>
      <c r="AC225">
        <v>8</v>
      </c>
      <c r="AD225">
        <v>3.9666670000000002</v>
      </c>
      <c r="AE225">
        <v>1.6833340000000001</v>
      </c>
      <c r="AF225">
        <v>0</v>
      </c>
      <c r="AG225">
        <v>2.2833329999999998</v>
      </c>
      <c r="AH225">
        <v>2.2833329999999998</v>
      </c>
      <c r="AI225">
        <v>1.45</v>
      </c>
      <c r="AJ225">
        <v>0.83333299999999999</v>
      </c>
      <c r="AK225">
        <v>0</v>
      </c>
      <c r="AL225" s="76">
        <v>44950.562013888892</v>
      </c>
      <c r="AM225" s="75">
        <v>1094</v>
      </c>
      <c r="AN225" t="s">
        <v>65</v>
      </c>
      <c r="AO225" t="s">
        <v>1304</v>
      </c>
      <c r="AP225" t="s">
        <v>67</v>
      </c>
      <c r="AQ225" t="s">
        <v>68</v>
      </c>
      <c r="AR225" t="s">
        <v>69</v>
      </c>
      <c r="AS225" s="79"/>
      <c r="AT225" s="82" t="s">
        <v>1038</v>
      </c>
      <c r="AU225" s="78">
        <v>2026</v>
      </c>
      <c r="AV225" s="78">
        <v>1</v>
      </c>
      <c r="AW225" s="78" t="s">
        <v>71</v>
      </c>
      <c r="AX225" s="78">
        <v>1</v>
      </c>
      <c r="AY225" s="78">
        <v>0</v>
      </c>
      <c r="BT225" s="3" t="s">
        <v>71</v>
      </c>
      <c r="BU225" s="3">
        <v>1</v>
      </c>
      <c r="BV225" s="3">
        <v>0</v>
      </c>
    </row>
    <row r="226" spans="1:74" ht="15" customHeight="1" x14ac:dyDescent="0.25">
      <c r="A226" s="75">
        <v>5787809</v>
      </c>
      <c r="B226" t="s">
        <v>1305</v>
      </c>
      <c r="C226" t="s">
        <v>1306</v>
      </c>
      <c r="D226" t="s">
        <v>74</v>
      </c>
      <c r="E226" t="s">
        <v>87</v>
      </c>
      <c r="F226" s="75">
        <v>97</v>
      </c>
      <c r="G226" s="75">
        <v>275497</v>
      </c>
      <c r="H226">
        <v>368.16</v>
      </c>
      <c r="I226" t="s">
        <v>55</v>
      </c>
      <c r="J226" s="75">
        <v>218791</v>
      </c>
      <c r="K226" t="s">
        <v>312</v>
      </c>
      <c r="L226" t="s">
        <v>313</v>
      </c>
      <c r="M226" s="81">
        <v>46044.382476851853</v>
      </c>
      <c r="N226" s="81">
        <v>46045.561099537037</v>
      </c>
      <c r="O226" t="s">
        <v>58</v>
      </c>
      <c r="P226" t="s">
        <v>59</v>
      </c>
      <c r="Q226" t="s">
        <v>90</v>
      </c>
      <c r="R226" t="s">
        <v>60</v>
      </c>
      <c r="S226" t="s">
        <v>583</v>
      </c>
      <c r="U226" s="75">
        <v>177283</v>
      </c>
      <c r="V226" t="s">
        <v>1307</v>
      </c>
      <c r="W226" t="s">
        <v>1307</v>
      </c>
      <c r="X226" t="s">
        <v>62</v>
      </c>
      <c r="Y226" t="s">
        <v>63</v>
      </c>
      <c r="AA226" t="s">
        <v>64</v>
      </c>
      <c r="AB226">
        <v>28.25</v>
      </c>
      <c r="AC226">
        <v>22.5</v>
      </c>
      <c r="AD226">
        <v>5.75</v>
      </c>
      <c r="AE226">
        <v>0.25</v>
      </c>
      <c r="AF226">
        <v>0</v>
      </c>
      <c r="AG226">
        <v>5.5</v>
      </c>
      <c r="AH226">
        <v>5.5</v>
      </c>
      <c r="AI226">
        <v>4.766667</v>
      </c>
      <c r="AJ226">
        <v>0.73333300000000001</v>
      </c>
      <c r="AK226">
        <v>0</v>
      </c>
      <c r="AL226" s="76">
        <v>44874.67328703704</v>
      </c>
      <c r="AM226" s="75">
        <v>1169</v>
      </c>
      <c r="AN226" t="s">
        <v>65</v>
      </c>
      <c r="AO226" t="s">
        <v>1308</v>
      </c>
      <c r="AP226" t="s">
        <v>67</v>
      </c>
      <c r="AQ226" t="s">
        <v>68</v>
      </c>
      <c r="AR226" t="s">
        <v>69</v>
      </c>
      <c r="AS226" s="78"/>
      <c r="AT226" s="82" t="s">
        <v>1038</v>
      </c>
      <c r="AU226" s="78">
        <v>2026</v>
      </c>
      <c r="AV226" s="78">
        <v>1</v>
      </c>
      <c r="AW226" s="78" t="s">
        <v>71</v>
      </c>
      <c r="AX226" s="78">
        <v>1</v>
      </c>
      <c r="AY226" s="78">
        <v>0</v>
      </c>
      <c r="BT226" s="2" t="s">
        <v>71</v>
      </c>
      <c r="BU226" s="2">
        <v>1</v>
      </c>
      <c r="BV226" s="2">
        <v>0</v>
      </c>
    </row>
    <row r="227" spans="1:74" ht="15" customHeight="1" x14ac:dyDescent="0.25">
      <c r="A227" s="75">
        <v>5789099</v>
      </c>
      <c r="B227" t="s">
        <v>1309</v>
      </c>
      <c r="C227" t="s">
        <v>1310</v>
      </c>
      <c r="D227" t="s">
        <v>74</v>
      </c>
      <c r="E227" t="s">
        <v>105</v>
      </c>
      <c r="F227" s="75">
        <v>631</v>
      </c>
      <c r="G227" s="75">
        <v>342917</v>
      </c>
      <c r="H227">
        <v>225</v>
      </c>
      <c r="I227" t="s">
        <v>163</v>
      </c>
      <c r="J227" s="75">
        <v>48887</v>
      </c>
      <c r="K227" t="s">
        <v>164</v>
      </c>
      <c r="L227" t="s">
        <v>165</v>
      </c>
      <c r="M227" s="81">
        <v>46044.752743055556</v>
      </c>
      <c r="N227" s="81">
        <v>46045.565509259257</v>
      </c>
      <c r="O227" t="s">
        <v>58</v>
      </c>
      <c r="P227" t="s">
        <v>59</v>
      </c>
      <c r="Q227" t="s">
        <v>77</v>
      </c>
      <c r="R227" t="s">
        <v>156</v>
      </c>
      <c r="S227" t="s">
        <v>1311</v>
      </c>
      <c r="U227" s="75">
        <v>177691</v>
      </c>
      <c r="V227" t="s">
        <v>1312</v>
      </c>
      <c r="W227" t="s">
        <v>1312</v>
      </c>
      <c r="X227" t="s">
        <v>62</v>
      </c>
      <c r="Y227" t="s">
        <v>1313</v>
      </c>
      <c r="AA227" t="s">
        <v>81</v>
      </c>
      <c r="AB227">
        <v>19.416668000000001</v>
      </c>
      <c r="AC227">
        <v>11.466668</v>
      </c>
      <c r="AD227">
        <v>7.95</v>
      </c>
      <c r="AE227">
        <v>4.05</v>
      </c>
      <c r="AF227">
        <v>0</v>
      </c>
      <c r="AG227">
        <v>3.9</v>
      </c>
      <c r="AH227">
        <v>3.9</v>
      </c>
      <c r="AI227">
        <v>3.8</v>
      </c>
      <c r="AJ227">
        <v>0.1</v>
      </c>
      <c r="AK227">
        <v>0</v>
      </c>
      <c r="AL227" s="76">
        <v>45866</v>
      </c>
      <c r="AM227" s="75">
        <v>178</v>
      </c>
      <c r="AN227" t="s">
        <v>65</v>
      </c>
      <c r="AO227" t="s">
        <v>1314</v>
      </c>
      <c r="AP227" t="s">
        <v>67</v>
      </c>
      <c r="AQ227" t="s">
        <v>68</v>
      </c>
      <c r="AR227" t="s">
        <v>69</v>
      </c>
      <c r="AS227" s="79"/>
      <c r="AT227" s="82" t="s">
        <v>1038</v>
      </c>
      <c r="AU227" s="78">
        <v>2026</v>
      </c>
      <c r="AV227" s="78">
        <v>1</v>
      </c>
      <c r="AW227" s="78" t="s">
        <v>137</v>
      </c>
      <c r="AX227" s="78">
        <v>1</v>
      </c>
      <c r="AY227" s="78">
        <v>0</v>
      </c>
      <c r="BT227" s="3" t="s">
        <v>137</v>
      </c>
      <c r="BU227" s="3">
        <v>1</v>
      </c>
      <c r="BV227" s="3">
        <v>0</v>
      </c>
    </row>
    <row r="228" spans="1:74" ht="15" customHeight="1" x14ac:dyDescent="0.25">
      <c r="A228" s="75">
        <v>5789253</v>
      </c>
      <c r="B228" t="s">
        <v>1315</v>
      </c>
      <c r="C228" t="s">
        <v>210</v>
      </c>
      <c r="D228" t="s">
        <v>150</v>
      </c>
      <c r="E228" t="s">
        <v>87</v>
      </c>
      <c r="F228" s="75">
        <v>422</v>
      </c>
      <c r="G228" s="75">
        <v>289265</v>
      </c>
      <c r="H228">
        <v>740.61</v>
      </c>
      <c r="I228" t="s">
        <v>55</v>
      </c>
      <c r="J228" s="75">
        <v>216233</v>
      </c>
      <c r="K228" t="s">
        <v>88</v>
      </c>
      <c r="L228" t="s">
        <v>89</v>
      </c>
      <c r="M228" s="81">
        <v>46044.95244212963</v>
      </c>
      <c r="N228" s="81">
        <v>46045.567731481482</v>
      </c>
      <c r="O228" t="s">
        <v>58</v>
      </c>
      <c r="P228" t="s">
        <v>59</v>
      </c>
      <c r="Q228" t="s">
        <v>90</v>
      </c>
      <c r="R228" t="s">
        <v>131</v>
      </c>
      <c r="S228" t="s">
        <v>1316</v>
      </c>
      <c r="U228" s="75">
        <v>177673</v>
      </c>
      <c r="V228" t="s">
        <v>1317</v>
      </c>
      <c r="W228" t="s">
        <v>1317</v>
      </c>
      <c r="X228" t="s">
        <v>62</v>
      </c>
      <c r="Y228" t="s">
        <v>63</v>
      </c>
      <c r="AA228" t="s">
        <v>81</v>
      </c>
      <c r="AB228">
        <v>14.716666999999999</v>
      </c>
      <c r="AC228">
        <v>10.9</v>
      </c>
      <c r="AD228">
        <v>3.8166669999999998</v>
      </c>
      <c r="AE228">
        <v>2.033334</v>
      </c>
      <c r="AF228">
        <v>0</v>
      </c>
      <c r="AG228">
        <v>1.7833330000000001</v>
      </c>
      <c r="AH228">
        <v>1.7833330000000001</v>
      </c>
      <c r="AI228">
        <v>1.5833330000000001</v>
      </c>
      <c r="AJ228">
        <v>0.2</v>
      </c>
      <c r="AK228">
        <v>0</v>
      </c>
      <c r="AL228" s="76">
        <v>45021</v>
      </c>
      <c r="AM228" s="75">
        <v>1023</v>
      </c>
      <c r="AN228" t="s">
        <v>65</v>
      </c>
      <c r="AO228" t="s">
        <v>212</v>
      </c>
      <c r="AP228" t="s">
        <v>67</v>
      </c>
      <c r="AQ228" t="s">
        <v>68</v>
      </c>
      <c r="AR228" t="s">
        <v>69</v>
      </c>
      <c r="AS228" s="78"/>
      <c r="AT228" s="82" t="s">
        <v>1038</v>
      </c>
      <c r="AU228" s="78">
        <v>2026</v>
      </c>
      <c r="AV228" s="78">
        <v>1</v>
      </c>
      <c r="AW228" s="78" t="s">
        <v>71</v>
      </c>
      <c r="AX228" s="78">
        <v>1</v>
      </c>
      <c r="AY228" s="78">
        <v>0</v>
      </c>
      <c r="BT228" s="2" t="s">
        <v>71</v>
      </c>
      <c r="BU228" s="2">
        <v>1</v>
      </c>
      <c r="BV228" s="2">
        <v>0</v>
      </c>
    </row>
    <row r="229" spans="1:74" ht="15" customHeight="1" x14ac:dyDescent="0.25">
      <c r="A229" s="75">
        <v>5790051</v>
      </c>
      <c r="B229" t="s">
        <v>1318</v>
      </c>
      <c r="C229" t="s">
        <v>1319</v>
      </c>
      <c r="D229" t="s">
        <v>265</v>
      </c>
      <c r="E229" t="s">
        <v>87</v>
      </c>
      <c r="F229" s="75">
        <v>374</v>
      </c>
      <c r="G229" s="75">
        <v>286791</v>
      </c>
      <c r="H229">
        <v>350</v>
      </c>
      <c r="I229" t="s">
        <v>55</v>
      </c>
      <c r="J229" s="75">
        <v>218787</v>
      </c>
      <c r="K229" t="s">
        <v>96</v>
      </c>
      <c r="L229" t="s">
        <v>97</v>
      </c>
      <c r="M229" s="81">
        <v>46045.456770833327</v>
      </c>
      <c r="N229" s="81">
        <v>46045.627442129633</v>
      </c>
      <c r="O229" t="s">
        <v>58</v>
      </c>
      <c r="P229" t="s">
        <v>59</v>
      </c>
      <c r="Q229" t="s">
        <v>130</v>
      </c>
      <c r="R229" t="s">
        <v>156</v>
      </c>
      <c r="S229" t="s">
        <v>1320</v>
      </c>
      <c r="U229" s="75">
        <v>178023</v>
      </c>
      <c r="V229" t="s">
        <v>1321</v>
      </c>
      <c r="W229" t="s">
        <v>1321</v>
      </c>
      <c r="X229" t="s">
        <v>62</v>
      </c>
      <c r="Y229" t="s">
        <v>63</v>
      </c>
      <c r="AA229" t="s">
        <v>81</v>
      </c>
      <c r="AB229">
        <v>4.05</v>
      </c>
      <c r="AC229">
        <v>0.31666699999999998</v>
      </c>
      <c r="AD229">
        <v>3.733333</v>
      </c>
      <c r="AE229">
        <v>8.3333000000000004E-2</v>
      </c>
      <c r="AF229">
        <v>0</v>
      </c>
      <c r="AG229">
        <v>3.65</v>
      </c>
      <c r="AH229">
        <v>3.65</v>
      </c>
      <c r="AI229">
        <v>3.65</v>
      </c>
      <c r="AJ229">
        <v>0</v>
      </c>
      <c r="AK229">
        <v>0</v>
      </c>
      <c r="AL229" s="76">
        <v>44910.954733796287</v>
      </c>
      <c r="AM229" s="75">
        <v>1134</v>
      </c>
      <c r="AN229" t="s">
        <v>65</v>
      </c>
      <c r="AO229" t="s">
        <v>1322</v>
      </c>
      <c r="AP229" t="s">
        <v>67</v>
      </c>
      <c r="AQ229" t="s">
        <v>68</v>
      </c>
      <c r="AR229" t="s">
        <v>69</v>
      </c>
      <c r="AS229" s="79"/>
      <c r="AT229" s="82" t="s">
        <v>1038</v>
      </c>
      <c r="AU229" s="78">
        <v>2026</v>
      </c>
      <c r="AV229" s="78">
        <v>1</v>
      </c>
      <c r="AW229" s="78" t="s">
        <v>71</v>
      </c>
      <c r="AX229" s="78">
        <v>1</v>
      </c>
      <c r="AY229" s="78">
        <v>0</v>
      </c>
      <c r="BT229" s="3" t="s">
        <v>71</v>
      </c>
      <c r="BU229" s="3">
        <v>1</v>
      </c>
      <c r="BV229" s="3">
        <v>0</v>
      </c>
    </row>
    <row r="230" spans="1:74" ht="15" customHeight="1" x14ac:dyDescent="0.25">
      <c r="A230" s="75">
        <v>5788061</v>
      </c>
      <c r="B230" t="s">
        <v>1323</v>
      </c>
      <c r="C230" t="s">
        <v>1324</v>
      </c>
      <c r="D230" t="s">
        <v>53</v>
      </c>
      <c r="E230" t="s">
        <v>87</v>
      </c>
      <c r="F230" s="75">
        <v>680</v>
      </c>
      <c r="G230" s="75">
        <v>286933</v>
      </c>
      <c r="H230">
        <v>1276.26</v>
      </c>
      <c r="I230" t="s">
        <v>114</v>
      </c>
      <c r="J230" s="75">
        <v>19917</v>
      </c>
      <c r="K230" t="s">
        <v>1325</v>
      </c>
      <c r="L230" t="s">
        <v>1326</v>
      </c>
      <c r="M230" s="81">
        <v>46044.428032407413</v>
      </c>
      <c r="N230" s="81">
        <v>46045.792557870373</v>
      </c>
      <c r="O230" t="s">
        <v>269</v>
      </c>
      <c r="P230" t="s">
        <v>59</v>
      </c>
      <c r="Q230" t="s">
        <v>130</v>
      </c>
      <c r="R230" t="s">
        <v>60</v>
      </c>
      <c r="S230" t="s">
        <v>1268</v>
      </c>
      <c r="U230" s="75">
        <v>177343</v>
      </c>
      <c r="V230" t="s">
        <v>1327</v>
      </c>
      <c r="X230" t="s">
        <v>79</v>
      </c>
      <c r="Y230" t="s">
        <v>224</v>
      </c>
      <c r="AA230" t="s">
        <v>416</v>
      </c>
      <c r="AB230">
        <v>32.65</v>
      </c>
      <c r="AC230">
        <v>19.600000000000001</v>
      </c>
      <c r="AD230">
        <v>13.05</v>
      </c>
      <c r="AE230">
        <v>0.61666699999999997</v>
      </c>
      <c r="AF230">
        <v>0</v>
      </c>
      <c r="AG230">
        <v>12.433332999999999</v>
      </c>
      <c r="AH230">
        <v>12.433332999999999</v>
      </c>
      <c r="AI230">
        <v>12.35</v>
      </c>
      <c r="AJ230">
        <v>8.3333000000000004E-2</v>
      </c>
      <c r="AK230">
        <v>0</v>
      </c>
      <c r="AL230" s="76">
        <v>44908.747430555559</v>
      </c>
      <c r="AM230" s="75">
        <v>1135</v>
      </c>
      <c r="AN230" t="s">
        <v>65</v>
      </c>
      <c r="AO230" t="s">
        <v>1328</v>
      </c>
      <c r="AP230" t="s">
        <v>67</v>
      </c>
      <c r="AQ230" t="s">
        <v>83</v>
      </c>
      <c r="AR230" t="s">
        <v>69</v>
      </c>
      <c r="AS230" s="78"/>
      <c r="AT230" s="82" t="s">
        <v>1038</v>
      </c>
      <c r="AU230" s="78">
        <v>2026</v>
      </c>
      <c r="AV230" s="78">
        <v>1</v>
      </c>
      <c r="AW230" s="78" t="s">
        <v>226</v>
      </c>
      <c r="AX230" s="78">
        <v>0</v>
      </c>
      <c r="AY230" s="78">
        <v>0</v>
      </c>
      <c r="BT230" s="2" t="s">
        <v>226</v>
      </c>
      <c r="BU230" s="2">
        <v>0</v>
      </c>
      <c r="BV230" s="2">
        <v>0</v>
      </c>
    </row>
    <row r="231" spans="1:74" ht="15" customHeight="1" x14ac:dyDescent="0.25">
      <c r="A231" s="75">
        <v>5785485</v>
      </c>
      <c r="B231" t="s">
        <v>1329</v>
      </c>
      <c r="C231" t="s">
        <v>1330</v>
      </c>
      <c r="D231" t="s">
        <v>1052</v>
      </c>
      <c r="E231" t="s">
        <v>105</v>
      </c>
      <c r="F231" s="75">
        <v>1123</v>
      </c>
      <c r="G231" s="75">
        <v>333493</v>
      </c>
      <c r="H231">
        <v>456.52</v>
      </c>
      <c r="I231" t="s">
        <v>175</v>
      </c>
      <c r="J231" s="75">
        <v>83605</v>
      </c>
      <c r="K231" t="s">
        <v>844</v>
      </c>
      <c r="L231" t="s">
        <v>845</v>
      </c>
      <c r="M231" s="81">
        <v>46042.771319444437</v>
      </c>
      <c r="N231" s="81">
        <v>46045.935057870367</v>
      </c>
      <c r="O231" t="s">
        <v>58</v>
      </c>
      <c r="P231" t="s">
        <v>59</v>
      </c>
      <c r="Q231" t="s">
        <v>90</v>
      </c>
      <c r="R231" t="s">
        <v>131</v>
      </c>
      <c r="S231" t="s">
        <v>1273</v>
      </c>
      <c r="U231" s="75">
        <v>178341</v>
      </c>
      <c r="V231" t="s">
        <v>1331</v>
      </c>
      <c r="W231" t="s">
        <v>1332</v>
      </c>
      <c r="X231" t="s">
        <v>62</v>
      </c>
      <c r="Y231" t="s">
        <v>63</v>
      </c>
      <c r="Z231" t="s">
        <v>1260</v>
      </c>
      <c r="AA231" t="s">
        <v>295</v>
      </c>
      <c r="AB231">
        <v>75.783333999999996</v>
      </c>
      <c r="AC231">
        <v>42.166666999999997</v>
      </c>
      <c r="AD231">
        <v>33.616667</v>
      </c>
      <c r="AE231">
        <v>3.8166669999999998</v>
      </c>
      <c r="AF231">
        <v>3.7</v>
      </c>
      <c r="AG231">
        <v>29.8</v>
      </c>
      <c r="AH231">
        <v>33.5</v>
      </c>
      <c r="AI231">
        <v>29.416667</v>
      </c>
      <c r="AJ231">
        <v>0.38333299999999998</v>
      </c>
      <c r="AK231">
        <v>0</v>
      </c>
      <c r="AL231" s="76">
        <v>45808.717766203707</v>
      </c>
      <c r="AM231" s="75">
        <v>234</v>
      </c>
      <c r="AN231" t="s">
        <v>65</v>
      </c>
      <c r="AO231" t="s">
        <v>1333</v>
      </c>
      <c r="AP231" t="s">
        <v>67</v>
      </c>
      <c r="AQ231" t="s">
        <v>68</v>
      </c>
      <c r="AR231" t="s">
        <v>69</v>
      </c>
      <c r="AS231" s="79"/>
      <c r="AT231" s="82" t="s">
        <v>1038</v>
      </c>
      <c r="AU231" s="78">
        <v>2026</v>
      </c>
      <c r="AV231" s="78">
        <v>1</v>
      </c>
      <c r="AW231" s="78" t="s">
        <v>71</v>
      </c>
      <c r="AX231" s="78">
        <v>0</v>
      </c>
      <c r="AY231" s="78">
        <v>1</v>
      </c>
      <c r="BT231" s="3" t="s">
        <v>71</v>
      </c>
      <c r="BU231" s="3">
        <v>0</v>
      </c>
      <c r="BV231" s="3">
        <v>1</v>
      </c>
    </row>
    <row r="232" spans="1:74" ht="15" customHeight="1" x14ac:dyDescent="0.25">
      <c r="A232" s="75">
        <v>5788843</v>
      </c>
      <c r="B232" t="s">
        <v>1334</v>
      </c>
      <c r="C232" t="s">
        <v>1335</v>
      </c>
      <c r="D232" t="s">
        <v>74</v>
      </c>
      <c r="E232" t="s">
        <v>87</v>
      </c>
      <c r="F232" s="75">
        <v>8</v>
      </c>
      <c r="G232" s="75">
        <v>248497</v>
      </c>
      <c r="H232">
        <v>225.86</v>
      </c>
      <c r="I232" t="s">
        <v>55</v>
      </c>
      <c r="J232" s="75">
        <v>77293</v>
      </c>
      <c r="K232" t="s">
        <v>1292</v>
      </c>
      <c r="L232" t="s">
        <v>1293</v>
      </c>
      <c r="M232" s="81">
        <v>46044.653495370367</v>
      </c>
      <c r="N232" s="81">
        <v>46046.370347222219</v>
      </c>
      <c r="O232" t="s">
        <v>58</v>
      </c>
      <c r="P232" t="s">
        <v>59</v>
      </c>
      <c r="Q232" t="s">
        <v>90</v>
      </c>
      <c r="R232" t="s">
        <v>60</v>
      </c>
      <c r="S232" t="s">
        <v>583</v>
      </c>
      <c r="U232" s="75">
        <v>177619</v>
      </c>
      <c r="V232" t="s">
        <v>1336</v>
      </c>
      <c r="X232" t="s">
        <v>79</v>
      </c>
      <c r="Y232" t="s">
        <v>110</v>
      </c>
      <c r="AA232" t="s">
        <v>81</v>
      </c>
      <c r="AB232">
        <v>41.116667</v>
      </c>
      <c r="AC232">
        <v>37.033332999999999</v>
      </c>
      <c r="AD232">
        <v>4.0833339999999998</v>
      </c>
      <c r="AE232">
        <v>0.71666700000000005</v>
      </c>
      <c r="AF232">
        <v>0</v>
      </c>
      <c r="AG232">
        <v>3.3666670000000001</v>
      </c>
      <c r="AH232">
        <v>3.3666670000000001</v>
      </c>
      <c r="AI232">
        <v>2.5</v>
      </c>
      <c r="AJ232">
        <v>0.86666699999999997</v>
      </c>
      <c r="AK232">
        <v>0</v>
      </c>
      <c r="AL232" s="76">
        <v>44802</v>
      </c>
      <c r="AM232" s="75">
        <v>1242</v>
      </c>
      <c r="AN232" t="s">
        <v>65</v>
      </c>
      <c r="AO232" t="s">
        <v>1337</v>
      </c>
      <c r="AP232" t="s">
        <v>67</v>
      </c>
      <c r="AQ232" t="s">
        <v>83</v>
      </c>
      <c r="AR232" t="s">
        <v>69</v>
      </c>
      <c r="AS232" s="78"/>
      <c r="AT232" s="82" t="s">
        <v>1038</v>
      </c>
      <c r="AU232" s="78">
        <v>2026</v>
      </c>
      <c r="AV232" s="78">
        <v>1</v>
      </c>
      <c r="AW232" s="78" t="s">
        <v>84</v>
      </c>
      <c r="AX232" s="78">
        <v>1</v>
      </c>
      <c r="AY232" s="78">
        <v>0</v>
      </c>
      <c r="BT232" s="2" t="s">
        <v>84</v>
      </c>
      <c r="BU232" s="2">
        <v>1</v>
      </c>
      <c r="BV232" s="2">
        <v>0</v>
      </c>
    </row>
    <row r="233" spans="1:74" ht="15" customHeight="1" x14ac:dyDescent="0.25">
      <c r="A233" s="75">
        <v>5789475</v>
      </c>
      <c r="B233" t="s">
        <v>1338</v>
      </c>
      <c r="C233" t="s">
        <v>149</v>
      </c>
      <c r="D233" t="s">
        <v>74</v>
      </c>
      <c r="E233" t="s">
        <v>87</v>
      </c>
      <c r="F233" s="75">
        <v>489</v>
      </c>
      <c r="G233" s="75">
        <v>290865</v>
      </c>
      <c r="H233">
        <v>350</v>
      </c>
      <c r="I233" t="s">
        <v>55</v>
      </c>
      <c r="J233" s="75">
        <v>216233</v>
      </c>
      <c r="K233" t="s">
        <v>88</v>
      </c>
      <c r="L233" t="s">
        <v>89</v>
      </c>
      <c r="M233" s="81">
        <v>46045.070057870369</v>
      </c>
      <c r="N233" s="81">
        <v>46046.403194444443</v>
      </c>
      <c r="O233" t="s">
        <v>58</v>
      </c>
      <c r="P233" t="s">
        <v>59</v>
      </c>
      <c r="Q233" t="s">
        <v>90</v>
      </c>
      <c r="R233" t="s">
        <v>60</v>
      </c>
      <c r="S233" t="s">
        <v>583</v>
      </c>
      <c r="U233" s="75">
        <v>177677</v>
      </c>
      <c r="V233" t="s">
        <v>1339</v>
      </c>
      <c r="W233" t="s">
        <v>1339</v>
      </c>
      <c r="X233" t="s">
        <v>62</v>
      </c>
      <c r="Y233" t="s">
        <v>63</v>
      </c>
      <c r="AA233" t="s">
        <v>81</v>
      </c>
      <c r="AB233">
        <v>31.9</v>
      </c>
      <c r="AC233">
        <v>28.316666000000001</v>
      </c>
      <c r="AD233">
        <v>3.5833339999999998</v>
      </c>
      <c r="AE233">
        <v>1.3833340000000001</v>
      </c>
      <c r="AF233">
        <v>0</v>
      </c>
      <c r="AG233">
        <v>2.2000000000000002</v>
      </c>
      <c r="AH233">
        <v>2.2000000000000002</v>
      </c>
      <c r="AI233">
        <v>2.0499999999999998</v>
      </c>
      <c r="AJ233">
        <v>0.15</v>
      </c>
      <c r="AK233">
        <v>0</v>
      </c>
      <c r="AL233" s="76">
        <v>45098.685717592591</v>
      </c>
      <c r="AM233" s="75">
        <v>946</v>
      </c>
      <c r="AN233" t="s">
        <v>65</v>
      </c>
      <c r="AO233" t="s">
        <v>1340</v>
      </c>
      <c r="AP233" t="s">
        <v>67</v>
      </c>
      <c r="AQ233" t="s">
        <v>68</v>
      </c>
      <c r="AR233" t="s">
        <v>69</v>
      </c>
      <c r="AS233" s="79"/>
      <c r="AT233" s="82" t="s">
        <v>1038</v>
      </c>
      <c r="AU233" s="78">
        <v>2026</v>
      </c>
      <c r="AV233" s="78">
        <v>1</v>
      </c>
      <c r="AW233" s="78" t="s">
        <v>71</v>
      </c>
      <c r="AX233" s="78">
        <v>1</v>
      </c>
      <c r="AY233" s="78">
        <v>0</v>
      </c>
      <c r="BT233" s="3" t="s">
        <v>71</v>
      </c>
      <c r="BU233" s="3">
        <v>1</v>
      </c>
      <c r="BV233" s="3">
        <v>0</v>
      </c>
    </row>
    <row r="234" spans="1:74" ht="15" customHeight="1" x14ac:dyDescent="0.25">
      <c r="A234" s="75">
        <v>5792277</v>
      </c>
      <c r="B234" t="s">
        <v>1341</v>
      </c>
      <c r="C234" t="s">
        <v>1342</v>
      </c>
      <c r="D234" t="s">
        <v>74</v>
      </c>
      <c r="E234" t="s">
        <v>54</v>
      </c>
      <c r="F234" s="75">
        <v>1</v>
      </c>
      <c r="G234" s="75">
        <v>292855</v>
      </c>
      <c r="H234">
        <v>1047.25</v>
      </c>
      <c r="I234" t="s">
        <v>114</v>
      </c>
      <c r="J234" s="75">
        <v>217945</v>
      </c>
      <c r="K234" t="s">
        <v>1343</v>
      </c>
      <c r="L234" t="s">
        <v>1344</v>
      </c>
      <c r="M234" s="81">
        <v>46045.591666666667</v>
      </c>
      <c r="N234" s="81">
        <v>46046.448506944442</v>
      </c>
      <c r="O234" t="s">
        <v>58</v>
      </c>
      <c r="P234" t="s">
        <v>59</v>
      </c>
      <c r="Q234" t="s">
        <v>130</v>
      </c>
      <c r="R234" t="s">
        <v>156</v>
      </c>
      <c r="S234" t="s">
        <v>1311</v>
      </c>
      <c r="U234" s="75">
        <v>178259</v>
      </c>
      <c r="V234" t="s">
        <v>1345</v>
      </c>
      <c r="W234" t="s">
        <v>1345</v>
      </c>
      <c r="X234" t="s">
        <v>118</v>
      </c>
      <c r="Y234" t="s">
        <v>1346</v>
      </c>
      <c r="AA234" t="s">
        <v>81</v>
      </c>
      <c r="AB234">
        <v>20.516666000000001</v>
      </c>
      <c r="AC234">
        <v>17.033332999999999</v>
      </c>
      <c r="AD234">
        <v>3.483333</v>
      </c>
      <c r="AE234">
        <v>0.25</v>
      </c>
      <c r="AF234">
        <v>0</v>
      </c>
      <c r="AG234">
        <v>3.233333</v>
      </c>
      <c r="AH234">
        <v>3.233333</v>
      </c>
      <c r="AI234">
        <v>3.0666660000000001</v>
      </c>
      <c r="AJ234">
        <v>0.16666700000000001</v>
      </c>
      <c r="AK234">
        <v>0</v>
      </c>
      <c r="AL234" s="76">
        <v>45201.729178240741</v>
      </c>
      <c r="AM234" s="75">
        <v>843</v>
      </c>
      <c r="AN234" t="s">
        <v>65</v>
      </c>
      <c r="AO234" t="s">
        <v>1347</v>
      </c>
      <c r="AP234" t="s">
        <v>67</v>
      </c>
      <c r="AQ234" t="s">
        <v>121</v>
      </c>
      <c r="AR234" t="s">
        <v>69</v>
      </c>
      <c r="AS234" s="78"/>
      <c r="AT234" s="82" t="s">
        <v>1038</v>
      </c>
      <c r="AU234" s="78">
        <v>2026</v>
      </c>
      <c r="AV234" s="78">
        <v>1</v>
      </c>
      <c r="AW234" s="78" t="s">
        <v>347</v>
      </c>
      <c r="AX234" s="78">
        <v>1</v>
      </c>
      <c r="AY234" s="78">
        <v>0</v>
      </c>
      <c r="BT234" s="2" t="s">
        <v>347</v>
      </c>
      <c r="BU234" s="2">
        <v>1</v>
      </c>
      <c r="BV234" s="2">
        <v>0</v>
      </c>
    </row>
    <row r="235" spans="1:74" ht="15" customHeight="1" x14ac:dyDescent="0.25">
      <c r="A235" s="75">
        <v>5791405</v>
      </c>
      <c r="B235" t="s">
        <v>1348</v>
      </c>
      <c r="C235" t="s">
        <v>1349</v>
      </c>
      <c r="D235" t="s">
        <v>74</v>
      </c>
      <c r="E235" t="s">
        <v>87</v>
      </c>
      <c r="F235" s="75">
        <v>184</v>
      </c>
      <c r="G235" s="75">
        <v>285891</v>
      </c>
      <c r="H235">
        <v>398.82</v>
      </c>
      <c r="I235" t="s">
        <v>55</v>
      </c>
      <c r="J235" s="75">
        <v>216233</v>
      </c>
      <c r="K235" t="s">
        <v>88</v>
      </c>
      <c r="L235" t="s">
        <v>89</v>
      </c>
      <c r="M235" s="81">
        <v>46045.49150462963</v>
      </c>
      <c r="N235" s="81">
        <v>46046.492638888893</v>
      </c>
      <c r="O235" t="s">
        <v>58</v>
      </c>
      <c r="P235" t="s">
        <v>59</v>
      </c>
      <c r="Q235" t="s">
        <v>130</v>
      </c>
      <c r="R235" t="s">
        <v>60</v>
      </c>
      <c r="S235" t="s">
        <v>583</v>
      </c>
      <c r="U235" s="75">
        <v>178093</v>
      </c>
      <c r="V235" t="s">
        <v>1350</v>
      </c>
      <c r="W235" t="s">
        <v>1350</v>
      </c>
      <c r="X235" t="s">
        <v>62</v>
      </c>
      <c r="Y235" t="s">
        <v>63</v>
      </c>
      <c r="AA235" t="s">
        <v>64</v>
      </c>
      <c r="AB235">
        <v>23.966667000000001</v>
      </c>
      <c r="AC235">
        <v>18.916667</v>
      </c>
      <c r="AD235">
        <v>5.05</v>
      </c>
      <c r="AE235">
        <v>0.11666700000000001</v>
      </c>
      <c r="AF235">
        <v>1.6667000000000001E-2</v>
      </c>
      <c r="AG235">
        <v>4.9333330000000002</v>
      </c>
      <c r="AH235">
        <v>4.95</v>
      </c>
      <c r="AI235">
        <v>4.9333330000000002</v>
      </c>
      <c r="AJ235">
        <v>0</v>
      </c>
      <c r="AK235">
        <v>0</v>
      </c>
      <c r="AL235" s="76">
        <v>44872</v>
      </c>
      <c r="AM235" s="75">
        <v>1173</v>
      </c>
      <c r="AN235" t="s">
        <v>65</v>
      </c>
      <c r="AO235" t="s">
        <v>1351</v>
      </c>
      <c r="AP235" t="s">
        <v>67</v>
      </c>
      <c r="AQ235" t="s">
        <v>68</v>
      </c>
      <c r="AR235" t="s">
        <v>69</v>
      </c>
      <c r="AS235" s="79"/>
      <c r="AT235" s="82" t="s">
        <v>1038</v>
      </c>
      <c r="AU235" s="78">
        <v>2026</v>
      </c>
      <c r="AV235" s="78">
        <v>1</v>
      </c>
      <c r="AW235" s="78" t="s">
        <v>71</v>
      </c>
      <c r="AX235" s="78">
        <v>1</v>
      </c>
      <c r="AY235" s="78">
        <v>0</v>
      </c>
      <c r="BT235" s="3" t="s">
        <v>71</v>
      </c>
      <c r="BU235" s="3">
        <v>1</v>
      </c>
      <c r="BV235" s="3">
        <v>0</v>
      </c>
    </row>
    <row r="236" spans="1:74" ht="15" customHeight="1" x14ac:dyDescent="0.25">
      <c r="A236" s="75">
        <v>5793123</v>
      </c>
      <c r="B236" t="s">
        <v>1352</v>
      </c>
      <c r="C236" t="s">
        <v>1353</v>
      </c>
      <c r="D236" t="s">
        <v>182</v>
      </c>
      <c r="E236" t="s">
        <v>54</v>
      </c>
      <c r="F236" s="75">
        <v>9</v>
      </c>
      <c r="G236" s="75">
        <v>335547</v>
      </c>
      <c r="H236">
        <v>199.8</v>
      </c>
      <c r="I236" t="s">
        <v>163</v>
      </c>
      <c r="J236" s="75">
        <v>74371</v>
      </c>
      <c r="K236" t="s">
        <v>186</v>
      </c>
      <c r="L236" t="s">
        <v>187</v>
      </c>
      <c r="M236" s="81">
        <v>46046.449097222219</v>
      </c>
      <c r="N236" s="81">
        <v>46046.65042824074</v>
      </c>
      <c r="O236" t="s">
        <v>58</v>
      </c>
      <c r="P236" t="s">
        <v>59</v>
      </c>
      <c r="Q236" t="s">
        <v>130</v>
      </c>
      <c r="R236" t="s">
        <v>60</v>
      </c>
      <c r="S236" t="s">
        <v>583</v>
      </c>
      <c r="U236" s="75">
        <v>178525</v>
      </c>
      <c r="V236" t="s">
        <v>1354</v>
      </c>
      <c r="W236" t="s">
        <v>1354</v>
      </c>
      <c r="X236" t="s">
        <v>62</v>
      </c>
      <c r="Y236" t="s">
        <v>190</v>
      </c>
      <c r="AA236" t="s">
        <v>81</v>
      </c>
      <c r="AB236">
        <v>4.7333340000000002</v>
      </c>
      <c r="AC236">
        <v>2.5</v>
      </c>
      <c r="AD236">
        <v>2.2333340000000002</v>
      </c>
      <c r="AE236">
        <v>0.466667</v>
      </c>
      <c r="AF236">
        <v>0</v>
      </c>
      <c r="AG236">
        <v>1.766667</v>
      </c>
      <c r="AH236">
        <v>1.766667</v>
      </c>
      <c r="AI236">
        <v>1.4666669999999999</v>
      </c>
      <c r="AJ236">
        <v>0.3</v>
      </c>
      <c r="AK236">
        <v>0</v>
      </c>
      <c r="AL236" s="76"/>
      <c r="AM236" s="75"/>
      <c r="AN236" t="s">
        <v>135</v>
      </c>
      <c r="AO236" t="s">
        <v>191</v>
      </c>
      <c r="AP236" t="s">
        <v>67</v>
      </c>
      <c r="AQ236" t="s">
        <v>68</v>
      </c>
      <c r="AR236" t="s">
        <v>69</v>
      </c>
      <c r="AS236" s="78"/>
      <c r="AT236" s="82" t="s">
        <v>1038</v>
      </c>
      <c r="AU236" s="78">
        <v>2026</v>
      </c>
      <c r="AV236" s="78">
        <v>1</v>
      </c>
      <c r="AW236" s="78" t="s">
        <v>137</v>
      </c>
      <c r="AX236" s="78">
        <v>1</v>
      </c>
      <c r="AY236" s="78">
        <v>0</v>
      </c>
      <c r="BT236" s="2" t="s">
        <v>137</v>
      </c>
      <c r="BU236" s="2">
        <v>1</v>
      </c>
      <c r="BV236" s="2">
        <v>0</v>
      </c>
    </row>
    <row r="237" spans="1:74" ht="15" customHeight="1" x14ac:dyDescent="0.25">
      <c r="A237" s="75">
        <v>5793279</v>
      </c>
      <c r="B237" t="s">
        <v>1355</v>
      </c>
      <c r="C237" t="s">
        <v>1356</v>
      </c>
      <c r="D237" t="s">
        <v>527</v>
      </c>
      <c r="E237" t="s">
        <v>87</v>
      </c>
      <c r="F237" s="75">
        <v>65</v>
      </c>
      <c r="G237" s="75">
        <v>288325</v>
      </c>
      <c r="H237">
        <v>739.75</v>
      </c>
      <c r="I237" t="s">
        <v>55</v>
      </c>
      <c r="J237" s="75">
        <v>203659</v>
      </c>
      <c r="K237" t="s">
        <v>1090</v>
      </c>
      <c r="L237" t="s">
        <v>1091</v>
      </c>
      <c r="M237" s="81">
        <v>46046.548958333333</v>
      </c>
      <c r="N237" s="81">
        <v>46048.381192129629</v>
      </c>
      <c r="O237" t="s">
        <v>277</v>
      </c>
      <c r="P237" t="s">
        <v>59</v>
      </c>
      <c r="Q237" t="s">
        <v>90</v>
      </c>
      <c r="R237" t="s">
        <v>99</v>
      </c>
      <c r="S237" t="s">
        <v>1244</v>
      </c>
      <c r="U237" s="75">
        <v>178743</v>
      </c>
      <c r="V237" t="s">
        <v>1357</v>
      </c>
      <c r="X237" t="s">
        <v>62</v>
      </c>
      <c r="Y237" t="s">
        <v>1358</v>
      </c>
      <c r="AA237" t="s">
        <v>81</v>
      </c>
      <c r="AB237">
        <v>43.933332999999998</v>
      </c>
      <c r="AC237">
        <v>42.2</v>
      </c>
      <c r="AD237">
        <v>1.733333</v>
      </c>
      <c r="AE237">
        <v>0.53333299999999995</v>
      </c>
      <c r="AF237">
        <v>0</v>
      </c>
      <c r="AG237">
        <v>1.2</v>
      </c>
      <c r="AH237">
        <v>1.2</v>
      </c>
      <c r="AI237">
        <v>1.1166670000000001</v>
      </c>
      <c r="AJ237">
        <v>8.3333000000000004E-2</v>
      </c>
      <c r="AK237">
        <v>0</v>
      </c>
      <c r="AL237" s="76">
        <v>44942</v>
      </c>
      <c r="AM237" s="75">
        <v>1104</v>
      </c>
      <c r="AN237" t="s">
        <v>65</v>
      </c>
      <c r="AO237" t="s">
        <v>1359</v>
      </c>
      <c r="AP237" t="s">
        <v>67</v>
      </c>
      <c r="AQ237" t="s">
        <v>68</v>
      </c>
      <c r="AR237" t="s">
        <v>69</v>
      </c>
      <c r="AS237" s="79"/>
      <c r="AT237" s="82" t="s">
        <v>1360</v>
      </c>
      <c r="AU237" s="78">
        <v>2026</v>
      </c>
      <c r="AV237" s="78">
        <v>1</v>
      </c>
      <c r="AW237" s="78" t="s">
        <v>137</v>
      </c>
      <c r="AX237" s="78">
        <v>1</v>
      </c>
      <c r="AY237" s="78">
        <v>0</v>
      </c>
      <c r="BT237" s="3" t="s">
        <v>137</v>
      </c>
      <c r="BU237" s="3">
        <v>1</v>
      </c>
      <c r="BV237" s="3">
        <v>0</v>
      </c>
    </row>
    <row r="238" spans="1:74" ht="15" customHeight="1" x14ac:dyDescent="0.25">
      <c r="A238" s="75">
        <v>5793201</v>
      </c>
      <c r="B238" t="s">
        <v>1361</v>
      </c>
      <c r="C238" t="s">
        <v>1362</v>
      </c>
      <c r="D238" t="s">
        <v>150</v>
      </c>
      <c r="E238" t="s">
        <v>105</v>
      </c>
      <c r="F238" s="75">
        <v>1160</v>
      </c>
      <c r="G238" s="75">
        <v>335249</v>
      </c>
      <c r="H238">
        <v>456.52</v>
      </c>
      <c r="I238" t="s">
        <v>175</v>
      </c>
      <c r="J238" s="75">
        <v>83605</v>
      </c>
      <c r="K238" t="s">
        <v>844</v>
      </c>
      <c r="L238" t="s">
        <v>845</v>
      </c>
      <c r="M238" s="81">
        <v>46046.500590277778</v>
      </c>
      <c r="N238" s="81">
        <v>46048.589583333327</v>
      </c>
      <c r="O238" t="s">
        <v>58</v>
      </c>
      <c r="P238" t="s">
        <v>59</v>
      </c>
      <c r="Q238" t="s">
        <v>90</v>
      </c>
      <c r="R238" t="s">
        <v>131</v>
      </c>
      <c r="S238" t="s">
        <v>1316</v>
      </c>
      <c r="U238" s="75">
        <v>178515</v>
      </c>
      <c r="V238" t="s">
        <v>1363</v>
      </c>
      <c r="W238" t="s">
        <v>1363</v>
      </c>
      <c r="X238" t="s">
        <v>62</v>
      </c>
      <c r="Y238" t="s">
        <v>63</v>
      </c>
      <c r="AA238" t="s">
        <v>64</v>
      </c>
      <c r="AB238">
        <v>50.083334000000001</v>
      </c>
      <c r="AC238">
        <v>45.516666999999998</v>
      </c>
      <c r="AD238">
        <v>4.5666669999999998</v>
      </c>
      <c r="AE238">
        <v>0.16666700000000001</v>
      </c>
      <c r="AF238">
        <v>0</v>
      </c>
      <c r="AG238">
        <v>4.4000000000000004</v>
      </c>
      <c r="AH238">
        <v>4.4000000000000004</v>
      </c>
      <c r="AI238">
        <v>3.983333</v>
      </c>
      <c r="AJ238">
        <v>0.41666700000000001</v>
      </c>
      <c r="AK238">
        <v>0</v>
      </c>
      <c r="AL238" s="76">
        <v>45869.70894675926</v>
      </c>
      <c r="AM238" s="75">
        <v>176</v>
      </c>
      <c r="AN238" t="s">
        <v>65</v>
      </c>
      <c r="AO238" t="s">
        <v>1364</v>
      </c>
      <c r="AP238" t="s">
        <v>67</v>
      </c>
      <c r="AQ238" t="s">
        <v>68</v>
      </c>
      <c r="AR238" t="s">
        <v>69</v>
      </c>
      <c r="AS238" s="78"/>
      <c r="AT238" s="82" t="s">
        <v>1360</v>
      </c>
      <c r="AU238" s="78">
        <v>2026</v>
      </c>
      <c r="AV238" s="78">
        <v>1</v>
      </c>
      <c r="AW238" s="78" t="s">
        <v>71</v>
      </c>
      <c r="AX238" s="78">
        <v>1</v>
      </c>
      <c r="AY238" s="78">
        <v>0</v>
      </c>
      <c r="BT238" s="2" t="s">
        <v>71</v>
      </c>
      <c r="BU238" s="2">
        <v>1</v>
      </c>
      <c r="BV238" s="2">
        <v>0</v>
      </c>
    </row>
    <row r="239" spans="1:74" ht="15" customHeight="1" x14ac:dyDescent="0.25">
      <c r="A239" s="75">
        <v>5793869</v>
      </c>
      <c r="B239" t="s">
        <v>1365</v>
      </c>
      <c r="C239" t="s">
        <v>1067</v>
      </c>
      <c r="D239" t="s">
        <v>150</v>
      </c>
      <c r="E239" t="s">
        <v>87</v>
      </c>
      <c r="F239" s="75">
        <v>426</v>
      </c>
      <c r="G239" s="75">
        <v>289277</v>
      </c>
      <c r="H239">
        <v>382.47</v>
      </c>
      <c r="I239" t="s">
        <v>55</v>
      </c>
      <c r="J239" s="75">
        <v>216233</v>
      </c>
      <c r="K239" t="s">
        <v>88</v>
      </c>
      <c r="L239" t="s">
        <v>89</v>
      </c>
      <c r="M239" s="81">
        <v>46047.507349537038</v>
      </c>
      <c r="N239" s="81">
        <v>46048.59039351852</v>
      </c>
      <c r="O239" t="s">
        <v>58</v>
      </c>
      <c r="P239" t="s">
        <v>59</v>
      </c>
      <c r="Q239" t="s">
        <v>90</v>
      </c>
      <c r="R239" t="s">
        <v>131</v>
      </c>
      <c r="S239" t="s">
        <v>1316</v>
      </c>
      <c r="U239" s="75">
        <v>178783</v>
      </c>
      <c r="V239" t="s">
        <v>1366</v>
      </c>
      <c r="W239" t="s">
        <v>1367</v>
      </c>
      <c r="X239" t="s">
        <v>62</v>
      </c>
      <c r="Y239" t="s">
        <v>63</v>
      </c>
      <c r="AA239" t="s">
        <v>81</v>
      </c>
      <c r="AB239">
        <v>25.916665999999999</v>
      </c>
      <c r="AC239">
        <v>25.75</v>
      </c>
      <c r="AD239">
        <v>0.16666600000000001</v>
      </c>
      <c r="AE239">
        <v>0.1</v>
      </c>
      <c r="AF239">
        <v>0</v>
      </c>
      <c r="AG239">
        <v>6.6666000000000003E-2</v>
      </c>
      <c r="AH239">
        <v>6.6666000000000003E-2</v>
      </c>
      <c r="AI239">
        <v>3.3333000000000002E-2</v>
      </c>
      <c r="AJ239">
        <v>3.3333000000000002E-2</v>
      </c>
      <c r="AK239">
        <v>0</v>
      </c>
      <c r="AL239" s="76">
        <v>44998</v>
      </c>
      <c r="AM239" s="75">
        <v>1049</v>
      </c>
      <c r="AN239" t="s">
        <v>65</v>
      </c>
      <c r="AO239" t="s">
        <v>1070</v>
      </c>
      <c r="AP239" t="s">
        <v>67</v>
      </c>
      <c r="AQ239" t="s">
        <v>68</v>
      </c>
      <c r="AR239" t="s">
        <v>69</v>
      </c>
      <c r="AS239" s="79"/>
      <c r="AT239" s="82" t="s">
        <v>1360</v>
      </c>
      <c r="AU239" s="78">
        <v>2026</v>
      </c>
      <c r="AV239" s="78">
        <v>1</v>
      </c>
      <c r="AW239" s="78" t="s">
        <v>71</v>
      </c>
      <c r="AX239" s="78">
        <v>1</v>
      </c>
      <c r="AY239" s="78">
        <v>0</v>
      </c>
      <c r="BT239" s="3" t="s">
        <v>71</v>
      </c>
      <c r="BU239" s="3">
        <v>1</v>
      </c>
      <c r="BV239" s="3">
        <v>0</v>
      </c>
    </row>
    <row r="240" spans="1:74" ht="15" customHeight="1" x14ac:dyDescent="0.25">
      <c r="A240" s="75">
        <v>5793063</v>
      </c>
      <c r="B240" t="s">
        <v>1368</v>
      </c>
      <c r="C240" t="s">
        <v>1369</v>
      </c>
      <c r="D240" t="s">
        <v>150</v>
      </c>
      <c r="E240" t="s">
        <v>87</v>
      </c>
      <c r="F240" s="75">
        <v>154</v>
      </c>
      <c r="G240" s="75">
        <v>285763</v>
      </c>
      <c r="H240">
        <v>368.16</v>
      </c>
      <c r="I240" t="s">
        <v>55</v>
      </c>
      <c r="J240" s="75">
        <v>218791</v>
      </c>
      <c r="K240" t="s">
        <v>312</v>
      </c>
      <c r="L240" t="s">
        <v>313</v>
      </c>
      <c r="M240" s="81">
        <v>46046.424120370371</v>
      </c>
      <c r="N240" s="81">
        <v>46048.591932870368</v>
      </c>
      <c r="O240" t="s">
        <v>58</v>
      </c>
      <c r="P240" t="s">
        <v>59</v>
      </c>
      <c r="Q240" t="s">
        <v>90</v>
      </c>
      <c r="R240" t="s">
        <v>131</v>
      </c>
      <c r="S240" t="s">
        <v>1316</v>
      </c>
      <c r="U240" s="75">
        <v>178777</v>
      </c>
      <c r="V240" t="s">
        <v>1370</v>
      </c>
      <c r="W240" t="s">
        <v>1371</v>
      </c>
      <c r="X240" t="s">
        <v>62</v>
      </c>
      <c r="Y240" t="s">
        <v>63</v>
      </c>
      <c r="AA240" t="s">
        <v>81</v>
      </c>
      <c r="AB240">
        <v>51.9</v>
      </c>
      <c r="AC240">
        <v>48.066667000000002</v>
      </c>
      <c r="AD240">
        <v>3.8333330000000001</v>
      </c>
      <c r="AE240">
        <v>0.53333299999999995</v>
      </c>
      <c r="AF240">
        <v>0</v>
      </c>
      <c r="AG240">
        <v>3.3</v>
      </c>
      <c r="AH240">
        <v>3.3</v>
      </c>
      <c r="AI240">
        <v>3</v>
      </c>
      <c r="AJ240">
        <v>0.3</v>
      </c>
      <c r="AK240">
        <v>0</v>
      </c>
      <c r="AL240" s="76">
        <v>44876.671053240738</v>
      </c>
      <c r="AM240" s="75">
        <v>1169</v>
      </c>
      <c r="AN240" t="s">
        <v>65</v>
      </c>
      <c r="AO240" t="s">
        <v>1372</v>
      </c>
      <c r="AP240" t="s">
        <v>67</v>
      </c>
      <c r="AQ240" t="s">
        <v>68</v>
      </c>
      <c r="AR240" t="s">
        <v>69</v>
      </c>
      <c r="AS240" s="78"/>
      <c r="AT240" s="82" t="s">
        <v>1360</v>
      </c>
      <c r="AU240" s="78">
        <v>2026</v>
      </c>
      <c r="AV240" s="78">
        <v>1</v>
      </c>
      <c r="AW240" s="78" t="s">
        <v>71</v>
      </c>
      <c r="AX240" s="78">
        <v>1</v>
      </c>
      <c r="AY240" s="78">
        <v>0</v>
      </c>
      <c r="BT240" s="2" t="s">
        <v>71</v>
      </c>
      <c r="BU240" s="2">
        <v>1</v>
      </c>
      <c r="BV240" s="2">
        <v>0</v>
      </c>
    </row>
    <row r="241" spans="1:74" ht="15" customHeight="1" x14ac:dyDescent="0.25">
      <c r="A241" s="75">
        <v>5795767</v>
      </c>
      <c r="B241" t="s">
        <v>1373</v>
      </c>
      <c r="C241" t="s">
        <v>1374</v>
      </c>
      <c r="D241" t="s">
        <v>150</v>
      </c>
      <c r="E241" t="s">
        <v>126</v>
      </c>
      <c r="F241" s="75">
        <v>4</v>
      </c>
      <c r="G241" s="75">
        <v>89965</v>
      </c>
      <c r="H241">
        <v>7600</v>
      </c>
      <c r="I241" t="s">
        <v>55</v>
      </c>
      <c r="J241" s="75">
        <v>19489</v>
      </c>
      <c r="K241" t="s">
        <v>935</v>
      </c>
      <c r="L241" t="s">
        <v>936</v>
      </c>
      <c r="M241" s="81">
        <v>46048.889270833337</v>
      </c>
      <c r="N241" s="81">
        <v>46049.299837962957</v>
      </c>
      <c r="O241" t="s">
        <v>58</v>
      </c>
      <c r="P241" t="s">
        <v>59</v>
      </c>
      <c r="Q241" t="s">
        <v>90</v>
      </c>
      <c r="R241" t="s">
        <v>99</v>
      </c>
      <c r="S241" t="s">
        <v>1375</v>
      </c>
      <c r="U241" s="75"/>
      <c r="X241" t="s">
        <v>62</v>
      </c>
      <c r="Y241" t="s">
        <v>287</v>
      </c>
      <c r="AA241" t="s">
        <v>81</v>
      </c>
      <c r="AB241">
        <v>9.8000000000000007</v>
      </c>
      <c r="AC241">
        <v>4.5333329999999998</v>
      </c>
      <c r="AD241">
        <v>5.266667</v>
      </c>
      <c r="AE241">
        <v>4.3666669999999996</v>
      </c>
      <c r="AF241">
        <v>0</v>
      </c>
      <c r="AG241">
        <v>0.9</v>
      </c>
      <c r="AH241">
        <v>0.9</v>
      </c>
      <c r="AI241">
        <v>0</v>
      </c>
      <c r="AJ241">
        <v>0.9</v>
      </c>
      <c r="AK241">
        <v>0</v>
      </c>
      <c r="AL241" s="76">
        <v>43361.406759259262</v>
      </c>
      <c r="AM241" s="75">
        <v>2687</v>
      </c>
      <c r="AN241" t="s">
        <v>65</v>
      </c>
      <c r="AO241" t="s">
        <v>1376</v>
      </c>
      <c r="AP241" t="s">
        <v>67</v>
      </c>
      <c r="AQ241" t="s">
        <v>68</v>
      </c>
      <c r="AR241" t="s">
        <v>69</v>
      </c>
      <c r="AS241" s="79"/>
      <c r="AT241" s="82" t="s">
        <v>1360</v>
      </c>
      <c r="AU241" s="78">
        <v>2026</v>
      </c>
      <c r="AV241" s="78">
        <v>1</v>
      </c>
      <c r="AW241" s="78" t="s">
        <v>137</v>
      </c>
      <c r="AX241" s="78">
        <v>1</v>
      </c>
      <c r="AY241" s="78">
        <v>0</v>
      </c>
      <c r="BT241" s="3" t="s">
        <v>137</v>
      </c>
      <c r="BU241" s="3">
        <v>1</v>
      </c>
      <c r="BV241" s="3">
        <v>0</v>
      </c>
    </row>
    <row r="242" spans="1:74" ht="15" customHeight="1" x14ac:dyDescent="0.25">
      <c r="A242" s="75">
        <v>5795119</v>
      </c>
      <c r="B242" t="s">
        <v>1377</v>
      </c>
      <c r="C242" t="s">
        <v>1378</v>
      </c>
      <c r="D242" t="s">
        <v>150</v>
      </c>
      <c r="E242" t="s">
        <v>105</v>
      </c>
      <c r="F242" s="75">
        <v>930</v>
      </c>
      <c r="G242" s="75">
        <v>328359</v>
      </c>
      <c r="H242">
        <v>600</v>
      </c>
      <c r="I242" t="s">
        <v>175</v>
      </c>
      <c r="J242" s="75">
        <v>83605</v>
      </c>
      <c r="K242" t="s">
        <v>844</v>
      </c>
      <c r="L242" t="s">
        <v>845</v>
      </c>
      <c r="M242" s="81">
        <v>46048.604791666658</v>
      </c>
      <c r="N242" s="81">
        <v>46049.380578703713</v>
      </c>
      <c r="O242" t="s">
        <v>554</v>
      </c>
      <c r="P242" t="s">
        <v>59</v>
      </c>
      <c r="Q242" t="s">
        <v>90</v>
      </c>
      <c r="R242" t="s">
        <v>99</v>
      </c>
      <c r="S242" t="s">
        <v>1375</v>
      </c>
      <c r="U242" s="75">
        <v>179439</v>
      </c>
      <c r="V242" t="s">
        <v>1379</v>
      </c>
      <c r="X242" t="s">
        <v>62</v>
      </c>
      <c r="Y242" t="s">
        <v>1380</v>
      </c>
      <c r="AA242" t="s">
        <v>416</v>
      </c>
      <c r="AB242">
        <v>18.566666999999999</v>
      </c>
      <c r="AC242">
        <v>0</v>
      </c>
      <c r="AD242">
        <v>18.566666999999999</v>
      </c>
      <c r="AE242">
        <v>0.13333400000000001</v>
      </c>
      <c r="AF242">
        <v>0</v>
      </c>
      <c r="AG242">
        <v>18.433333000000001</v>
      </c>
      <c r="AI242">
        <v>17.933333000000001</v>
      </c>
      <c r="AJ242">
        <v>0.5</v>
      </c>
      <c r="AK242">
        <v>0</v>
      </c>
      <c r="AL242" s="76">
        <v>45777.749374999999</v>
      </c>
      <c r="AM242" s="75">
        <v>270</v>
      </c>
      <c r="AN242" t="s">
        <v>65</v>
      </c>
      <c r="AO242" t="s">
        <v>1381</v>
      </c>
      <c r="AP242" t="s">
        <v>67</v>
      </c>
      <c r="AQ242" t="s">
        <v>68</v>
      </c>
      <c r="AR242" t="s">
        <v>69</v>
      </c>
      <c r="AS242" s="78"/>
      <c r="AT242" s="82" t="s">
        <v>1360</v>
      </c>
      <c r="AU242" s="78">
        <v>2026</v>
      </c>
      <c r="AV242" s="78">
        <v>1</v>
      </c>
      <c r="AW242" s="78" t="s">
        <v>137</v>
      </c>
      <c r="AX242" s="78">
        <v>0</v>
      </c>
      <c r="AY242" s="78">
        <v>0</v>
      </c>
      <c r="BT242" s="2" t="s">
        <v>137</v>
      </c>
      <c r="BU242" s="2">
        <v>0</v>
      </c>
      <c r="BV242" s="2">
        <v>0</v>
      </c>
    </row>
    <row r="243" spans="1:74" ht="15" customHeight="1" x14ac:dyDescent="0.25">
      <c r="A243" s="75">
        <v>5794945</v>
      </c>
      <c r="B243" t="s">
        <v>1382</v>
      </c>
      <c r="C243" t="s">
        <v>1383</v>
      </c>
      <c r="D243" t="s">
        <v>150</v>
      </c>
      <c r="E243" t="s">
        <v>87</v>
      </c>
      <c r="F243" s="75">
        <v>195</v>
      </c>
      <c r="G243" s="75">
        <v>285939</v>
      </c>
      <c r="H243">
        <v>350</v>
      </c>
      <c r="I243" t="s">
        <v>55</v>
      </c>
      <c r="J243" s="75">
        <v>218787</v>
      </c>
      <c r="K243" t="s">
        <v>96</v>
      </c>
      <c r="L243" t="s">
        <v>97</v>
      </c>
      <c r="M243" s="81">
        <v>46048.549409722233</v>
      </c>
      <c r="N243" s="81">
        <v>46049.421643518523</v>
      </c>
      <c r="O243" t="s">
        <v>58</v>
      </c>
      <c r="P243" t="s">
        <v>59</v>
      </c>
      <c r="Q243" t="s">
        <v>90</v>
      </c>
      <c r="R243" t="s">
        <v>131</v>
      </c>
      <c r="S243" t="s">
        <v>1316</v>
      </c>
      <c r="U243" s="75">
        <v>179373</v>
      </c>
      <c r="V243" t="s">
        <v>1384</v>
      </c>
      <c r="W243" t="s">
        <v>1384</v>
      </c>
      <c r="X243" t="s">
        <v>62</v>
      </c>
      <c r="Y243" t="s">
        <v>63</v>
      </c>
      <c r="AA243" t="s">
        <v>64</v>
      </c>
      <c r="AB243">
        <v>20.833331999999999</v>
      </c>
      <c r="AC243">
        <v>16.05</v>
      </c>
      <c r="AD243">
        <v>4.7833319999999997</v>
      </c>
      <c r="AE243">
        <v>3.3333000000000002E-2</v>
      </c>
      <c r="AF243">
        <v>0</v>
      </c>
      <c r="AG243">
        <v>4.7499989999999999</v>
      </c>
      <c r="AH243">
        <v>4.7499989999999999</v>
      </c>
      <c r="AI243">
        <v>4.6166660000000004</v>
      </c>
      <c r="AJ243">
        <v>0.13333300000000001</v>
      </c>
      <c r="AK243">
        <v>0</v>
      </c>
      <c r="AL243" s="76">
        <v>44901</v>
      </c>
      <c r="AM243" s="75">
        <v>1147</v>
      </c>
      <c r="AN243" t="s">
        <v>65</v>
      </c>
      <c r="AO243" t="s">
        <v>1385</v>
      </c>
      <c r="AP243" t="s">
        <v>67</v>
      </c>
      <c r="AQ243" t="s">
        <v>68</v>
      </c>
      <c r="AR243" t="s">
        <v>69</v>
      </c>
      <c r="AS243" s="79"/>
      <c r="AT243" s="82" t="s">
        <v>1360</v>
      </c>
      <c r="AU243" s="78">
        <v>2026</v>
      </c>
      <c r="AV243" s="78">
        <v>1</v>
      </c>
      <c r="AW243" s="78" t="s">
        <v>71</v>
      </c>
      <c r="AX243" s="78">
        <v>1</v>
      </c>
      <c r="AY243" s="78">
        <v>0</v>
      </c>
      <c r="BT243" s="3" t="s">
        <v>71</v>
      </c>
      <c r="BU243" s="3">
        <v>1</v>
      </c>
      <c r="BV243" s="3">
        <v>0</v>
      </c>
    </row>
    <row r="244" spans="1:74" ht="15" customHeight="1" x14ac:dyDescent="0.25">
      <c r="A244" s="75">
        <v>5794895</v>
      </c>
      <c r="B244" t="s">
        <v>1386</v>
      </c>
      <c r="C244" t="s">
        <v>1387</v>
      </c>
      <c r="D244" t="s">
        <v>1388</v>
      </c>
      <c r="E244" t="s">
        <v>87</v>
      </c>
      <c r="F244" s="75">
        <v>526</v>
      </c>
      <c r="G244" s="75">
        <v>333129</v>
      </c>
      <c r="H244">
        <v>546.37</v>
      </c>
      <c r="I244" t="s">
        <v>1389</v>
      </c>
      <c r="J244" s="75">
        <v>218791</v>
      </c>
      <c r="K244" t="s">
        <v>312</v>
      </c>
      <c r="L244" t="s">
        <v>313</v>
      </c>
      <c r="M244" s="81">
        <v>46048.513506944437</v>
      </c>
      <c r="N244" s="81">
        <v>46049.422962962963</v>
      </c>
      <c r="O244" t="s">
        <v>58</v>
      </c>
      <c r="P244" t="s">
        <v>59</v>
      </c>
      <c r="Q244" t="s">
        <v>130</v>
      </c>
      <c r="R244" t="s">
        <v>60</v>
      </c>
      <c r="S244" t="s">
        <v>583</v>
      </c>
      <c r="U244" s="75">
        <v>179333</v>
      </c>
      <c r="V244" t="s">
        <v>1390</v>
      </c>
      <c r="W244" t="s">
        <v>1390</v>
      </c>
      <c r="X244" t="s">
        <v>62</v>
      </c>
      <c r="Y244" t="s">
        <v>63</v>
      </c>
      <c r="AA244" t="s">
        <v>64</v>
      </c>
      <c r="AB244">
        <v>21.749998999999999</v>
      </c>
      <c r="AC244">
        <v>16.283332999999999</v>
      </c>
      <c r="AD244">
        <v>5.466666</v>
      </c>
      <c r="AE244">
        <v>3.3334000000000003E-2</v>
      </c>
      <c r="AF244">
        <v>0</v>
      </c>
      <c r="AG244">
        <v>5.4333320000000001</v>
      </c>
      <c r="AH244">
        <v>5.4333320000000001</v>
      </c>
      <c r="AI244">
        <v>5.216666</v>
      </c>
      <c r="AJ244">
        <v>0.216666</v>
      </c>
      <c r="AK244">
        <v>0</v>
      </c>
      <c r="AL244" s="76">
        <v>45757.461006944453</v>
      </c>
      <c r="AM244" s="75">
        <v>291</v>
      </c>
      <c r="AN244" t="s">
        <v>65</v>
      </c>
      <c r="AO244" t="s">
        <v>1391</v>
      </c>
      <c r="AP244" t="s">
        <v>67</v>
      </c>
      <c r="AQ244" t="s">
        <v>68</v>
      </c>
      <c r="AR244" t="s">
        <v>69</v>
      </c>
      <c r="AS244" s="78"/>
      <c r="AT244" s="82" t="s">
        <v>1360</v>
      </c>
      <c r="AU244" s="78">
        <v>2026</v>
      </c>
      <c r="AV244" s="78">
        <v>1</v>
      </c>
      <c r="AW244" s="78" t="s">
        <v>71</v>
      </c>
      <c r="AX244" s="78">
        <v>1</v>
      </c>
      <c r="AY244" s="78">
        <v>0</v>
      </c>
      <c r="BT244" s="2" t="s">
        <v>71</v>
      </c>
      <c r="BU244" s="2">
        <v>1</v>
      </c>
      <c r="BV244" s="2">
        <v>0</v>
      </c>
    </row>
    <row r="245" spans="1:74" ht="15" customHeight="1" x14ac:dyDescent="0.25">
      <c r="A245" s="75">
        <v>5795793</v>
      </c>
      <c r="B245" t="s">
        <v>1392</v>
      </c>
      <c r="C245" t="s">
        <v>1393</v>
      </c>
      <c r="D245" t="s">
        <v>53</v>
      </c>
      <c r="E245" t="s">
        <v>105</v>
      </c>
      <c r="F245" s="75">
        <v>669</v>
      </c>
      <c r="G245" s="75">
        <v>302105</v>
      </c>
      <c r="H245">
        <v>744</v>
      </c>
      <c r="I245" t="s">
        <v>114</v>
      </c>
      <c r="J245" s="75">
        <v>202053</v>
      </c>
      <c r="K245" t="s">
        <v>1394</v>
      </c>
      <c r="L245" t="s">
        <v>1395</v>
      </c>
      <c r="M245" s="81">
        <v>46048.932037037041</v>
      </c>
      <c r="N245" s="81">
        <v>46049.543182870373</v>
      </c>
      <c r="O245" t="s">
        <v>58</v>
      </c>
      <c r="P245" t="s">
        <v>59</v>
      </c>
      <c r="Q245" t="s">
        <v>130</v>
      </c>
      <c r="R245" t="s">
        <v>60</v>
      </c>
      <c r="S245" t="s">
        <v>1268</v>
      </c>
      <c r="U245" s="75">
        <v>179591</v>
      </c>
      <c r="V245" t="s">
        <v>1396</v>
      </c>
      <c r="W245" t="s">
        <v>1396</v>
      </c>
      <c r="X245" t="s">
        <v>79</v>
      </c>
      <c r="Y245" t="s">
        <v>224</v>
      </c>
      <c r="AA245" t="s">
        <v>64</v>
      </c>
      <c r="AB245">
        <v>14.599999</v>
      </c>
      <c r="AC245">
        <v>7.1333330000000004</v>
      </c>
      <c r="AD245">
        <v>7.466666</v>
      </c>
      <c r="AE245">
        <v>2.35</v>
      </c>
      <c r="AF245">
        <v>0</v>
      </c>
      <c r="AG245">
        <v>5.1166660000000004</v>
      </c>
      <c r="AH245">
        <v>5.1166660000000004</v>
      </c>
      <c r="AI245">
        <v>3.65</v>
      </c>
      <c r="AJ245">
        <v>1.466666</v>
      </c>
      <c r="AK245">
        <v>0</v>
      </c>
      <c r="AL245" s="76">
        <v>45425.879583333342</v>
      </c>
      <c r="AM245" s="75">
        <v>623</v>
      </c>
      <c r="AN245" t="s">
        <v>65</v>
      </c>
      <c r="AO245" t="s">
        <v>1397</v>
      </c>
      <c r="AP245" t="s">
        <v>67</v>
      </c>
      <c r="AQ245" t="s">
        <v>83</v>
      </c>
      <c r="AR245" t="s">
        <v>69</v>
      </c>
      <c r="AS245" s="79"/>
      <c r="AT245" s="82" t="s">
        <v>1360</v>
      </c>
      <c r="AU245" s="78">
        <v>2026</v>
      </c>
      <c r="AV245" s="78">
        <v>1</v>
      </c>
      <c r="AW245" s="78" t="s">
        <v>226</v>
      </c>
      <c r="AX245" s="78">
        <v>1</v>
      </c>
      <c r="AY245" s="78">
        <v>0</v>
      </c>
      <c r="BT245" s="3" t="s">
        <v>226</v>
      </c>
      <c r="BU245" s="3">
        <v>1</v>
      </c>
      <c r="BV245" s="3">
        <v>0</v>
      </c>
    </row>
    <row r="246" spans="1:74" ht="15" customHeight="1" x14ac:dyDescent="0.25">
      <c r="A246" s="75">
        <v>5794149</v>
      </c>
      <c r="B246" t="s">
        <v>1398</v>
      </c>
      <c r="C246" t="s">
        <v>1399</v>
      </c>
      <c r="D246" t="s">
        <v>1400</v>
      </c>
      <c r="E246" t="s">
        <v>87</v>
      </c>
      <c r="F246" s="75">
        <v>428</v>
      </c>
      <c r="G246" s="75">
        <v>289281</v>
      </c>
      <c r="H246">
        <v>683.73</v>
      </c>
      <c r="I246" t="s">
        <v>55</v>
      </c>
      <c r="J246" s="75">
        <v>218791</v>
      </c>
      <c r="K246" t="s">
        <v>312</v>
      </c>
      <c r="L246" t="s">
        <v>313</v>
      </c>
      <c r="M246" s="81">
        <v>46048.295763888891</v>
      </c>
      <c r="N246" s="81">
        <v>46049.545914351853</v>
      </c>
      <c r="O246" t="s">
        <v>58</v>
      </c>
      <c r="P246" t="s">
        <v>59</v>
      </c>
      <c r="Q246" t="s">
        <v>90</v>
      </c>
      <c r="R246" t="s">
        <v>60</v>
      </c>
      <c r="S246" t="s">
        <v>583</v>
      </c>
      <c r="U246" s="75">
        <v>178803</v>
      </c>
      <c r="V246" t="s">
        <v>1401</v>
      </c>
      <c r="W246" t="s">
        <v>1401</v>
      </c>
      <c r="X246" t="s">
        <v>62</v>
      </c>
      <c r="Y246" t="s">
        <v>63</v>
      </c>
      <c r="AA246" t="s">
        <v>64</v>
      </c>
      <c r="AB246">
        <v>29.950001</v>
      </c>
      <c r="AC246">
        <v>23.166667</v>
      </c>
      <c r="AD246">
        <v>6.783334</v>
      </c>
      <c r="AE246">
        <v>0.36666700000000002</v>
      </c>
      <c r="AF246">
        <v>0</v>
      </c>
      <c r="AG246">
        <v>6.4166670000000003</v>
      </c>
      <c r="AH246">
        <v>6.4166670000000003</v>
      </c>
      <c r="AI246">
        <v>6.25</v>
      </c>
      <c r="AJ246">
        <v>0.16666700000000001</v>
      </c>
      <c r="AK246">
        <v>0</v>
      </c>
      <c r="AL246" s="76">
        <v>45015.443495370368</v>
      </c>
      <c r="AM246" s="75">
        <v>1032</v>
      </c>
      <c r="AN246" t="s">
        <v>65</v>
      </c>
      <c r="AO246" t="s">
        <v>1402</v>
      </c>
      <c r="AP246" t="s">
        <v>67</v>
      </c>
      <c r="AQ246" t="s">
        <v>68</v>
      </c>
      <c r="AR246" t="s">
        <v>69</v>
      </c>
      <c r="AS246" s="78"/>
      <c r="AT246" s="82" t="s">
        <v>1360</v>
      </c>
      <c r="AU246" s="78">
        <v>2026</v>
      </c>
      <c r="AV246" s="78">
        <v>1</v>
      </c>
      <c r="AW246" s="78" t="s">
        <v>71</v>
      </c>
      <c r="AX246" s="78">
        <v>1</v>
      </c>
      <c r="AY246" s="78">
        <v>0</v>
      </c>
      <c r="BT246" s="2" t="s">
        <v>71</v>
      </c>
      <c r="BU246" s="2">
        <v>1</v>
      </c>
      <c r="BV246" s="2">
        <v>0</v>
      </c>
    </row>
    <row r="247" spans="1:74" ht="15" customHeight="1" x14ac:dyDescent="0.25">
      <c r="A247" s="75">
        <v>5795775</v>
      </c>
      <c r="B247" t="s">
        <v>1403</v>
      </c>
      <c r="C247" t="s">
        <v>1404</v>
      </c>
      <c r="D247" t="s">
        <v>1388</v>
      </c>
      <c r="E247" t="s">
        <v>126</v>
      </c>
      <c r="F247" s="75">
        <v>6</v>
      </c>
      <c r="G247" s="75">
        <v>94309</v>
      </c>
      <c r="H247">
        <v>0</v>
      </c>
      <c r="I247" t="s">
        <v>1405</v>
      </c>
      <c r="J247" s="75">
        <v>19489</v>
      </c>
      <c r="K247" t="s">
        <v>935</v>
      </c>
      <c r="L247" t="s">
        <v>936</v>
      </c>
      <c r="M247" s="81">
        <v>46048.895821759259</v>
      </c>
      <c r="N247" s="81">
        <v>46049.571203703701</v>
      </c>
      <c r="O247" t="s">
        <v>58</v>
      </c>
      <c r="P247" t="s">
        <v>59</v>
      </c>
      <c r="Q247" t="s">
        <v>130</v>
      </c>
      <c r="R247" t="s">
        <v>60</v>
      </c>
      <c r="S247" t="s">
        <v>583</v>
      </c>
      <c r="U247" s="75">
        <v>179655</v>
      </c>
      <c r="V247" t="s">
        <v>1406</v>
      </c>
      <c r="W247" t="s">
        <v>1406</v>
      </c>
      <c r="X247" t="s">
        <v>79</v>
      </c>
      <c r="Y247" t="s">
        <v>224</v>
      </c>
      <c r="AA247" t="s">
        <v>416</v>
      </c>
      <c r="AB247">
        <v>16.166665999999999</v>
      </c>
      <c r="AC247">
        <v>1.183333</v>
      </c>
      <c r="AD247">
        <v>14.983333</v>
      </c>
      <c r="AE247">
        <v>1.433333</v>
      </c>
      <c r="AF247">
        <v>0</v>
      </c>
      <c r="AG247">
        <v>13.55</v>
      </c>
      <c r="AH247">
        <v>13.55</v>
      </c>
      <c r="AI247">
        <v>13.35</v>
      </c>
      <c r="AJ247">
        <v>0.2</v>
      </c>
      <c r="AK247">
        <v>0</v>
      </c>
      <c r="AL247" s="76">
        <v>43437.6096875</v>
      </c>
      <c r="AM247" s="75">
        <v>2611</v>
      </c>
      <c r="AN247" t="s">
        <v>65</v>
      </c>
      <c r="AO247" t="s">
        <v>1407</v>
      </c>
      <c r="AP247" t="s">
        <v>67</v>
      </c>
      <c r="AQ247" t="s">
        <v>83</v>
      </c>
      <c r="AR247" t="s">
        <v>69</v>
      </c>
      <c r="AS247" s="79"/>
      <c r="AT247" s="82" t="s">
        <v>1360</v>
      </c>
      <c r="AU247" s="78">
        <v>2026</v>
      </c>
      <c r="AV247" s="78">
        <v>1</v>
      </c>
      <c r="AW247" s="78" t="s">
        <v>226</v>
      </c>
      <c r="AX247" s="78">
        <v>0</v>
      </c>
      <c r="AY247" s="78">
        <v>0</v>
      </c>
      <c r="BT247" s="3" t="s">
        <v>226</v>
      </c>
      <c r="BU247" s="3">
        <v>0</v>
      </c>
      <c r="BV247" s="3">
        <v>0</v>
      </c>
    </row>
    <row r="248" spans="1:74" ht="15" customHeight="1" x14ac:dyDescent="0.25">
      <c r="A248" s="75">
        <v>5793703</v>
      </c>
      <c r="B248" t="s">
        <v>1408</v>
      </c>
      <c r="C248" t="s">
        <v>1409</v>
      </c>
      <c r="D248" t="s">
        <v>150</v>
      </c>
      <c r="E248" t="s">
        <v>54</v>
      </c>
      <c r="F248" s="75">
        <v>2</v>
      </c>
      <c r="G248" s="75">
        <v>272201</v>
      </c>
      <c r="H248">
        <v>494</v>
      </c>
      <c r="I248" t="s">
        <v>242</v>
      </c>
      <c r="J248" s="75">
        <v>204321</v>
      </c>
      <c r="K248" t="s">
        <v>376</v>
      </c>
      <c r="L248" t="s">
        <v>377</v>
      </c>
      <c r="M248" s="81">
        <v>46047.400219907409</v>
      </c>
      <c r="N248" s="81">
        <v>46049.597708333327</v>
      </c>
      <c r="O248" t="s">
        <v>58</v>
      </c>
      <c r="P248" t="s">
        <v>59</v>
      </c>
      <c r="Q248" t="s">
        <v>130</v>
      </c>
      <c r="R248" t="s">
        <v>131</v>
      </c>
      <c r="S248" t="s">
        <v>1316</v>
      </c>
      <c r="U248" s="75">
        <v>178781</v>
      </c>
      <c r="V248" t="s">
        <v>1410</v>
      </c>
      <c r="W248" t="s">
        <v>1411</v>
      </c>
      <c r="X248" t="s">
        <v>62</v>
      </c>
      <c r="Y248" t="s">
        <v>63</v>
      </c>
      <c r="AA248" t="s">
        <v>101</v>
      </c>
      <c r="AB248">
        <v>52.649999000000001</v>
      </c>
      <c r="AC248">
        <v>42.516666000000001</v>
      </c>
      <c r="AD248">
        <v>10.133333</v>
      </c>
      <c r="AE248">
        <v>0.1</v>
      </c>
      <c r="AF248">
        <v>0</v>
      </c>
      <c r="AG248">
        <v>10.033333000000001</v>
      </c>
      <c r="AH248">
        <v>10.033333000000001</v>
      </c>
      <c r="AI248">
        <v>9.9</v>
      </c>
      <c r="AJ248">
        <v>0.13333300000000001</v>
      </c>
      <c r="AK248">
        <v>0</v>
      </c>
      <c r="AL248" s="76">
        <v>36526</v>
      </c>
      <c r="AM248" s="75">
        <v>9521</v>
      </c>
      <c r="AN248" t="s">
        <v>65</v>
      </c>
      <c r="AO248" t="s">
        <v>1412</v>
      </c>
      <c r="AP248" t="s">
        <v>67</v>
      </c>
      <c r="AQ248" t="s">
        <v>68</v>
      </c>
      <c r="AR248" t="s">
        <v>69</v>
      </c>
      <c r="AS248" s="78"/>
      <c r="AT248" s="82" t="s">
        <v>1360</v>
      </c>
      <c r="AU248" s="78">
        <v>2026</v>
      </c>
      <c r="AV248" s="78">
        <v>1</v>
      </c>
      <c r="AW248" s="78" t="s">
        <v>71</v>
      </c>
      <c r="AX248" s="78">
        <v>0</v>
      </c>
      <c r="AY248" s="78">
        <v>0</v>
      </c>
      <c r="BT248" s="2" t="s">
        <v>71</v>
      </c>
      <c r="BU248" s="2">
        <v>0</v>
      </c>
      <c r="BV248" s="2">
        <v>0</v>
      </c>
    </row>
    <row r="249" spans="1:74" ht="15" customHeight="1" x14ac:dyDescent="0.25">
      <c r="A249" s="75">
        <v>5795597</v>
      </c>
      <c r="B249" t="s">
        <v>1413</v>
      </c>
      <c r="C249" t="s">
        <v>1414</v>
      </c>
      <c r="D249" t="s">
        <v>956</v>
      </c>
      <c r="E249" t="s">
        <v>87</v>
      </c>
      <c r="F249" s="75">
        <v>279</v>
      </c>
      <c r="G249" s="75">
        <v>286419</v>
      </c>
      <c r="H249">
        <v>350</v>
      </c>
      <c r="I249" t="s">
        <v>55</v>
      </c>
      <c r="J249" s="75">
        <v>218787</v>
      </c>
      <c r="K249" t="s">
        <v>96</v>
      </c>
      <c r="L249" t="s">
        <v>97</v>
      </c>
      <c r="M249" s="81">
        <v>46048.757384259261</v>
      </c>
      <c r="N249" s="81">
        <v>46049.609814814823</v>
      </c>
      <c r="O249" t="s">
        <v>58</v>
      </c>
      <c r="P249" t="s">
        <v>59</v>
      </c>
      <c r="Q249" t="s">
        <v>90</v>
      </c>
      <c r="R249" t="s">
        <v>60</v>
      </c>
      <c r="S249" t="s">
        <v>583</v>
      </c>
      <c r="U249" s="75">
        <v>179597</v>
      </c>
      <c r="V249" t="s">
        <v>1415</v>
      </c>
      <c r="W249" t="s">
        <v>1416</v>
      </c>
      <c r="X249" t="s">
        <v>62</v>
      </c>
      <c r="Y249" t="s">
        <v>63</v>
      </c>
      <c r="AA249" t="s">
        <v>64</v>
      </c>
      <c r="AB249">
        <v>20.399999999999999</v>
      </c>
      <c r="AC249">
        <v>14.65</v>
      </c>
      <c r="AD249">
        <v>5.75</v>
      </c>
      <c r="AE249">
        <v>0.13333300000000001</v>
      </c>
      <c r="AF249">
        <v>0</v>
      </c>
      <c r="AG249">
        <v>5.6166669999999996</v>
      </c>
      <c r="AH249">
        <v>5.6166669999999996</v>
      </c>
      <c r="AI249">
        <v>4.95</v>
      </c>
      <c r="AJ249">
        <v>0.66666700000000001</v>
      </c>
      <c r="AK249">
        <v>0</v>
      </c>
      <c r="AL249" s="76">
        <v>44894</v>
      </c>
      <c r="AM249" s="75">
        <v>1154</v>
      </c>
      <c r="AN249" t="s">
        <v>65</v>
      </c>
      <c r="AO249" t="s">
        <v>1417</v>
      </c>
      <c r="AP249" t="s">
        <v>67</v>
      </c>
      <c r="AQ249" t="s">
        <v>68</v>
      </c>
      <c r="AR249" t="s">
        <v>69</v>
      </c>
      <c r="AS249" s="79"/>
      <c r="AT249" s="82" t="s">
        <v>1360</v>
      </c>
      <c r="AU249" s="78">
        <v>2026</v>
      </c>
      <c r="AV249" s="78">
        <v>1</v>
      </c>
      <c r="AW249" s="78" t="s">
        <v>71</v>
      </c>
      <c r="AX249" s="78">
        <v>1</v>
      </c>
      <c r="AY249" s="78">
        <v>0</v>
      </c>
      <c r="BT249" s="3" t="s">
        <v>71</v>
      </c>
      <c r="BU249" s="3">
        <v>1</v>
      </c>
      <c r="BV249" s="3">
        <v>0</v>
      </c>
    </row>
    <row r="250" spans="1:74" ht="15" customHeight="1" x14ac:dyDescent="0.25">
      <c r="A250" s="75">
        <v>5794753</v>
      </c>
      <c r="B250" t="s">
        <v>1418</v>
      </c>
      <c r="C250" t="s">
        <v>1419</v>
      </c>
      <c r="D250" t="s">
        <v>53</v>
      </c>
      <c r="E250" t="s">
        <v>87</v>
      </c>
      <c r="F250" s="75">
        <v>338</v>
      </c>
      <c r="G250" s="75">
        <v>123877</v>
      </c>
      <c r="H250">
        <v>458.49</v>
      </c>
      <c r="I250" t="s">
        <v>1420</v>
      </c>
      <c r="J250" s="75">
        <v>6971</v>
      </c>
      <c r="K250" t="s">
        <v>369</v>
      </c>
      <c r="L250" t="s">
        <v>370</v>
      </c>
      <c r="M250" s="81">
        <v>46048.4612037037</v>
      </c>
      <c r="N250" s="81">
        <v>46049.621736111112</v>
      </c>
      <c r="O250" t="s">
        <v>58</v>
      </c>
      <c r="P250" t="s">
        <v>59</v>
      </c>
      <c r="Q250" t="s">
        <v>130</v>
      </c>
      <c r="R250" t="s">
        <v>60</v>
      </c>
      <c r="S250" t="s">
        <v>583</v>
      </c>
      <c r="U250" s="75">
        <v>179407</v>
      </c>
      <c r="V250" t="s">
        <v>1421</v>
      </c>
      <c r="W250" t="s">
        <v>1421</v>
      </c>
      <c r="X250" t="s">
        <v>79</v>
      </c>
      <c r="Y250" t="s">
        <v>372</v>
      </c>
      <c r="AA250" t="s">
        <v>64</v>
      </c>
      <c r="AB250">
        <v>27.75</v>
      </c>
      <c r="AC250">
        <v>20.599999</v>
      </c>
      <c r="AD250">
        <v>7.1500009999999996</v>
      </c>
      <c r="AE250">
        <v>2.65</v>
      </c>
      <c r="AF250">
        <v>0</v>
      </c>
      <c r="AG250">
        <v>4.5000010000000001</v>
      </c>
      <c r="AH250">
        <v>4.5000010000000001</v>
      </c>
      <c r="AI250">
        <v>3.550001</v>
      </c>
      <c r="AJ250">
        <v>0.95</v>
      </c>
      <c r="AK250">
        <v>0</v>
      </c>
      <c r="AL250" s="76">
        <v>43622.579606481479</v>
      </c>
      <c r="AM250" s="75">
        <v>2425</v>
      </c>
      <c r="AN250" t="s">
        <v>65</v>
      </c>
      <c r="AO250" t="s">
        <v>1422</v>
      </c>
      <c r="AP250" t="s">
        <v>67</v>
      </c>
      <c r="AQ250" t="s">
        <v>83</v>
      </c>
      <c r="AR250" t="s">
        <v>69</v>
      </c>
      <c r="AS250" s="78"/>
      <c r="AT250" s="82" t="s">
        <v>1360</v>
      </c>
      <c r="AU250" s="78">
        <v>2026</v>
      </c>
      <c r="AV250" s="78">
        <v>1</v>
      </c>
      <c r="AW250" s="78" t="s">
        <v>84</v>
      </c>
      <c r="AX250" s="78">
        <v>1</v>
      </c>
      <c r="AY250" s="78">
        <v>0</v>
      </c>
      <c r="BT250" s="2" t="s">
        <v>84</v>
      </c>
      <c r="BU250" s="2">
        <v>1</v>
      </c>
      <c r="BV250" s="2">
        <v>0</v>
      </c>
    </row>
    <row r="251" spans="1:74" ht="15" customHeight="1" x14ac:dyDescent="0.25">
      <c r="A251" s="75">
        <v>5792087</v>
      </c>
      <c r="B251" t="s">
        <v>1423</v>
      </c>
      <c r="C251" t="s">
        <v>1424</v>
      </c>
      <c r="D251" t="s">
        <v>1400</v>
      </c>
      <c r="E251" t="s">
        <v>87</v>
      </c>
      <c r="F251" s="75">
        <v>7</v>
      </c>
      <c r="G251" s="75">
        <v>251401</v>
      </c>
      <c r="H251">
        <v>510</v>
      </c>
      <c r="I251" t="s">
        <v>114</v>
      </c>
      <c r="J251" s="75">
        <v>203645</v>
      </c>
      <c r="K251" t="s">
        <v>520</v>
      </c>
      <c r="L251" t="s">
        <v>521</v>
      </c>
      <c r="M251" s="81">
        <v>46045.543356481481</v>
      </c>
      <c r="N251" s="81">
        <v>46049.644305555557</v>
      </c>
      <c r="O251" t="s">
        <v>58</v>
      </c>
      <c r="P251" t="s">
        <v>59</v>
      </c>
      <c r="Q251" t="s">
        <v>77</v>
      </c>
      <c r="R251" t="s">
        <v>60</v>
      </c>
      <c r="S251" t="s">
        <v>583</v>
      </c>
      <c r="U251" s="75">
        <v>178811</v>
      </c>
      <c r="V251" t="s">
        <v>1425</v>
      </c>
      <c r="W251" t="s">
        <v>1426</v>
      </c>
      <c r="X251" t="s">
        <v>118</v>
      </c>
      <c r="Y251" t="s">
        <v>119</v>
      </c>
      <c r="AA251" t="s">
        <v>64</v>
      </c>
      <c r="AB251">
        <v>98.349998999999997</v>
      </c>
      <c r="AC251">
        <v>92.633332999999993</v>
      </c>
      <c r="AD251">
        <v>5.716666</v>
      </c>
      <c r="AE251">
        <v>0.23333300000000001</v>
      </c>
      <c r="AF251">
        <v>0</v>
      </c>
      <c r="AG251">
        <v>5.483333</v>
      </c>
      <c r="AH251">
        <v>5.483333</v>
      </c>
      <c r="AI251">
        <v>5.483333</v>
      </c>
      <c r="AJ251">
        <v>0</v>
      </c>
      <c r="AK251">
        <v>0</v>
      </c>
      <c r="AL251" s="76">
        <v>44888.441979166673</v>
      </c>
      <c r="AM251" s="75">
        <v>1157</v>
      </c>
      <c r="AN251" t="s">
        <v>65</v>
      </c>
      <c r="AO251" t="s">
        <v>1427</v>
      </c>
      <c r="AP251" t="s">
        <v>67</v>
      </c>
      <c r="AQ251" t="s">
        <v>121</v>
      </c>
      <c r="AR251" t="s">
        <v>69</v>
      </c>
      <c r="AS251" s="79"/>
      <c r="AT251" s="82" t="s">
        <v>1360</v>
      </c>
      <c r="AU251" s="78">
        <v>2026</v>
      </c>
      <c r="AV251" s="78">
        <v>1</v>
      </c>
      <c r="AW251" s="78" t="s">
        <v>122</v>
      </c>
      <c r="AX251" s="78">
        <v>1</v>
      </c>
      <c r="AY251" s="78">
        <v>0</v>
      </c>
      <c r="BT251" s="3" t="s">
        <v>122</v>
      </c>
      <c r="BU251" s="3">
        <v>1</v>
      </c>
      <c r="BV251" s="3">
        <v>0</v>
      </c>
    </row>
    <row r="252" spans="1:74" ht="15" customHeight="1" x14ac:dyDescent="0.25">
      <c r="A252" s="75">
        <v>5793481</v>
      </c>
      <c r="B252" t="s">
        <v>1428</v>
      </c>
      <c r="C252" t="s">
        <v>1429</v>
      </c>
      <c r="D252" t="s">
        <v>1137</v>
      </c>
      <c r="E252" t="s">
        <v>87</v>
      </c>
      <c r="F252" s="75">
        <v>102</v>
      </c>
      <c r="G252" s="75">
        <v>289775</v>
      </c>
      <c r="H252">
        <v>1264.2</v>
      </c>
      <c r="I252" t="s">
        <v>55</v>
      </c>
      <c r="J252" s="75">
        <v>149307</v>
      </c>
      <c r="K252" t="s">
        <v>350</v>
      </c>
      <c r="L252" t="s">
        <v>351</v>
      </c>
      <c r="M252" s="81">
        <v>46046.750405092593</v>
      </c>
      <c r="N252" s="81">
        <v>46049.656365740739</v>
      </c>
      <c r="O252" t="s">
        <v>58</v>
      </c>
      <c r="P252" t="s">
        <v>59</v>
      </c>
      <c r="Q252" t="s">
        <v>90</v>
      </c>
      <c r="R252" t="s">
        <v>60</v>
      </c>
      <c r="S252" t="s">
        <v>583</v>
      </c>
      <c r="U252" s="75">
        <v>178779</v>
      </c>
      <c r="V252" t="s">
        <v>1430</v>
      </c>
      <c r="W252" t="s">
        <v>1431</v>
      </c>
      <c r="X252" t="s">
        <v>62</v>
      </c>
      <c r="Y252" t="s">
        <v>63</v>
      </c>
      <c r="AA252" t="s">
        <v>81</v>
      </c>
      <c r="AB252">
        <v>69.699999000000005</v>
      </c>
      <c r="AC252">
        <v>67.999999000000003</v>
      </c>
      <c r="AD252">
        <v>1.7</v>
      </c>
      <c r="AE252">
        <v>1.0333330000000001</v>
      </c>
      <c r="AF252">
        <v>0</v>
      </c>
      <c r="AG252">
        <v>0.66666700000000001</v>
      </c>
      <c r="AH252">
        <v>0.66666700000000001</v>
      </c>
      <c r="AI252">
        <v>0.25</v>
      </c>
      <c r="AJ252">
        <v>0.41666700000000001</v>
      </c>
      <c r="AK252">
        <v>0</v>
      </c>
      <c r="AL252" s="76">
        <v>45029.512662037043</v>
      </c>
      <c r="AM252" s="75">
        <v>1017</v>
      </c>
      <c r="AN252" t="s">
        <v>65</v>
      </c>
      <c r="AO252" t="s">
        <v>1432</v>
      </c>
      <c r="AP252" t="s">
        <v>67</v>
      </c>
      <c r="AQ252" t="s">
        <v>68</v>
      </c>
      <c r="AR252" t="s">
        <v>69</v>
      </c>
      <c r="AS252" s="78"/>
      <c r="AT252" s="82" t="s">
        <v>1360</v>
      </c>
      <c r="AU252" s="78">
        <v>2026</v>
      </c>
      <c r="AV252" s="78">
        <v>1</v>
      </c>
      <c r="AW252" s="78" t="s">
        <v>71</v>
      </c>
      <c r="AX252" s="78">
        <v>1</v>
      </c>
      <c r="AY252" s="78">
        <v>0</v>
      </c>
      <c r="BT252" s="2" t="s">
        <v>71</v>
      </c>
      <c r="BU252" s="2">
        <v>1</v>
      </c>
      <c r="BV252" s="2">
        <v>0</v>
      </c>
    </row>
    <row r="253" spans="1:74" ht="15" customHeight="1" x14ac:dyDescent="0.25">
      <c r="A253" s="75">
        <v>5794971</v>
      </c>
      <c r="B253" t="s">
        <v>1433</v>
      </c>
      <c r="C253" t="s">
        <v>1434</v>
      </c>
      <c r="D253" t="s">
        <v>1137</v>
      </c>
      <c r="E253" t="s">
        <v>87</v>
      </c>
      <c r="F253" s="75">
        <v>825</v>
      </c>
      <c r="G253" s="75">
        <v>345209</v>
      </c>
      <c r="H253">
        <v>334.78</v>
      </c>
      <c r="I253" t="s">
        <v>141</v>
      </c>
      <c r="J253" s="75">
        <v>6971</v>
      </c>
      <c r="K253" t="s">
        <v>369</v>
      </c>
      <c r="L253" t="s">
        <v>370</v>
      </c>
      <c r="M253" s="81">
        <v>46048.556620370371</v>
      </c>
      <c r="N253" s="81">
        <v>46049.667071759257</v>
      </c>
      <c r="O253" t="s">
        <v>58</v>
      </c>
      <c r="P253" t="s">
        <v>59</v>
      </c>
      <c r="Q253" t="s">
        <v>77</v>
      </c>
      <c r="R253" t="s">
        <v>156</v>
      </c>
      <c r="S253" t="s">
        <v>1320</v>
      </c>
      <c r="U253" s="75">
        <v>179395</v>
      </c>
      <c r="V253" t="s">
        <v>1435</v>
      </c>
      <c r="X253" t="s">
        <v>79</v>
      </c>
      <c r="Y253" t="s">
        <v>224</v>
      </c>
      <c r="AA253" t="s">
        <v>64</v>
      </c>
      <c r="AB253">
        <v>26.583333</v>
      </c>
      <c r="AC253">
        <v>22.15</v>
      </c>
      <c r="AD253">
        <v>4.4333330000000002</v>
      </c>
      <c r="AE253">
        <v>0.183333</v>
      </c>
      <c r="AF253">
        <v>0</v>
      </c>
      <c r="AG253">
        <v>4.25</v>
      </c>
      <c r="AH253">
        <v>4.25</v>
      </c>
      <c r="AI253">
        <v>4.0999999999999996</v>
      </c>
      <c r="AJ253">
        <v>0.15</v>
      </c>
      <c r="AK253">
        <v>0</v>
      </c>
      <c r="AL253" s="76">
        <v>46149</v>
      </c>
      <c r="AM253" s="75">
        <v>-100</v>
      </c>
      <c r="AN253" t="s">
        <v>1436</v>
      </c>
      <c r="AO253" t="s">
        <v>1437</v>
      </c>
      <c r="AP253" t="s">
        <v>67</v>
      </c>
      <c r="AQ253" t="s">
        <v>83</v>
      </c>
      <c r="AR253" t="s">
        <v>69</v>
      </c>
      <c r="AS253" s="79"/>
      <c r="AT253" s="82" t="s">
        <v>1360</v>
      </c>
      <c r="AU253" s="78">
        <v>2026</v>
      </c>
      <c r="AV253" s="78">
        <v>1</v>
      </c>
      <c r="AW253" s="78" t="s">
        <v>226</v>
      </c>
      <c r="AX253" s="78">
        <v>1</v>
      </c>
      <c r="AY253" s="78">
        <v>0</v>
      </c>
      <c r="BT253" s="3" t="s">
        <v>226</v>
      </c>
      <c r="BU253" s="3">
        <v>1</v>
      </c>
      <c r="BV253" s="3">
        <v>0</v>
      </c>
    </row>
    <row r="254" spans="1:74" ht="15" customHeight="1" x14ac:dyDescent="0.25">
      <c r="A254" s="75">
        <v>5796165</v>
      </c>
      <c r="B254" t="s">
        <v>1438</v>
      </c>
      <c r="C254" t="s">
        <v>1439</v>
      </c>
      <c r="D254" t="s">
        <v>257</v>
      </c>
      <c r="E254" t="s">
        <v>87</v>
      </c>
      <c r="F254" s="75">
        <v>11</v>
      </c>
      <c r="G254" s="75">
        <v>275209</v>
      </c>
      <c r="H254">
        <v>569.71</v>
      </c>
      <c r="I254" t="s">
        <v>55</v>
      </c>
      <c r="J254" s="75">
        <v>216233</v>
      </c>
      <c r="K254" t="s">
        <v>88</v>
      </c>
      <c r="L254" t="s">
        <v>89</v>
      </c>
      <c r="M254" s="81">
        <v>46049.388553240737</v>
      </c>
      <c r="N254" s="81">
        <v>46049.698773148149</v>
      </c>
      <c r="O254" t="s">
        <v>58</v>
      </c>
      <c r="P254" t="s">
        <v>59</v>
      </c>
      <c r="R254" t="s">
        <v>60</v>
      </c>
      <c r="S254" t="s">
        <v>1268</v>
      </c>
      <c r="U254" s="75">
        <v>179791</v>
      </c>
      <c r="V254" t="s">
        <v>1440</v>
      </c>
      <c r="W254" t="s">
        <v>1440</v>
      </c>
      <c r="X254" t="s">
        <v>62</v>
      </c>
      <c r="Y254" t="s">
        <v>63</v>
      </c>
      <c r="AA254" t="s">
        <v>64</v>
      </c>
      <c r="AB254">
        <v>7.4166670000000003</v>
      </c>
      <c r="AC254">
        <v>0.31666699999999998</v>
      </c>
      <c r="AD254">
        <v>7.1</v>
      </c>
      <c r="AE254">
        <v>0</v>
      </c>
      <c r="AF254">
        <v>0</v>
      </c>
      <c r="AG254">
        <v>7.1</v>
      </c>
      <c r="AH254">
        <v>7.1</v>
      </c>
      <c r="AI254">
        <v>6.9333330000000002</v>
      </c>
      <c r="AJ254">
        <v>0.16666700000000001</v>
      </c>
      <c r="AK254">
        <v>0</v>
      </c>
      <c r="AL254" s="76">
        <v>44876</v>
      </c>
      <c r="AM254" s="75">
        <v>1173</v>
      </c>
      <c r="AN254" t="s">
        <v>65</v>
      </c>
      <c r="AO254" t="s">
        <v>1441</v>
      </c>
      <c r="AP254" t="s">
        <v>67</v>
      </c>
      <c r="AQ254" t="s">
        <v>68</v>
      </c>
      <c r="AR254" t="s">
        <v>69</v>
      </c>
      <c r="AS254" s="78"/>
      <c r="AT254" s="82" t="s">
        <v>1360</v>
      </c>
      <c r="AU254" s="78">
        <v>2026</v>
      </c>
      <c r="AV254" s="78">
        <v>1</v>
      </c>
      <c r="AW254" s="78" t="s">
        <v>71</v>
      </c>
      <c r="AX254" s="78">
        <v>1</v>
      </c>
      <c r="AY254" s="78">
        <v>0</v>
      </c>
      <c r="BT254" s="2" t="s">
        <v>71</v>
      </c>
      <c r="BU254" s="2">
        <v>1</v>
      </c>
      <c r="BV254" s="2">
        <v>0</v>
      </c>
    </row>
    <row r="255" spans="1:74" ht="15" customHeight="1" x14ac:dyDescent="0.25">
      <c r="A255" s="75">
        <v>5799261</v>
      </c>
      <c r="B255" t="s">
        <v>1442</v>
      </c>
      <c r="C255" t="s">
        <v>1443</v>
      </c>
      <c r="D255" t="s">
        <v>74</v>
      </c>
      <c r="E255" t="s">
        <v>87</v>
      </c>
      <c r="F255" s="75">
        <v>1</v>
      </c>
      <c r="G255" s="75">
        <v>270911</v>
      </c>
      <c r="H255">
        <v>5491.66</v>
      </c>
      <c r="I255" t="s">
        <v>242</v>
      </c>
      <c r="J255" s="75">
        <v>214467</v>
      </c>
      <c r="K255" t="s">
        <v>1444</v>
      </c>
      <c r="L255" t="s">
        <v>1445</v>
      </c>
      <c r="M255" s="81">
        <v>46049.896099537043</v>
      </c>
      <c r="N255" s="81">
        <v>46050.458310185182</v>
      </c>
      <c r="O255" t="s">
        <v>58</v>
      </c>
      <c r="P255" t="s">
        <v>59</v>
      </c>
      <c r="Q255" t="s">
        <v>90</v>
      </c>
      <c r="R255" t="s">
        <v>99</v>
      </c>
      <c r="S255" t="s">
        <v>1244</v>
      </c>
      <c r="T255" t="s">
        <v>231</v>
      </c>
      <c r="U255" s="75">
        <v>180579</v>
      </c>
      <c r="V255" t="s">
        <v>1446</v>
      </c>
      <c r="X255" t="s">
        <v>62</v>
      </c>
      <c r="Y255" t="s">
        <v>1447</v>
      </c>
      <c r="AA255" t="s">
        <v>81</v>
      </c>
      <c r="AB255">
        <v>13.449999</v>
      </c>
      <c r="AC255">
        <v>7.8333329999999997</v>
      </c>
      <c r="AD255">
        <v>5.6166660000000004</v>
      </c>
      <c r="AE255">
        <v>1.7166669999999999</v>
      </c>
      <c r="AF255">
        <v>0</v>
      </c>
      <c r="AG255">
        <v>3.8999990000000002</v>
      </c>
      <c r="AH255">
        <v>3.8999990000000002</v>
      </c>
      <c r="AI255">
        <v>2.5333329999999998</v>
      </c>
      <c r="AJ255">
        <v>1.3666659999999999</v>
      </c>
      <c r="AK255">
        <v>0</v>
      </c>
      <c r="AL255" s="76">
        <v>36526</v>
      </c>
      <c r="AM255" s="75">
        <v>9523</v>
      </c>
      <c r="AN255" t="s">
        <v>65</v>
      </c>
      <c r="AO255" t="s">
        <v>1448</v>
      </c>
      <c r="AP255" t="s">
        <v>67</v>
      </c>
      <c r="AQ255" t="s">
        <v>68</v>
      </c>
      <c r="AR255" t="s">
        <v>69</v>
      </c>
      <c r="AS255" s="79"/>
      <c r="AT255" s="82" t="s">
        <v>1360</v>
      </c>
      <c r="AU255" s="78">
        <v>2026</v>
      </c>
      <c r="AV255" s="78">
        <v>1</v>
      </c>
      <c r="AW255" s="78" t="s">
        <v>137</v>
      </c>
      <c r="AX255" s="78">
        <v>1</v>
      </c>
      <c r="AY255" s="78">
        <v>0</v>
      </c>
      <c r="BT255" s="3" t="s">
        <v>137</v>
      </c>
      <c r="BU255" s="3">
        <v>1</v>
      </c>
      <c r="BV255" s="3">
        <v>0</v>
      </c>
    </row>
    <row r="256" spans="1:74" ht="15" customHeight="1" x14ac:dyDescent="0.25">
      <c r="A256" s="75">
        <v>5792867</v>
      </c>
      <c r="B256" t="s">
        <v>1449</v>
      </c>
      <c r="C256" t="s">
        <v>1450</v>
      </c>
      <c r="D256" t="s">
        <v>125</v>
      </c>
      <c r="E256" t="s">
        <v>87</v>
      </c>
      <c r="F256" s="75">
        <v>447</v>
      </c>
      <c r="G256" s="75">
        <v>289323</v>
      </c>
      <c r="H256">
        <v>398.82</v>
      </c>
      <c r="I256" t="s">
        <v>55</v>
      </c>
      <c r="J256" s="75">
        <v>216233</v>
      </c>
      <c r="K256" t="s">
        <v>88</v>
      </c>
      <c r="L256" t="s">
        <v>89</v>
      </c>
      <c r="M256" s="81">
        <v>46046.048981481479</v>
      </c>
      <c r="N256" s="81">
        <v>46050.51766203704</v>
      </c>
      <c r="O256" t="s">
        <v>58</v>
      </c>
      <c r="P256" t="s">
        <v>59</v>
      </c>
      <c r="Q256" t="s">
        <v>90</v>
      </c>
      <c r="R256" t="s">
        <v>60</v>
      </c>
      <c r="S256" t="s">
        <v>1268</v>
      </c>
      <c r="U256" s="75">
        <v>180601</v>
      </c>
      <c r="V256" t="s">
        <v>1451</v>
      </c>
      <c r="W256" t="s">
        <v>1452</v>
      </c>
      <c r="X256" t="s">
        <v>62</v>
      </c>
      <c r="Y256" t="s">
        <v>63</v>
      </c>
      <c r="AA256" t="s">
        <v>416</v>
      </c>
      <c r="AB256">
        <v>107.099999</v>
      </c>
      <c r="AC256">
        <v>83.766666999999998</v>
      </c>
      <c r="AD256">
        <v>23.333331999999999</v>
      </c>
      <c r="AE256">
        <v>1.1666669999999999</v>
      </c>
      <c r="AF256">
        <v>0</v>
      </c>
      <c r="AG256">
        <v>22.166664999999998</v>
      </c>
      <c r="AH256">
        <v>22.166664999999998</v>
      </c>
      <c r="AI256">
        <v>21.633333</v>
      </c>
      <c r="AJ256">
        <v>0.53333200000000003</v>
      </c>
      <c r="AK256">
        <v>0</v>
      </c>
      <c r="AL256" s="76">
        <v>45022</v>
      </c>
      <c r="AM256" s="75">
        <v>1024</v>
      </c>
      <c r="AN256" t="s">
        <v>65</v>
      </c>
      <c r="AO256" t="s">
        <v>1453</v>
      </c>
      <c r="AP256" t="s">
        <v>67</v>
      </c>
      <c r="AQ256" t="s">
        <v>68</v>
      </c>
      <c r="AR256" t="s">
        <v>69</v>
      </c>
      <c r="AS256" s="78"/>
      <c r="AT256" s="82" t="s">
        <v>1360</v>
      </c>
      <c r="AU256" s="78">
        <v>2026</v>
      </c>
      <c r="AV256" s="78">
        <v>1</v>
      </c>
      <c r="AW256" s="78" t="s">
        <v>71</v>
      </c>
      <c r="AX256" s="78">
        <v>0</v>
      </c>
      <c r="AY256" s="78">
        <v>0</v>
      </c>
      <c r="BT256" s="2" t="s">
        <v>71</v>
      </c>
      <c r="BU256" s="2">
        <v>0</v>
      </c>
      <c r="BV256" s="2">
        <v>0</v>
      </c>
    </row>
    <row r="257" spans="1:74" ht="15" customHeight="1" x14ac:dyDescent="0.25">
      <c r="A257" s="75">
        <v>5798659</v>
      </c>
      <c r="B257" t="s">
        <v>1454</v>
      </c>
      <c r="C257" t="s">
        <v>1455</v>
      </c>
      <c r="D257" t="s">
        <v>150</v>
      </c>
      <c r="E257" t="s">
        <v>54</v>
      </c>
      <c r="F257" s="75">
        <v>1</v>
      </c>
      <c r="G257" s="75">
        <v>300515</v>
      </c>
      <c r="H257">
        <v>888.76</v>
      </c>
      <c r="I257" t="s">
        <v>114</v>
      </c>
      <c r="J257" s="75">
        <v>219349</v>
      </c>
      <c r="K257" t="s">
        <v>1456</v>
      </c>
      <c r="L257" t="s">
        <v>1457</v>
      </c>
      <c r="M257" s="81">
        <v>46049.648958333331</v>
      </c>
      <c r="N257" s="81">
        <v>46050.566979166673</v>
      </c>
      <c r="O257" t="s">
        <v>58</v>
      </c>
      <c r="P257" t="s">
        <v>59</v>
      </c>
      <c r="Q257" t="s">
        <v>130</v>
      </c>
      <c r="R257" t="s">
        <v>131</v>
      </c>
      <c r="S257" t="s">
        <v>1316</v>
      </c>
      <c r="U257" s="75">
        <v>180391</v>
      </c>
      <c r="V257" t="s">
        <v>1458</v>
      </c>
      <c r="W257" t="s">
        <v>1459</v>
      </c>
      <c r="X257" t="s">
        <v>79</v>
      </c>
      <c r="Y257" t="s">
        <v>224</v>
      </c>
      <c r="AA257" t="s">
        <v>64</v>
      </c>
      <c r="AB257">
        <v>21.95</v>
      </c>
      <c r="AC257">
        <v>14.8</v>
      </c>
      <c r="AD257">
        <v>7.15</v>
      </c>
      <c r="AE257">
        <v>0.13333300000000001</v>
      </c>
      <c r="AF257">
        <v>0</v>
      </c>
      <c r="AG257">
        <v>7.016667</v>
      </c>
      <c r="AH257">
        <v>7.016667</v>
      </c>
      <c r="AI257">
        <v>6.7</v>
      </c>
      <c r="AJ257">
        <v>0.31666699999999998</v>
      </c>
      <c r="AK257">
        <v>0</v>
      </c>
      <c r="AL257" s="76">
        <v>45386.510231481479</v>
      </c>
      <c r="AM257" s="75">
        <v>663</v>
      </c>
      <c r="AN257" t="s">
        <v>65</v>
      </c>
      <c r="AO257" t="s">
        <v>1460</v>
      </c>
      <c r="AP257" t="s">
        <v>67</v>
      </c>
      <c r="AQ257" t="s">
        <v>83</v>
      </c>
      <c r="AR257" t="s">
        <v>69</v>
      </c>
      <c r="AS257" s="79"/>
      <c r="AT257" s="82" t="s">
        <v>1360</v>
      </c>
      <c r="AU257" s="78">
        <v>2026</v>
      </c>
      <c r="AV257" s="78">
        <v>1</v>
      </c>
      <c r="AW257" s="78" t="s">
        <v>226</v>
      </c>
      <c r="AX257" s="78">
        <v>1</v>
      </c>
      <c r="AY257" s="78">
        <v>0</v>
      </c>
      <c r="BT257" s="3" t="s">
        <v>226</v>
      </c>
      <c r="BU257" s="3">
        <v>1</v>
      </c>
      <c r="BV257" s="3">
        <v>0</v>
      </c>
    </row>
    <row r="258" spans="1:74" ht="15" customHeight="1" x14ac:dyDescent="0.25">
      <c r="A258" s="75">
        <v>5786049</v>
      </c>
      <c r="B258" t="s">
        <v>1461</v>
      </c>
      <c r="C258" t="s">
        <v>1462</v>
      </c>
      <c r="D258" t="s">
        <v>150</v>
      </c>
      <c r="E258" t="s">
        <v>54</v>
      </c>
      <c r="F258" s="75">
        <v>1</v>
      </c>
      <c r="G258" s="75">
        <v>298421</v>
      </c>
      <c r="H258">
        <v>12120.5</v>
      </c>
      <c r="I258" t="s">
        <v>55</v>
      </c>
      <c r="J258" s="75">
        <v>218753</v>
      </c>
      <c r="K258" t="s">
        <v>1463</v>
      </c>
      <c r="L258" t="s">
        <v>1464</v>
      </c>
      <c r="M258" s="81">
        <v>46043.415798611109</v>
      </c>
      <c r="N258" s="81">
        <v>46050.601006944453</v>
      </c>
      <c r="O258" t="s">
        <v>554</v>
      </c>
      <c r="P258" t="s">
        <v>59</v>
      </c>
      <c r="Q258" t="s">
        <v>341</v>
      </c>
      <c r="R258" t="s">
        <v>131</v>
      </c>
      <c r="S258" t="s">
        <v>1316</v>
      </c>
      <c r="T258" t="s">
        <v>1465</v>
      </c>
      <c r="U258" s="75">
        <v>179613</v>
      </c>
      <c r="V258" t="s">
        <v>1466</v>
      </c>
      <c r="W258" t="s">
        <v>1467</v>
      </c>
      <c r="X258" t="s">
        <v>118</v>
      </c>
      <c r="Y258" t="s">
        <v>1468</v>
      </c>
      <c r="AA258" t="s">
        <v>295</v>
      </c>
      <c r="AB258">
        <v>172.166664</v>
      </c>
      <c r="AC258">
        <v>143.69999999999999</v>
      </c>
      <c r="AD258">
        <v>28.466664000000002</v>
      </c>
      <c r="AE258">
        <v>1.3833329999999999</v>
      </c>
      <c r="AF258">
        <v>0</v>
      </c>
      <c r="AG258">
        <v>27.083331000000001</v>
      </c>
      <c r="AH258">
        <v>27.083331000000001</v>
      </c>
      <c r="AI258">
        <v>19.316665</v>
      </c>
      <c r="AJ258">
        <v>7.7666659999999998</v>
      </c>
      <c r="AK258">
        <v>0</v>
      </c>
      <c r="AL258" s="76">
        <v>46163.644583333327</v>
      </c>
      <c r="AM258" s="75">
        <v>-120</v>
      </c>
      <c r="AN258" t="s">
        <v>1436</v>
      </c>
      <c r="AO258" t="s">
        <v>1469</v>
      </c>
      <c r="AP258" t="s">
        <v>67</v>
      </c>
      <c r="AQ258" t="s">
        <v>121</v>
      </c>
      <c r="AR258" t="s">
        <v>69</v>
      </c>
      <c r="AS258" s="78"/>
      <c r="AT258" s="82" t="s">
        <v>1360</v>
      </c>
      <c r="AU258" s="78">
        <v>2026</v>
      </c>
      <c r="AV258" s="78">
        <v>1</v>
      </c>
      <c r="AW258" s="78" t="s">
        <v>347</v>
      </c>
      <c r="AX258" s="78">
        <v>0</v>
      </c>
      <c r="AY258" s="78">
        <v>1</v>
      </c>
      <c r="BT258" s="2" t="s">
        <v>347</v>
      </c>
      <c r="BU258" s="2">
        <v>0</v>
      </c>
      <c r="BV258" s="2">
        <v>1</v>
      </c>
    </row>
    <row r="259" spans="1:74" ht="15" customHeight="1" x14ac:dyDescent="0.25">
      <c r="A259" s="75">
        <v>5800183</v>
      </c>
      <c r="B259" t="s">
        <v>1470</v>
      </c>
      <c r="C259" t="s">
        <v>1471</v>
      </c>
      <c r="D259" t="s">
        <v>162</v>
      </c>
      <c r="E259" t="s">
        <v>105</v>
      </c>
      <c r="F259" s="75">
        <v>1219</v>
      </c>
      <c r="G259" s="75">
        <v>340847</v>
      </c>
      <c r="H259">
        <v>442.11</v>
      </c>
      <c r="I259" t="s">
        <v>175</v>
      </c>
      <c r="J259" s="75">
        <v>83605</v>
      </c>
      <c r="K259" t="s">
        <v>844</v>
      </c>
      <c r="L259" t="s">
        <v>845</v>
      </c>
      <c r="M259" s="81">
        <v>46050.465787037043</v>
      </c>
      <c r="N259" s="81">
        <v>46050.679502314822</v>
      </c>
      <c r="O259" t="s">
        <v>554</v>
      </c>
      <c r="P259" t="s">
        <v>59</v>
      </c>
      <c r="Q259" t="s">
        <v>90</v>
      </c>
      <c r="R259" t="s">
        <v>99</v>
      </c>
      <c r="S259" t="s">
        <v>1244</v>
      </c>
      <c r="U259" s="75">
        <v>181119</v>
      </c>
      <c r="V259" t="s">
        <v>1472</v>
      </c>
      <c r="X259" t="s">
        <v>62</v>
      </c>
      <c r="Y259" t="s">
        <v>63</v>
      </c>
      <c r="AA259" t="s">
        <v>64</v>
      </c>
      <c r="AB259">
        <v>5.0833329999999997</v>
      </c>
      <c r="AC259">
        <v>0</v>
      </c>
      <c r="AD259">
        <v>5.0833329999999997</v>
      </c>
      <c r="AE259">
        <v>0.43333300000000002</v>
      </c>
      <c r="AF259">
        <v>0</v>
      </c>
      <c r="AG259">
        <v>4.6500000000000004</v>
      </c>
      <c r="AI259">
        <v>4.5999999999999996</v>
      </c>
      <c r="AJ259">
        <v>0.05</v>
      </c>
      <c r="AK259">
        <v>0</v>
      </c>
      <c r="AL259" s="76">
        <v>45869.70894675926</v>
      </c>
      <c r="AM259" s="75">
        <v>180</v>
      </c>
      <c r="AN259" t="s">
        <v>65</v>
      </c>
      <c r="AO259" t="s">
        <v>1473</v>
      </c>
      <c r="AP259" t="s">
        <v>67</v>
      </c>
      <c r="AQ259" t="s">
        <v>68</v>
      </c>
      <c r="AR259" t="s">
        <v>69</v>
      </c>
      <c r="AS259" s="79"/>
      <c r="AT259" s="82" t="s">
        <v>1360</v>
      </c>
      <c r="AU259" s="78">
        <v>2026</v>
      </c>
      <c r="AV259" s="78">
        <v>1</v>
      </c>
      <c r="AW259" s="78" t="s">
        <v>71</v>
      </c>
      <c r="AX259" s="78">
        <v>1</v>
      </c>
      <c r="AY259" s="78">
        <v>0</v>
      </c>
      <c r="BT259" s="3" t="s">
        <v>71</v>
      </c>
      <c r="BU259" s="3">
        <v>1</v>
      </c>
      <c r="BV259" s="3">
        <v>0</v>
      </c>
    </row>
    <row r="260" spans="1:74" ht="15" customHeight="1" x14ac:dyDescent="0.25">
      <c r="A260" s="75">
        <v>5800283</v>
      </c>
      <c r="B260" t="s">
        <v>1474</v>
      </c>
      <c r="C260" t="s">
        <v>1475</v>
      </c>
      <c r="D260" t="s">
        <v>1052</v>
      </c>
      <c r="E260" t="s">
        <v>54</v>
      </c>
      <c r="F260" s="75">
        <v>1</v>
      </c>
      <c r="G260" s="75">
        <v>294383</v>
      </c>
      <c r="H260">
        <v>377.91</v>
      </c>
      <c r="I260" t="s">
        <v>55</v>
      </c>
      <c r="J260" s="75">
        <v>218289</v>
      </c>
      <c r="K260" t="s">
        <v>487</v>
      </c>
      <c r="L260" t="s">
        <v>488</v>
      </c>
      <c r="M260" s="81">
        <v>46050.485590277778</v>
      </c>
      <c r="N260" s="81">
        <v>46050.79111111111</v>
      </c>
      <c r="O260" t="s">
        <v>58</v>
      </c>
      <c r="P260" t="s">
        <v>59</v>
      </c>
      <c r="Q260" t="s">
        <v>130</v>
      </c>
      <c r="R260" t="s">
        <v>60</v>
      </c>
      <c r="S260" t="s">
        <v>583</v>
      </c>
      <c r="U260" s="75">
        <v>181141</v>
      </c>
      <c r="V260" t="s">
        <v>1476</v>
      </c>
      <c r="W260" t="s">
        <v>1476</v>
      </c>
      <c r="X260" t="s">
        <v>62</v>
      </c>
      <c r="Y260" t="s">
        <v>63</v>
      </c>
      <c r="AA260" t="s">
        <v>64</v>
      </c>
      <c r="AB260">
        <v>7.2999989999999997</v>
      </c>
      <c r="AC260">
        <v>0.73333300000000001</v>
      </c>
      <c r="AD260">
        <v>6.5666659999999997</v>
      </c>
      <c r="AE260">
        <v>0.183333</v>
      </c>
      <c r="AF260">
        <v>0</v>
      </c>
      <c r="AG260">
        <v>6.3833330000000004</v>
      </c>
      <c r="AH260">
        <v>6.3833330000000004</v>
      </c>
      <c r="AI260">
        <v>6.35</v>
      </c>
      <c r="AJ260">
        <v>3.3333000000000002E-2</v>
      </c>
      <c r="AK260">
        <v>0</v>
      </c>
      <c r="AL260" s="76">
        <v>45205</v>
      </c>
      <c r="AM260" s="75">
        <v>845</v>
      </c>
      <c r="AN260" t="s">
        <v>65</v>
      </c>
      <c r="AO260" t="s">
        <v>491</v>
      </c>
      <c r="AP260" t="s">
        <v>67</v>
      </c>
      <c r="AQ260" t="s">
        <v>68</v>
      </c>
      <c r="AR260" t="s">
        <v>69</v>
      </c>
      <c r="AS260" s="78"/>
      <c r="AT260" s="82" t="s">
        <v>1360</v>
      </c>
      <c r="AU260" s="78">
        <v>2026</v>
      </c>
      <c r="AV260" s="78">
        <v>1</v>
      </c>
      <c r="AW260" s="78" t="s">
        <v>71</v>
      </c>
      <c r="AX260" s="78">
        <v>1</v>
      </c>
      <c r="AY260" s="78">
        <v>0</v>
      </c>
      <c r="BT260" s="2" t="s">
        <v>71</v>
      </c>
      <c r="BU260" s="2">
        <v>1</v>
      </c>
      <c r="BV260" s="2">
        <v>0</v>
      </c>
    </row>
    <row r="261" spans="1:74" ht="15" customHeight="1" x14ac:dyDescent="0.25">
      <c r="A261" s="75">
        <v>5799565</v>
      </c>
      <c r="B261" t="s">
        <v>1477</v>
      </c>
      <c r="C261" t="s">
        <v>1478</v>
      </c>
      <c r="D261" t="s">
        <v>956</v>
      </c>
      <c r="E261" t="s">
        <v>105</v>
      </c>
      <c r="F261" s="75">
        <v>86</v>
      </c>
      <c r="G261" s="75">
        <v>275945</v>
      </c>
      <c r="H261">
        <v>1288.22</v>
      </c>
      <c r="I261" t="s">
        <v>266</v>
      </c>
      <c r="J261" s="75">
        <v>225215</v>
      </c>
      <c r="K261" t="s">
        <v>106</v>
      </c>
      <c r="L261" t="s">
        <v>107</v>
      </c>
      <c r="M261" s="81">
        <v>46050.333726851852</v>
      </c>
      <c r="N261" s="81">
        <v>46051.391493055547</v>
      </c>
      <c r="O261" t="s">
        <v>58</v>
      </c>
      <c r="P261" t="s">
        <v>59</v>
      </c>
      <c r="Q261" t="s">
        <v>90</v>
      </c>
      <c r="R261" t="s">
        <v>99</v>
      </c>
      <c r="S261" t="s">
        <v>1244</v>
      </c>
      <c r="U261" s="75">
        <v>180797</v>
      </c>
      <c r="V261" t="s">
        <v>1479</v>
      </c>
      <c r="X261" t="s">
        <v>62</v>
      </c>
      <c r="Y261" t="s">
        <v>271</v>
      </c>
      <c r="AA261" t="s">
        <v>64</v>
      </c>
      <c r="AB261">
        <v>25.316666999999999</v>
      </c>
      <c r="AC261">
        <v>17.416665999999999</v>
      </c>
      <c r="AD261">
        <v>7.9000009999999996</v>
      </c>
      <c r="AE261">
        <v>0.466667</v>
      </c>
      <c r="AF261">
        <v>0</v>
      </c>
      <c r="AG261">
        <v>7.4333340000000003</v>
      </c>
      <c r="AH261">
        <v>7.4333340000000003</v>
      </c>
      <c r="AI261">
        <v>7.3166669999999998</v>
      </c>
      <c r="AJ261">
        <v>0.11666700000000001</v>
      </c>
      <c r="AK261">
        <v>0</v>
      </c>
      <c r="AL261" s="76">
        <v>44344</v>
      </c>
      <c r="AM261" s="75">
        <v>1706</v>
      </c>
      <c r="AN261" t="s">
        <v>65</v>
      </c>
      <c r="AO261" t="s">
        <v>1480</v>
      </c>
      <c r="AP261" t="s">
        <v>67</v>
      </c>
      <c r="AQ261" t="s">
        <v>68</v>
      </c>
      <c r="AR261" t="s">
        <v>69</v>
      </c>
      <c r="AS261" s="79"/>
      <c r="AT261" s="82" t="s">
        <v>1360</v>
      </c>
      <c r="AU261" s="78">
        <v>2026</v>
      </c>
      <c r="AV261" s="78">
        <v>1</v>
      </c>
      <c r="AW261" s="78" t="s">
        <v>137</v>
      </c>
      <c r="AX261" s="78">
        <v>1</v>
      </c>
      <c r="AY261" s="78">
        <v>0</v>
      </c>
      <c r="BT261" s="3" t="s">
        <v>137</v>
      </c>
      <c r="BU261" s="3">
        <v>1</v>
      </c>
      <c r="BV261" s="3">
        <v>0</v>
      </c>
    </row>
    <row r="262" spans="1:74" ht="15" customHeight="1" x14ac:dyDescent="0.25">
      <c r="A262" s="75">
        <v>5799247</v>
      </c>
      <c r="B262" t="s">
        <v>1481</v>
      </c>
      <c r="C262" t="s">
        <v>1482</v>
      </c>
      <c r="D262" t="s">
        <v>74</v>
      </c>
      <c r="E262" t="s">
        <v>105</v>
      </c>
      <c r="F262" s="75">
        <v>66</v>
      </c>
      <c r="G262" s="75">
        <v>345623</v>
      </c>
      <c r="H262">
        <v>1590</v>
      </c>
      <c r="I262" t="s">
        <v>175</v>
      </c>
      <c r="J262" s="75">
        <v>204139</v>
      </c>
      <c r="K262" t="s">
        <v>1000</v>
      </c>
      <c r="L262" t="s">
        <v>1001</v>
      </c>
      <c r="M262" s="81">
        <v>46049.882465277777</v>
      </c>
      <c r="N262" s="81">
        <v>46051.412708333337</v>
      </c>
      <c r="O262" t="s">
        <v>58</v>
      </c>
      <c r="P262" t="s">
        <v>59</v>
      </c>
      <c r="Q262" t="s">
        <v>90</v>
      </c>
      <c r="R262" t="s">
        <v>60</v>
      </c>
      <c r="S262" t="s">
        <v>583</v>
      </c>
      <c r="U262" s="75">
        <v>180583</v>
      </c>
      <c r="V262" t="s">
        <v>1483</v>
      </c>
      <c r="W262" t="s">
        <v>1484</v>
      </c>
      <c r="X262" t="s">
        <v>62</v>
      </c>
      <c r="Y262" t="s">
        <v>271</v>
      </c>
      <c r="AA262" t="s">
        <v>64</v>
      </c>
      <c r="AB262">
        <v>36.666665000000002</v>
      </c>
      <c r="AC262">
        <v>26.516666000000001</v>
      </c>
      <c r="AD262">
        <v>10.149998999999999</v>
      </c>
      <c r="AE262">
        <v>3.0333329999999998</v>
      </c>
      <c r="AF262">
        <v>0</v>
      </c>
      <c r="AG262">
        <v>7.1166660000000004</v>
      </c>
      <c r="AH262">
        <v>7.1166660000000004</v>
      </c>
      <c r="AI262">
        <v>6.0833329999999997</v>
      </c>
      <c r="AJ262">
        <v>1.0333330000000001</v>
      </c>
      <c r="AK262">
        <v>0</v>
      </c>
      <c r="AL262" s="76">
        <v>44641</v>
      </c>
      <c r="AM262" s="75">
        <v>1408</v>
      </c>
      <c r="AN262" t="s">
        <v>65</v>
      </c>
      <c r="AO262" t="s">
        <v>1003</v>
      </c>
      <c r="AP262" t="s">
        <v>67</v>
      </c>
      <c r="AQ262" t="s">
        <v>68</v>
      </c>
      <c r="AR262" t="s">
        <v>69</v>
      </c>
      <c r="AS262" s="78"/>
      <c r="AT262" s="82" t="s">
        <v>1360</v>
      </c>
      <c r="AU262" s="78">
        <v>2026</v>
      </c>
      <c r="AV262" s="78">
        <v>1</v>
      </c>
      <c r="AW262" s="78" t="s">
        <v>137</v>
      </c>
      <c r="AX262" s="78">
        <v>1</v>
      </c>
      <c r="AY262" s="78">
        <v>0</v>
      </c>
      <c r="BT262" s="2" t="s">
        <v>137</v>
      </c>
      <c r="BU262" s="2">
        <v>1</v>
      </c>
      <c r="BV262" s="2">
        <v>0</v>
      </c>
    </row>
    <row r="263" spans="1:74" ht="15" customHeight="1" x14ac:dyDescent="0.25">
      <c r="A263" s="75">
        <v>5792847</v>
      </c>
      <c r="B263" t="s">
        <v>1485</v>
      </c>
      <c r="C263" t="s">
        <v>1486</v>
      </c>
      <c r="D263" t="s">
        <v>1400</v>
      </c>
      <c r="E263" t="s">
        <v>105</v>
      </c>
      <c r="F263" s="75">
        <v>1123</v>
      </c>
      <c r="G263" s="75">
        <v>333493</v>
      </c>
      <c r="H263">
        <v>456.52</v>
      </c>
      <c r="I263" t="s">
        <v>175</v>
      </c>
      <c r="J263" s="75">
        <v>83605</v>
      </c>
      <c r="K263" t="s">
        <v>844</v>
      </c>
      <c r="L263" t="s">
        <v>845</v>
      </c>
      <c r="M263" s="81">
        <v>46045.993518518517</v>
      </c>
      <c r="N263" s="81">
        <v>46051.442048611112</v>
      </c>
      <c r="O263" t="s">
        <v>58</v>
      </c>
      <c r="P263" t="s">
        <v>59</v>
      </c>
      <c r="Q263" t="s">
        <v>90</v>
      </c>
      <c r="R263" t="s">
        <v>156</v>
      </c>
      <c r="S263" t="s">
        <v>1320</v>
      </c>
      <c r="U263" s="75">
        <v>180605</v>
      </c>
      <c r="V263" t="s">
        <v>1487</v>
      </c>
      <c r="W263" t="s">
        <v>1488</v>
      </c>
      <c r="X263" t="s">
        <v>62</v>
      </c>
      <c r="Y263" t="s">
        <v>63</v>
      </c>
      <c r="AA263" t="s">
        <v>101</v>
      </c>
      <c r="AB263">
        <v>130.69999899999999</v>
      </c>
      <c r="AC263">
        <v>118.566666</v>
      </c>
      <c r="AD263">
        <v>12.133333</v>
      </c>
      <c r="AE263">
        <v>2.2999999999999998</v>
      </c>
      <c r="AF263">
        <v>0</v>
      </c>
      <c r="AG263">
        <v>9.8333329999999997</v>
      </c>
      <c r="AH263">
        <v>9.8333329999999997</v>
      </c>
      <c r="AI263">
        <v>9.4499999999999993</v>
      </c>
      <c r="AJ263">
        <v>0.38333299999999998</v>
      </c>
      <c r="AK263">
        <v>0</v>
      </c>
      <c r="AL263" s="76">
        <v>45808.717766203707</v>
      </c>
      <c r="AM263" s="75">
        <v>237</v>
      </c>
      <c r="AN263" t="s">
        <v>65</v>
      </c>
      <c r="AO263" t="s">
        <v>1333</v>
      </c>
      <c r="AP263" t="s">
        <v>67</v>
      </c>
      <c r="AQ263" t="s">
        <v>68</v>
      </c>
      <c r="AR263" t="s">
        <v>69</v>
      </c>
      <c r="AS263" s="79"/>
      <c r="AT263" s="82" t="s">
        <v>1360</v>
      </c>
      <c r="AU263" s="78">
        <v>2026</v>
      </c>
      <c r="AV263" s="78">
        <v>1</v>
      </c>
      <c r="AW263" s="78" t="s">
        <v>71</v>
      </c>
      <c r="AX263" s="78">
        <v>0</v>
      </c>
      <c r="AY263" s="78">
        <v>0</v>
      </c>
      <c r="BT263" s="3" t="s">
        <v>71</v>
      </c>
      <c r="BU263" s="3">
        <v>0</v>
      </c>
      <c r="BV263" s="3">
        <v>0</v>
      </c>
    </row>
    <row r="264" spans="1:74" ht="15" customHeight="1" x14ac:dyDescent="0.25">
      <c r="A264" s="75">
        <v>5801335</v>
      </c>
      <c r="B264" t="s">
        <v>1489</v>
      </c>
      <c r="C264" t="s">
        <v>1490</v>
      </c>
      <c r="D264" t="s">
        <v>809</v>
      </c>
      <c r="E264" t="s">
        <v>87</v>
      </c>
      <c r="F264" s="75">
        <v>825</v>
      </c>
      <c r="G264" s="75">
        <v>345209</v>
      </c>
      <c r="H264">
        <v>334.78</v>
      </c>
      <c r="I264" t="s">
        <v>141</v>
      </c>
      <c r="J264" s="75">
        <v>6971</v>
      </c>
      <c r="K264" t="s">
        <v>369</v>
      </c>
      <c r="L264" t="s">
        <v>370</v>
      </c>
      <c r="M264" s="81">
        <v>46050.687893518523</v>
      </c>
      <c r="N264" s="81">
        <v>46051.444606481477</v>
      </c>
      <c r="O264" t="s">
        <v>475</v>
      </c>
      <c r="P264" t="s">
        <v>59</v>
      </c>
      <c r="Q264" t="s">
        <v>90</v>
      </c>
      <c r="R264" t="s">
        <v>144</v>
      </c>
      <c r="S264" t="s">
        <v>1491</v>
      </c>
      <c r="U264" s="75">
        <v>181527</v>
      </c>
      <c r="V264" t="s">
        <v>1492</v>
      </c>
      <c r="X264" t="s">
        <v>79</v>
      </c>
      <c r="Y264" t="s">
        <v>224</v>
      </c>
      <c r="AA264" t="s">
        <v>81</v>
      </c>
      <c r="AB264">
        <v>18.066666999999999</v>
      </c>
      <c r="AC264">
        <v>16.700001</v>
      </c>
      <c r="AD264">
        <v>1.3666659999999999</v>
      </c>
      <c r="AE264">
        <v>0.61666600000000005</v>
      </c>
      <c r="AF264">
        <v>0</v>
      </c>
      <c r="AG264">
        <v>0.75</v>
      </c>
      <c r="AH264">
        <v>0.75</v>
      </c>
      <c r="AI264">
        <v>0.05</v>
      </c>
      <c r="AJ264">
        <v>0.7</v>
      </c>
      <c r="AK264">
        <v>0</v>
      </c>
      <c r="AL264" s="76">
        <v>46149</v>
      </c>
      <c r="AM264" s="75">
        <v>-98</v>
      </c>
      <c r="AN264" t="s">
        <v>1436</v>
      </c>
      <c r="AO264" t="s">
        <v>1437</v>
      </c>
      <c r="AP264" t="s">
        <v>67</v>
      </c>
      <c r="AQ264" t="s">
        <v>83</v>
      </c>
      <c r="AR264" t="s">
        <v>69</v>
      </c>
      <c r="AS264" s="78"/>
      <c r="AT264" s="82" t="s">
        <v>1360</v>
      </c>
      <c r="AU264" s="78">
        <v>2026</v>
      </c>
      <c r="AV264" s="78">
        <v>1</v>
      </c>
      <c r="AW264" s="78" t="s">
        <v>226</v>
      </c>
      <c r="AX264" s="78">
        <v>1</v>
      </c>
      <c r="AY264" s="78">
        <v>0</v>
      </c>
      <c r="BT264" s="2" t="s">
        <v>226</v>
      </c>
      <c r="BU264" s="2">
        <v>1</v>
      </c>
      <c r="BV264" s="2">
        <v>0</v>
      </c>
    </row>
    <row r="265" spans="1:74" ht="15" customHeight="1" x14ac:dyDescent="0.25">
      <c r="A265" s="75">
        <v>5794561</v>
      </c>
      <c r="B265" t="s">
        <v>1493</v>
      </c>
      <c r="C265" t="s">
        <v>1494</v>
      </c>
      <c r="D265" t="s">
        <v>1400</v>
      </c>
      <c r="E265" t="s">
        <v>105</v>
      </c>
      <c r="F265" s="75">
        <v>15</v>
      </c>
      <c r="G265" s="75">
        <v>150721</v>
      </c>
      <c r="H265">
        <v>573</v>
      </c>
      <c r="I265" t="s">
        <v>368</v>
      </c>
      <c r="J265" s="75">
        <v>202053</v>
      </c>
      <c r="K265" t="s">
        <v>1394</v>
      </c>
      <c r="L265" t="s">
        <v>1395</v>
      </c>
      <c r="M265" s="81">
        <v>46048.412627314807</v>
      </c>
      <c r="N265" s="81">
        <v>46051.509363425917</v>
      </c>
      <c r="O265" t="s">
        <v>58</v>
      </c>
      <c r="P265" t="s">
        <v>59</v>
      </c>
      <c r="Q265" t="s">
        <v>130</v>
      </c>
      <c r="R265" t="s">
        <v>156</v>
      </c>
      <c r="S265" t="s">
        <v>1320</v>
      </c>
      <c r="U265" s="75">
        <v>179277</v>
      </c>
      <c r="V265" t="s">
        <v>1495</v>
      </c>
      <c r="W265" t="s">
        <v>1495</v>
      </c>
      <c r="X265" t="s">
        <v>79</v>
      </c>
      <c r="Y265" t="s">
        <v>224</v>
      </c>
      <c r="AA265" t="s">
        <v>416</v>
      </c>
      <c r="AB265">
        <v>74.2</v>
      </c>
      <c r="AC265">
        <v>55.033334000000004</v>
      </c>
      <c r="AD265">
        <v>19.166665999999999</v>
      </c>
      <c r="AE265">
        <v>0.78333299999999995</v>
      </c>
      <c r="AF265">
        <v>0</v>
      </c>
      <c r="AG265">
        <v>18.383333</v>
      </c>
      <c r="AH265">
        <v>18.383333</v>
      </c>
      <c r="AI265">
        <v>13.3</v>
      </c>
      <c r="AJ265">
        <v>5.0833329999999997</v>
      </c>
      <c r="AK265">
        <v>0</v>
      </c>
      <c r="AL265" s="76">
        <v>43991</v>
      </c>
      <c r="AM265" s="75">
        <v>2057</v>
      </c>
      <c r="AN265" t="s">
        <v>65</v>
      </c>
      <c r="AO265" t="s">
        <v>1496</v>
      </c>
      <c r="AP265" t="s">
        <v>67</v>
      </c>
      <c r="AQ265" t="s">
        <v>83</v>
      </c>
      <c r="AR265" t="s">
        <v>69</v>
      </c>
      <c r="AS265" s="79"/>
      <c r="AT265" s="82" t="s">
        <v>1360</v>
      </c>
      <c r="AU265" s="78">
        <v>2026</v>
      </c>
      <c r="AV265" s="78">
        <v>1</v>
      </c>
      <c r="AW265" s="78" t="s">
        <v>226</v>
      </c>
      <c r="AX265" s="78">
        <v>0</v>
      </c>
      <c r="AY265" s="78">
        <v>0</v>
      </c>
      <c r="BT265" s="3" t="s">
        <v>226</v>
      </c>
      <c r="BU265" s="3">
        <v>0</v>
      </c>
      <c r="BV265" s="3">
        <v>0</v>
      </c>
    </row>
    <row r="266" spans="1:74" ht="15" customHeight="1" x14ac:dyDescent="0.25">
      <c r="A266" s="75">
        <v>5799969</v>
      </c>
      <c r="B266" t="s">
        <v>1497</v>
      </c>
      <c r="C266" t="s">
        <v>1498</v>
      </c>
      <c r="D266" t="s">
        <v>527</v>
      </c>
      <c r="E266" t="s">
        <v>54</v>
      </c>
      <c r="F266" s="75">
        <v>1</v>
      </c>
      <c r="G266" s="75">
        <v>302319</v>
      </c>
      <c r="H266">
        <v>1240.53</v>
      </c>
      <c r="I266" t="s">
        <v>114</v>
      </c>
      <c r="J266" s="75">
        <v>219581</v>
      </c>
      <c r="K266" t="s">
        <v>1499</v>
      </c>
      <c r="L266" t="s">
        <v>1500</v>
      </c>
      <c r="M266" s="81">
        <v>46050.431608796287</v>
      </c>
      <c r="N266" s="81">
        <v>46051.517187500001</v>
      </c>
      <c r="O266" t="s">
        <v>391</v>
      </c>
      <c r="P266" t="s">
        <v>59</v>
      </c>
      <c r="Q266" t="s">
        <v>130</v>
      </c>
      <c r="R266" t="s">
        <v>60</v>
      </c>
      <c r="S266" t="s">
        <v>1268</v>
      </c>
      <c r="U266" s="75">
        <v>181035</v>
      </c>
      <c r="V266" t="s">
        <v>1501</v>
      </c>
      <c r="W266" t="s">
        <v>1501</v>
      </c>
      <c r="X266" t="s">
        <v>79</v>
      </c>
      <c r="Y266" t="s">
        <v>224</v>
      </c>
      <c r="AA266" t="s">
        <v>64</v>
      </c>
      <c r="AB266">
        <v>25.999998999999999</v>
      </c>
      <c r="AC266">
        <v>19.783332999999999</v>
      </c>
      <c r="AD266">
        <v>6.216666</v>
      </c>
      <c r="AE266">
        <v>0.183333</v>
      </c>
      <c r="AF266">
        <v>0</v>
      </c>
      <c r="AG266">
        <v>6.0333329999999998</v>
      </c>
      <c r="AH266">
        <v>6.0333329999999998</v>
      </c>
      <c r="AI266">
        <v>5.75</v>
      </c>
      <c r="AJ266">
        <v>0.283333</v>
      </c>
      <c r="AK266">
        <v>0</v>
      </c>
      <c r="AL266" s="76">
        <v>45368.402754629627</v>
      </c>
      <c r="AM266" s="75">
        <v>682</v>
      </c>
      <c r="AN266" t="s">
        <v>65</v>
      </c>
      <c r="AO266" t="s">
        <v>1502</v>
      </c>
      <c r="AP266" t="s">
        <v>67</v>
      </c>
      <c r="AQ266" t="s">
        <v>83</v>
      </c>
      <c r="AR266" t="s">
        <v>69</v>
      </c>
      <c r="AS266" s="78"/>
      <c r="AT266" s="82" t="s">
        <v>1360</v>
      </c>
      <c r="AU266" s="78">
        <v>2026</v>
      </c>
      <c r="AV266" s="78">
        <v>1</v>
      </c>
      <c r="AW266" s="78" t="s">
        <v>226</v>
      </c>
      <c r="AX266" s="78">
        <v>1</v>
      </c>
      <c r="AY266" s="78">
        <v>0</v>
      </c>
      <c r="BT266" s="2" t="s">
        <v>226</v>
      </c>
      <c r="BU266" s="2">
        <v>1</v>
      </c>
      <c r="BV266" s="2">
        <v>0</v>
      </c>
    </row>
    <row r="267" spans="1:74" ht="15" customHeight="1" x14ac:dyDescent="0.25">
      <c r="A267" s="75">
        <v>5800077</v>
      </c>
      <c r="B267" t="s">
        <v>1503</v>
      </c>
      <c r="C267" t="s">
        <v>1504</v>
      </c>
      <c r="D267" t="s">
        <v>527</v>
      </c>
      <c r="E267" t="s">
        <v>87</v>
      </c>
      <c r="F267" s="75">
        <v>459</v>
      </c>
      <c r="G267" s="75">
        <v>293147</v>
      </c>
      <c r="H267">
        <v>616.59</v>
      </c>
      <c r="I267" t="s">
        <v>55</v>
      </c>
      <c r="J267" s="75">
        <v>49495</v>
      </c>
      <c r="K267" t="s">
        <v>460</v>
      </c>
      <c r="L267" t="s">
        <v>461</v>
      </c>
      <c r="M267" s="81">
        <v>46050.444884259261</v>
      </c>
      <c r="N267" s="81">
        <v>46051.518726851849</v>
      </c>
      <c r="O267" t="s">
        <v>475</v>
      </c>
      <c r="P267" t="s">
        <v>59</v>
      </c>
      <c r="Q267" t="s">
        <v>90</v>
      </c>
      <c r="R267" t="s">
        <v>99</v>
      </c>
      <c r="S267" t="s">
        <v>1244</v>
      </c>
      <c r="U267" s="75">
        <v>181619</v>
      </c>
      <c r="V267" t="s">
        <v>1505</v>
      </c>
      <c r="X267" t="s">
        <v>62</v>
      </c>
      <c r="Y267" t="s">
        <v>63</v>
      </c>
      <c r="AA267" t="s">
        <v>101</v>
      </c>
      <c r="AB267">
        <v>25.7</v>
      </c>
      <c r="AC267">
        <v>15.733333</v>
      </c>
      <c r="AD267">
        <v>9.9666669999999993</v>
      </c>
      <c r="AE267">
        <v>0.81666700000000003</v>
      </c>
      <c r="AF267">
        <v>0</v>
      </c>
      <c r="AG267">
        <v>9.15</v>
      </c>
      <c r="AH267">
        <v>9.15</v>
      </c>
      <c r="AI267">
        <v>8.6</v>
      </c>
      <c r="AJ267">
        <v>0.55000000000000004</v>
      </c>
      <c r="AK267">
        <v>0</v>
      </c>
      <c r="AL267" s="76">
        <v>45215.570023148153</v>
      </c>
      <c r="AM267" s="75">
        <v>834</v>
      </c>
      <c r="AN267" t="s">
        <v>65</v>
      </c>
      <c r="AO267" t="s">
        <v>1506</v>
      </c>
      <c r="AP267" t="s">
        <v>67</v>
      </c>
      <c r="AQ267" t="s">
        <v>68</v>
      </c>
      <c r="AR267" t="s">
        <v>69</v>
      </c>
      <c r="AS267" s="79"/>
      <c r="AT267" s="82" t="s">
        <v>1360</v>
      </c>
      <c r="AU267" s="78">
        <v>2026</v>
      </c>
      <c r="AV267" s="78">
        <v>1</v>
      </c>
      <c r="AW267" s="78" t="s">
        <v>71</v>
      </c>
      <c r="AX267" s="78">
        <v>0</v>
      </c>
      <c r="AY267" s="78">
        <v>0</v>
      </c>
      <c r="BT267" s="3" t="s">
        <v>71</v>
      </c>
      <c r="BU267" s="3">
        <v>0</v>
      </c>
      <c r="BV267" s="3">
        <v>0</v>
      </c>
    </row>
    <row r="268" spans="1:74" ht="15" customHeight="1" x14ac:dyDescent="0.25">
      <c r="A268" s="75">
        <v>5800477</v>
      </c>
      <c r="B268" t="s">
        <v>1507</v>
      </c>
      <c r="C268" t="s">
        <v>1079</v>
      </c>
      <c r="D268" t="s">
        <v>125</v>
      </c>
      <c r="E268" t="s">
        <v>87</v>
      </c>
      <c r="F268" s="75">
        <v>187</v>
      </c>
      <c r="G268" s="75">
        <v>285899</v>
      </c>
      <c r="H268">
        <v>398.82</v>
      </c>
      <c r="I268" t="s">
        <v>55</v>
      </c>
      <c r="J268" s="75">
        <v>216233</v>
      </c>
      <c r="K268" t="s">
        <v>88</v>
      </c>
      <c r="L268" t="s">
        <v>89</v>
      </c>
      <c r="M268" s="81">
        <v>46050.507557870369</v>
      </c>
      <c r="N268" s="81">
        <v>46051.563437500001</v>
      </c>
      <c r="O268" t="s">
        <v>58</v>
      </c>
      <c r="P268" t="s">
        <v>59</v>
      </c>
      <c r="Q268" t="s">
        <v>90</v>
      </c>
      <c r="R268" t="s">
        <v>60</v>
      </c>
      <c r="S268" t="s">
        <v>583</v>
      </c>
      <c r="U268" s="75">
        <v>181609</v>
      </c>
      <c r="V268" t="s">
        <v>1508</v>
      </c>
      <c r="W268" t="s">
        <v>1509</v>
      </c>
      <c r="X268" t="s">
        <v>62</v>
      </c>
      <c r="Y268" t="s">
        <v>63</v>
      </c>
      <c r="AA268" t="s">
        <v>101</v>
      </c>
      <c r="AB268">
        <v>25.283332999999999</v>
      </c>
      <c r="AC268">
        <v>14.35</v>
      </c>
      <c r="AD268">
        <v>10.933332999999999</v>
      </c>
      <c r="AE268">
        <v>0.15</v>
      </c>
      <c r="AF268">
        <v>0</v>
      </c>
      <c r="AG268">
        <v>10.783333000000001</v>
      </c>
      <c r="AH268">
        <v>10.783333000000001</v>
      </c>
      <c r="AI268">
        <v>9.4333329999999993</v>
      </c>
      <c r="AJ268">
        <v>1.35</v>
      </c>
      <c r="AK268">
        <v>0</v>
      </c>
      <c r="AL268" s="76">
        <v>44875</v>
      </c>
      <c r="AM268" s="75">
        <v>1175</v>
      </c>
      <c r="AN268" t="s">
        <v>65</v>
      </c>
      <c r="AO268" t="s">
        <v>1081</v>
      </c>
      <c r="AP268" t="s">
        <v>67</v>
      </c>
      <c r="AQ268" t="s">
        <v>68</v>
      </c>
      <c r="AR268" t="s">
        <v>69</v>
      </c>
      <c r="AS268" s="78"/>
      <c r="AT268" s="82" t="s">
        <v>1360</v>
      </c>
      <c r="AU268" s="78">
        <v>2026</v>
      </c>
      <c r="AV268" s="78">
        <v>1</v>
      </c>
      <c r="AW268" s="78" t="s">
        <v>71</v>
      </c>
      <c r="AX268" s="78">
        <v>0</v>
      </c>
      <c r="AY268" s="78">
        <v>0</v>
      </c>
      <c r="BT268" s="2" t="s">
        <v>71</v>
      </c>
      <c r="BU268" s="2">
        <v>0</v>
      </c>
      <c r="BV268" s="2">
        <v>0</v>
      </c>
    </row>
    <row r="269" spans="1:74" ht="15" customHeight="1" x14ac:dyDescent="0.25">
      <c r="A269" s="75">
        <v>5795315</v>
      </c>
      <c r="B269" t="s">
        <v>1510</v>
      </c>
      <c r="C269" t="s">
        <v>1511</v>
      </c>
      <c r="D269" t="s">
        <v>1400</v>
      </c>
      <c r="E269" t="s">
        <v>87</v>
      </c>
      <c r="F269" s="75">
        <v>119</v>
      </c>
      <c r="G269" s="75">
        <v>285575</v>
      </c>
      <c r="H269">
        <v>368.16</v>
      </c>
      <c r="I269" t="s">
        <v>55</v>
      </c>
      <c r="J269" s="75">
        <v>218791</v>
      </c>
      <c r="K269" t="s">
        <v>312</v>
      </c>
      <c r="L269" t="s">
        <v>313</v>
      </c>
      <c r="M269" s="81">
        <v>46048.660312499997</v>
      </c>
      <c r="N269" s="81">
        <v>46051.577870370369</v>
      </c>
      <c r="O269" t="s">
        <v>58</v>
      </c>
      <c r="P269" t="s">
        <v>59</v>
      </c>
      <c r="Q269" t="s">
        <v>90</v>
      </c>
      <c r="R269" t="s">
        <v>60</v>
      </c>
      <c r="S269" t="s">
        <v>583</v>
      </c>
      <c r="U269" s="75">
        <v>179599</v>
      </c>
      <c r="V269" t="s">
        <v>1512</v>
      </c>
      <c r="W269" t="s">
        <v>1513</v>
      </c>
      <c r="X269" t="s">
        <v>62</v>
      </c>
      <c r="Y269" t="s">
        <v>63</v>
      </c>
      <c r="AA269" t="s">
        <v>101</v>
      </c>
      <c r="AB269">
        <v>69.966666000000004</v>
      </c>
      <c r="AC269">
        <v>55.516666000000001</v>
      </c>
      <c r="AD269">
        <v>14.45</v>
      </c>
      <c r="AE269">
        <v>3.35</v>
      </c>
      <c r="AF269">
        <v>0</v>
      </c>
      <c r="AG269">
        <v>11.1</v>
      </c>
      <c r="AH269">
        <v>11.1</v>
      </c>
      <c r="AI269">
        <v>9.8833330000000004</v>
      </c>
      <c r="AJ269">
        <v>1.2166669999999999</v>
      </c>
      <c r="AK269">
        <v>0</v>
      </c>
      <c r="AL269" s="76">
        <v>44865.617407407408</v>
      </c>
      <c r="AM269" s="75">
        <v>1183</v>
      </c>
      <c r="AN269" t="s">
        <v>65</v>
      </c>
      <c r="AO269" t="s">
        <v>1514</v>
      </c>
      <c r="AP269" t="s">
        <v>67</v>
      </c>
      <c r="AQ269" t="s">
        <v>68</v>
      </c>
      <c r="AR269" t="s">
        <v>69</v>
      </c>
      <c r="AS269" s="79"/>
      <c r="AT269" s="82" t="s">
        <v>1360</v>
      </c>
      <c r="AU269" s="78">
        <v>2026</v>
      </c>
      <c r="AV269" s="78">
        <v>1</v>
      </c>
      <c r="AW269" s="78" t="s">
        <v>71</v>
      </c>
      <c r="AX269" s="78">
        <v>0</v>
      </c>
      <c r="AY269" s="78">
        <v>0</v>
      </c>
      <c r="BT269" s="3" t="s">
        <v>71</v>
      </c>
      <c r="BU269" s="3">
        <v>0</v>
      </c>
      <c r="BV269" s="3">
        <v>0</v>
      </c>
    </row>
    <row r="270" spans="1:74" ht="15" customHeight="1" x14ac:dyDescent="0.25">
      <c r="A270" s="75">
        <v>5795273</v>
      </c>
      <c r="B270" t="s">
        <v>1515</v>
      </c>
      <c r="C270" t="s">
        <v>396</v>
      </c>
      <c r="D270" t="s">
        <v>1400</v>
      </c>
      <c r="E270" t="s">
        <v>54</v>
      </c>
      <c r="F270" s="75">
        <v>1</v>
      </c>
      <c r="G270" s="75">
        <v>330947</v>
      </c>
      <c r="H270">
        <v>800</v>
      </c>
      <c r="I270" t="s">
        <v>141</v>
      </c>
      <c r="J270" s="75">
        <v>225005</v>
      </c>
      <c r="K270" t="s">
        <v>397</v>
      </c>
      <c r="L270" t="s">
        <v>398</v>
      </c>
      <c r="M270" s="81">
        <v>46048.646365740737</v>
      </c>
      <c r="N270" s="81">
        <v>46051.644606481481</v>
      </c>
      <c r="O270" t="s">
        <v>58</v>
      </c>
      <c r="P270" t="s">
        <v>59</v>
      </c>
      <c r="Q270" t="s">
        <v>90</v>
      </c>
      <c r="R270" t="s">
        <v>99</v>
      </c>
      <c r="S270" t="s">
        <v>1244</v>
      </c>
      <c r="U270" s="75">
        <v>181197</v>
      </c>
      <c r="V270" t="s">
        <v>1516</v>
      </c>
      <c r="X270" t="s">
        <v>118</v>
      </c>
      <c r="Y270" t="s">
        <v>400</v>
      </c>
      <c r="AA270" t="s">
        <v>101</v>
      </c>
      <c r="AB270">
        <v>71.866665999999995</v>
      </c>
      <c r="AC270">
        <v>60.05</v>
      </c>
      <c r="AD270">
        <v>11.816666</v>
      </c>
      <c r="AE270">
        <v>0.283333</v>
      </c>
      <c r="AF270">
        <v>0</v>
      </c>
      <c r="AG270">
        <v>11.533333000000001</v>
      </c>
      <c r="AH270">
        <v>11.533333000000001</v>
      </c>
      <c r="AI270">
        <v>11.116666</v>
      </c>
      <c r="AJ270">
        <v>0.41666700000000001</v>
      </c>
      <c r="AK270">
        <v>0</v>
      </c>
      <c r="AL270" s="76">
        <v>45713</v>
      </c>
      <c r="AM270" s="75">
        <v>335</v>
      </c>
      <c r="AN270" t="s">
        <v>65</v>
      </c>
      <c r="AO270" t="s">
        <v>401</v>
      </c>
      <c r="AP270" t="s">
        <v>67</v>
      </c>
      <c r="AQ270" t="s">
        <v>121</v>
      </c>
      <c r="AR270" t="s">
        <v>69</v>
      </c>
      <c r="AS270" s="78"/>
      <c r="AT270" s="82" t="s">
        <v>1360</v>
      </c>
      <c r="AU270" s="78">
        <v>2026</v>
      </c>
      <c r="AV270" s="78">
        <v>1</v>
      </c>
      <c r="AW270" s="78" t="s">
        <v>122</v>
      </c>
      <c r="AX270" s="78">
        <v>0</v>
      </c>
      <c r="AY270" s="78">
        <v>0</v>
      </c>
      <c r="BT270" s="2" t="s">
        <v>122</v>
      </c>
      <c r="BU270" s="2">
        <v>0</v>
      </c>
      <c r="BV270" s="2">
        <v>0</v>
      </c>
    </row>
    <row r="271" spans="1:74" ht="15" customHeight="1" x14ac:dyDescent="0.25">
      <c r="A271" s="75">
        <v>5802603</v>
      </c>
      <c r="B271" t="s">
        <v>1517</v>
      </c>
      <c r="C271" t="s">
        <v>1518</v>
      </c>
      <c r="D271" t="s">
        <v>53</v>
      </c>
      <c r="E271" t="s">
        <v>54</v>
      </c>
      <c r="F271" s="75">
        <v>1</v>
      </c>
      <c r="G271" s="75">
        <v>335493</v>
      </c>
      <c r="H271">
        <v>99.9</v>
      </c>
      <c r="I271" t="s">
        <v>163</v>
      </c>
      <c r="J271" s="75">
        <v>226897</v>
      </c>
      <c r="K271" t="s">
        <v>1519</v>
      </c>
      <c r="L271" t="s">
        <v>1520</v>
      </c>
      <c r="M271" s="81">
        <v>46051.456342592603</v>
      </c>
      <c r="N271" s="81">
        <v>46051.701840277783</v>
      </c>
      <c r="O271" t="s">
        <v>58</v>
      </c>
      <c r="P271" t="s">
        <v>59</v>
      </c>
      <c r="Q271" t="s">
        <v>77</v>
      </c>
      <c r="R271" t="s">
        <v>99</v>
      </c>
      <c r="S271" t="s">
        <v>1244</v>
      </c>
      <c r="U271" s="75">
        <v>182347</v>
      </c>
      <c r="V271" t="s">
        <v>1521</v>
      </c>
      <c r="X271" t="s">
        <v>62</v>
      </c>
      <c r="Y271" t="s">
        <v>190</v>
      </c>
      <c r="AA271" t="s">
        <v>64</v>
      </c>
      <c r="AB271">
        <v>5.8166659999999997</v>
      </c>
      <c r="AC271">
        <v>8.3333000000000004E-2</v>
      </c>
      <c r="AD271">
        <v>5.733333</v>
      </c>
      <c r="AE271">
        <v>0.83333299999999999</v>
      </c>
      <c r="AF271">
        <v>0</v>
      </c>
      <c r="AG271">
        <v>4.9000000000000004</v>
      </c>
      <c r="AH271">
        <v>4.9000000000000004</v>
      </c>
      <c r="AI271">
        <v>3.95</v>
      </c>
      <c r="AJ271">
        <v>0.95</v>
      </c>
      <c r="AK271">
        <v>0</v>
      </c>
      <c r="AL271" s="76"/>
      <c r="AM271" s="75"/>
      <c r="AN271" t="s">
        <v>135</v>
      </c>
      <c r="AO271" t="s">
        <v>1522</v>
      </c>
      <c r="AP271" t="s">
        <v>67</v>
      </c>
      <c r="AQ271" t="s">
        <v>68</v>
      </c>
      <c r="AR271" t="s">
        <v>69</v>
      </c>
      <c r="AS271" s="79"/>
      <c r="AT271" s="82" t="s">
        <v>1360</v>
      </c>
      <c r="AU271" s="78">
        <v>2026</v>
      </c>
      <c r="AV271" s="78">
        <v>1</v>
      </c>
      <c r="AW271" s="78" t="s">
        <v>137</v>
      </c>
      <c r="AX271" s="78">
        <v>1</v>
      </c>
      <c r="AY271" s="78">
        <v>0</v>
      </c>
      <c r="BT271" s="3" t="s">
        <v>137</v>
      </c>
      <c r="BU271" s="3">
        <v>1</v>
      </c>
      <c r="BV271" s="3">
        <v>0</v>
      </c>
    </row>
    <row r="272" spans="1:74" ht="15" customHeight="1" x14ac:dyDescent="0.25">
      <c r="A272" s="75">
        <v>5796093</v>
      </c>
      <c r="B272" t="s">
        <v>1523</v>
      </c>
      <c r="C272" t="s">
        <v>1524</v>
      </c>
      <c r="D272" t="s">
        <v>1400</v>
      </c>
      <c r="E272" t="s">
        <v>87</v>
      </c>
      <c r="F272" s="75">
        <v>539</v>
      </c>
      <c r="G272" s="75">
        <v>295553</v>
      </c>
      <c r="H272">
        <v>382.47</v>
      </c>
      <c r="I272" t="s">
        <v>55</v>
      </c>
      <c r="J272" s="75">
        <v>216233</v>
      </c>
      <c r="K272" t="s">
        <v>88</v>
      </c>
      <c r="L272" t="s">
        <v>89</v>
      </c>
      <c r="M272" s="81">
        <v>46049.375659722216</v>
      </c>
      <c r="N272" s="81">
        <v>46051.734849537039</v>
      </c>
      <c r="O272" t="s">
        <v>58</v>
      </c>
      <c r="P272" t="s">
        <v>59</v>
      </c>
      <c r="Q272" t="s">
        <v>90</v>
      </c>
      <c r="R272" t="s">
        <v>60</v>
      </c>
      <c r="S272" t="s">
        <v>1268</v>
      </c>
      <c r="U272" s="75">
        <v>179863</v>
      </c>
      <c r="V272" t="s">
        <v>1525</v>
      </c>
      <c r="W272" t="s">
        <v>1525</v>
      </c>
      <c r="X272" t="s">
        <v>62</v>
      </c>
      <c r="Y272" t="s">
        <v>63</v>
      </c>
      <c r="AA272" t="s">
        <v>64</v>
      </c>
      <c r="AB272">
        <v>56.583333000000003</v>
      </c>
      <c r="AC272">
        <v>48.233333000000002</v>
      </c>
      <c r="AD272">
        <v>8.35</v>
      </c>
      <c r="AE272">
        <v>0.68333299999999997</v>
      </c>
      <c r="AF272">
        <v>0</v>
      </c>
      <c r="AG272">
        <v>7.6666670000000003</v>
      </c>
      <c r="AH272">
        <v>7.6666670000000003</v>
      </c>
      <c r="AI272">
        <v>7.6666670000000003</v>
      </c>
      <c r="AJ272">
        <v>0</v>
      </c>
      <c r="AK272">
        <v>0</v>
      </c>
      <c r="AL272" s="76">
        <v>45342</v>
      </c>
      <c r="AM272" s="75">
        <v>707</v>
      </c>
      <c r="AN272" t="s">
        <v>65</v>
      </c>
      <c r="AO272" t="s">
        <v>1526</v>
      </c>
      <c r="AP272" t="s">
        <v>67</v>
      </c>
      <c r="AQ272" t="s">
        <v>68</v>
      </c>
      <c r="AR272" t="s">
        <v>69</v>
      </c>
      <c r="AS272" s="78"/>
      <c r="AT272" s="82" t="s">
        <v>1360</v>
      </c>
      <c r="AU272" s="78">
        <v>2026</v>
      </c>
      <c r="AV272" s="78">
        <v>1</v>
      </c>
      <c r="AW272" s="78" t="s">
        <v>71</v>
      </c>
      <c r="AX272" s="78">
        <v>1</v>
      </c>
      <c r="AY272" s="78">
        <v>0</v>
      </c>
      <c r="BT272" s="2" t="s">
        <v>71</v>
      </c>
      <c r="BU272" s="2">
        <v>1</v>
      </c>
      <c r="BV272" s="2">
        <v>0</v>
      </c>
    </row>
    <row r="273" spans="1:74" ht="15" customHeight="1" x14ac:dyDescent="0.25">
      <c r="A273" s="75">
        <v>5795243</v>
      </c>
      <c r="B273" t="s">
        <v>1527</v>
      </c>
      <c r="C273" t="s">
        <v>1528</v>
      </c>
      <c r="D273" t="s">
        <v>1400</v>
      </c>
      <c r="E273" t="s">
        <v>105</v>
      </c>
      <c r="F273" s="75">
        <v>52</v>
      </c>
      <c r="G273" s="75">
        <v>339151</v>
      </c>
      <c r="H273">
        <v>420</v>
      </c>
      <c r="I273" t="s">
        <v>203</v>
      </c>
      <c r="J273" s="75">
        <v>175487</v>
      </c>
      <c r="K273" t="s">
        <v>1529</v>
      </c>
      <c r="L273" t="s">
        <v>1530</v>
      </c>
      <c r="M273" s="81">
        <v>46048.637453703697</v>
      </c>
      <c r="N273" s="81">
        <v>46051.750856481478</v>
      </c>
      <c r="O273" t="s">
        <v>58</v>
      </c>
      <c r="P273" t="s">
        <v>59</v>
      </c>
      <c r="Q273" t="s">
        <v>130</v>
      </c>
      <c r="R273" t="s">
        <v>60</v>
      </c>
      <c r="S273" t="s">
        <v>1268</v>
      </c>
      <c r="U273" s="75">
        <v>179457</v>
      </c>
      <c r="V273" t="s">
        <v>1531</v>
      </c>
      <c r="W273" t="s">
        <v>1532</v>
      </c>
      <c r="X273" t="s">
        <v>62</v>
      </c>
      <c r="Y273" t="s">
        <v>1124</v>
      </c>
      <c r="AA273" t="s">
        <v>64</v>
      </c>
      <c r="AB273">
        <v>74.650001000000003</v>
      </c>
      <c r="AC273">
        <v>67.066666999999995</v>
      </c>
      <c r="AD273">
        <v>7.5833339999999998</v>
      </c>
      <c r="AE273">
        <v>0.433334</v>
      </c>
      <c r="AF273">
        <v>0</v>
      </c>
      <c r="AG273">
        <v>7.15</v>
      </c>
      <c r="AH273">
        <v>7.15</v>
      </c>
      <c r="AI273">
        <v>6.1166669999999996</v>
      </c>
      <c r="AJ273">
        <v>1.0333330000000001</v>
      </c>
      <c r="AK273">
        <v>0</v>
      </c>
      <c r="AL273" s="76">
        <v>45930</v>
      </c>
      <c r="AM273" s="75">
        <v>118</v>
      </c>
      <c r="AN273" t="s">
        <v>65</v>
      </c>
      <c r="AO273" t="s">
        <v>1533</v>
      </c>
      <c r="AP273" t="s">
        <v>67</v>
      </c>
      <c r="AQ273" t="s">
        <v>68</v>
      </c>
      <c r="AR273" t="s">
        <v>69</v>
      </c>
      <c r="AS273" s="79"/>
      <c r="AT273" s="82" t="s">
        <v>1360</v>
      </c>
      <c r="AU273" s="78">
        <v>2026</v>
      </c>
      <c r="AV273" s="78">
        <v>1</v>
      </c>
      <c r="AW273" s="78" t="s">
        <v>137</v>
      </c>
      <c r="AX273" s="78">
        <v>1</v>
      </c>
      <c r="AY273" s="78">
        <v>0</v>
      </c>
      <c r="BT273" s="3" t="s">
        <v>137</v>
      </c>
      <c r="BU273" s="3">
        <v>1</v>
      </c>
      <c r="BV273" s="3">
        <v>0</v>
      </c>
    </row>
    <row r="274" spans="1:74" ht="15" customHeight="1" x14ac:dyDescent="0.25">
      <c r="A274" s="75">
        <v>5800055</v>
      </c>
      <c r="B274" t="s">
        <v>1534</v>
      </c>
      <c r="C274" t="s">
        <v>1535</v>
      </c>
      <c r="D274" t="s">
        <v>1400</v>
      </c>
      <c r="E274" t="s">
        <v>54</v>
      </c>
      <c r="F274" s="75">
        <v>1</v>
      </c>
      <c r="G274" s="75">
        <v>333399</v>
      </c>
      <c r="H274">
        <v>600</v>
      </c>
      <c r="I274" t="s">
        <v>141</v>
      </c>
      <c r="J274" s="75">
        <v>226111</v>
      </c>
      <c r="K274" t="s">
        <v>142</v>
      </c>
      <c r="L274" t="s">
        <v>143</v>
      </c>
      <c r="M274" s="81">
        <v>46050.438923611109</v>
      </c>
      <c r="N274" s="81">
        <v>46051.775902777779</v>
      </c>
      <c r="O274" t="s">
        <v>58</v>
      </c>
      <c r="P274" t="s">
        <v>59</v>
      </c>
      <c r="Q274" t="s">
        <v>130</v>
      </c>
      <c r="R274" t="s">
        <v>60</v>
      </c>
      <c r="S274" t="s">
        <v>1268</v>
      </c>
      <c r="U274" s="75">
        <v>180999</v>
      </c>
      <c r="V274" t="s">
        <v>1536</v>
      </c>
      <c r="W274" t="s">
        <v>1536</v>
      </c>
      <c r="X274" t="s">
        <v>62</v>
      </c>
      <c r="Y274" t="s">
        <v>63</v>
      </c>
      <c r="AA274" t="s">
        <v>64</v>
      </c>
      <c r="AB274">
        <v>32.033334000000004</v>
      </c>
      <c r="AC274">
        <v>24.916667</v>
      </c>
      <c r="AD274">
        <v>7.1166669999999996</v>
      </c>
      <c r="AE274">
        <v>6.6667000000000004E-2</v>
      </c>
      <c r="AF274">
        <v>0</v>
      </c>
      <c r="AG274">
        <v>7.05</v>
      </c>
      <c r="AH274">
        <v>7.05</v>
      </c>
      <c r="AI274">
        <v>7</v>
      </c>
      <c r="AJ274">
        <v>0.05</v>
      </c>
      <c r="AK274">
        <v>0</v>
      </c>
      <c r="AL274" s="76">
        <v>45771.443495370368</v>
      </c>
      <c r="AM274" s="75">
        <v>278</v>
      </c>
      <c r="AN274" t="s">
        <v>65</v>
      </c>
      <c r="AO274" t="s">
        <v>147</v>
      </c>
      <c r="AP274" t="s">
        <v>67</v>
      </c>
      <c r="AQ274" t="s">
        <v>68</v>
      </c>
      <c r="AR274" t="s">
        <v>69</v>
      </c>
      <c r="AS274" s="78"/>
      <c r="AT274" s="82" t="s">
        <v>1360</v>
      </c>
      <c r="AU274" s="78">
        <v>2026</v>
      </c>
      <c r="AV274" s="78">
        <v>1</v>
      </c>
      <c r="AW274" s="78" t="s">
        <v>71</v>
      </c>
      <c r="AX274" s="78">
        <v>1</v>
      </c>
      <c r="AY274" s="78">
        <v>0</v>
      </c>
      <c r="BT274" s="2" t="s">
        <v>71</v>
      </c>
      <c r="BU274" s="2">
        <v>1</v>
      </c>
      <c r="BV274" s="2">
        <v>0</v>
      </c>
    </row>
    <row r="275" spans="1:74" ht="15" customHeight="1" x14ac:dyDescent="0.25">
      <c r="A275" s="75">
        <v>5794559</v>
      </c>
      <c r="B275" t="s">
        <v>1537</v>
      </c>
      <c r="C275" t="s">
        <v>1538</v>
      </c>
      <c r="D275" t="s">
        <v>1137</v>
      </c>
      <c r="E275" t="s">
        <v>87</v>
      </c>
      <c r="F275" s="75">
        <v>65</v>
      </c>
      <c r="G275" s="75">
        <v>288325</v>
      </c>
      <c r="H275">
        <v>739.75</v>
      </c>
      <c r="I275" t="s">
        <v>55</v>
      </c>
      <c r="J275" s="75">
        <v>203659</v>
      </c>
      <c r="K275" t="s">
        <v>1090</v>
      </c>
      <c r="L275" t="s">
        <v>1091</v>
      </c>
      <c r="M275" s="81">
        <v>46048.412268518521</v>
      </c>
      <c r="N275" s="81">
        <v>46052.399872685193</v>
      </c>
      <c r="O275" t="s">
        <v>58</v>
      </c>
      <c r="P275" t="s">
        <v>59</v>
      </c>
      <c r="Q275" t="s">
        <v>77</v>
      </c>
      <c r="R275" t="s">
        <v>60</v>
      </c>
      <c r="S275" t="s">
        <v>1268</v>
      </c>
      <c r="U275" s="75">
        <v>180171</v>
      </c>
      <c r="V275" t="s">
        <v>1539</v>
      </c>
      <c r="W275" t="s">
        <v>1540</v>
      </c>
      <c r="X275" t="s">
        <v>62</v>
      </c>
      <c r="Y275" t="s">
        <v>1358</v>
      </c>
      <c r="AA275" t="s">
        <v>64</v>
      </c>
      <c r="AB275">
        <v>95.616667000000007</v>
      </c>
      <c r="AC275">
        <v>89.45</v>
      </c>
      <c r="AD275">
        <v>6.1666670000000003</v>
      </c>
      <c r="AE275">
        <v>0.683334</v>
      </c>
      <c r="AF275">
        <v>0</v>
      </c>
      <c r="AG275">
        <v>5.483333</v>
      </c>
      <c r="AH275">
        <v>5.483333</v>
      </c>
      <c r="AI275">
        <v>4.9166660000000002</v>
      </c>
      <c r="AJ275">
        <v>0.56666700000000003</v>
      </c>
      <c r="AK275">
        <v>0</v>
      </c>
      <c r="AL275" s="76">
        <v>44942</v>
      </c>
      <c r="AM275" s="75">
        <v>1106</v>
      </c>
      <c r="AN275" t="s">
        <v>65</v>
      </c>
      <c r="AO275" t="s">
        <v>1359</v>
      </c>
      <c r="AP275" t="s">
        <v>67</v>
      </c>
      <c r="AQ275" t="s">
        <v>68</v>
      </c>
      <c r="AR275" t="s">
        <v>69</v>
      </c>
      <c r="AS275" s="79"/>
      <c r="AT275" s="82" t="s">
        <v>1360</v>
      </c>
      <c r="AU275" s="78">
        <v>2026</v>
      </c>
      <c r="AV275" s="78">
        <v>1</v>
      </c>
      <c r="AW275" s="78" t="s">
        <v>137</v>
      </c>
      <c r="AX275" s="78">
        <v>1</v>
      </c>
      <c r="AY275" s="78">
        <v>0</v>
      </c>
      <c r="BT275" s="3" t="s">
        <v>137</v>
      </c>
      <c r="BU275" s="3">
        <v>1</v>
      </c>
      <c r="BV275" s="3">
        <v>0</v>
      </c>
    </row>
    <row r="276" spans="1:74" ht="15" customHeight="1" x14ac:dyDescent="0.25">
      <c r="A276" s="75">
        <v>5801951</v>
      </c>
      <c r="B276" t="s">
        <v>1541</v>
      </c>
      <c r="C276" t="s">
        <v>1542</v>
      </c>
      <c r="D276" t="s">
        <v>527</v>
      </c>
      <c r="E276" t="s">
        <v>87</v>
      </c>
      <c r="F276" s="75">
        <v>2</v>
      </c>
      <c r="G276" s="75">
        <v>56093</v>
      </c>
      <c r="H276">
        <v>3187.5</v>
      </c>
      <c r="I276" t="s">
        <v>880</v>
      </c>
      <c r="J276" s="75">
        <v>49495</v>
      </c>
      <c r="K276" t="s">
        <v>460</v>
      </c>
      <c r="L276" t="s">
        <v>461</v>
      </c>
      <c r="M276" s="81">
        <v>46051.31858796296</v>
      </c>
      <c r="N276" s="81">
        <v>46052.400150462963</v>
      </c>
      <c r="O276" t="s">
        <v>58</v>
      </c>
      <c r="P276" t="s">
        <v>59</v>
      </c>
      <c r="Q276" t="s">
        <v>130</v>
      </c>
      <c r="R276" t="s">
        <v>60</v>
      </c>
      <c r="S276" t="s">
        <v>1543</v>
      </c>
      <c r="U276" s="75">
        <v>182709</v>
      </c>
      <c r="V276" t="s">
        <v>1544</v>
      </c>
      <c r="W276" t="s">
        <v>1545</v>
      </c>
      <c r="X276" t="s">
        <v>62</v>
      </c>
      <c r="Y276" t="s">
        <v>63</v>
      </c>
      <c r="AA276" t="s">
        <v>101</v>
      </c>
      <c r="AB276">
        <v>25.916665999999999</v>
      </c>
      <c r="AC276">
        <v>15.833333</v>
      </c>
      <c r="AD276">
        <v>10.083333</v>
      </c>
      <c r="AE276">
        <v>0.1</v>
      </c>
      <c r="AF276">
        <v>0</v>
      </c>
      <c r="AG276">
        <v>9.983333</v>
      </c>
      <c r="AH276">
        <v>9.983333</v>
      </c>
      <c r="AI276">
        <v>9.9166659999999993</v>
      </c>
      <c r="AJ276">
        <v>6.6667000000000004E-2</v>
      </c>
      <c r="AK276">
        <v>0</v>
      </c>
      <c r="AL276" s="76">
        <v>43010.662314814806</v>
      </c>
      <c r="AM276" s="75">
        <v>3040</v>
      </c>
      <c r="AN276" t="s">
        <v>65</v>
      </c>
      <c r="AO276" t="s">
        <v>1546</v>
      </c>
      <c r="AP276" t="s">
        <v>67</v>
      </c>
      <c r="AQ276" t="s">
        <v>68</v>
      </c>
      <c r="AR276" t="s">
        <v>69</v>
      </c>
      <c r="AS276" s="78"/>
      <c r="AT276" s="82" t="s">
        <v>1360</v>
      </c>
      <c r="AU276" s="78">
        <v>2026</v>
      </c>
      <c r="AV276" s="78">
        <v>1</v>
      </c>
      <c r="AW276" s="78" t="s">
        <v>71</v>
      </c>
      <c r="AX276" s="78">
        <v>0</v>
      </c>
      <c r="AY276" s="78">
        <v>0</v>
      </c>
      <c r="BT276" s="2" t="s">
        <v>71</v>
      </c>
      <c r="BU276" s="2">
        <v>0</v>
      </c>
      <c r="BV276" s="2">
        <v>0</v>
      </c>
    </row>
    <row r="277" spans="1:74" ht="15" customHeight="1" x14ac:dyDescent="0.25">
      <c r="A277" s="75">
        <v>5795541</v>
      </c>
      <c r="B277" t="s">
        <v>1547</v>
      </c>
      <c r="C277" t="s">
        <v>1548</v>
      </c>
      <c r="D277" t="s">
        <v>1137</v>
      </c>
      <c r="E277" t="s">
        <v>87</v>
      </c>
      <c r="F277" s="75">
        <v>367</v>
      </c>
      <c r="G277" s="75">
        <v>286775</v>
      </c>
      <c r="H277">
        <v>364.96</v>
      </c>
      <c r="I277" t="s">
        <v>55</v>
      </c>
      <c r="J277" s="75">
        <v>218787</v>
      </c>
      <c r="K277" t="s">
        <v>96</v>
      </c>
      <c r="L277" t="s">
        <v>97</v>
      </c>
      <c r="M277" s="81">
        <v>46048.72965277778</v>
      </c>
      <c r="N277" s="81">
        <v>46052.423402777778</v>
      </c>
      <c r="O277" t="s">
        <v>58</v>
      </c>
      <c r="P277" t="s">
        <v>59</v>
      </c>
      <c r="Q277" t="s">
        <v>90</v>
      </c>
      <c r="R277" t="s">
        <v>60</v>
      </c>
      <c r="S277" t="s">
        <v>583</v>
      </c>
      <c r="U277" s="75">
        <v>179601</v>
      </c>
      <c r="V277" t="s">
        <v>1549</v>
      </c>
      <c r="W277" t="s">
        <v>1550</v>
      </c>
      <c r="X277" t="s">
        <v>62</v>
      </c>
      <c r="Y277" t="s">
        <v>63</v>
      </c>
      <c r="AA277" t="s">
        <v>101</v>
      </c>
      <c r="AB277">
        <v>88.6</v>
      </c>
      <c r="AC277">
        <v>78.833332999999996</v>
      </c>
      <c r="AD277">
        <v>9.766667</v>
      </c>
      <c r="AE277">
        <v>8.3333000000000004E-2</v>
      </c>
      <c r="AF277">
        <v>0</v>
      </c>
      <c r="AG277">
        <v>9.6833340000000003</v>
      </c>
      <c r="AH277">
        <v>9.6833340000000003</v>
      </c>
      <c r="AI277">
        <v>8.6333339999999996</v>
      </c>
      <c r="AJ277">
        <v>1.05</v>
      </c>
      <c r="AK277">
        <v>0</v>
      </c>
      <c r="AL277" s="76">
        <v>44943</v>
      </c>
      <c r="AM277" s="75">
        <v>1105</v>
      </c>
      <c r="AN277" t="s">
        <v>65</v>
      </c>
      <c r="AO277" t="s">
        <v>478</v>
      </c>
      <c r="AP277" t="s">
        <v>67</v>
      </c>
      <c r="AQ277" t="s">
        <v>68</v>
      </c>
      <c r="AR277" t="s">
        <v>69</v>
      </c>
      <c r="AS277" s="79"/>
      <c r="AT277" s="82" t="s">
        <v>1360</v>
      </c>
      <c r="AU277" s="78">
        <v>2026</v>
      </c>
      <c r="AV277" s="78">
        <v>1</v>
      </c>
      <c r="AW277" s="78" t="s">
        <v>71</v>
      </c>
      <c r="AX277" s="78">
        <v>0</v>
      </c>
      <c r="AY277" s="78">
        <v>0</v>
      </c>
      <c r="BT277" s="3" t="s">
        <v>71</v>
      </c>
      <c r="BU277" s="3">
        <v>0</v>
      </c>
      <c r="BV277" s="3">
        <v>0</v>
      </c>
    </row>
    <row r="278" spans="1:74" ht="15" customHeight="1" x14ac:dyDescent="0.25">
      <c r="A278" s="75">
        <v>5795647</v>
      </c>
      <c r="B278" t="s">
        <v>1551</v>
      </c>
      <c r="C278" t="s">
        <v>281</v>
      </c>
      <c r="D278" t="s">
        <v>1137</v>
      </c>
      <c r="E278" t="s">
        <v>54</v>
      </c>
      <c r="F278" s="75">
        <v>3</v>
      </c>
      <c r="G278" s="75">
        <v>292843</v>
      </c>
      <c r="H278">
        <v>995.89</v>
      </c>
      <c r="I278" t="s">
        <v>55</v>
      </c>
      <c r="J278" s="75">
        <v>21243</v>
      </c>
      <c r="K278" t="s">
        <v>283</v>
      </c>
      <c r="L278" t="s">
        <v>284</v>
      </c>
      <c r="M278" s="81">
        <v>46048.785208333327</v>
      </c>
      <c r="N278" s="81">
        <v>46052.446898148148</v>
      </c>
      <c r="O278" t="s">
        <v>58</v>
      </c>
      <c r="P278" t="s">
        <v>59</v>
      </c>
      <c r="Q278" t="s">
        <v>90</v>
      </c>
      <c r="R278" t="s">
        <v>60</v>
      </c>
      <c r="S278" t="s">
        <v>1268</v>
      </c>
      <c r="U278" s="75">
        <v>179559</v>
      </c>
      <c r="V278" t="s">
        <v>1552</v>
      </c>
      <c r="W278" t="s">
        <v>1552</v>
      </c>
      <c r="X278" t="s">
        <v>62</v>
      </c>
      <c r="Y278" t="s">
        <v>287</v>
      </c>
      <c r="AA278" t="s">
        <v>64</v>
      </c>
      <c r="AB278">
        <v>87.816666999999995</v>
      </c>
      <c r="AC278">
        <v>82.05</v>
      </c>
      <c r="AD278">
        <v>5.766667</v>
      </c>
      <c r="AE278">
        <v>0.3</v>
      </c>
      <c r="AF278">
        <v>0</v>
      </c>
      <c r="AG278">
        <v>5.4666670000000002</v>
      </c>
      <c r="AH278">
        <v>5.4666670000000002</v>
      </c>
      <c r="AI278">
        <v>4.5999999999999996</v>
      </c>
      <c r="AJ278">
        <v>0.86666699999999997</v>
      </c>
      <c r="AK278">
        <v>0</v>
      </c>
      <c r="AL278" s="76">
        <v>45281.609467592592</v>
      </c>
      <c r="AM278" s="75">
        <v>767</v>
      </c>
      <c r="AN278" t="s">
        <v>65</v>
      </c>
      <c r="AO278" t="s">
        <v>288</v>
      </c>
      <c r="AP278" t="s">
        <v>67</v>
      </c>
      <c r="AQ278" t="s">
        <v>68</v>
      </c>
      <c r="AR278" t="s">
        <v>69</v>
      </c>
      <c r="AS278" s="78"/>
      <c r="AT278" s="82" t="s">
        <v>1360</v>
      </c>
      <c r="AU278" s="78">
        <v>2026</v>
      </c>
      <c r="AV278" s="78">
        <v>1</v>
      </c>
      <c r="AW278" s="78" t="s">
        <v>137</v>
      </c>
      <c r="AX278" s="78">
        <v>1</v>
      </c>
      <c r="AY278" s="78">
        <v>0</v>
      </c>
      <c r="BT278" s="2" t="s">
        <v>137</v>
      </c>
      <c r="BU278" s="2">
        <v>1</v>
      </c>
      <c r="BV278" s="2">
        <v>0</v>
      </c>
    </row>
    <row r="279" spans="1:74" ht="15" customHeight="1" x14ac:dyDescent="0.25">
      <c r="A279" s="75">
        <v>5800287</v>
      </c>
      <c r="B279" t="s">
        <v>1553</v>
      </c>
      <c r="C279" t="s">
        <v>1554</v>
      </c>
      <c r="D279" t="s">
        <v>1555</v>
      </c>
      <c r="E279" t="s">
        <v>87</v>
      </c>
      <c r="F279" s="75">
        <v>141</v>
      </c>
      <c r="G279" s="75">
        <v>285623</v>
      </c>
      <c r="H279">
        <v>368.16</v>
      </c>
      <c r="I279" t="s">
        <v>55</v>
      </c>
      <c r="J279" s="75">
        <v>218791</v>
      </c>
      <c r="K279" t="s">
        <v>312</v>
      </c>
      <c r="L279" t="s">
        <v>313</v>
      </c>
      <c r="M279" s="81">
        <v>46050.486516203702</v>
      </c>
      <c r="N279" s="81">
        <v>46052.461331018523</v>
      </c>
      <c r="O279" t="s">
        <v>58</v>
      </c>
      <c r="P279" t="s">
        <v>59</v>
      </c>
      <c r="Q279" t="s">
        <v>90</v>
      </c>
      <c r="R279" t="s">
        <v>99</v>
      </c>
      <c r="S279" t="s">
        <v>1244</v>
      </c>
      <c r="U279" s="75">
        <v>181153</v>
      </c>
      <c r="V279" t="s">
        <v>1556</v>
      </c>
      <c r="X279" t="s">
        <v>62</v>
      </c>
      <c r="Y279" t="s">
        <v>63</v>
      </c>
      <c r="AA279" t="s">
        <v>64</v>
      </c>
      <c r="AB279">
        <v>47.333334000000001</v>
      </c>
      <c r="AC279">
        <v>40.333334000000001</v>
      </c>
      <c r="AD279">
        <v>7</v>
      </c>
      <c r="AE279">
        <v>0.283333</v>
      </c>
      <c r="AF279">
        <v>0</v>
      </c>
      <c r="AG279">
        <v>6.7166670000000002</v>
      </c>
      <c r="AH279">
        <v>6.7166670000000002</v>
      </c>
      <c r="AI279">
        <v>6.7166670000000002</v>
      </c>
      <c r="AJ279">
        <v>0</v>
      </c>
      <c r="AK279">
        <v>0</v>
      </c>
      <c r="AL279" s="76">
        <v>44994.399780092594</v>
      </c>
      <c r="AM279" s="75">
        <v>1056</v>
      </c>
      <c r="AN279" t="s">
        <v>65</v>
      </c>
      <c r="AO279" t="s">
        <v>1557</v>
      </c>
      <c r="AP279" t="s">
        <v>67</v>
      </c>
      <c r="AQ279" t="s">
        <v>68</v>
      </c>
      <c r="AR279" t="s">
        <v>69</v>
      </c>
      <c r="AS279" s="79"/>
      <c r="AT279" s="82" t="s">
        <v>1360</v>
      </c>
      <c r="AU279" s="78">
        <v>2026</v>
      </c>
      <c r="AV279" s="78">
        <v>1</v>
      </c>
      <c r="AW279" s="78" t="s">
        <v>71</v>
      </c>
      <c r="AX279" s="78">
        <v>1</v>
      </c>
      <c r="AY279" s="78">
        <v>0</v>
      </c>
      <c r="BT279" s="3" t="s">
        <v>71</v>
      </c>
      <c r="BU279" s="3">
        <v>1</v>
      </c>
      <c r="BV279" s="3">
        <v>0</v>
      </c>
    </row>
    <row r="280" spans="1:74" ht="15" customHeight="1" x14ac:dyDescent="0.25">
      <c r="A280" s="75">
        <v>5802601</v>
      </c>
      <c r="B280" t="s">
        <v>1558</v>
      </c>
      <c r="C280" t="s">
        <v>1559</v>
      </c>
      <c r="D280" t="s">
        <v>1137</v>
      </c>
      <c r="E280" t="s">
        <v>54</v>
      </c>
      <c r="F280" s="75">
        <v>1</v>
      </c>
      <c r="G280" s="75">
        <v>329355</v>
      </c>
      <c r="H280">
        <v>500</v>
      </c>
      <c r="I280" t="s">
        <v>141</v>
      </c>
      <c r="J280" s="75">
        <v>224909</v>
      </c>
      <c r="K280" t="s">
        <v>898</v>
      </c>
      <c r="L280" t="s">
        <v>899</v>
      </c>
      <c r="M280" s="81">
        <v>46051.454837962963</v>
      </c>
      <c r="N280" s="81">
        <v>46052.462268518517</v>
      </c>
      <c r="O280" t="s">
        <v>58</v>
      </c>
      <c r="P280" t="s">
        <v>59</v>
      </c>
      <c r="R280" t="s">
        <v>99</v>
      </c>
      <c r="S280" t="s">
        <v>1244</v>
      </c>
      <c r="U280" s="75">
        <v>182101</v>
      </c>
      <c r="V280" t="s">
        <v>1560</v>
      </c>
      <c r="W280" t="s">
        <v>1560</v>
      </c>
      <c r="X280" t="s">
        <v>62</v>
      </c>
      <c r="Y280" t="s">
        <v>63</v>
      </c>
      <c r="AA280" t="s">
        <v>64</v>
      </c>
      <c r="AB280">
        <v>24.116667</v>
      </c>
      <c r="AC280">
        <v>18.25</v>
      </c>
      <c r="AD280">
        <v>5.8666669999999996</v>
      </c>
      <c r="AE280">
        <v>0.05</v>
      </c>
      <c r="AF280">
        <v>0</v>
      </c>
      <c r="AG280">
        <v>5.8166669999999998</v>
      </c>
      <c r="AH280">
        <v>5.8166669999999998</v>
      </c>
      <c r="AI280">
        <v>5.8</v>
      </c>
      <c r="AJ280">
        <v>1.6667000000000001E-2</v>
      </c>
      <c r="AK280">
        <v>0</v>
      </c>
      <c r="AL280" s="76">
        <v>45614.611793981479</v>
      </c>
      <c r="AM280" s="75">
        <v>436</v>
      </c>
      <c r="AN280" t="s">
        <v>65</v>
      </c>
      <c r="AO280" t="s">
        <v>902</v>
      </c>
      <c r="AP280" t="s">
        <v>67</v>
      </c>
      <c r="AQ280" t="s">
        <v>68</v>
      </c>
      <c r="AR280" t="s">
        <v>69</v>
      </c>
      <c r="AS280" s="78"/>
      <c r="AT280" s="82" t="s">
        <v>1360</v>
      </c>
      <c r="AU280" s="78">
        <v>2026</v>
      </c>
      <c r="AV280" s="78">
        <v>1</v>
      </c>
      <c r="AW280" s="78" t="s">
        <v>71</v>
      </c>
      <c r="AX280" s="78">
        <v>1</v>
      </c>
      <c r="AY280" s="78">
        <v>0</v>
      </c>
      <c r="BT280" s="2" t="s">
        <v>71</v>
      </c>
      <c r="BU280" s="2">
        <v>1</v>
      </c>
      <c r="BV280" s="2">
        <v>0</v>
      </c>
    </row>
    <row r="281" spans="1:74" ht="15" customHeight="1" x14ac:dyDescent="0.25">
      <c r="A281" s="75">
        <v>5798861</v>
      </c>
      <c r="B281" t="s">
        <v>1561</v>
      </c>
      <c r="C281" t="s">
        <v>1562</v>
      </c>
      <c r="D281" t="s">
        <v>1137</v>
      </c>
      <c r="E281" t="s">
        <v>87</v>
      </c>
      <c r="F281" s="75">
        <v>364</v>
      </c>
      <c r="G281" s="75">
        <v>286765</v>
      </c>
      <c r="H281">
        <v>364.96</v>
      </c>
      <c r="I281" t="s">
        <v>55</v>
      </c>
      <c r="J281" s="75">
        <v>218787</v>
      </c>
      <c r="K281" t="s">
        <v>96</v>
      </c>
      <c r="L281" t="s">
        <v>97</v>
      </c>
      <c r="M281" s="81">
        <v>46049.70716435185</v>
      </c>
      <c r="N281" s="81">
        <v>46052.502141203702</v>
      </c>
      <c r="O281" t="s">
        <v>58</v>
      </c>
      <c r="P281" t="s">
        <v>59</v>
      </c>
      <c r="R281" t="s">
        <v>60</v>
      </c>
      <c r="S281" t="s">
        <v>583</v>
      </c>
      <c r="U281" s="75">
        <v>180607</v>
      </c>
      <c r="V281" t="s">
        <v>1563</v>
      </c>
      <c r="W281" t="s">
        <v>1563</v>
      </c>
      <c r="X281" t="s">
        <v>62</v>
      </c>
      <c r="Y281" t="s">
        <v>63</v>
      </c>
      <c r="AA281" t="s">
        <v>64</v>
      </c>
      <c r="AB281">
        <v>67.033332999999999</v>
      </c>
      <c r="AC281">
        <v>62.7</v>
      </c>
      <c r="AD281">
        <v>4.3333329999999997</v>
      </c>
      <c r="AE281">
        <v>0.1</v>
      </c>
      <c r="AF281">
        <v>0</v>
      </c>
      <c r="AG281">
        <v>4.233333</v>
      </c>
      <c r="AH281">
        <v>4.233333</v>
      </c>
      <c r="AI281">
        <v>3.95</v>
      </c>
      <c r="AJ281">
        <v>0.283333</v>
      </c>
      <c r="AK281">
        <v>0</v>
      </c>
      <c r="AL281" s="76">
        <v>44890</v>
      </c>
      <c r="AM281" s="75">
        <v>1159</v>
      </c>
      <c r="AN281" t="s">
        <v>65</v>
      </c>
      <c r="AO281" t="s">
        <v>1564</v>
      </c>
      <c r="AP281" t="s">
        <v>67</v>
      </c>
      <c r="AQ281" t="s">
        <v>68</v>
      </c>
      <c r="AR281" t="s">
        <v>69</v>
      </c>
      <c r="AS281" s="79"/>
      <c r="AT281" s="82" t="s">
        <v>1360</v>
      </c>
      <c r="AU281" s="78">
        <v>2026</v>
      </c>
      <c r="AV281" s="78">
        <v>1</v>
      </c>
      <c r="AW281" s="78" t="s">
        <v>71</v>
      </c>
      <c r="AX281" s="78">
        <v>1</v>
      </c>
      <c r="AY281" s="78">
        <v>0</v>
      </c>
      <c r="BT281" s="3" t="s">
        <v>71</v>
      </c>
      <c r="BU281" s="3">
        <v>1</v>
      </c>
      <c r="BV281" s="3">
        <v>0</v>
      </c>
    </row>
    <row r="282" spans="1:74" ht="15" customHeight="1" x14ac:dyDescent="0.25">
      <c r="A282" s="75">
        <v>5801573</v>
      </c>
      <c r="B282" t="s">
        <v>1565</v>
      </c>
      <c r="C282" t="s">
        <v>1566</v>
      </c>
      <c r="D282" t="s">
        <v>1567</v>
      </c>
      <c r="E282" t="s">
        <v>87</v>
      </c>
      <c r="F282" s="75">
        <v>848</v>
      </c>
      <c r="G282" s="75">
        <v>345269</v>
      </c>
      <c r="H282">
        <v>334.78</v>
      </c>
      <c r="I282" t="s">
        <v>203</v>
      </c>
      <c r="J282" s="75">
        <v>6971</v>
      </c>
      <c r="K282" t="s">
        <v>369</v>
      </c>
      <c r="L282" t="s">
        <v>370</v>
      </c>
      <c r="M282" s="81">
        <v>46050.771562499998</v>
      </c>
      <c r="N282" s="81">
        <v>46052.521805555552</v>
      </c>
      <c r="O282" t="s">
        <v>58</v>
      </c>
      <c r="P282" t="s">
        <v>59</v>
      </c>
      <c r="Q282" t="s">
        <v>90</v>
      </c>
      <c r="R282" t="s">
        <v>99</v>
      </c>
      <c r="S282" t="s">
        <v>1244</v>
      </c>
      <c r="U282" s="75"/>
      <c r="X282" t="s">
        <v>79</v>
      </c>
      <c r="Y282" t="s">
        <v>224</v>
      </c>
      <c r="AA282" t="s">
        <v>81</v>
      </c>
      <c r="AB282">
        <v>41.933334000000002</v>
      </c>
      <c r="AC282">
        <v>37.799999999999997</v>
      </c>
      <c r="AD282">
        <v>4.1333339999999996</v>
      </c>
      <c r="AE282">
        <v>0.65</v>
      </c>
      <c r="AF282">
        <v>0</v>
      </c>
      <c r="AG282">
        <v>3.4833340000000002</v>
      </c>
      <c r="AH282">
        <v>3.4833340000000002</v>
      </c>
      <c r="AI282">
        <v>3.266667</v>
      </c>
      <c r="AJ282">
        <v>0.216667</v>
      </c>
      <c r="AK282">
        <v>0</v>
      </c>
      <c r="AL282" s="76">
        <v>46149</v>
      </c>
      <c r="AM282" s="75">
        <v>-98</v>
      </c>
      <c r="AN282" t="s">
        <v>1436</v>
      </c>
      <c r="AO282" t="s">
        <v>1568</v>
      </c>
      <c r="AP282" t="s">
        <v>67</v>
      </c>
      <c r="AQ282" t="s">
        <v>83</v>
      </c>
      <c r="AR282" t="s">
        <v>69</v>
      </c>
      <c r="AS282" s="78"/>
      <c r="AT282" s="82" t="s">
        <v>1360</v>
      </c>
      <c r="AU282" s="78">
        <v>2026</v>
      </c>
      <c r="AV282" s="78">
        <v>1</v>
      </c>
      <c r="AW282" s="78" t="s">
        <v>226</v>
      </c>
      <c r="AX282" s="78">
        <v>1</v>
      </c>
      <c r="AY282" s="78">
        <v>0</v>
      </c>
      <c r="BT282" s="2" t="s">
        <v>226</v>
      </c>
      <c r="BU282" s="2">
        <v>1</v>
      </c>
      <c r="BV282" s="2">
        <v>0</v>
      </c>
    </row>
    <row r="283" spans="1:74" ht="15" customHeight="1" x14ac:dyDescent="0.25">
      <c r="A283" s="75">
        <v>5798763</v>
      </c>
      <c r="B283" t="s">
        <v>1569</v>
      </c>
      <c r="C283" t="s">
        <v>1570</v>
      </c>
      <c r="D283" t="s">
        <v>1400</v>
      </c>
      <c r="E283" t="s">
        <v>87</v>
      </c>
      <c r="F283" s="75">
        <v>109</v>
      </c>
      <c r="G283" s="75">
        <v>280045</v>
      </c>
      <c r="H283">
        <v>616.59</v>
      </c>
      <c r="I283" t="s">
        <v>266</v>
      </c>
      <c r="J283" s="75">
        <v>49495</v>
      </c>
      <c r="K283" t="s">
        <v>460</v>
      </c>
      <c r="L283" t="s">
        <v>461</v>
      </c>
      <c r="M283" s="81">
        <v>46049.680995370371</v>
      </c>
      <c r="N283" s="81">
        <v>46052.531944444447</v>
      </c>
      <c r="O283" t="s">
        <v>58</v>
      </c>
      <c r="P283" t="s">
        <v>59</v>
      </c>
      <c r="Q283" t="s">
        <v>90</v>
      </c>
      <c r="R283" t="s">
        <v>156</v>
      </c>
      <c r="S283" t="s">
        <v>1320</v>
      </c>
      <c r="T283" t="s">
        <v>1571</v>
      </c>
      <c r="U283" s="75">
        <v>180639</v>
      </c>
      <c r="V283" t="s">
        <v>1572</v>
      </c>
      <c r="W283" t="s">
        <v>1573</v>
      </c>
      <c r="X283" t="s">
        <v>62</v>
      </c>
      <c r="Y283" t="s">
        <v>1574</v>
      </c>
      <c r="AA283" t="s">
        <v>64</v>
      </c>
      <c r="AB283">
        <v>68.333332999999996</v>
      </c>
      <c r="AC283">
        <v>61.816665999999998</v>
      </c>
      <c r="AD283">
        <v>6.516667</v>
      </c>
      <c r="AE283">
        <v>0.283333</v>
      </c>
      <c r="AF283">
        <v>0</v>
      </c>
      <c r="AG283">
        <v>6.2333340000000002</v>
      </c>
      <c r="AH283">
        <v>6.2333340000000002</v>
      </c>
      <c r="AI283">
        <v>4.5</v>
      </c>
      <c r="AJ283">
        <v>1.7333339999999999</v>
      </c>
      <c r="AK283">
        <v>0</v>
      </c>
      <c r="AL283" s="76">
        <v>44803</v>
      </c>
      <c r="AM283" s="75">
        <v>1246</v>
      </c>
      <c r="AN283" t="s">
        <v>65</v>
      </c>
      <c r="AO283" t="s">
        <v>1575</v>
      </c>
      <c r="AP283" t="s">
        <v>67</v>
      </c>
      <c r="AQ283" t="s">
        <v>68</v>
      </c>
      <c r="AR283" t="s">
        <v>69</v>
      </c>
      <c r="AS283" s="79"/>
      <c r="AT283" s="82" t="s">
        <v>1360</v>
      </c>
      <c r="AU283" s="78">
        <v>2026</v>
      </c>
      <c r="AV283" s="78">
        <v>1</v>
      </c>
      <c r="AW283" s="78" t="s">
        <v>137</v>
      </c>
      <c r="AX283" s="78">
        <v>1</v>
      </c>
      <c r="AY283" s="78">
        <v>0</v>
      </c>
      <c r="BT283" s="3" t="s">
        <v>137</v>
      </c>
      <c r="BU283" s="3">
        <v>1</v>
      </c>
      <c r="BV283" s="3">
        <v>0</v>
      </c>
    </row>
    <row r="284" spans="1:74" ht="15" customHeight="1" x14ac:dyDescent="0.25">
      <c r="A284" s="75">
        <v>5798989</v>
      </c>
      <c r="B284" t="s">
        <v>1576</v>
      </c>
      <c r="C284" t="s">
        <v>1577</v>
      </c>
      <c r="D284" t="s">
        <v>1400</v>
      </c>
      <c r="E284" t="s">
        <v>87</v>
      </c>
      <c r="F284" s="75">
        <v>300</v>
      </c>
      <c r="G284" s="75">
        <v>285733</v>
      </c>
      <c r="H284">
        <v>616.59</v>
      </c>
      <c r="I284" t="s">
        <v>266</v>
      </c>
      <c r="J284" s="75">
        <v>49495</v>
      </c>
      <c r="K284" t="s">
        <v>460</v>
      </c>
      <c r="L284" t="s">
        <v>461</v>
      </c>
      <c r="M284" s="81">
        <v>46049.736805555563</v>
      </c>
      <c r="N284" s="81">
        <v>46052.533414351848</v>
      </c>
      <c r="O284" t="s">
        <v>58</v>
      </c>
      <c r="P284" t="s">
        <v>59</v>
      </c>
      <c r="Q284" t="s">
        <v>90</v>
      </c>
      <c r="R284" t="s">
        <v>156</v>
      </c>
      <c r="S284" t="s">
        <v>1320</v>
      </c>
      <c r="U284" s="75">
        <v>180519</v>
      </c>
      <c r="V284" t="s">
        <v>1578</v>
      </c>
      <c r="X284" t="s">
        <v>62</v>
      </c>
      <c r="Y284" t="s">
        <v>1049</v>
      </c>
      <c r="AA284" t="s">
        <v>101</v>
      </c>
      <c r="AB284">
        <v>67.050000999999995</v>
      </c>
      <c r="AC284">
        <v>57.766666999999998</v>
      </c>
      <c r="AD284">
        <v>9.283334</v>
      </c>
      <c r="AE284">
        <v>0.53333399999999997</v>
      </c>
      <c r="AF284">
        <v>0</v>
      </c>
      <c r="AG284">
        <v>8.75</v>
      </c>
      <c r="AH284">
        <v>8.75</v>
      </c>
      <c r="AI284">
        <v>4.05</v>
      </c>
      <c r="AJ284">
        <v>4.7</v>
      </c>
      <c r="AK284">
        <v>0</v>
      </c>
      <c r="AL284" s="76">
        <v>44862.600069444437</v>
      </c>
      <c r="AM284" s="75">
        <v>1187</v>
      </c>
      <c r="AN284" t="s">
        <v>65</v>
      </c>
      <c r="AO284" t="s">
        <v>1050</v>
      </c>
      <c r="AP284" t="s">
        <v>67</v>
      </c>
      <c r="AQ284" t="s">
        <v>68</v>
      </c>
      <c r="AR284" t="s">
        <v>69</v>
      </c>
      <c r="AS284" s="78"/>
      <c r="AT284" s="82" t="s">
        <v>1360</v>
      </c>
      <c r="AU284" s="78">
        <v>2026</v>
      </c>
      <c r="AV284" s="78">
        <v>1</v>
      </c>
      <c r="AW284" s="78" t="s">
        <v>137</v>
      </c>
      <c r="AX284" s="78">
        <v>0</v>
      </c>
      <c r="AY284" s="78">
        <v>0</v>
      </c>
      <c r="BT284" s="2" t="s">
        <v>137</v>
      </c>
      <c r="BU284" s="2">
        <v>0</v>
      </c>
      <c r="BV284" s="2">
        <v>0</v>
      </c>
    </row>
    <row r="285" spans="1:74" ht="15" customHeight="1" x14ac:dyDescent="0.25">
      <c r="A285" s="75">
        <v>5799975</v>
      </c>
      <c r="B285" t="s">
        <v>1579</v>
      </c>
      <c r="C285" t="s">
        <v>1580</v>
      </c>
      <c r="D285" t="s">
        <v>1400</v>
      </c>
      <c r="E285" t="s">
        <v>87</v>
      </c>
      <c r="F285" s="75">
        <v>172</v>
      </c>
      <c r="G285" s="75">
        <v>285847</v>
      </c>
      <c r="H285">
        <v>364.95</v>
      </c>
      <c r="I285" t="s">
        <v>55</v>
      </c>
      <c r="J285" s="75">
        <v>218787</v>
      </c>
      <c r="K285" t="s">
        <v>96</v>
      </c>
      <c r="L285" t="s">
        <v>97</v>
      </c>
      <c r="M285" s="81">
        <v>46050.433217592603</v>
      </c>
      <c r="N285" s="81">
        <v>46052.538634259261</v>
      </c>
      <c r="O285" t="s">
        <v>58</v>
      </c>
      <c r="P285" t="s">
        <v>59</v>
      </c>
      <c r="Q285" t="s">
        <v>130</v>
      </c>
      <c r="R285" t="s">
        <v>60</v>
      </c>
      <c r="S285" t="s">
        <v>1268</v>
      </c>
      <c r="U285" s="75">
        <v>181037</v>
      </c>
      <c r="V285" t="s">
        <v>1581</v>
      </c>
      <c r="W285" t="s">
        <v>1581</v>
      </c>
      <c r="X285" t="s">
        <v>62</v>
      </c>
      <c r="Y285" t="s">
        <v>63</v>
      </c>
      <c r="AA285" t="s">
        <v>64</v>
      </c>
      <c r="AB285">
        <v>50.466665999999996</v>
      </c>
      <c r="AC285">
        <v>44.116667</v>
      </c>
      <c r="AD285">
        <v>6.3499990000000004</v>
      </c>
      <c r="AE285">
        <v>0.33333299999999999</v>
      </c>
      <c r="AF285">
        <v>0</v>
      </c>
      <c r="AG285">
        <v>6.0166659999999998</v>
      </c>
      <c r="AH285">
        <v>6.0166659999999998</v>
      </c>
      <c r="AI285">
        <v>5.9333330000000002</v>
      </c>
      <c r="AJ285">
        <v>8.3333000000000004E-2</v>
      </c>
      <c r="AK285">
        <v>0</v>
      </c>
      <c r="AL285" s="76">
        <v>44873</v>
      </c>
      <c r="AM285" s="75">
        <v>1177</v>
      </c>
      <c r="AN285" t="s">
        <v>65</v>
      </c>
      <c r="AO285" t="s">
        <v>1102</v>
      </c>
      <c r="AP285" t="s">
        <v>67</v>
      </c>
      <c r="AQ285" t="s">
        <v>68</v>
      </c>
      <c r="AR285" t="s">
        <v>69</v>
      </c>
      <c r="AS285" s="79"/>
      <c r="AT285" s="82" t="s">
        <v>1360</v>
      </c>
      <c r="AU285" s="78">
        <v>2026</v>
      </c>
      <c r="AV285" s="78">
        <v>1</v>
      </c>
      <c r="AW285" s="78" t="s">
        <v>71</v>
      </c>
      <c r="AX285" s="78">
        <v>1</v>
      </c>
      <c r="AY285" s="78">
        <v>0</v>
      </c>
      <c r="BT285" s="3" t="s">
        <v>71</v>
      </c>
      <c r="BU285" s="3">
        <v>1</v>
      </c>
      <c r="BV285" s="3">
        <v>0</v>
      </c>
    </row>
    <row r="286" spans="1:74" ht="15" customHeight="1" x14ac:dyDescent="0.25">
      <c r="A286" s="75">
        <v>5800025</v>
      </c>
      <c r="B286" t="s">
        <v>1582</v>
      </c>
      <c r="C286" t="s">
        <v>1583</v>
      </c>
      <c r="D286" t="s">
        <v>1400</v>
      </c>
      <c r="E286" t="s">
        <v>87</v>
      </c>
      <c r="F286" s="75">
        <v>370</v>
      </c>
      <c r="G286" s="75">
        <v>287805</v>
      </c>
      <c r="H286">
        <v>313.52</v>
      </c>
      <c r="I286" t="s">
        <v>853</v>
      </c>
      <c r="J286" s="75">
        <v>49495</v>
      </c>
      <c r="K286" t="s">
        <v>460</v>
      </c>
      <c r="L286" t="s">
        <v>461</v>
      </c>
      <c r="M286" s="81">
        <v>46050.438125000001</v>
      </c>
      <c r="N286" s="81">
        <v>46052.540960648148</v>
      </c>
      <c r="O286" t="s">
        <v>58</v>
      </c>
      <c r="P286" t="s">
        <v>59</v>
      </c>
      <c r="Q286" t="s">
        <v>90</v>
      </c>
      <c r="R286" t="s">
        <v>131</v>
      </c>
      <c r="S286" t="s">
        <v>1273</v>
      </c>
      <c r="U286" s="75">
        <v>181083</v>
      </c>
      <c r="V286" t="s">
        <v>1584</v>
      </c>
      <c r="W286" t="s">
        <v>1584</v>
      </c>
      <c r="X286" t="s">
        <v>62</v>
      </c>
      <c r="Y286" t="s">
        <v>63</v>
      </c>
      <c r="AA286" t="s">
        <v>81</v>
      </c>
      <c r="AB286">
        <v>50.433334000000002</v>
      </c>
      <c r="AC286">
        <v>45.816667000000002</v>
      </c>
      <c r="AD286">
        <v>4.6166669999999996</v>
      </c>
      <c r="AE286">
        <v>0.683334</v>
      </c>
      <c r="AF286">
        <v>0</v>
      </c>
      <c r="AG286">
        <v>3.9333330000000002</v>
      </c>
      <c r="AH286">
        <v>3.9333330000000002</v>
      </c>
      <c r="AI286">
        <v>3.733333</v>
      </c>
      <c r="AJ286">
        <v>0.2</v>
      </c>
      <c r="AK286">
        <v>0</v>
      </c>
      <c r="AL286" s="76">
        <v>45132</v>
      </c>
      <c r="AM286" s="75">
        <v>918</v>
      </c>
      <c r="AN286" t="s">
        <v>65</v>
      </c>
      <c r="AO286" t="s">
        <v>1585</v>
      </c>
      <c r="AP286" t="s">
        <v>67</v>
      </c>
      <c r="AQ286" t="s">
        <v>68</v>
      </c>
      <c r="AR286" t="s">
        <v>69</v>
      </c>
      <c r="AS286" s="78"/>
      <c r="AT286" s="82" t="s">
        <v>1360</v>
      </c>
      <c r="AU286" s="78">
        <v>2026</v>
      </c>
      <c r="AV286" s="78">
        <v>1</v>
      </c>
      <c r="AW286" s="78" t="s">
        <v>71</v>
      </c>
      <c r="AX286" s="78">
        <v>1</v>
      </c>
      <c r="AY286" s="78">
        <v>0</v>
      </c>
      <c r="BT286" s="2" t="s">
        <v>71</v>
      </c>
      <c r="BU286" s="2">
        <v>1</v>
      </c>
      <c r="BV286" s="2">
        <v>0</v>
      </c>
    </row>
    <row r="287" spans="1:74" ht="15" customHeight="1" x14ac:dyDescent="0.25">
      <c r="A287" s="75">
        <v>5800063</v>
      </c>
      <c r="B287" t="s">
        <v>1586</v>
      </c>
      <c r="C287" t="s">
        <v>1587</v>
      </c>
      <c r="D287" t="s">
        <v>1400</v>
      </c>
      <c r="E287" t="s">
        <v>87</v>
      </c>
      <c r="F287" s="75">
        <v>206</v>
      </c>
      <c r="G287" s="75">
        <v>286085</v>
      </c>
      <c r="H287">
        <v>364.95</v>
      </c>
      <c r="I287" t="s">
        <v>55</v>
      </c>
      <c r="J287" s="75">
        <v>218787</v>
      </c>
      <c r="K287" t="s">
        <v>96</v>
      </c>
      <c r="L287" t="s">
        <v>97</v>
      </c>
      <c r="M287" s="81">
        <v>46050.441331018519</v>
      </c>
      <c r="N287" s="81">
        <v>46052.545393518521</v>
      </c>
      <c r="O287" t="s">
        <v>58</v>
      </c>
      <c r="P287" t="s">
        <v>59</v>
      </c>
      <c r="Q287" t="s">
        <v>130</v>
      </c>
      <c r="R287" t="s">
        <v>60</v>
      </c>
      <c r="S287" t="s">
        <v>583</v>
      </c>
      <c r="U287" s="75">
        <v>181041</v>
      </c>
      <c r="V287" t="s">
        <v>1588</v>
      </c>
      <c r="W287" t="s">
        <v>1588</v>
      </c>
      <c r="X287" t="s">
        <v>62</v>
      </c>
      <c r="Y287" t="s">
        <v>63</v>
      </c>
      <c r="AA287" t="s">
        <v>64</v>
      </c>
      <c r="AB287">
        <v>50.466665999999996</v>
      </c>
      <c r="AC287">
        <v>43.283332999999999</v>
      </c>
      <c r="AD287">
        <v>7.1833330000000002</v>
      </c>
      <c r="AE287">
        <v>0.3</v>
      </c>
      <c r="AF287">
        <v>0</v>
      </c>
      <c r="AG287">
        <v>6.8833330000000004</v>
      </c>
      <c r="AH287">
        <v>6.8833330000000004</v>
      </c>
      <c r="AI287">
        <v>6.85</v>
      </c>
      <c r="AJ287">
        <v>3.3333000000000002E-2</v>
      </c>
      <c r="AK287">
        <v>0</v>
      </c>
      <c r="AL287" s="76">
        <v>44870</v>
      </c>
      <c r="AM287" s="75">
        <v>1180</v>
      </c>
      <c r="AN287" t="s">
        <v>65</v>
      </c>
      <c r="AO287" t="s">
        <v>892</v>
      </c>
      <c r="AP287" t="s">
        <v>67</v>
      </c>
      <c r="AQ287" t="s">
        <v>68</v>
      </c>
      <c r="AR287" t="s">
        <v>69</v>
      </c>
      <c r="AS287" s="79"/>
      <c r="AT287" s="82" t="s">
        <v>1360</v>
      </c>
      <c r="AU287" s="78">
        <v>2026</v>
      </c>
      <c r="AV287" s="78">
        <v>1</v>
      </c>
      <c r="AW287" s="78" t="s">
        <v>71</v>
      </c>
      <c r="AX287" s="78">
        <v>1</v>
      </c>
      <c r="AY287" s="78">
        <v>0</v>
      </c>
      <c r="BT287" s="3" t="s">
        <v>71</v>
      </c>
      <c r="BU287" s="3">
        <v>1</v>
      </c>
      <c r="BV287" s="3">
        <v>0</v>
      </c>
    </row>
    <row r="288" spans="1:74" ht="15" customHeight="1" x14ac:dyDescent="0.25">
      <c r="A288" s="75">
        <v>5800163</v>
      </c>
      <c r="B288" t="s">
        <v>1589</v>
      </c>
      <c r="C288" t="s">
        <v>1590</v>
      </c>
      <c r="D288" t="s">
        <v>1400</v>
      </c>
      <c r="E288" t="s">
        <v>54</v>
      </c>
      <c r="F288" s="75">
        <v>18</v>
      </c>
      <c r="G288" s="75">
        <v>336227</v>
      </c>
      <c r="H288">
        <v>240</v>
      </c>
      <c r="I288" t="s">
        <v>1591</v>
      </c>
      <c r="J288" s="75">
        <v>74371</v>
      </c>
      <c r="K288" t="s">
        <v>186</v>
      </c>
      <c r="L288" t="s">
        <v>187</v>
      </c>
      <c r="M288" s="81">
        <v>46050.460277777784</v>
      </c>
      <c r="N288" s="81">
        <v>46052.550081018519</v>
      </c>
      <c r="O288" t="s">
        <v>58</v>
      </c>
      <c r="P288" t="s">
        <v>59</v>
      </c>
      <c r="Q288" t="s">
        <v>130</v>
      </c>
      <c r="S288" t="s">
        <v>583</v>
      </c>
      <c r="U288" s="75">
        <v>181117</v>
      </c>
      <c r="V288" t="s">
        <v>1592</v>
      </c>
      <c r="W288" t="s">
        <v>1592</v>
      </c>
      <c r="X288" t="s">
        <v>62</v>
      </c>
      <c r="Y288" t="s">
        <v>63</v>
      </c>
      <c r="AA288" t="s">
        <v>101</v>
      </c>
      <c r="AB288">
        <v>50.116667</v>
      </c>
      <c r="AC288">
        <v>40.75</v>
      </c>
      <c r="AD288">
        <v>9.3666669999999996</v>
      </c>
      <c r="AE288">
        <v>0.4</v>
      </c>
      <c r="AF288">
        <v>0</v>
      </c>
      <c r="AG288">
        <v>8.9666669999999993</v>
      </c>
      <c r="AH288">
        <v>8.9666669999999993</v>
      </c>
      <c r="AI288">
        <v>8.8166670000000007</v>
      </c>
      <c r="AJ288">
        <v>0.15</v>
      </c>
      <c r="AK288">
        <v>0</v>
      </c>
      <c r="AL288" s="76">
        <v>45776.536898148152</v>
      </c>
      <c r="AM288" s="75">
        <v>273</v>
      </c>
      <c r="AN288" t="s">
        <v>65</v>
      </c>
      <c r="AO288" t="s">
        <v>1593</v>
      </c>
      <c r="AP288" t="s">
        <v>67</v>
      </c>
      <c r="AQ288" t="s">
        <v>68</v>
      </c>
      <c r="AR288" t="s">
        <v>69</v>
      </c>
      <c r="AS288" s="78"/>
      <c r="AT288" s="82" t="s">
        <v>1360</v>
      </c>
      <c r="AU288" s="78">
        <v>2026</v>
      </c>
      <c r="AV288" s="78">
        <v>1</v>
      </c>
      <c r="AW288" s="78" t="s">
        <v>71</v>
      </c>
      <c r="AX288" s="78">
        <v>0</v>
      </c>
      <c r="AY288" s="78">
        <v>0</v>
      </c>
      <c r="BT288" s="2" t="s">
        <v>71</v>
      </c>
      <c r="BU288" s="2">
        <v>0</v>
      </c>
      <c r="BV288" s="2">
        <v>0</v>
      </c>
    </row>
    <row r="289" spans="1:74" ht="15" customHeight="1" x14ac:dyDescent="0.25">
      <c r="A289" s="75">
        <v>5800225</v>
      </c>
      <c r="B289" t="s">
        <v>1594</v>
      </c>
      <c r="C289" t="s">
        <v>256</v>
      </c>
      <c r="D289" t="s">
        <v>1400</v>
      </c>
      <c r="E289" t="s">
        <v>54</v>
      </c>
      <c r="F289" s="75">
        <v>11</v>
      </c>
      <c r="G289" s="75">
        <v>295427</v>
      </c>
      <c r="H289">
        <v>200</v>
      </c>
      <c r="I289" t="s">
        <v>55</v>
      </c>
      <c r="J289" s="75">
        <v>218297</v>
      </c>
      <c r="K289" t="s">
        <v>258</v>
      </c>
      <c r="L289" t="s">
        <v>259</v>
      </c>
      <c r="M289" s="81">
        <v>46050.474675925929</v>
      </c>
      <c r="N289" s="81">
        <v>46052.552210648151</v>
      </c>
      <c r="O289" t="s">
        <v>58</v>
      </c>
      <c r="P289" t="s">
        <v>59</v>
      </c>
      <c r="Q289" t="s">
        <v>77</v>
      </c>
      <c r="R289" t="s">
        <v>60</v>
      </c>
      <c r="S289" t="s">
        <v>1268</v>
      </c>
      <c r="U289" s="75">
        <v>181115</v>
      </c>
      <c r="V289" t="s">
        <v>1595</v>
      </c>
      <c r="W289" t="s">
        <v>1595</v>
      </c>
      <c r="X289" t="s">
        <v>62</v>
      </c>
      <c r="Y289" t="s">
        <v>63</v>
      </c>
      <c r="AA289" t="s">
        <v>64</v>
      </c>
      <c r="AB289">
        <v>49.799999</v>
      </c>
      <c r="AC289">
        <v>43.383333</v>
      </c>
      <c r="AD289">
        <v>6.4166660000000002</v>
      </c>
      <c r="AE289">
        <v>0.183333</v>
      </c>
      <c r="AF289">
        <v>0</v>
      </c>
      <c r="AG289">
        <v>6.233333</v>
      </c>
      <c r="AH289">
        <v>6.233333</v>
      </c>
      <c r="AI289">
        <v>6.233333</v>
      </c>
      <c r="AJ289">
        <v>0</v>
      </c>
      <c r="AK289">
        <v>0</v>
      </c>
      <c r="AL289" s="76">
        <v>45293.488159722219</v>
      </c>
      <c r="AM289" s="75">
        <v>756</v>
      </c>
      <c r="AN289" t="s">
        <v>65</v>
      </c>
      <c r="AO289" t="s">
        <v>262</v>
      </c>
      <c r="AP289" t="s">
        <v>67</v>
      </c>
      <c r="AQ289" t="s">
        <v>68</v>
      </c>
      <c r="AR289" t="s">
        <v>69</v>
      </c>
      <c r="AS289" s="79"/>
      <c r="AT289" s="82" t="s">
        <v>1360</v>
      </c>
      <c r="AU289" s="78">
        <v>2026</v>
      </c>
      <c r="AV289" s="78">
        <v>1</v>
      </c>
      <c r="AW289" s="78" t="s">
        <v>71</v>
      </c>
      <c r="AX289" s="78">
        <v>1</v>
      </c>
      <c r="AY289" s="78">
        <v>0</v>
      </c>
      <c r="BT289" s="3" t="s">
        <v>71</v>
      </c>
      <c r="BU289" s="3">
        <v>1</v>
      </c>
      <c r="BV289" s="3">
        <v>0</v>
      </c>
    </row>
    <row r="290" spans="1:74" ht="15" customHeight="1" x14ac:dyDescent="0.25">
      <c r="A290" s="75">
        <v>5801757</v>
      </c>
      <c r="B290" t="s">
        <v>1596</v>
      </c>
      <c r="C290" t="s">
        <v>1597</v>
      </c>
      <c r="D290" t="s">
        <v>1567</v>
      </c>
      <c r="E290" t="s">
        <v>87</v>
      </c>
      <c r="F290" s="75">
        <v>2</v>
      </c>
      <c r="G290" s="75">
        <v>56093</v>
      </c>
      <c r="H290">
        <v>3187.5</v>
      </c>
      <c r="I290" t="s">
        <v>880</v>
      </c>
      <c r="J290" s="75">
        <v>49495</v>
      </c>
      <c r="K290" t="s">
        <v>460</v>
      </c>
      <c r="L290" t="s">
        <v>461</v>
      </c>
      <c r="M290" s="81">
        <v>46050.972696759258</v>
      </c>
      <c r="N290" s="81">
        <v>46052.553773148153</v>
      </c>
      <c r="O290" t="s">
        <v>58</v>
      </c>
      <c r="P290" t="s">
        <v>59</v>
      </c>
      <c r="Q290" t="s">
        <v>90</v>
      </c>
      <c r="R290" t="s">
        <v>60</v>
      </c>
      <c r="S290" t="s">
        <v>583</v>
      </c>
      <c r="U290" s="75">
        <v>181591</v>
      </c>
      <c r="V290" t="s">
        <v>1598</v>
      </c>
      <c r="W290" t="s">
        <v>1599</v>
      </c>
      <c r="X290" t="s">
        <v>62</v>
      </c>
      <c r="Y290" t="s">
        <v>63</v>
      </c>
      <c r="AA290" t="s">
        <v>101</v>
      </c>
      <c r="AB290">
        <v>37.883333</v>
      </c>
      <c r="AC290">
        <v>28.216666</v>
      </c>
      <c r="AD290">
        <v>9.6666670000000003</v>
      </c>
      <c r="AE290">
        <v>0.53333399999999997</v>
      </c>
      <c r="AF290">
        <v>0</v>
      </c>
      <c r="AG290">
        <v>9.1333330000000004</v>
      </c>
      <c r="AH290">
        <v>9.1333330000000004</v>
      </c>
      <c r="AI290">
        <v>8.9166670000000003</v>
      </c>
      <c r="AJ290">
        <v>0.216666</v>
      </c>
      <c r="AK290">
        <v>0</v>
      </c>
      <c r="AL290" s="76">
        <v>43010.662314814806</v>
      </c>
      <c r="AM290" s="75">
        <v>3040</v>
      </c>
      <c r="AN290" t="s">
        <v>65</v>
      </c>
      <c r="AO290" t="s">
        <v>1546</v>
      </c>
      <c r="AP290" t="s">
        <v>67</v>
      </c>
      <c r="AQ290" t="s">
        <v>68</v>
      </c>
      <c r="AR290" t="s">
        <v>69</v>
      </c>
      <c r="AS290" s="78"/>
      <c r="AT290" s="82" t="s">
        <v>1360</v>
      </c>
      <c r="AU290" s="78">
        <v>2026</v>
      </c>
      <c r="AV290" s="78">
        <v>1</v>
      </c>
      <c r="AW290" s="78" t="s">
        <v>71</v>
      </c>
      <c r="AX290" s="78">
        <v>0</v>
      </c>
      <c r="AY290" s="78">
        <v>0</v>
      </c>
      <c r="BT290" s="2" t="s">
        <v>71</v>
      </c>
      <c r="BU290" s="2">
        <v>0</v>
      </c>
      <c r="BV290" s="2">
        <v>0</v>
      </c>
    </row>
    <row r="291" spans="1:74" ht="15" customHeight="1" x14ac:dyDescent="0.25">
      <c r="A291" s="75">
        <v>5800243</v>
      </c>
      <c r="B291" t="s">
        <v>1600</v>
      </c>
      <c r="C291" t="s">
        <v>1601</v>
      </c>
      <c r="D291" t="s">
        <v>1567</v>
      </c>
      <c r="E291" t="s">
        <v>87</v>
      </c>
      <c r="F291" s="75">
        <v>4</v>
      </c>
      <c r="G291" s="75">
        <v>343787</v>
      </c>
      <c r="H291">
        <v>716.66</v>
      </c>
      <c r="I291" t="s">
        <v>141</v>
      </c>
      <c r="J291" s="75">
        <v>54697</v>
      </c>
      <c r="K291" t="s">
        <v>1602</v>
      </c>
      <c r="L291" t="s">
        <v>1603</v>
      </c>
      <c r="M291" s="81">
        <v>46050.479039351849</v>
      </c>
      <c r="N291" s="81">
        <v>46052.558356481481</v>
      </c>
      <c r="O291" t="s">
        <v>58</v>
      </c>
      <c r="P291" t="s">
        <v>59</v>
      </c>
      <c r="Q291" t="s">
        <v>130</v>
      </c>
      <c r="R291" t="s">
        <v>60</v>
      </c>
      <c r="S291" t="s">
        <v>583</v>
      </c>
      <c r="U291" s="75">
        <v>181587</v>
      </c>
      <c r="V291" t="s">
        <v>1604</v>
      </c>
      <c r="W291" t="s">
        <v>1605</v>
      </c>
      <c r="X291" t="s">
        <v>118</v>
      </c>
      <c r="Y291" t="s">
        <v>1606</v>
      </c>
      <c r="AA291" t="s">
        <v>295</v>
      </c>
      <c r="AB291">
        <v>49.833333000000003</v>
      </c>
      <c r="AC291">
        <v>20.166665999999999</v>
      </c>
      <c r="AD291">
        <v>29.666667</v>
      </c>
      <c r="AE291">
        <v>0.11666700000000001</v>
      </c>
      <c r="AF291">
        <v>0</v>
      </c>
      <c r="AG291">
        <v>29.55</v>
      </c>
      <c r="AH291">
        <v>29.55</v>
      </c>
      <c r="AI291">
        <v>29.5</v>
      </c>
      <c r="AJ291">
        <v>0.05</v>
      </c>
      <c r="AK291">
        <v>0</v>
      </c>
      <c r="AL291" s="76">
        <v>45945</v>
      </c>
      <c r="AM291" s="75">
        <v>105</v>
      </c>
      <c r="AN291" t="s">
        <v>65</v>
      </c>
      <c r="AO291" t="s">
        <v>1607</v>
      </c>
      <c r="AP291" t="s">
        <v>67</v>
      </c>
      <c r="AQ291" t="s">
        <v>121</v>
      </c>
      <c r="AR291" t="s">
        <v>69</v>
      </c>
      <c r="AS291" s="79"/>
      <c r="AT291" s="82" t="s">
        <v>1360</v>
      </c>
      <c r="AU291" s="78">
        <v>2026</v>
      </c>
      <c r="AV291" s="78">
        <v>1</v>
      </c>
      <c r="AW291" s="78" t="s">
        <v>347</v>
      </c>
      <c r="AX291" s="78">
        <v>0</v>
      </c>
      <c r="AY291" s="78">
        <v>1</v>
      </c>
      <c r="BT291" s="3" t="s">
        <v>347</v>
      </c>
      <c r="BU291" s="3">
        <v>0</v>
      </c>
      <c r="BV291" s="3">
        <v>1</v>
      </c>
    </row>
    <row r="292" spans="1:74" ht="15" customHeight="1" x14ac:dyDescent="0.25">
      <c r="A292" s="75">
        <v>5803383</v>
      </c>
      <c r="B292" t="s">
        <v>1608</v>
      </c>
      <c r="C292" t="s">
        <v>1099</v>
      </c>
      <c r="D292" t="s">
        <v>1567</v>
      </c>
      <c r="E292" t="s">
        <v>87</v>
      </c>
      <c r="F292" s="75">
        <v>172</v>
      </c>
      <c r="G292" s="75">
        <v>285847</v>
      </c>
      <c r="H292">
        <v>364.95</v>
      </c>
      <c r="I292" t="s">
        <v>55</v>
      </c>
      <c r="J292" s="75">
        <v>218787</v>
      </c>
      <c r="K292" t="s">
        <v>96</v>
      </c>
      <c r="L292" t="s">
        <v>97</v>
      </c>
      <c r="M292" s="81">
        <v>46051.667187500003</v>
      </c>
      <c r="N292" s="81">
        <v>46052.560694444437</v>
      </c>
      <c r="O292" t="s">
        <v>58</v>
      </c>
      <c r="P292" t="s">
        <v>59</v>
      </c>
      <c r="Q292" t="s">
        <v>90</v>
      </c>
      <c r="R292" t="s">
        <v>60</v>
      </c>
      <c r="S292" t="s">
        <v>583</v>
      </c>
      <c r="U292" s="75">
        <v>182717</v>
      </c>
      <c r="V292" t="s">
        <v>1609</v>
      </c>
      <c r="W292" t="s">
        <v>1610</v>
      </c>
      <c r="X292" t="s">
        <v>62</v>
      </c>
      <c r="Y292" t="s">
        <v>63</v>
      </c>
      <c r="AA292" t="s">
        <v>81</v>
      </c>
      <c r="AB292">
        <v>21.366668000000001</v>
      </c>
      <c r="AC292">
        <v>18.5</v>
      </c>
      <c r="AD292">
        <v>2.8666680000000002</v>
      </c>
      <c r="AE292">
        <v>8.3334000000000005E-2</v>
      </c>
      <c r="AF292">
        <v>0</v>
      </c>
      <c r="AG292">
        <v>2.783334</v>
      </c>
      <c r="AH292">
        <v>2.783334</v>
      </c>
      <c r="AI292">
        <v>1.9</v>
      </c>
      <c r="AJ292">
        <v>0.88333399999999995</v>
      </c>
      <c r="AK292">
        <v>0</v>
      </c>
      <c r="AL292" s="76">
        <v>44873</v>
      </c>
      <c r="AM292" s="75">
        <v>1178</v>
      </c>
      <c r="AN292" t="s">
        <v>65</v>
      </c>
      <c r="AO292" t="s">
        <v>1102</v>
      </c>
      <c r="AP292" t="s">
        <v>67</v>
      </c>
      <c r="AQ292" t="s">
        <v>68</v>
      </c>
      <c r="AR292" t="s">
        <v>69</v>
      </c>
      <c r="AS292" s="78"/>
      <c r="AT292" s="82" t="s">
        <v>1360</v>
      </c>
      <c r="AU292" s="78">
        <v>2026</v>
      </c>
      <c r="AV292" s="78">
        <v>1</v>
      </c>
      <c r="AW292" s="78" t="s">
        <v>71</v>
      </c>
      <c r="AX292" s="78">
        <v>1</v>
      </c>
      <c r="AY292" s="78">
        <v>0</v>
      </c>
      <c r="BT292" s="2" t="s">
        <v>71</v>
      </c>
      <c r="BU292" s="2">
        <v>1</v>
      </c>
      <c r="BV292" s="2">
        <v>0</v>
      </c>
    </row>
    <row r="293" spans="1:74" ht="15" customHeight="1" x14ac:dyDescent="0.25">
      <c r="A293" s="75">
        <v>5801769</v>
      </c>
      <c r="B293" t="s">
        <v>1611</v>
      </c>
      <c r="C293" t="s">
        <v>1612</v>
      </c>
      <c r="D293" t="s">
        <v>1567</v>
      </c>
      <c r="E293" t="s">
        <v>87</v>
      </c>
      <c r="F293" s="75">
        <v>54</v>
      </c>
      <c r="G293" s="75">
        <v>275347</v>
      </c>
      <c r="H293">
        <v>546.37</v>
      </c>
      <c r="I293" t="s">
        <v>55</v>
      </c>
      <c r="J293" s="75">
        <v>216233</v>
      </c>
      <c r="K293" t="s">
        <v>88</v>
      </c>
      <c r="L293" t="s">
        <v>89</v>
      </c>
      <c r="M293" s="81">
        <v>46051.028136574067</v>
      </c>
      <c r="N293" s="81">
        <v>46052.560983796298</v>
      </c>
      <c r="O293" t="s">
        <v>58</v>
      </c>
      <c r="P293" t="s">
        <v>59</v>
      </c>
      <c r="Q293" t="s">
        <v>90</v>
      </c>
      <c r="R293" t="s">
        <v>60</v>
      </c>
      <c r="S293" t="s">
        <v>583</v>
      </c>
      <c r="U293" s="75">
        <v>181593</v>
      </c>
      <c r="V293" t="s">
        <v>1613</v>
      </c>
      <c r="W293" t="s">
        <v>1613</v>
      </c>
      <c r="X293" t="s">
        <v>62</v>
      </c>
      <c r="Y293" t="s">
        <v>63</v>
      </c>
      <c r="AA293" t="s">
        <v>101</v>
      </c>
      <c r="AB293">
        <v>36.716667000000001</v>
      </c>
      <c r="AC293">
        <v>27.133333</v>
      </c>
      <c r="AD293">
        <v>9.5833340000000007</v>
      </c>
      <c r="AE293">
        <v>6.6667000000000004E-2</v>
      </c>
      <c r="AF293">
        <v>0</v>
      </c>
      <c r="AG293">
        <v>9.516667</v>
      </c>
      <c r="AH293">
        <v>9.516667</v>
      </c>
      <c r="AI293">
        <v>9.1166669999999996</v>
      </c>
      <c r="AJ293">
        <v>0.4</v>
      </c>
      <c r="AK293">
        <v>0</v>
      </c>
      <c r="AL293" s="76">
        <v>44980</v>
      </c>
      <c r="AM293" s="75">
        <v>1071</v>
      </c>
      <c r="AN293" t="s">
        <v>65</v>
      </c>
      <c r="AO293" t="s">
        <v>1614</v>
      </c>
      <c r="AP293" t="s">
        <v>67</v>
      </c>
      <c r="AQ293" t="s">
        <v>68</v>
      </c>
      <c r="AR293" t="s">
        <v>69</v>
      </c>
      <c r="AS293" s="79"/>
      <c r="AT293" s="82" t="s">
        <v>1360</v>
      </c>
      <c r="AU293" s="78">
        <v>2026</v>
      </c>
      <c r="AV293" s="78">
        <v>1</v>
      </c>
      <c r="AW293" s="78" t="s">
        <v>71</v>
      </c>
      <c r="AX293" s="78">
        <v>0</v>
      </c>
      <c r="AY293" s="78">
        <v>0</v>
      </c>
      <c r="BT293" s="3" t="s">
        <v>71</v>
      </c>
      <c r="BU293" s="3">
        <v>0</v>
      </c>
      <c r="BV293" s="3">
        <v>0</v>
      </c>
    </row>
    <row r="294" spans="1:74" ht="15" customHeight="1" x14ac:dyDescent="0.25">
      <c r="A294" s="75">
        <v>5800547</v>
      </c>
      <c r="B294" t="s">
        <v>1615</v>
      </c>
      <c r="C294" t="s">
        <v>1616</v>
      </c>
      <c r="D294" t="s">
        <v>1567</v>
      </c>
      <c r="E294" t="s">
        <v>87</v>
      </c>
      <c r="F294" s="75">
        <v>132</v>
      </c>
      <c r="G294" s="75">
        <v>285603</v>
      </c>
      <c r="H294">
        <v>368.16</v>
      </c>
      <c r="I294" t="s">
        <v>55</v>
      </c>
      <c r="J294" s="75">
        <v>218791</v>
      </c>
      <c r="K294" t="s">
        <v>312</v>
      </c>
      <c r="L294" t="s">
        <v>313</v>
      </c>
      <c r="M294" s="81">
        <v>46050.521493055552</v>
      </c>
      <c r="N294" s="81">
        <v>46052.564131944448</v>
      </c>
      <c r="O294" t="s">
        <v>58</v>
      </c>
      <c r="P294" t="s">
        <v>59</v>
      </c>
      <c r="Q294" t="s">
        <v>90</v>
      </c>
      <c r="R294" t="s">
        <v>60</v>
      </c>
      <c r="S294" t="s">
        <v>583</v>
      </c>
      <c r="U294" s="75">
        <v>181613</v>
      </c>
      <c r="V294" t="s">
        <v>1617</v>
      </c>
      <c r="W294" t="s">
        <v>1618</v>
      </c>
      <c r="X294" t="s">
        <v>62</v>
      </c>
      <c r="Y294" t="s">
        <v>63</v>
      </c>
      <c r="AA294" t="s">
        <v>101</v>
      </c>
      <c r="AB294">
        <v>48.966664999999999</v>
      </c>
      <c r="AC294">
        <v>38.816665999999998</v>
      </c>
      <c r="AD294">
        <v>10.149998999999999</v>
      </c>
      <c r="AE294">
        <v>0.5</v>
      </c>
      <c r="AF294">
        <v>0</v>
      </c>
      <c r="AG294">
        <v>9.6499989999999993</v>
      </c>
      <c r="AH294">
        <v>9.6499989999999993</v>
      </c>
      <c r="AI294">
        <v>8.4333329999999993</v>
      </c>
      <c r="AJ294">
        <v>1.216666</v>
      </c>
      <c r="AK294">
        <v>0</v>
      </c>
      <c r="AL294" s="76">
        <v>45007.362557870372</v>
      </c>
      <c r="AM294" s="75">
        <v>1043</v>
      </c>
      <c r="AN294" t="s">
        <v>65</v>
      </c>
      <c r="AO294" t="s">
        <v>1619</v>
      </c>
      <c r="AP294" t="s">
        <v>67</v>
      </c>
      <c r="AQ294" t="s">
        <v>68</v>
      </c>
      <c r="AR294" t="s">
        <v>69</v>
      </c>
      <c r="AS294" s="78"/>
      <c r="AT294" s="82" t="s">
        <v>1360</v>
      </c>
      <c r="AU294" s="78">
        <v>2026</v>
      </c>
      <c r="AV294" s="78">
        <v>1</v>
      </c>
      <c r="AW294" s="78" t="s">
        <v>71</v>
      </c>
      <c r="AX294" s="78">
        <v>0</v>
      </c>
      <c r="AY294" s="78">
        <v>0</v>
      </c>
      <c r="BT294" s="2" t="s">
        <v>71</v>
      </c>
      <c r="BU294" s="2">
        <v>0</v>
      </c>
      <c r="BV294" s="2">
        <v>0</v>
      </c>
    </row>
    <row r="295" spans="1:74" ht="15" customHeight="1" x14ac:dyDescent="0.25">
      <c r="A295" s="75">
        <v>5800523</v>
      </c>
      <c r="B295" t="s">
        <v>1620</v>
      </c>
      <c r="C295" t="s">
        <v>1621</v>
      </c>
      <c r="D295" t="s">
        <v>1567</v>
      </c>
      <c r="E295" t="s">
        <v>87</v>
      </c>
      <c r="F295" s="75">
        <v>209</v>
      </c>
      <c r="G295" s="75">
        <v>286095</v>
      </c>
      <c r="H295">
        <v>396.96</v>
      </c>
      <c r="I295" t="s">
        <v>55</v>
      </c>
      <c r="J295" s="75">
        <v>218787</v>
      </c>
      <c r="K295" t="s">
        <v>96</v>
      </c>
      <c r="L295" t="s">
        <v>97</v>
      </c>
      <c r="M295" s="81">
        <v>46050.514386574083</v>
      </c>
      <c r="N295" s="81">
        <v>46052.564236111109</v>
      </c>
      <c r="O295" t="s">
        <v>58</v>
      </c>
      <c r="P295" t="s">
        <v>59</v>
      </c>
      <c r="Q295" t="s">
        <v>90</v>
      </c>
      <c r="R295" t="s">
        <v>60</v>
      </c>
      <c r="S295" t="s">
        <v>583</v>
      </c>
      <c r="U295" s="75">
        <v>181615</v>
      </c>
      <c r="V295" t="s">
        <v>1622</v>
      </c>
      <c r="W295" t="s">
        <v>1623</v>
      </c>
      <c r="X295" t="s">
        <v>62</v>
      </c>
      <c r="Y295" t="s">
        <v>63</v>
      </c>
      <c r="AA295" t="s">
        <v>416</v>
      </c>
      <c r="AB295">
        <v>49.1</v>
      </c>
      <c r="AC295">
        <v>34.15</v>
      </c>
      <c r="AD295">
        <v>14.95</v>
      </c>
      <c r="AE295">
        <v>0.76666599999999996</v>
      </c>
      <c r="AF295">
        <v>0</v>
      </c>
      <c r="AG295">
        <v>14.183334</v>
      </c>
      <c r="AH295">
        <v>14.183334</v>
      </c>
      <c r="AI295">
        <v>13.333334000000001</v>
      </c>
      <c r="AJ295">
        <v>0.85</v>
      </c>
      <c r="AK295">
        <v>0</v>
      </c>
      <c r="AL295" s="76">
        <v>44872</v>
      </c>
      <c r="AM295" s="75">
        <v>1178</v>
      </c>
      <c r="AN295" t="s">
        <v>65</v>
      </c>
      <c r="AO295" t="s">
        <v>1624</v>
      </c>
      <c r="AP295" t="s">
        <v>67</v>
      </c>
      <c r="AQ295" t="s">
        <v>68</v>
      </c>
      <c r="AR295" t="s">
        <v>69</v>
      </c>
      <c r="AS295" s="79"/>
      <c r="AT295" s="82" t="s">
        <v>1360</v>
      </c>
      <c r="AU295" s="78">
        <v>2026</v>
      </c>
      <c r="AV295" s="78">
        <v>1</v>
      </c>
      <c r="AW295" s="78" t="s">
        <v>71</v>
      </c>
      <c r="AX295" s="78">
        <v>0</v>
      </c>
      <c r="AY295" s="78">
        <v>0</v>
      </c>
      <c r="BT295" s="3" t="s">
        <v>71</v>
      </c>
      <c r="BU295" s="3">
        <v>0</v>
      </c>
      <c r="BV295" s="3">
        <v>0</v>
      </c>
    </row>
    <row r="296" spans="1:74" ht="15" customHeight="1" x14ac:dyDescent="0.25">
      <c r="A296" s="75">
        <v>5800349</v>
      </c>
      <c r="B296" t="s">
        <v>1625</v>
      </c>
      <c r="C296" t="s">
        <v>1626</v>
      </c>
      <c r="D296" t="s">
        <v>1567</v>
      </c>
      <c r="E296" t="s">
        <v>87</v>
      </c>
      <c r="F296" s="75">
        <v>617</v>
      </c>
      <c r="G296" s="75">
        <v>345763</v>
      </c>
      <c r="H296">
        <v>398.82</v>
      </c>
      <c r="I296" t="s">
        <v>175</v>
      </c>
      <c r="J296" s="75">
        <v>216233</v>
      </c>
      <c r="K296" t="s">
        <v>88</v>
      </c>
      <c r="L296" t="s">
        <v>89</v>
      </c>
      <c r="M296" s="81">
        <v>46050.494050925918</v>
      </c>
      <c r="N296" s="81">
        <v>46052.564629629633</v>
      </c>
      <c r="O296" t="s">
        <v>58</v>
      </c>
      <c r="P296" t="s">
        <v>59</v>
      </c>
      <c r="Q296" t="s">
        <v>90</v>
      </c>
      <c r="R296" t="s">
        <v>60</v>
      </c>
      <c r="S296" t="s">
        <v>583</v>
      </c>
      <c r="U296" s="75">
        <v>181621</v>
      </c>
      <c r="V296" t="s">
        <v>1627</v>
      </c>
      <c r="W296" t="s">
        <v>1628</v>
      </c>
      <c r="X296" t="s">
        <v>62</v>
      </c>
      <c r="Y296" t="s">
        <v>63</v>
      </c>
      <c r="AA296" t="s">
        <v>416</v>
      </c>
      <c r="AB296">
        <v>49.599998999999997</v>
      </c>
      <c r="AC296">
        <v>33.183332999999998</v>
      </c>
      <c r="AD296">
        <v>16.416665999999999</v>
      </c>
      <c r="AE296">
        <v>1.7833330000000001</v>
      </c>
      <c r="AF296">
        <v>0</v>
      </c>
      <c r="AG296">
        <v>14.633333</v>
      </c>
      <c r="AH296">
        <v>14.633333</v>
      </c>
      <c r="AI296">
        <v>13.716666999999999</v>
      </c>
      <c r="AJ296">
        <v>0.91666599999999998</v>
      </c>
      <c r="AK296">
        <v>0</v>
      </c>
      <c r="AL296" s="76">
        <v>45944</v>
      </c>
      <c r="AM296" s="75">
        <v>106</v>
      </c>
      <c r="AN296" t="s">
        <v>65</v>
      </c>
      <c r="AO296" t="s">
        <v>1629</v>
      </c>
      <c r="AP296" t="s">
        <v>67</v>
      </c>
      <c r="AQ296" t="s">
        <v>68</v>
      </c>
      <c r="AR296" t="s">
        <v>69</v>
      </c>
      <c r="AS296" s="78"/>
      <c r="AT296" s="82" t="s">
        <v>1360</v>
      </c>
      <c r="AU296" s="78">
        <v>2026</v>
      </c>
      <c r="AV296" s="78">
        <v>1</v>
      </c>
      <c r="AW296" s="78" t="s">
        <v>71</v>
      </c>
      <c r="AX296" s="78">
        <v>0</v>
      </c>
      <c r="AY296" s="78">
        <v>0</v>
      </c>
      <c r="BT296" s="2" t="s">
        <v>71</v>
      </c>
      <c r="BU296" s="2">
        <v>0</v>
      </c>
      <c r="BV296" s="2">
        <v>0</v>
      </c>
    </row>
    <row r="297" spans="1:74" ht="15" customHeight="1" x14ac:dyDescent="0.25">
      <c r="A297" s="75">
        <v>5801601</v>
      </c>
      <c r="B297" t="s">
        <v>1630</v>
      </c>
      <c r="C297" t="s">
        <v>1631</v>
      </c>
      <c r="D297" t="s">
        <v>1567</v>
      </c>
      <c r="E297" t="s">
        <v>87</v>
      </c>
      <c r="F297" s="75">
        <v>508</v>
      </c>
      <c r="G297" s="75">
        <v>292003</v>
      </c>
      <c r="H297">
        <v>364.95</v>
      </c>
      <c r="I297" t="s">
        <v>55</v>
      </c>
      <c r="J297" s="75">
        <v>218787</v>
      </c>
      <c r="K297" t="s">
        <v>96</v>
      </c>
      <c r="L297" t="s">
        <v>97</v>
      </c>
      <c r="M297" s="81">
        <v>46050.792083333326</v>
      </c>
      <c r="N297" s="81">
        <v>46052.566840277781</v>
      </c>
      <c r="O297" t="s">
        <v>58</v>
      </c>
      <c r="P297" t="s">
        <v>59</v>
      </c>
      <c r="Q297" t="s">
        <v>90</v>
      </c>
      <c r="R297" t="s">
        <v>131</v>
      </c>
      <c r="S297" t="s">
        <v>1273</v>
      </c>
      <c r="U297" s="75">
        <v>181627</v>
      </c>
      <c r="V297" t="s">
        <v>1632</v>
      </c>
      <c r="W297" t="s">
        <v>1633</v>
      </c>
      <c r="X297" t="s">
        <v>62</v>
      </c>
      <c r="Y297" t="s">
        <v>63</v>
      </c>
      <c r="AA297" t="s">
        <v>101</v>
      </c>
      <c r="AB297">
        <v>42.55</v>
      </c>
      <c r="AC297">
        <v>31.416667</v>
      </c>
      <c r="AD297">
        <v>11.133333</v>
      </c>
      <c r="AE297">
        <v>0.11666700000000001</v>
      </c>
      <c r="AF297">
        <v>0</v>
      </c>
      <c r="AG297">
        <v>11.016666000000001</v>
      </c>
      <c r="AH297">
        <v>11.016666000000001</v>
      </c>
      <c r="AI297">
        <v>10.616666</v>
      </c>
      <c r="AJ297">
        <v>0.4</v>
      </c>
      <c r="AK297">
        <v>0</v>
      </c>
      <c r="AL297" s="76">
        <v>45156</v>
      </c>
      <c r="AM297" s="75">
        <v>894</v>
      </c>
      <c r="AN297" t="s">
        <v>65</v>
      </c>
      <c r="AO297" t="s">
        <v>1634</v>
      </c>
      <c r="AP297" t="s">
        <v>67</v>
      </c>
      <c r="AQ297" t="s">
        <v>68</v>
      </c>
      <c r="AR297" t="s">
        <v>69</v>
      </c>
      <c r="AS297" s="79"/>
      <c r="AT297" s="82" t="s">
        <v>1360</v>
      </c>
      <c r="AU297" s="78">
        <v>2026</v>
      </c>
      <c r="AV297" s="78">
        <v>1</v>
      </c>
      <c r="AW297" s="78" t="s">
        <v>71</v>
      </c>
      <c r="AX297" s="78">
        <v>0</v>
      </c>
      <c r="AY297" s="78">
        <v>0</v>
      </c>
      <c r="BT297" s="3" t="s">
        <v>71</v>
      </c>
      <c r="BU297" s="3">
        <v>0</v>
      </c>
      <c r="BV297" s="3">
        <v>0</v>
      </c>
    </row>
    <row r="298" spans="1:74" ht="15" customHeight="1" x14ac:dyDescent="0.25">
      <c r="A298" s="75">
        <v>5800259</v>
      </c>
      <c r="B298" t="s">
        <v>1635</v>
      </c>
      <c r="C298" t="s">
        <v>1636</v>
      </c>
      <c r="D298" t="s">
        <v>1567</v>
      </c>
      <c r="E298" t="s">
        <v>87</v>
      </c>
      <c r="F298" s="75">
        <v>157</v>
      </c>
      <c r="G298" s="75">
        <v>285773</v>
      </c>
      <c r="H298">
        <v>398.82</v>
      </c>
      <c r="I298" t="s">
        <v>55</v>
      </c>
      <c r="J298" s="75">
        <v>216233</v>
      </c>
      <c r="K298" t="s">
        <v>88</v>
      </c>
      <c r="L298" t="s">
        <v>89</v>
      </c>
      <c r="M298" s="81">
        <v>46050.479803240742</v>
      </c>
      <c r="N298" s="81">
        <v>46052.567349537043</v>
      </c>
      <c r="O298" t="s">
        <v>58</v>
      </c>
      <c r="P298" t="s">
        <v>59</v>
      </c>
      <c r="Q298" t="s">
        <v>90</v>
      </c>
      <c r="R298" t="s">
        <v>60</v>
      </c>
      <c r="S298" t="s">
        <v>583</v>
      </c>
      <c r="U298" s="75">
        <v>182033</v>
      </c>
      <c r="V298" t="s">
        <v>1637</v>
      </c>
      <c r="W298" t="s">
        <v>1638</v>
      </c>
      <c r="X298" t="s">
        <v>62</v>
      </c>
      <c r="Y298" t="s">
        <v>63</v>
      </c>
      <c r="AA298" t="s">
        <v>64</v>
      </c>
      <c r="AB298">
        <v>50.033332999999999</v>
      </c>
      <c r="AC298">
        <v>44.233333000000002</v>
      </c>
      <c r="AD298">
        <v>5.8</v>
      </c>
      <c r="AE298">
        <v>0.183333</v>
      </c>
      <c r="AF298">
        <v>0</v>
      </c>
      <c r="AG298">
        <v>5.6166669999999996</v>
      </c>
      <c r="AH298">
        <v>5.6166669999999996</v>
      </c>
      <c r="AI298">
        <v>5.4666670000000002</v>
      </c>
      <c r="AJ298">
        <v>0.15</v>
      </c>
      <c r="AK298">
        <v>0</v>
      </c>
      <c r="AL298" s="76">
        <v>44914</v>
      </c>
      <c r="AM298" s="75">
        <v>1136</v>
      </c>
      <c r="AN298" t="s">
        <v>65</v>
      </c>
      <c r="AO298" t="s">
        <v>1238</v>
      </c>
      <c r="AP298" t="s">
        <v>67</v>
      </c>
      <c r="AQ298" t="s">
        <v>68</v>
      </c>
      <c r="AR298" t="s">
        <v>69</v>
      </c>
      <c r="AS298" s="78"/>
      <c r="AT298" s="82" t="s">
        <v>1360</v>
      </c>
      <c r="AU298" s="78">
        <v>2026</v>
      </c>
      <c r="AV298" s="78">
        <v>1</v>
      </c>
      <c r="AW298" s="78" t="s">
        <v>71</v>
      </c>
      <c r="AX298" s="78">
        <v>1</v>
      </c>
      <c r="AY298" s="78">
        <v>0</v>
      </c>
      <c r="BT298" s="2" t="s">
        <v>71</v>
      </c>
      <c r="BU298" s="2">
        <v>1</v>
      </c>
      <c r="BV298" s="2">
        <v>0</v>
      </c>
    </row>
    <row r="299" spans="1:74" ht="15" customHeight="1" x14ac:dyDescent="0.25">
      <c r="A299" s="75">
        <v>5803007</v>
      </c>
      <c r="B299" t="s">
        <v>1639</v>
      </c>
      <c r="C299" t="s">
        <v>1640</v>
      </c>
      <c r="D299" t="s">
        <v>527</v>
      </c>
      <c r="E299" t="s">
        <v>87</v>
      </c>
      <c r="F299" s="75">
        <v>305</v>
      </c>
      <c r="G299" s="75">
        <v>287673</v>
      </c>
      <c r="H299">
        <v>154.15</v>
      </c>
      <c r="I299" t="s">
        <v>853</v>
      </c>
      <c r="J299" s="75">
        <v>49495</v>
      </c>
      <c r="K299" t="s">
        <v>460</v>
      </c>
      <c r="L299" t="s">
        <v>461</v>
      </c>
      <c r="M299" s="81">
        <v>46051.569930555554</v>
      </c>
      <c r="N299" s="81">
        <v>46052.568912037037</v>
      </c>
      <c r="O299" t="s">
        <v>58</v>
      </c>
      <c r="P299" t="s">
        <v>59</v>
      </c>
      <c r="Q299" t="s">
        <v>90</v>
      </c>
      <c r="R299" t="s">
        <v>99</v>
      </c>
      <c r="S299" t="s">
        <v>1244</v>
      </c>
      <c r="U299" s="75">
        <v>182409</v>
      </c>
      <c r="V299" t="s">
        <v>1641</v>
      </c>
      <c r="W299" t="s">
        <v>1641</v>
      </c>
      <c r="X299" t="s">
        <v>62</v>
      </c>
      <c r="Y299" t="s">
        <v>1049</v>
      </c>
      <c r="AA299" t="s">
        <v>101</v>
      </c>
      <c r="AB299">
        <v>23.916668000000001</v>
      </c>
      <c r="AC299">
        <v>15.416667</v>
      </c>
      <c r="AD299">
        <v>8.5000009999999993</v>
      </c>
      <c r="AE299">
        <v>0.28333399999999997</v>
      </c>
      <c r="AF299">
        <v>0</v>
      </c>
      <c r="AG299">
        <v>8.2166669999999993</v>
      </c>
      <c r="AH299">
        <v>8.2166669999999993</v>
      </c>
      <c r="AI299">
        <v>8</v>
      </c>
      <c r="AJ299">
        <v>0.216667</v>
      </c>
      <c r="AK299">
        <v>0</v>
      </c>
      <c r="AL299" s="76">
        <v>45448.3908912037</v>
      </c>
      <c r="AM299" s="75">
        <v>603</v>
      </c>
      <c r="AN299" t="s">
        <v>65</v>
      </c>
      <c r="AO299" t="s">
        <v>1642</v>
      </c>
      <c r="AP299" t="s">
        <v>67</v>
      </c>
      <c r="AQ299" t="s">
        <v>68</v>
      </c>
      <c r="AR299" t="s">
        <v>69</v>
      </c>
      <c r="AS299" s="79"/>
      <c r="AT299" s="82" t="s">
        <v>1360</v>
      </c>
      <c r="AU299" s="78">
        <v>2026</v>
      </c>
      <c r="AV299" s="78">
        <v>1</v>
      </c>
      <c r="AW299" s="78" t="s">
        <v>137</v>
      </c>
      <c r="AX299" s="78">
        <v>0</v>
      </c>
      <c r="AY299" s="78">
        <v>0</v>
      </c>
      <c r="BT299" s="3" t="s">
        <v>137</v>
      </c>
      <c r="BU299" s="3">
        <v>0</v>
      </c>
      <c r="BV299" s="3">
        <v>0</v>
      </c>
    </row>
    <row r="300" spans="1:74" ht="15" customHeight="1" x14ac:dyDescent="0.25">
      <c r="A300" s="75">
        <v>5802835</v>
      </c>
      <c r="B300" t="s">
        <v>1643</v>
      </c>
      <c r="C300" t="s">
        <v>1644</v>
      </c>
      <c r="D300" t="s">
        <v>527</v>
      </c>
      <c r="E300" t="s">
        <v>87</v>
      </c>
      <c r="F300" s="75">
        <v>394</v>
      </c>
      <c r="G300" s="75">
        <v>287855</v>
      </c>
      <c r="H300">
        <v>154.15</v>
      </c>
      <c r="I300" t="s">
        <v>853</v>
      </c>
      <c r="J300" s="75">
        <v>49495</v>
      </c>
      <c r="K300" t="s">
        <v>460</v>
      </c>
      <c r="L300" t="s">
        <v>461</v>
      </c>
      <c r="M300" s="81">
        <v>46051.507581018523</v>
      </c>
      <c r="N300" s="81">
        <v>46052.58421296296</v>
      </c>
      <c r="O300" t="s">
        <v>58</v>
      </c>
      <c r="P300" t="s">
        <v>59</v>
      </c>
      <c r="Q300" t="s">
        <v>90</v>
      </c>
      <c r="R300" t="s">
        <v>99</v>
      </c>
      <c r="S300" t="s">
        <v>1244</v>
      </c>
      <c r="U300" s="75">
        <v>182381</v>
      </c>
      <c r="V300" t="s">
        <v>1645</v>
      </c>
      <c r="X300" t="s">
        <v>62</v>
      </c>
      <c r="Y300" t="s">
        <v>1646</v>
      </c>
      <c r="AA300" t="s">
        <v>64</v>
      </c>
      <c r="AB300">
        <v>25.816666000000001</v>
      </c>
      <c r="AC300">
        <v>18.533332999999999</v>
      </c>
      <c r="AD300">
        <v>7.2833329999999998</v>
      </c>
      <c r="AE300">
        <v>0.61666699999999997</v>
      </c>
      <c r="AF300">
        <v>0</v>
      </c>
      <c r="AG300">
        <v>6.6666660000000002</v>
      </c>
      <c r="AH300">
        <v>6.6666660000000002</v>
      </c>
      <c r="AI300">
        <v>6.3166659999999997</v>
      </c>
      <c r="AJ300">
        <v>0.35</v>
      </c>
      <c r="AK300">
        <v>0</v>
      </c>
      <c r="AL300" s="76">
        <v>45621</v>
      </c>
      <c r="AM300" s="75">
        <v>430</v>
      </c>
      <c r="AN300" t="s">
        <v>65</v>
      </c>
      <c r="AO300" t="s">
        <v>1647</v>
      </c>
      <c r="AP300" t="s">
        <v>67</v>
      </c>
      <c r="AQ300" t="s">
        <v>68</v>
      </c>
      <c r="AR300" t="s">
        <v>69</v>
      </c>
      <c r="AS300" s="78"/>
      <c r="AT300" s="82" t="s">
        <v>1360</v>
      </c>
      <c r="AU300" s="78">
        <v>2026</v>
      </c>
      <c r="AV300" s="78">
        <v>1</v>
      </c>
      <c r="AW300" s="78" t="s">
        <v>137</v>
      </c>
      <c r="AX300" s="78">
        <v>1</v>
      </c>
      <c r="AY300" s="78">
        <v>0</v>
      </c>
      <c r="BT300" s="2" t="s">
        <v>137</v>
      </c>
      <c r="BU300" s="2">
        <v>1</v>
      </c>
      <c r="BV300" s="2">
        <v>0</v>
      </c>
    </row>
    <row r="301" spans="1:74" ht="15" customHeight="1" x14ac:dyDescent="0.25">
      <c r="A301" s="75">
        <v>5801215</v>
      </c>
      <c r="B301" t="s">
        <v>1648</v>
      </c>
      <c r="C301" t="s">
        <v>1649</v>
      </c>
      <c r="D301" t="s">
        <v>1400</v>
      </c>
      <c r="E301" t="s">
        <v>54</v>
      </c>
      <c r="F301" s="75">
        <v>11</v>
      </c>
      <c r="G301" s="75">
        <v>302005</v>
      </c>
      <c r="H301">
        <v>800</v>
      </c>
      <c r="I301" t="s">
        <v>114</v>
      </c>
      <c r="J301" s="75">
        <v>219343</v>
      </c>
      <c r="K301" t="s">
        <v>828</v>
      </c>
      <c r="L301" t="s">
        <v>829</v>
      </c>
      <c r="M301" s="81">
        <v>46050.655775462961</v>
      </c>
      <c r="N301" s="81">
        <v>46052.584918981483</v>
      </c>
      <c r="O301" t="s">
        <v>58</v>
      </c>
      <c r="P301" t="s">
        <v>59</v>
      </c>
      <c r="Q301" t="s">
        <v>130</v>
      </c>
      <c r="R301" t="s">
        <v>99</v>
      </c>
      <c r="S301" t="s">
        <v>1244</v>
      </c>
      <c r="U301" s="75">
        <v>181625</v>
      </c>
      <c r="V301" t="s">
        <v>1650</v>
      </c>
      <c r="W301" t="s">
        <v>1650</v>
      </c>
      <c r="X301" t="s">
        <v>62</v>
      </c>
      <c r="Y301" t="s">
        <v>63</v>
      </c>
      <c r="AA301" t="s">
        <v>64</v>
      </c>
      <c r="AB301">
        <v>46.233331999999997</v>
      </c>
      <c r="AC301">
        <v>40.816665999999998</v>
      </c>
      <c r="AD301">
        <v>5.4166660000000002</v>
      </c>
      <c r="AE301">
        <v>6.6667000000000004E-2</v>
      </c>
      <c r="AF301">
        <v>0</v>
      </c>
      <c r="AG301">
        <v>5.3499990000000004</v>
      </c>
      <c r="AH301">
        <v>5.3499990000000004</v>
      </c>
      <c r="AI301">
        <v>5.1833330000000002</v>
      </c>
      <c r="AJ301">
        <v>0.16666600000000001</v>
      </c>
      <c r="AK301">
        <v>0</v>
      </c>
      <c r="AL301" s="76">
        <v>45436</v>
      </c>
      <c r="AM301" s="75">
        <v>614</v>
      </c>
      <c r="AN301" t="s">
        <v>65</v>
      </c>
      <c r="AO301" t="s">
        <v>831</v>
      </c>
      <c r="AP301" t="s">
        <v>67</v>
      </c>
      <c r="AQ301" t="s">
        <v>68</v>
      </c>
      <c r="AR301" t="s">
        <v>69</v>
      </c>
      <c r="AS301" s="79"/>
      <c r="AT301" s="82" t="s">
        <v>1360</v>
      </c>
      <c r="AU301" s="78">
        <v>2026</v>
      </c>
      <c r="AV301" s="78">
        <v>1</v>
      </c>
      <c r="AW301" s="78" t="s">
        <v>71</v>
      </c>
      <c r="AX301" s="78">
        <v>1</v>
      </c>
      <c r="AY301" s="78">
        <v>0</v>
      </c>
      <c r="BT301" s="3" t="s">
        <v>71</v>
      </c>
      <c r="BU301" s="3">
        <v>1</v>
      </c>
      <c r="BV301" s="3">
        <v>0</v>
      </c>
    </row>
    <row r="302" spans="1:74" ht="15" customHeight="1" x14ac:dyDescent="0.25">
      <c r="A302" s="75">
        <v>5804113</v>
      </c>
      <c r="B302" t="s">
        <v>1651</v>
      </c>
      <c r="C302" t="s">
        <v>1652</v>
      </c>
      <c r="D302" t="s">
        <v>527</v>
      </c>
      <c r="E302" t="s">
        <v>87</v>
      </c>
      <c r="F302" s="75">
        <v>68</v>
      </c>
      <c r="G302" s="75">
        <v>279963</v>
      </c>
      <c r="H302">
        <v>616.59</v>
      </c>
      <c r="I302" t="s">
        <v>266</v>
      </c>
      <c r="J302" s="75">
        <v>49495</v>
      </c>
      <c r="K302" t="s">
        <v>460</v>
      </c>
      <c r="L302" t="s">
        <v>461</v>
      </c>
      <c r="M302" s="81">
        <v>46052.347673611112</v>
      </c>
      <c r="N302" s="81">
        <v>46052.589560185188</v>
      </c>
      <c r="O302" t="s">
        <v>58</v>
      </c>
      <c r="P302" t="s">
        <v>59</v>
      </c>
      <c r="Q302" t="s">
        <v>90</v>
      </c>
      <c r="R302" t="s">
        <v>60</v>
      </c>
      <c r="S302" t="s">
        <v>583</v>
      </c>
      <c r="T302" t="s">
        <v>231</v>
      </c>
      <c r="U302" s="75">
        <v>182937</v>
      </c>
      <c r="V302" t="s">
        <v>1653</v>
      </c>
      <c r="W302" t="s">
        <v>1653</v>
      </c>
      <c r="X302" t="s">
        <v>62</v>
      </c>
      <c r="Y302" t="s">
        <v>190</v>
      </c>
      <c r="AA302" t="s">
        <v>64</v>
      </c>
      <c r="AB302">
        <v>5.766667</v>
      </c>
      <c r="AC302">
        <v>0.98333300000000001</v>
      </c>
      <c r="AD302">
        <v>4.783334</v>
      </c>
      <c r="AE302">
        <v>0.31666699999999998</v>
      </c>
      <c r="AF302">
        <v>0</v>
      </c>
      <c r="AG302">
        <v>4.4666670000000002</v>
      </c>
      <c r="AH302">
        <v>4.4666670000000002</v>
      </c>
      <c r="AI302">
        <v>4.1333339999999996</v>
      </c>
      <c r="AJ302">
        <v>0.33333299999999999</v>
      </c>
      <c r="AK302">
        <v>0</v>
      </c>
      <c r="AL302" s="76">
        <v>44753</v>
      </c>
      <c r="AM302" s="75">
        <v>1299</v>
      </c>
      <c r="AN302" t="s">
        <v>65</v>
      </c>
      <c r="AO302" t="s">
        <v>1654</v>
      </c>
      <c r="AP302" t="s">
        <v>67</v>
      </c>
      <c r="AQ302" t="s">
        <v>68</v>
      </c>
      <c r="AR302" t="s">
        <v>69</v>
      </c>
      <c r="AS302" s="78"/>
      <c r="AT302" s="82" t="s">
        <v>1360</v>
      </c>
      <c r="AU302" s="78">
        <v>2026</v>
      </c>
      <c r="AV302" s="78">
        <v>1</v>
      </c>
      <c r="AW302" s="78" t="s">
        <v>137</v>
      </c>
      <c r="AX302" s="78">
        <v>1</v>
      </c>
      <c r="AY302" s="78">
        <v>0</v>
      </c>
      <c r="BT302" s="2" t="s">
        <v>137</v>
      </c>
      <c r="BU302" s="2">
        <v>1</v>
      </c>
      <c r="BV302" s="2">
        <v>0</v>
      </c>
    </row>
    <row r="303" spans="1:74" ht="15" customHeight="1" x14ac:dyDescent="0.25">
      <c r="A303" s="75">
        <v>5804361</v>
      </c>
      <c r="B303" t="s">
        <v>1655</v>
      </c>
      <c r="C303" t="s">
        <v>1656</v>
      </c>
      <c r="D303" t="s">
        <v>53</v>
      </c>
      <c r="E303" t="s">
        <v>54</v>
      </c>
      <c r="F303" s="75">
        <v>1</v>
      </c>
      <c r="G303" s="75">
        <v>269405</v>
      </c>
      <c r="H303">
        <v>3669.05</v>
      </c>
      <c r="I303" t="s">
        <v>266</v>
      </c>
      <c r="J303" s="75">
        <v>214749</v>
      </c>
      <c r="K303" t="s">
        <v>1657</v>
      </c>
      <c r="L303" t="s">
        <v>1658</v>
      </c>
      <c r="M303" s="81">
        <v>46052.391006944446</v>
      </c>
      <c r="N303" s="81">
        <v>46052.606608796297</v>
      </c>
      <c r="O303" t="s">
        <v>58</v>
      </c>
      <c r="P303" t="s">
        <v>59</v>
      </c>
      <c r="Q303" t="s">
        <v>130</v>
      </c>
      <c r="R303" t="s">
        <v>60</v>
      </c>
      <c r="S303" t="s">
        <v>583</v>
      </c>
      <c r="T303" t="s">
        <v>507</v>
      </c>
      <c r="U303" s="75">
        <v>183011</v>
      </c>
      <c r="V303" t="s">
        <v>1659</v>
      </c>
      <c r="W303" t="s">
        <v>1659</v>
      </c>
      <c r="X303" t="s">
        <v>79</v>
      </c>
      <c r="Y303" t="s">
        <v>224</v>
      </c>
      <c r="AA303" t="s">
        <v>81</v>
      </c>
      <c r="AB303">
        <v>5.0999999999999996</v>
      </c>
      <c r="AC303">
        <v>1.1333329999999999</v>
      </c>
      <c r="AD303">
        <v>3.9666670000000002</v>
      </c>
      <c r="AE303">
        <v>6.6667000000000004E-2</v>
      </c>
      <c r="AF303">
        <v>0</v>
      </c>
      <c r="AG303">
        <v>3.9</v>
      </c>
      <c r="AH303">
        <v>3.9</v>
      </c>
      <c r="AI303">
        <v>3.6333329999999999</v>
      </c>
      <c r="AJ303">
        <v>0.26666699999999999</v>
      </c>
      <c r="AK303">
        <v>0</v>
      </c>
      <c r="AL303" s="76">
        <v>36526</v>
      </c>
      <c r="AM303" s="75">
        <v>9526</v>
      </c>
      <c r="AN303" t="s">
        <v>65</v>
      </c>
      <c r="AO303" t="s">
        <v>1660</v>
      </c>
      <c r="AP303" t="s">
        <v>67</v>
      </c>
      <c r="AQ303" t="s">
        <v>83</v>
      </c>
      <c r="AR303" t="s">
        <v>69</v>
      </c>
      <c r="AS303" s="79"/>
      <c r="AT303" s="82" t="s">
        <v>1360</v>
      </c>
      <c r="AU303" s="78">
        <v>2026</v>
      </c>
      <c r="AV303" s="78">
        <v>1</v>
      </c>
      <c r="AW303" s="78" t="s">
        <v>226</v>
      </c>
      <c r="AX303" s="78">
        <v>1</v>
      </c>
      <c r="AY303" s="78">
        <v>0</v>
      </c>
      <c r="BT303" s="3" t="s">
        <v>226</v>
      </c>
      <c r="BU303" s="3">
        <v>1</v>
      </c>
      <c r="BV303" s="3">
        <v>0</v>
      </c>
    </row>
    <row r="304" spans="1:74" ht="15" customHeight="1" x14ac:dyDescent="0.25">
      <c r="A304" s="75">
        <v>5799989</v>
      </c>
      <c r="B304" t="s">
        <v>1661</v>
      </c>
      <c r="C304" t="s">
        <v>1424</v>
      </c>
      <c r="D304" t="s">
        <v>1137</v>
      </c>
      <c r="E304" t="s">
        <v>87</v>
      </c>
      <c r="F304" s="75">
        <v>21</v>
      </c>
      <c r="G304" s="75">
        <v>251429</v>
      </c>
      <c r="H304">
        <v>510</v>
      </c>
      <c r="I304" t="s">
        <v>114</v>
      </c>
      <c r="J304" s="75">
        <v>203645</v>
      </c>
      <c r="K304" t="s">
        <v>520</v>
      </c>
      <c r="L304" t="s">
        <v>521</v>
      </c>
      <c r="M304" s="81">
        <v>46050.435046296298</v>
      </c>
      <c r="N304" s="81">
        <v>46053.469629629632</v>
      </c>
      <c r="O304" t="s">
        <v>58</v>
      </c>
      <c r="P304" t="s">
        <v>59</v>
      </c>
      <c r="Q304" t="s">
        <v>77</v>
      </c>
      <c r="R304" t="s">
        <v>60</v>
      </c>
      <c r="S304" t="s">
        <v>583</v>
      </c>
      <c r="U304" s="75">
        <v>181685</v>
      </c>
      <c r="V304" t="s">
        <v>1662</v>
      </c>
      <c r="W304" t="s">
        <v>1663</v>
      </c>
      <c r="X304" t="s">
        <v>118</v>
      </c>
      <c r="Y304" t="s">
        <v>119</v>
      </c>
      <c r="AA304" t="s">
        <v>416</v>
      </c>
      <c r="AB304">
        <v>72.750000999999997</v>
      </c>
      <c r="AC304">
        <v>56.616667</v>
      </c>
      <c r="AD304">
        <v>16.133334000000001</v>
      </c>
      <c r="AE304">
        <v>0.26666699999999999</v>
      </c>
      <c r="AF304">
        <v>0</v>
      </c>
      <c r="AG304">
        <v>15.866667</v>
      </c>
      <c r="AH304">
        <v>15.866667</v>
      </c>
      <c r="AI304">
        <v>15.666667</v>
      </c>
      <c r="AJ304">
        <v>0.2</v>
      </c>
      <c r="AK304">
        <v>0</v>
      </c>
      <c r="AL304" s="76">
        <v>45099.588680555556</v>
      </c>
      <c r="AM304" s="75">
        <v>950</v>
      </c>
      <c r="AN304" t="s">
        <v>65</v>
      </c>
      <c r="AO304" t="s">
        <v>524</v>
      </c>
      <c r="AP304" t="s">
        <v>67</v>
      </c>
      <c r="AQ304" t="s">
        <v>121</v>
      </c>
      <c r="AR304" t="s">
        <v>69</v>
      </c>
      <c r="AS304" s="78"/>
      <c r="AT304" s="82" t="s">
        <v>1360</v>
      </c>
      <c r="AU304" s="78">
        <v>2026</v>
      </c>
      <c r="AV304" s="78">
        <v>1</v>
      </c>
      <c r="AW304" s="78" t="s">
        <v>122</v>
      </c>
      <c r="AX304" s="78">
        <v>0</v>
      </c>
      <c r="AY304" s="78">
        <v>0</v>
      </c>
      <c r="BT304" s="2" t="s">
        <v>122</v>
      </c>
      <c r="BU304" s="2">
        <v>0</v>
      </c>
      <c r="BV304" s="2">
        <v>0</v>
      </c>
    </row>
    <row r="305" spans="1:74" ht="15" customHeight="1" x14ac:dyDescent="0.25">
      <c r="A305" s="75">
        <v>5800615</v>
      </c>
      <c r="B305" t="s">
        <v>1664</v>
      </c>
      <c r="C305" t="s">
        <v>1665</v>
      </c>
      <c r="D305" t="s">
        <v>1137</v>
      </c>
      <c r="E305" t="s">
        <v>87</v>
      </c>
      <c r="F305" s="75">
        <v>48</v>
      </c>
      <c r="G305" s="75">
        <v>275283</v>
      </c>
      <c r="H305">
        <v>650</v>
      </c>
      <c r="I305" t="s">
        <v>55</v>
      </c>
      <c r="J305" s="75">
        <v>218791</v>
      </c>
      <c r="K305" t="s">
        <v>312</v>
      </c>
      <c r="L305" t="s">
        <v>313</v>
      </c>
      <c r="M305" s="81">
        <v>46050.528761574067</v>
      </c>
      <c r="N305" s="81">
        <v>46053.47278935185</v>
      </c>
      <c r="O305" t="s">
        <v>58</v>
      </c>
      <c r="P305" t="s">
        <v>59</v>
      </c>
      <c r="Q305" t="s">
        <v>90</v>
      </c>
      <c r="R305" t="s">
        <v>99</v>
      </c>
      <c r="S305" t="s">
        <v>1244</v>
      </c>
      <c r="U305" s="75">
        <v>181617</v>
      </c>
      <c r="V305" t="s">
        <v>1666</v>
      </c>
      <c r="W305" t="s">
        <v>1667</v>
      </c>
      <c r="X305" t="s">
        <v>62</v>
      </c>
      <c r="Y305" t="s">
        <v>63</v>
      </c>
      <c r="AA305" t="s">
        <v>101</v>
      </c>
      <c r="AB305">
        <v>70.599999999999994</v>
      </c>
      <c r="AC305">
        <v>59.416666999999997</v>
      </c>
      <c r="AD305">
        <v>11.183332999999999</v>
      </c>
      <c r="AE305">
        <v>0.53333299999999995</v>
      </c>
      <c r="AF305">
        <v>0</v>
      </c>
      <c r="AG305">
        <v>10.65</v>
      </c>
      <c r="AH305">
        <v>10.65</v>
      </c>
      <c r="AI305">
        <v>9.6333330000000004</v>
      </c>
      <c r="AJ305">
        <v>1.016667</v>
      </c>
      <c r="AK305">
        <v>0</v>
      </c>
      <c r="AL305" s="76">
        <v>44839.755671296298</v>
      </c>
      <c r="AM305" s="75">
        <v>1210</v>
      </c>
      <c r="AN305" t="s">
        <v>65</v>
      </c>
      <c r="AO305" t="s">
        <v>1668</v>
      </c>
      <c r="AP305" t="s">
        <v>67</v>
      </c>
      <c r="AQ305" t="s">
        <v>68</v>
      </c>
      <c r="AR305" t="s">
        <v>69</v>
      </c>
      <c r="AS305" s="79"/>
      <c r="AT305" s="82" t="s">
        <v>1360</v>
      </c>
      <c r="AU305" s="78">
        <v>2026</v>
      </c>
      <c r="AV305" s="78">
        <v>1</v>
      </c>
      <c r="AW305" s="78" t="s">
        <v>71</v>
      </c>
      <c r="AX305" s="78">
        <v>0</v>
      </c>
      <c r="AY305" s="78">
        <v>0</v>
      </c>
      <c r="BT305" s="3" t="s">
        <v>71</v>
      </c>
      <c r="BU305" s="3">
        <v>0</v>
      </c>
      <c r="BV305" s="3">
        <v>0</v>
      </c>
    </row>
    <row r="306" spans="1:74" ht="15" customHeight="1" x14ac:dyDescent="0.25">
      <c r="A306" s="75">
        <v>5800619</v>
      </c>
      <c r="B306" t="s">
        <v>1669</v>
      </c>
      <c r="C306" t="s">
        <v>1670</v>
      </c>
      <c r="D306" t="s">
        <v>1137</v>
      </c>
      <c r="E306" t="s">
        <v>87</v>
      </c>
      <c r="F306" s="75">
        <v>78</v>
      </c>
      <c r="G306" s="75">
        <v>275415</v>
      </c>
      <c r="H306">
        <v>368.16</v>
      </c>
      <c r="I306" t="s">
        <v>55</v>
      </c>
      <c r="J306" s="75">
        <v>218791</v>
      </c>
      <c r="K306" t="s">
        <v>312</v>
      </c>
      <c r="L306" t="s">
        <v>313</v>
      </c>
      <c r="M306" s="81">
        <v>46050.528796296298</v>
      </c>
      <c r="N306" s="81">
        <v>46053.474097222221</v>
      </c>
      <c r="O306" t="s">
        <v>58</v>
      </c>
      <c r="P306" t="s">
        <v>59</v>
      </c>
      <c r="Q306" t="s">
        <v>90</v>
      </c>
      <c r="R306" t="s">
        <v>60</v>
      </c>
      <c r="S306" t="s">
        <v>583</v>
      </c>
      <c r="U306" s="75">
        <v>181611</v>
      </c>
      <c r="V306" t="s">
        <v>1671</v>
      </c>
      <c r="W306" t="s">
        <v>1672</v>
      </c>
      <c r="X306" t="s">
        <v>62</v>
      </c>
      <c r="Y306" t="s">
        <v>63</v>
      </c>
      <c r="AA306" t="s">
        <v>64</v>
      </c>
      <c r="AB306">
        <v>70.616668000000004</v>
      </c>
      <c r="AC306">
        <v>62.483333999999999</v>
      </c>
      <c r="AD306">
        <v>8.1333339999999996</v>
      </c>
      <c r="AE306">
        <v>0.23333300000000001</v>
      </c>
      <c r="AF306">
        <v>0</v>
      </c>
      <c r="AG306">
        <v>7.9000009999999996</v>
      </c>
      <c r="AH306">
        <v>7.9000009999999996</v>
      </c>
      <c r="AI306">
        <v>5.9333340000000003</v>
      </c>
      <c r="AJ306">
        <v>1.9666669999999999</v>
      </c>
      <c r="AK306">
        <v>0</v>
      </c>
      <c r="AL306" s="76">
        <v>44879.742731481478</v>
      </c>
      <c r="AM306" s="75">
        <v>1170</v>
      </c>
      <c r="AN306" t="s">
        <v>65</v>
      </c>
      <c r="AO306" t="s">
        <v>1673</v>
      </c>
      <c r="AP306" t="s">
        <v>67</v>
      </c>
      <c r="AQ306" t="s">
        <v>68</v>
      </c>
      <c r="AR306" t="s">
        <v>69</v>
      </c>
      <c r="AS306" s="78"/>
      <c r="AT306" s="82" t="s">
        <v>1360</v>
      </c>
      <c r="AU306" s="78">
        <v>2026</v>
      </c>
      <c r="AV306" s="78">
        <v>1</v>
      </c>
      <c r="AW306" s="78" t="s">
        <v>71</v>
      </c>
      <c r="AX306" s="78">
        <v>1</v>
      </c>
      <c r="AY306" s="78">
        <v>0</v>
      </c>
      <c r="BT306" s="2" t="s">
        <v>71</v>
      </c>
      <c r="BU306" s="2">
        <v>1</v>
      </c>
      <c r="BV306" s="2">
        <v>0</v>
      </c>
    </row>
    <row r="307" spans="1:74" ht="15" customHeight="1" x14ac:dyDescent="0.25">
      <c r="A307" s="75">
        <v>5805173</v>
      </c>
      <c r="B307" t="s">
        <v>1674</v>
      </c>
      <c r="C307" t="s">
        <v>1675</v>
      </c>
      <c r="D307" t="s">
        <v>1567</v>
      </c>
      <c r="E307" t="s">
        <v>54</v>
      </c>
      <c r="F307" s="75">
        <v>82</v>
      </c>
      <c r="G307" s="75">
        <v>321729</v>
      </c>
      <c r="H307">
        <v>367.96</v>
      </c>
      <c r="I307" t="s">
        <v>114</v>
      </c>
      <c r="J307" s="75">
        <v>212603</v>
      </c>
      <c r="K307" t="s">
        <v>538</v>
      </c>
      <c r="L307" t="s">
        <v>539</v>
      </c>
      <c r="M307" s="81">
        <v>46052.611944444441</v>
      </c>
      <c r="N307" s="81">
        <v>46053.48847222222</v>
      </c>
      <c r="O307" t="s">
        <v>58</v>
      </c>
      <c r="P307" t="s">
        <v>59</v>
      </c>
      <c r="Q307" t="s">
        <v>90</v>
      </c>
      <c r="R307" t="s">
        <v>60</v>
      </c>
      <c r="S307" t="s">
        <v>583</v>
      </c>
      <c r="U307" s="75">
        <v>183561</v>
      </c>
      <c r="V307" t="s">
        <v>1676</v>
      </c>
      <c r="W307" t="s">
        <v>1677</v>
      </c>
      <c r="X307" t="s">
        <v>118</v>
      </c>
      <c r="Y307" t="s">
        <v>1678</v>
      </c>
      <c r="AA307" t="s">
        <v>64</v>
      </c>
      <c r="AB307">
        <v>20.95</v>
      </c>
      <c r="AC307">
        <v>14.75</v>
      </c>
      <c r="AD307">
        <v>6.2</v>
      </c>
      <c r="AE307">
        <v>0.16666600000000001</v>
      </c>
      <c r="AF307">
        <v>0</v>
      </c>
      <c r="AG307">
        <v>6.033334</v>
      </c>
      <c r="AH307">
        <v>6.033334</v>
      </c>
      <c r="AI307">
        <v>5.533334</v>
      </c>
      <c r="AJ307">
        <v>0.5</v>
      </c>
      <c r="AK307">
        <v>0</v>
      </c>
      <c r="AL307" s="76">
        <v>45485</v>
      </c>
      <c r="AM307" s="75">
        <v>567</v>
      </c>
      <c r="AN307" t="s">
        <v>65</v>
      </c>
      <c r="AO307" t="s">
        <v>1679</v>
      </c>
      <c r="AP307" t="s">
        <v>67</v>
      </c>
      <c r="AQ307" t="s">
        <v>121</v>
      </c>
      <c r="AR307" t="s">
        <v>69</v>
      </c>
      <c r="AS307" s="79"/>
      <c r="AT307" s="82" t="s">
        <v>1360</v>
      </c>
      <c r="AU307" s="78">
        <v>2026</v>
      </c>
      <c r="AV307" s="78">
        <v>1</v>
      </c>
      <c r="AW307" s="78" t="s">
        <v>347</v>
      </c>
      <c r="AX307" s="78">
        <v>1</v>
      </c>
      <c r="AY307" s="78">
        <v>0</v>
      </c>
      <c r="BT307" s="3" t="s">
        <v>347</v>
      </c>
      <c r="BU307" s="3">
        <v>1</v>
      </c>
      <c r="BV307" s="3">
        <v>0</v>
      </c>
    </row>
    <row r="308" spans="1:74" ht="15" customHeight="1" x14ac:dyDescent="0.25">
      <c r="A308" s="75">
        <v>5795747</v>
      </c>
      <c r="B308" t="s">
        <v>1680</v>
      </c>
      <c r="C308" t="s">
        <v>1681</v>
      </c>
      <c r="D308" t="s">
        <v>53</v>
      </c>
      <c r="E308" t="s">
        <v>105</v>
      </c>
      <c r="F308" s="75">
        <v>13</v>
      </c>
      <c r="G308" s="75">
        <v>345621</v>
      </c>
      <c r="H308">
        <v>646.5</v>
      </c>
      <c r="I308" t="s">
        <v>203</v>
      </c>
      <c r="J308" s="75">
        <v>204139</v>
      </c>
      <c r="K308" t="s">
        <v>1000</v>
      </c>
      <c r="L308" t="s">
        <v>1001</v>
      </c>
      <c r="M308" s="81">
        <v>46048.847615740742</v>
      </c>
      <c r="N308" s="81">
        <v>46053.562731481477</v>
      </c>
      <c r="O308" t="s">
        <v>391</v>
      </c>
      <c r="P308" t="s">
        <v>59</v>
      </c>
      <c r="Q308" t="s">
        <v>90</v>
      </c>
      <c r="R308" t="s">
        <v>156</v>
      </c>
      <c r="S308" t="s">
        <v>1682</v>
      </c>
      <c r="U308" s="75">
        <v>183015</v>
      </c>
      <c r="V308" t="s">
        <v>1683</v>
      </c>
      <c r="W308" t="s">
        <v>1684</v>
      </c>
      <c r="X308" t="s">
        <v>62</v>
      </c>
      <c r="Y308" t="s">
        <v>63</v>
      </c>
      <c r="AA308" t="s">
        <v>295</v>
      </c>
      <c r="AB308">
        <v>112.999999</v>
      </c>
      <c r="AC308">
        <v>85.683333000000005</v>
      </c>
      <c r="AD308">
        <v>27.316666000000001</v>
      </c>
      <c r="AE308">
        <v>1.416666</v>
      </c>
      <c r="AF308">
        <v>0</v>
      </c>
      <c r="AG308">
        <v>25.9</v>
      </c>
      <c r="AH308">
        <v>25.9</v>
      </c>
      <c r="AI308">
        <v>23.849999</v>
      </c>
      <c r="AJ308">
        <v>2.050001</v>
      </c>
      <c r="AK308">
        <v>0</v>
      </c>
      <c r="AL308" s="76">
        <v>44315</v>
      </c>
      <c r="AM308" s="75">
        <v>1733</v>
      </c>
      <c r="AN308" t="s">
        <v>65</v>
      </c>
      <c r="AO308" t="s">
        <v>1685</v>
      </c>
      <c r="AP308" t="s">
        <v>67</v>
      </c>
      <c r="AQ308" t="s">
        <v>68</v>
      </c>
      <c r="AR308" t="s">
        <v>69</v>
      </c>
      <c r="AS308" s="78"/>
      <c r="AT308" s="82" t="s">
        <v>1360</v>
      </c>
      <c r="AU308" s="78">
        <v>2026</v>
      </c>
      <c r="AV308" s="78">
        <v>1</v>
      </c>
      <c r="AW308" s="78" t="s">
        <v>71</v>
      </c>
      <c r="AX308" s="78">
        <v>0</v>
      </c>
      <c r="AY308" s="78">
        <v>1</v>
      </c>
      <c r="BT308" s="2" t="s">
        <v>71</v>
      </c>
      <c r="BU308" s="2">
        <v>0</v>
      </c>
      <c r="BV308" s="2">
        <v>1</v>
      </c>
    </row>
    <row r="309" spans="1:74" ht="15" customHeight="1" x14ac:dyDescent="0.25">
      <c r="A309" s="75">
        <v>5799913</v>
      </c>
      <c r="B309" t="s">
        <v>1686</v>
      </c>
      <c r="C309" t="s">
        <v>1687</v>
      </c>
      <c r="D309" t="s">
        <v>1137</v>
      </c>
      <c r="E309" t="s">
        <v>54</v>
      </c>
      <c r="F309" s="75">
        <v>106</v>
      </c>
      <c r="G309" s="75">
        <v>295677</v>
      </c>
      <c r="H309">
        <v>100</v>
      </c>
      <c r="I309" t="s">
        <v>195</v>
      </c>
      <c r="J309" s="75">
        <v>13955</v>
      </c>
      <c r="K309" t="s">
        <v>75</v>
      </c>
      <c r="L309" t="s">
        <v>76</v>
      </c>
      <c r="M309" s="81">
        <v>46050.422280092593</v>
      </c>
      <c r="N309" s="81">
        <v>46053.626539351862</v>
      </c>
      <c r="O309" t="s">
        <v>58</v>
      </c>
      <c r="P309" t="s">
        <v>59</v>
      </c>
      <c r="Q309" t="s">
        <v>77</v>
      </c>
      <c r="R309" t="s">
        <v>60</v>
      </c>
      <c r="S309" t="s">
        <v>583</v>
      </c>
      <c r="U309" s="75">
        <v>183161</v>
      </c>
      <c r="V309" t="s">
        <v>1688</v>
      </c>
      <c r="W309" t="s">
        <v>1688</v>
      </c>
      <c r="X309" t="s">
        <v>62</v>
      </c>
      <c r="Y309" t="s">
        <v>63</v>
      </c>
      <c r="AA309" t="s">
        <v>101</v>
      </c>
      <c r="AB309">
        <v>76.849998999999997</v>
      </c>
      <c r="AC309">
        <v>66.099999999999994</v>
      </c>
      <c r="AD309">
        <v>10.749999000000001</v>
      </c>
      <c r="AE309">
        <v>0.23333300000000001</v>
      </c>
      <c r="AF309">
        <v>0</v>
      </c>
      <c r="AG309">
        <v>10.516666000000001</v>
      </c>
      <c r="AH309">
        <v>10.516666000000001</v>
      </c>
      <c r="AI309">
        <v>9.8166659999999997</v>
      </c>
      <c r="AJ309">
        <v>0.7</v>
      </c>
      <c r="AK309">
        <v>0</v>
      </c>
      <c r="AL309" s="76">
        <v>45344</v>
      </c>
      <c r="AM309" s="75">
        <v>706</v>
      </c>
      <c r="AN309" t="s">
        <v>65</v>
      </c>
      <c r="AO309" t="s">
        <v>1689</v>
      </c>
      <c r="AP309" t="s">
        <v>67</v>
      </c>
      <c r="AQ309" t="s">
        <v>68</v>
      </c>
      <c r="AR309" t="s">
        <v>69</v>
      </c>
      <c r="AS309" s="79"/>
      <c r="AT309" s="82" t="s">
        <v>1360</v>
      </c>
      <c r="AU309" s="78">
        <v>2026</v>
      </c>
      <c r="AV309" s="78">
        <v>1</v>
      </c>
      <c r="AW309" s="78" t="s">
        <v>71</v>
      </c>
      <c r="AX309" s="78">
        <v>0</v>
      </c>
      <c r="AY309" s="78">
        <v>0</v>
      </c>
      <c r="BT309" s="3" t="s">
        <v>71</v>
      </c>
      <c r="BU309" s="3">
        <v>0</v>
      </c>
      <c r="BV309" s="3">
        <v>0</v>
      </c>
    </row>
    <row r="310" spans="1:74" ht="15" customHeight="1" x14ac:dyDescent="0.25">
      <c r="A310" s="75">
        <v>5801667</v>
      </c>
      <c r="B310" t="s">
        <v>1690</v>
      </c>
      <c r="C310" t="s">
        <v>419</v>
      </c>
      <c r="D310" t="s">
        <v>1400</v>
      </c>
      <c r="E310" t="s">
        <v>87</v>
      </c>
      <c r="F310" s="75">
        <v>61</v>
      </c>
      <c r="G310" s="75">
        <v>275367</v>
      </c>
      <c r="H310">
        <v>368.16</v>
      </c>
      <c r="I310" t="s">
        <v>55</v>
      </c>
      <c r="J310" s="75">
        <v>218791</v>
      </c>
      <c r="K310" t="s">
        <v>312</v>
      </c>
      <c r="L310" t="s">
        <v>313</v>
      </c>
      <c r="M310" s="81">
        <v>46050.847812499997</v>
      </c>
      <c r="N310" s="81">
        <v>46053.638819444437</v>
      </c>
      <c r="O310" t="s">
        <v>58</v>
      </c>
      <c r="P310" t="s">
        <v>59</v>
      </c>
      <c r="Q310" t="s">
        <v>90</v>
      </c>
      <c r="R310" t="s">
        <v>131</v>
      </c>
      <c r="S310" t="s">
        <v>1316</v>
      </c>
      <c r="U310" s="75">
        <v>182713</v>
      </c>
      <c r="V310" t="s">
        <v>1691</v>
      </c>
      <c r="W310" t="s">
        <v>1692</v>
      </c>
      <c r="X310" t="s">
        <v>62</v>
      </c>
      <c r="Y310" t="s">
        <v>63</v>
      </c>
      <c r="AA310" t="s">
        <v>64</v>
      </c>
      <c r="AB310">
        <v>66.883334000000005</v>
      </c>
      <c r="AC310">
        <v>59.233333000000002</v>
      </c>
      <c r="AD310">
        <v>7.6500009999999996</v>
      </c>
      <c r="AE310">
        <v>0.50000100000000003</v>
      </c>
      <c r="AF310">
        <v>0</v>
      </c>
      <c r="AG310">
        <v>7.15</v>
      </c>
      <c r="AH310">
        <v>7.15</v>
      </c>
      <c r="AI310">
        <v>3.8</v>
      </c>
      <c r="AJ310">
        <v>3.35</v>
      </c>
      <c r="AK310">
        <v>0</v>
      </c>
      <c r="AL310" s="76">
        <v>44853.543877314813</v>
      </c>
      <c r="AM310" s="75">
        <v>1197</v>
      </c>
      <c r="AN310" t="s">
        <v>65</v>
      </c>
      <c r="AO310" t="s">
        <v>422</v>
      </c>
      <c r="AP310" t="s">
        <v>67</v>
      </c>
      <c r="AQ310" t="s">
        <v>68</v>
      </c>
      <c r="AR310" t="s">
        <v>69</v>
      </c>
      <c r="AS310" s="78"/>
      <c r="AT310" s="82" t="s">
        <v>1360</v>
      </c>
      <c r="AU310" s="78">
        <v>2026</v>
      </c>
      <c r="AV310" s="78">
        <v>1</v>
      </c>
      <c r="AW310" s="78" t="s">
        <v>71</v>
      </c>
      <c r="AX310" s="78">
        <v>1</v>
      </c>
      <c r="AY310" s="78">
        <v>0</v>
      </c>
      <c r="BT310" s="2" t="s">
        <v>71</v>
      </c>
      <c r="BU310" s="2">
        <v>1</v>
      </c>
      <c r="BV310" s="2">
        <v>0</v>
      </c>
    </row>
    <row r="311" spans="1:74" ht="15" customHeight="1" x14ac:dyDescent="0.25">
      <c r="A311" s="75">
        <v>5805741</v>
      </c>
      <c r="B311" t="s">
        <v>1693</v>
      </c>
      <c r="C311" t="s">
        <v>1694</v>
      </c>
      <c r="D311" t="s">
        <v>150</v>
      </c>
      <c r="E311" t="s">
        <v>87</v>
      </c>
      <c r="F311" s="75">
        <v>115</v>
      </c>
      <c r="G311" s="75">
        <v>300181</v>
      </c>
      <c r="H311">
        <v>621.57000000000005</v>
      </c>
      <c r="I311" t="s">
        <v>55</v>
      </c>
      <c r="J311" s="75">
        <v>149307</v>
      </c>
      <c r="K311" t="s">
        <v>350</v>
      </c>
      <c r="L311" t="s">
        <v>351</v>
      </c>
      <c r="M311" s="81">
        <v>46052.805937500001</v>
      </c>
      <c r="N311" s="81">
        <v>46054.420694444438</v>
      </c>
      <c r="O311" t="s">
        <v>58</v>
      </c>
      <c r="P311" t="s">
        <v>59</v>
      </c>
      <c r="Q311" t="s">
        <v>90</v>
      </c>
      <c r="R311" t="s">
        <v>131</v>
      </c>
      <c r="S311" t="s">
        <v>1695</v>
      </c>
      <c r="U311" s="75">
        <v>183441</v>
      </c>
      <c r="V311" t="s">
        <v>1696</v>
      </c>
      <c r="W311" t="s">
        <v>1696</v>
      </c>
      <c r="X311" t="s">
        <v>62</v>
      </c>
      <c r="Y311" t="s">
        <v>63</v>
      </c>
      <c r="AA311" t="s">
        <v>81</v>
      </c>
      <c r="AB311">
        <v>38.666665999999999</v>
      </c>
      <c r="AC311">
        <v>35.133333</v>
      </c>
      <c r="AD311">
        <v>3.5333329999999998</v>
      </c>
      <c r="AE311">
        <v>0.81666700000000003</v>
      </c>
      <c r="AF311">
        <v>0</v>
      </c>
      <c r="AG311">
        <v>2.716666</v>
      </c>
      <c r="AH311">
        <v>2.716666</v>
      </c>
      <c r="AI311">
        <v>2.4333330000000002</v>
      </c>
      <c r="AJ311">
        <v>0.283333</v>
      </c>
      <c r="AK311">
        <v>0</v>
      </c>
      <c r="AL311" s="76">
        <v>45404</v>
      </c>
      <c r="AM311" s="75">
        <v>648</v>
      </c>
      <c r="AN311" t="s">
        <v>65</v>
      </c>
      <c r="AO311" t="s">
        <v>1697</v>
      </c>
      <c r="AP311" t="s">
        <v>67</v>
      </c>
      <c r="AQ311" t="s">
        <v>68</v>
      </c>
      <c r="AR311" t="s">
        <v>69</v>
      </c>
      <c r="AS311" s="79"/>
      <c r="AT311" s="82" t="s">
        <v>1360</v>
      </c>
      <c r="AU311" s="78">
        <v>2026</v>
      </c>
      <c r="AV311" s="78">
        <v>2</v>
      </c>
      <c r="AW311" s="78" t="s">
        <v>71</v>
      </c>
      <c r="AX311" s="78">
        <v>1</v>
      </c>
      <c r="AY311" s="78">
        <v>0</v>
      </c>
      <c r="BT311" s="3" t="s">
        <v>71</v>
      </c>
      <c r="BU311" s="3">
        <v>1</v>
      </c>
      <c r="BV311" s="3">
        <v>0</v>
      </c>
    </row>
    <row r="312" spans="1:74" ht="15" customHeight="1" x14ac:dyDescent="0.25">
      <c r="A312" s="75">
        <v>5805427</v>
      </c>
      <c r="B312" t="s">
        <v>1698</v>
      </c>
      <c r="C312" t="s">
        <v>1699</v>
      </c>
      <c r="D312" t="s">
        <v>150</v>
      </c>
      <c r="E312" t="s">
        <v>54</v>
      </c>
      <c r="F312" s="75">
        <v>794</v>
      </c>
      <c r="G312" s="75">
        <v>272185</v>
      </c>
      <c r="H312">
        <v>750</v>
      </c>
      <c r="I312" t="s">
        <v>242</v>
      </c>
      <c r="J312" s="75">
        <v>42041</v>
      </c>
      <c r="K312" t="s">
        <v>1700</v>
      </c>
      <c r="L312" t="s">
        <v>1701</v>
      </c>
      <c r="M312" s="81">
        <v>46052.696828703702</v>
      </c>
      <c r="N312" s="81">
        <v>46054.430335648147</v>
      </c>
      <c r="O312" t="s">
        <v>58</v>
      </c>
      <c r="P312" t="s">
        <v>59</v>
      </c>
      <c r="Q312" t="s">
        <v>130</v>
      </c>
      <c r="R312" t="s">
        <v>131</v>
      </c>
      <c r="S312" t="s">
        <v>1702</v>
      </c>
      <c r="T312" t="s">
        <v>507</v>
      </c>
      <c r="U312" s="75">
        <v>183403</v>
      </c>
      <c r="V312" t="s">
        <v>1703</v>
      </c>
      <c r="W312" t="s">
        <v>1704</v>
      </c>
      <c r="X312" t="s">
        <v>62</v>
      </c>
      <c r="Y312" t="s">
        <v>63</v>
      </c>
      <c r="AA312" t="s">
        <v>64</v>
      </c>
      <c r="AB312">
        <v>41.533332999999999</v>
      </c>
      <c r="AC312">
        <v>34.616667</v>
      </c>
      <c r="AD312">
        <v>6.9166660000000002</v>
      </c>
      <c r="AE312">
        <v>8.3333000000000004E-2</v>
      </c>
      <c r="AF312">
        <v>0</v>
      </c>
      <c r="AG312">
        <v>6.8333329999999997</v>
      </c>
      <c r="AH312">
        <v>6.8333329999999997</v>
      </c>
      <c r="AI312">
        <v>6.2</v>
      </c>
      <c r="AJ312">
        <v>0.63333300000000003</v>
      </c>
      <c r="AK312">
        <v>0</v>
      </c>
      <c r="AL312" s="76">
        <v>36526</v>
      </c>
      <c r="AM312" s="75">
        <v>9526</v>
      </c>
      <c r="AN312" t="s">
        <v>65</v>
      </c>
      <c r="AO312" t="s">
        <v>1705</v>
      </c>
      <c r="AP312" t="s">
        <v>67</v>
      </c>
      <c r="AQ312" t="s">
        <v>68</v>
      </c>
      <c r="AR312" t="s">
        <v>69</v>
      </c>
      <c r="AS312" s="78"/>
      <c r="AT312" s="82" t="s">
        <v>1360</v>
      </c>
      <c r="AU312" s="78">
        <v>2026</v>
      </c>
      <c r="AV312" s="78">
        <v>2</v>
      </c>
      <c r="AW312" s="78" t="s">
        <v>71</v>
      </c>
      <c r="AX312" s="78">
        <v>1</v>
      </c>
      <c r="AY312" s="78">
        <v>0</v>
      </c>
      <c r="BT312" s="2" t="s">
        <v>71</v>
      </c>
      <c r="BU312" s="2">
        <v>1</v>
      </c>
      <c r="BV312" s="2">
        <v>0</v>
      </c>
    </row>
    <row r="313" spans="1:74" ht="15" customHeight="1" x14ac:dyDescent="0.25">
      <c r="A313" s="75">
        <v>5804583</v>
      </c>
      <c r="B313" t="s">
        <v>1706</v>
      </c>
      <c r="C313" t="s">
        <v>1707</v>
      </c>
      <c r="D313" t="s">
        <v>125</v>
      </c>
      <c r="E313" t="s">
        <v>105</v>
      </c>
      <c r="F313" s="75">
        <v>636</v>
      </c>
      <c r="G313" s="75">
        <v>342933</v>
      </c>
      <c r="H313">
        <v>225</v>
      </c>
      <c r="I313" t="s">
        <v>163</v>
      </c>
      <c r="J313" s="75">
        <v>48887</v>
      </c>
      <c r="K313" t="s">
        <v>164</v>
      </c>
      <c r="L313" t="s">
        <v>165</v>
      </c>
      <c r="M313" s="81">
        <v>46052.442361111112</v>
      </c>
      <c r="N313" s="81">
        <v>46054.457592592589</v>
      </c>
      <c r="O313" t="s">
        <v>58</v>
      </c>
      <c r="P313" t="s">
        <v>59</v>
      </c>
      <c r="Q313" t="s">
        <v>77</v>
      </c>
      <c r="R313" t="s">
        <v>99</v>
      </c>
      <c r="S313" t="s">
        <v>1244</v>
      </c>
      <c r="U313" s="75">
        <v>183075</v>
      </c>
      <c r="V313" t="s">
        <v>1708</v>
      </c>
      <c r="W313" t="s">
        <v>1708</v>
      </c>
      <c r="X313" t="s">
        <v>62</v>
      </c>
      <c r="Y313" t="s">
        <v>190</v>
      </c>
      <c r="AA313" t="s">
        <v>81</v>
      </c>
      <c r="AB313">
        <v>48.283332999999999</v>
      </c>
      <c r="AC313">
        <v>45.833333000000003</v>
      </c>
      <c r="AD313">
        <v>2.4500000000000002</v>
      </c>
      <c r="AE313">
        <v>0.3</v>
      </c>
      <c r="AF313">
        <v>0</v>
      </c>
      <c r="AG313">
        <v>2.15</v>
      </c>
      <c r="AH313">
        <v>2.15</v>
      </c>
      <c r="AI313">
        <v>2.15</v>
      </c>
      <c r="AJ313">
        <v>0</v>
      </c>
      <c r="AK313">
        <v>0</v>
      </c>
      <c r="AL313" s="76">
        <v>45866</v>
      </c>
      <c r="AM313" s="75">
        <v>186</v>
      </c>
      <c r="AN313" t="s">
        <v>65</v>
      </c>
      <c r="AO313" t="s">
        <v>1709</v>
      </c>
      <c r="AP313" t="s">
        <v>67</v>
      </c>
      <c r="AQ313" t="s">
        <v>68</v>
      </c>
      <c r="AR313" t="s">
        <v>69</v>
      </c>
      <c r="AS313" s="79"/>
      <c r="AT313" s="82" t="s">
        <v>1360</v>
      </c>
      <c r="AU313" s="78">
        <v>2026</v>
      </c>
      <c r="AV313" s="78">
        <v>2</v>
      </c>
      <c r="AW313" s="78" t="s">
        <v>137</v>
      </c>
      <c r="AX313" s="78">
        <v>1</v>
      </c>
      <c r="AY313" s="78">
        <v>0</v>
      </c>
      <c r="BT313" s="3" t="s">
        <v>137</v>
      </c>
      <c r="BU313" s="3">
        <v>1</v>
      </c>
      <c r="BV313" s="3">
        <v>0</v>
      </c>
    </row>
    <row r="314" spans="1:74" ht="15" customHeight="1" x14ac:dyDescent="0.25">
      <c r="A314" s="75">
        <v>5804591</v>
      </c>
      <c r="B314" t="s">
        <v>1710</v>
      </c>
      <c r="C314" t="s">
        <v>1711</v>
      </c>
      <c r="D314" t="s">
        <v>150</v>
      </c>
      <c r="E314" t="s">
        <v>87</v>
      </c>
      <c r="F314" s="75">
        <v>37</v>
      </c>
      <c r="G314" s="75">
        <v>275261</v>
      </c>
      <c r="H314">
        <v>368.16</v>
      </c>
      <c r="I314" t="s">
        <v>55</v>
      </c>
      <c r="J314" s="75">
        <v>218791</v>
      </c>
      <c r="K314" t="s">
        <v>312</v>
      </c>
      <c r="L314" t="s">
        <v>313</v>
      </c>
      <c r="M314" s="81">
        <v>46052.445034722223</v>
      </c>
      <c r="N314" s="81">
        <v>46054.461296296293</v>
      </c>
      <c r="O314" t="s">
        <v>58</v>
      </c>
      <c r="P314" t="s">
        <v>59</v>
      </c>
      <c r="Q314" t="s">
        <v>90</v>
      </c>
      <c r="R314" t="s">
        <v>156</v>
      </c>
      <c r="S314" t="s">
        <v>1712</v>
      </c>
      <c r="U314" s="75">
        <v>183071</v>
      </c>
      <c r="V314" t="s">
        <v>1713</v>
      </c>
      <c r="W314" t="s">
        <v>1713</v>
      </c>
      <c r="X314" t="s">
        <v>62</v>
      </c>
      <c r="Y314" t="s">
        <v>63</v>
      </c>
      <c r="AA314" t="s">
        <v>64</v>
      </c>
      <c r="AB314">
        <v>48.333333000000003</v>
      </c>
      <c r="AC314">
        <v>43.7</v>
      </c>
      <c r="AD314">
        <v>4.6333330000000004</v>
      </c>
      <c r="AE314">
        <v>6.6666000000000003E-2</v>
      </c>
      <c r="AF314">
        <v>0</v>
      </c>
      <c r="AG314">
        <v>4.5666669999999998</v>
      </c>
      <c r="AH314">
        <v>4.5666669999999998</v>
      </c>
      <c r="AI314">
        <v>4.4166670000000003</v>
      </c>
      <c r="AJ314">
        <v>0.15</v>
      </c>
      <c r="AK314">
        <v>0</v>
      </c>
      <c r="AL314" s="76">
        <v>44855.371203703697</v>
      </c>
      <c r="AM314" s="75">
        <v>1197</v>
      </c>
      <c r="AN314" t="s">
        <v>65</v>
      </c>
      <c r="AO314" t="s">
        <v>1714</v>
      </c>
      <c r="AP314" t="s">
        <v>67</v>
      </c>
      <c r="AQ314" t="s">
        <v>68</v>
      </c>
      <c r="AR314" t="s">
        <v>69</v>
      </c>
      <c r="AS314" s="78"/>
      <c r="AT314" s="82" t="s">
        <v>1360</v>
      </c>
      <c r="AU314" s="78">
        <v>2026</v>
      </c>
      <c r="AV314" s="78">
        <v>2</v>
      </c>
      <c r="AW314" s="78" t="s">
        <v>71</v>
      </c>
      <c r="AX314" s="78">
        <v>1</v>
      </c>
      <c r="AY314" s="78">
        <v>0</v>
      </c>
      <c r="BT314" s="2" t="s">
        <v>71</v>
      </c>
      <c r="BU314" s="2">
        <v>1</v>
      </c>
      <c r="BV314" s="2">
        <v>0</v>
      </c>
    </row>
    <row r="315" spans="1:74" ht="15" customHeight="1" x14ac:dyDescent="0.25">
      <c r="A315" s="75">
        <v>5807075</v>
      </c>
      <c r="B315" t="s">
        <v>1715</v>
      </c>
      <c r="C315" t="s">
        <v>1716</v>
      </c>
      <c r="D315" t="s">
        <v>1137</v>
      </c>
      <c r="E315" t="s">
        <v>54</v>
      </c>
      <c r="F315" s="75">
        <v>5</v>
      </c>
      <c r="G315" s="75">
        <v>252099</v>
      </c>
      <c r="H315">
        <v>1261.56</v>
      </c>
      <c r="I315" t="s">
        <v>114</v>
      </c>
      <c r="J315" s="75">
        <v>204395</v>
      </c>
      <c r="K315" t="s">
        <v>1717</v>
      </c>
      <c r="L315" t="s">
        <v>1718</v>
      </c>
      <c r="M315" s="81">
        <v>46053.764340277783</v>
      </c>
      <c r="N315" s="81">
        <v>46055.36278935185</v>
      </c>
      <c r="O315" t="s">
        <v>58</v>
      </c>
      <c r="P315" t="s">
        <v>59</v>
      </c>
      <c r="Q315" t="s">
        <v>90</v>
      </c>
      <c r="R315" t="s">
        <v>99</v>
      </c>
      <c r="S315" t="s">
        <v>1244</v>
      </c>
      <c r="T315" t="s">
        <v>342</v>
      </c>
      <c r="U315" s="75">
        <v>183663</v>
      </c>
      <c r="V315" t="s">
        <v>1719</v>
      </c>
      <c r="X315" t="s">
        <v>118</v>
      </c>
      <c r="Y315" t="s">
        <v>1720</v>
      </c>
      <c r="AA315" t="s">
        <v>81</v>
      </c>
      <c r="AB315">
        <v>38.283332000000001</v>
      </c>
      <c r="AC315">
        <v>30.833333</v>
      </c>
      <c r="AD315">
        <v>7.449999</v>
      </c>
      <c r="AE315">
        <v>3.5</v>
      </c>
      <c r="AF315">
        <v>0</v>
      </c>
      <c r="AG315">
        <v>3.949999</v>
      </c>
      <c r="AH315">
        <v>3.949999</v>
      </c>
      <c r="AI315">
        <v>3.3333330000000001</v>
      </c>
      <c r="AJ315">
        <v>0.61666600000000005</v>
      </c>
      <c r="AK315">
        <v>0</v>
      </c>
      <c r="AL315" s="76">
        <v>44802.725219907406</v>
      </c>
      <c r="AM315" s="75">
        <v>1251</v>
      </c>
      <c r="AN315" t="s">
        <v>65</v>
      </c>
      <c r="AO315" t="s">
        <v>1721</v>
      </c>
      <c r="AP315" t="s">
        <v>67</v>
      </c>
      <c r="AQ315" t="s">
        <v>121</v>
      </c>
      <c r="AR315" t="s">
        <v>69</v>
      </c>
      <c r="AS315" s="79"/>
      <c r="AT315" s="82" t="s">
        <v>1722</v>
      </c>
      <c r="AU315" s="78">
        <v>2026</v>
      </c>
      <c r="AV315" s="78">
        <v>2</v>
      </c>
      <c r="AW315" s="78" t="s">
        <v>347</v>
      </c>
      <c r="AX315" s="78">
        <v>1</v>
      </c>
      <c r="AY315" s="78">
        <v>0</v>
      </c>
      <c r="BT315" s="3" t="s">
        <v>347</v>
      </c>
      <c r="BU315" s="3">
        <v>1</v>
      </c>
      <c r="BV315" s="3">
        <v>0</v>
      </c>
    </row>
    <row r="316" spans="1:74" ht="15" customHeight="1" x14ac:dyDescent="0.25">
      <c r="A316" s="75">
        <v>5805739</v>
      </c>
      <c r="B316" t="s">
        <v>1723</v>
      </c>
      <c r="C316" t="s">
        <v>1724</v>
      </c>
      <c r="D316" t="s">
        <v>527</v>
      </c>
      <c r="E316" t="s">
        <v>87</v>
      </c>
      <c r="F316" s="75">
        <v>64</v>
      </c>
      <c r="G316" s="75">
        <v>279955</v>
      </c>
      <c r="H316">
        <v>616.59</v>
      </c>
      <c r="I316" t="s">
        <v>266</v>
      </c>
      <c r="J316" s="75">
        <v>49495</v>
      </c>
      <c r="K316" t="s">
        <v>460</v>
      </c>
      <c r="L316" t="s">
        <v>461</v>
      </c>
      <c r="M316" s="81">
        <v>46052.805925925917</v>
      </c>
      <c r="N316" s="81">
        <v>46055.366655092592</v>
      </c>
      <c r="O316" t="s">
        <v>58</v>
      </c>
      <c r="P316" t="s">
        <v>59</v>
      </c>
      <c r="Q316" t="s">
        <v>90</v>
      </c>
      <c r="R316" t="s">
        <v>99</v>
      </c>
      <c r="S316" t="s">
        <v>1244</v>
      </c>
      <c r="U316" s="75">
        <v>183869</v>
      </c>
      <c r="V316" t="s">
        <v>1725</v>
      </c>
      <c r="W316" t="s">
        <v>1726</v>
      </c>
      <c r="X316" t="s">
        <v>62</v>
      </c>
      <c r="Y316" t="s">
        <v>63</v>
      </c>
      <c r="AA316" t="s">
        <v>81</v>
      </c>
      <c r="AB316">
        <v>61.416666999999997</v>
      </c>
      <c r="AC316">
        <v>60.466667000000001</v>
      </c>
      <c r="AD316">
        <v>0.95</v>
      </c>
      <c r="AE316">
        <v>0.85</v>
      </c>
      <c r="AF316">
        <v>0</v>
      </c>
      <c r="AG316">
        <v>0.1</v>
      </c>
      <c r="AH316">
        <v>0.1</v>
      </c>
      <c r="AI316">
        <v>0</v>
      </c>
      <c r="AJ316">
        <v>0.1</v>
      </c>
      <c r="AK316">
        <v>0</v>
      </c>
      <c r="AL316" s="76">
        <v>44747</v>
      </c>
      <c r="AM316" s="75">
        <v>1305</v>
      </c>
      <c r="AN316" t="s">
        <v>65</v>
      </c>
      <c r="AO316" t="s">
        <v>1727</v>
      </c>
      <c r="AP316" t="s">
        <v>67</v>
      </c>
      <c r="AQ316" t="s">
        <v>68</v>
      </c>
      <c r="AR316" t="s">
        <v>69</v>
      </c>
      <c r="AS316" s="78"/>
      <c r="AT316" s="82" t="s">
        <v>1722</v>
      </c>
      <c r="AU316" s="78">
        <v>2026</v>
      </c>
      <c r="AV316" s="78">
        <v>2</v>
      </c>
      <c r="AW316" s="78" t="s">
        <v>71</v>
      </c>
      <c r="AX316" s="78">
        <v>1</v>
      </c>
      <c r="AY316" s="78">
        <v>0</v>
      </c>
      <c r="BT316" s="2" t="s">
        <v>71</v>
      </c>
      <c r="BU316" s="2">
        <v>1</v>
      </c>
      <c r="BV316" s="2">
        <v>0</v>
      </c>
    </row>
    <row r="317" spans="1:74" ht="15" customHeight="1" x14ac:dyDescent="0.25">
      <c r="A317" s="75">
        <v>5806297</v>
      </c>
      <c r="B317" t="s">
        <v>1728</v>
      </c>
      <c r="C317" t="s">
        <v>1729</v>
      </c>
      <c r="D317" t="s">
        <v>1137</v>
      </c>
      <c r="E317" t="s">
        <v>54</v>
      </c>
      <c r="F317" s="75">
        <v>1</v>
      </c>
      <c r="G317" s="75">
        <v>252131</v>
      </c>
      <c r="H317">
        <v>0.01</v>
      </c>
      <c r="I317" t="s">
        <v>1405</v>
      </c>
      <c r="J317" s="75">
        <v>203737</v>
      </c>
      <c r="K317" t="s">
        <v>1730</v>
      </c>
      <c r="L317" t="s">
        <v>1731</v>
      </c>
      <c r="M317" s="81">
        <v>46053.365682870368</v>
      </c>
      <c r="N317" s="81">
        <v>46055.370185185187</v>
      </c>
      <c r="O317" t="s">
        <v>58</v>
      </c>
      <c r="P317" t="s">
        <v>59</v>
      </c>
      <c r="Q317" t="s">
        <v>130</v>
      </c>
      <c r="R317" t="s">
        <v>60</v>
      </c>
      <c r="S317" t="s">
        <v>583</v>
      </c>
      <c r="U317" s="75">
        <v>183549</v>
      </c>
      <c r="V317" t="s">
        <v>1732</v>
      </c>
      <c r="X317" t="s">
        <v>79</v>
      </c>
      <c r="Y317" t="s">
        <v>224</v>
      </c>
      <c r="AA317" t="s">
        <v>101</v>
      </c>
      <c r="AB317">
        <v>48.083334000000001</v>
      </c>
      <c r="AC317">
        <v>38.316667000000002</v>
      </c>
      <c r="AD317">
        <v>9.766667</v>
      </c>
      <c r="AE317">
        <v>0.05</v>
      </c>
      <c r="AF317">
        <v>0</v>
      </c>
      <c r="AG317">
        <v>9.7166669999999993</v>
      </c>
      <c r="AH317">
        <v>9.7166669999999993</v>
      </c>
      <c r="AI317">
        <v>9.5500000000000007</v>
      </c>
      <c r="AJ317">
        <v>0.16666700000000001</v>
      </c>
      <c r="AK317">
        <v>0</v>
      </c>
      <c r="AL317" s="76">
        <v>44725.699363425927</v>
      </c>
      <c r="AM317" s="75">
        <v>1327</v>
      </c>
      <c r="AN317" t="s">
        <v>65</v>
      </c>
      <c r="AO317" t="s">
        <v>1733</v>
      </c>
      <c r="AP317" t="s">
        <v>67</v>
      </c>
      <c r="AQ317" t="s">
        <v>83</v>
      </c>
      <c r="AR317" t="s">
        <v>69</v>
      </c>
      <c r="AS317" s="79"/>
      <c r="AT317" s="82" t="s">
        <v>1722</v>
      </c>
      <c r="AU317" s="78">
        <v>2026</v>
      </c>
      <c r="AV317" s="78">
        <v>2</v>
      </c>
      <c r="AW317" s="78" t="s">
        <v>226</v>
      </c>
      <c r="AX317" s="78">
        <v>0</v>
      </c>
      <c r="AY317" s="78">
        <v>0</v>
      </c>
      <c r="BT317" s="3" t="s">
        <v>226</v>
      </c>
      <c r="BU317" s="3">
        <v>0</v>
      </c>
      <c r="BV317" s="3">
        <v>0</v>
      </c>
    </row>
    <row r="318" spans="1:74" ht="15" customHeight="1" x14ac:dyDescent="0.25">
      <c r="A318" s="75">
        <v>5805255</v>
      </c>
      <c r="B318" t="s">
        <v>1734</v>
      </c>
      <c r="C318" t="s">
        <v>1735</v>
      </c>
      <c r="D318" t="s">
        <v>1137</v>
      </c>
      <c r="E318" t="s">
        <v>105</v>
      </c>
      <c r="F318" s="75">
        <v>19</v>
      </c>
      <c r="G318" s="75">
        <v>150751</v>
      </c>
      <c r="H318">
        <v>573</v>
      </c>
      <c r="I318" t="s">
        <v>368</v>
      </c>
      <c r="J318" s="75">
        <v>202053</v>
      </c>
      <c r="K318" t="s">
        <v>1394</v>
      </c>
      <c r="L318" t="s">
        <v>1395</v>
      </c>
      <c r="M318" s="81">
        <v>46052.642893518518</v>
      </c>
      <c r="N318" s="81">
        <v>46055.487233796302</v>
      </c>
      <c r="O318" t="s">
        <v>58</v>
      </c>
      <c r="P318" t="s">
        <v>59</v>
      </c>
      <c r="Q318" t="s">
        <v>77</v>
      </c>
      <c r="R318" t="s">
        <v>156</v>
      </c>
      <c r="S318" t="s">
        <v>1320</v>
      </c>
      <c r="U318" s="75">
        <v>183373</v>
      </c>
      <c r="V318" t="s">
        <v>1736</v>
      </c>
      <c r="W318" t="s">
        <v>1736</v>
      </c>
      <c r="X318" t="s">
        <v>79</v>
      </c>
      <c r="Y318" t="s">
        <v>224</v>
      </c>
      <c r="AA318" t="s">
        <v>81</v>
      </c>
      <c r="AB318">
        <v>68.216666000000004</v>
      </c>
      <c r="AC318">
        <v>67.283332999999999</v>
      </c>
      <c r="AD318">
        <v>0.93333299999999997</v>
      </c>
      <c r="AE318">
        <v>0.183333</v>
      </c>
      <c r="AF318">
        <v>0</v>
      </c>
      <c r="AG318">
        <v>0.75</v>
      </c>
      <c r="AH318">
        <v>0.75</v>
      </c>
      <c r="AI318">
        <v>0.63333300000000003</v>
      </c>
      <c r="AJ318">
        <v>0.11666700000000001</v>
      </c>
      <c r="AK318">
        <v>0</v>
      </c>
      <c r="AL318" s="76">
        <v>43959.471458333333</v>
      </c>
      <c r="AM318" s="75">
        <v>2093</v>
      </c>
      <c r="AN318" t="s">
        <v>65</v>
      </c>
      <c r="AO318" t="s">
        <v>1737</v>
      </c>
      <c r="AP318" t="s">
        <v>67</v>
      </c>
      <c r="AQ318" t="s">
        <v>83</v>
      </c>
      <c r="AR318" t="s">
        <v>69</v>
      </c>
      <c r="AS318" s="78"/>
      <c r="AT318" s="82" t="s">
        <v>1722</v>
      </c>
      <c r="AU318" s="78">
        <v>2026</v>
      </c>
      <c r="AV318" s="78">
        <v>2</v>
      </c>
      <c r="AW318" s="78" t="s">
        <v>226</v>
      </c>
      <c r="AX318" s="78">
        <v>1</v>
      </c>
      <c r="AY318" s="78">
        <v>0</v>
      </c>
      <c r="BT318" s="2" t="s">
        <v>226</v>
      </c>
      <c r="BU318" s="2">
        <v>1</v>
      </c>
      <c r="BV318" s="2">
        <v>0</v>
      </c>
    </row>
    <row r="319" spans="1:74" ht="15" customHeight="1" x14ac:dyDescent="0.25">
      <c r="A319" s="75">
        <v>5804889</v>
      </c>
      <c r="B319" t="s">
        <v>1738</v>
      </c>
      <c r="C319" t="s">
        <v>1739</v>
      </c>
      <c r="D319" t="s">
        <v>150</v>
      </c>
      <c r="E319" t="s">
        <v>87</v>
      </c>
      <c r="F319" s="75">
        <v>631</v>
      </c>
      <c r="G319" s="75">
        <v>350875</v>
      </c>
      <c r="H319">
        <v>398.82</v>
      </c>
      <c r="I319" t="s">
        <v>175</v>
      </c>
      <c r="J319" s="75">
        <v>216233</v>
      </c>
      <c r="K319" t="s">
        <v>88</v>
      </c>
      <c r="L319" t="s">
        <v>89</v>
      </c>
      <c r="M319" s="81">
        <v>46052.549247685187</v>
      </c>
      <c r="N319" s="81">
        <v>46055.503437500003</v>
      </c>
      <c r="O319" t="s">
        <v>58</v>
      </c>
      <c r="P319" t="s">
        <v>59</v>
      </c>
      <c r="Q319" t="s">
        <v>90</v>
      </c>
      <c r="R319" t="s">
        <v>131</v>
      </c>
      <c r="S319" t="s">
        <v>1316</v>
      </c>
      <c r="U319" s="75">
        <v>183857</v>
      </c>
      <c r="V319" t="s">
        <v>1740</v>
      </c>
      <c r="W319" t="s">
        <v>1741</v>
      </c>
      <c r="X319" t="s">
        <v>62</v>
      </c>
      <c r="Y319" t="s">
        <v>63</v>
      </c>
      <c r="AA319" t="s">
        <v>64</v>
      </c>
      <c r="AB319">
        <v>70.833332999999996</v>
      </c>
      <c r="AC319">
        <v>65.900000000000006</v>
      </c>
      <c r="AD319">
        <v>4.9333330000000002</v>
      </c>
      <c r="AE319">
        <v>0.3</v>
      </c>
      <c r="AF319">
        <v>0</v>
      </c>
      <c r="AG319">
        <v>4.6333330000000004</v>
      </c>
      <c r="AH319">
        <v>4.6333330000000004</v>
      </c>
      <c r="AI319">
        <v>4.3499999999999996</v>
      </c>
      <c r="AJ319">
        <v>0.283333</v>
      </c>
      <c r="AK319">
        <v>0</v>
      </c>
      <c r="AL319" s="76">
        <v>46051.496701388889</v>
      </c>
      <c r="AM319" s="75">
        <v>1</v>
      </c>
      <c r="AN319" t="s">
        <v>1220</v>
      </c>
      <c r="AO319" t="s">
        <v>1742</v>
      </c>
      <c r="AP319" t="s">
        <v>67</v>
      </c>
      <c r="AQ319" t="s">
        <v>68</v>
      </c>
      <c r="AR319" t="s">
        <v>69</v>
      </c>
      <c r="AS319" s="79"/>
      <c r="AT319" s="82" t="s">
        <v>1722</v>
      </c>
      <c r="AU319" s="78">
        <v>2026</v>
      </c>
      <c r="AV319" s="78">
        <v>2</v>
      </c>
      <c r="AW319" s="78" t="s">
        <v>71</v>
      </c>
      <c r="AX319" s="78">
        <v>1</v>
      </c>
      <c r="AY319" s="78">
        <v>0</v>
      </c>
      <c r="BT319" s="3" t="s">
        <v>71</v>
      </c>
      <c r="BU319" s="3">
        <v>1</v>
      </c>
      <c r="BV319" s="3">
        <v>0</v>
      </c>
    </row>
    <row r="320" spans="1:74" ht="15" customHeight="1" x14ac:dyDescent="0.25">
      <c r="A320" s="75">
        <v>5801117</v>
      </c>
      <c r="B320" t="s">
        <v>1743</v>
      </c>
      <c r="C320" t="s">
        <v>1744</v>
      </c>
      <c r="D320" t="s">
        <v>956</v>
      </c>
      <c r="E320" t="s">
        <v>54</v>
      </c>
      <c r="F320" s="75">
        <v>799</v>
      </c>
      <c r="G320" s="75">
        <v>255419</v>
      </c>
      <c r="H320">
        <v>1078.49</v>
      </c>
      <c r="I320" t="s">
        <v>114</v>
      </c>
      <c r="J320" s="75">
        <v>41827</v>
      </c>
      <c r="K320" t="s">
        <v>1745</v>
      </c>
      <c r="L320" t="s">
        <v>1746</v>
      </c>
      <c r="M320" s="81">
        <v>46050.632534722223</v>
      </c>
      <c r="N320" s="81">
        <v>46055.509317129632</v>
      </c>
      <c r="O320" t="s">
        <v>58</v>
      </c>
      <c r="P320" t="s">
        <v>59</v>
      </c>
      <c r="Q320" t="s">
        <v>90</v>
      </c>
      <c r="R320" t="s">
        <v>156</v>
      </c>
      <c r="S320" t="s">
        <v>1682</v>
      </c>
      <c r="U320" s="75">
        <v>183849</v>
      </c>
      <c r="V320" t="s">
        <v>1747</v>
      </c>
      <c r="W320" t="s">
        <v>1748</v>
      </c>
      <c r="X320" t="s">
        <v>62</v>
      </c>
      <c r="Y320" t="s">
        <v>63</v>
      </c>
      <c r="AA320" t="s">
        <v>295</v>
      </c>
      <c r="AB320">
        <v>116.833333</v>
      </c>
      <c r="AC320">
        <v>74.133332999999993</v>
      </c>
      <c r="AD320">
        <v>42.7</v>
      </c>
      <c r="AE320">
        <v>0.2</v>
      </c>
      <c r="AF320">
        <v>0</v>
      </c>
      <c r="AG320">
        <v>42.5</v>
      </c>
      <c r="AH320">
        <v>42.5</v>
      </c>
      <c r="AI320">
        <v>40.816665999999998</v>
      </c>
      <c r="AJ320">
        <v>1.6833340000000001</v>
      </c>
      <c r="AK320">
        <v>0</v>
      </c>
      <c r="AL320" s="76">
        <v>45210.585509259261</v>
      </c>
      <c r="AM320" s="75">
        <v>840</v>
      </c>
      <c r="AN320" t="s">
        <v>65</v>
      </c>
      <c r="AO320" t="s">
        <v>1749</v>
      </c>
      <c r="AP320" t="s">
        <v>67</v>
      </c>
      <c r="AQ320" t="s">
        <v>68</v>
      </c>
      <c r="AR320" t="s">
        <v>69</v>
      </c>
      <c r="AS320" s="78"/>
      <c r="AT320" s="82" t="s">
        <v>1722</v>
      </c>
      <c r="AU320" s="78">
        <v>2026</v>
      </c>
      <c r="AV320" s="78">
        <v>2</v>
      </c>
      <c r="AW320" s="78" t="s">
        <v>71</v>
      </c>
      <c r="AX320" s="78">
        <v>0</v>
      </c>
      <c r="AY320" s="78">
        <v>1</v>
      </c>
      <c r="BT320" s="2" t="s">
        <v>71</v>
      </c>
      <c r="BU320" s="2">
        <v>0</v>
      </c>
      <c r="BV320" s="2">
        <v>1</v>
      </c>
    </row>
    <row r="321" spans="1:74" ht="15" customHeight="1" x14ac:dyDescent="0.25">
      <c r="A321" s="75">
        <v>5807105</v>
      </c>
      <c r="B321" t="s">
        <v>1750</v>
      </c>
      <c r="C321" t="s">
        <v>1751</v>
      </c>
      <c r="D321" t="s">
        <v>527</v>
      </c>
      <c r="E321" t="s">
        <v>105</v>
      </c>
      <c r="F321" s="75">
        <v>1050</v>
      </c>
      <c r="G321" s="75">
        <v>332215</v>
      </c>
      <c r="H321">
        <v>525</v>
      </c>
      <c r="I321" t="s">
        <v>175</v>
      </c>
      <c r="J321" s="75">
        <v>83605</v>
      </c>
      <c r="K321" t="s">
        <v>844</v>
      </c>
      <c r="L321" t="s">
        <v>845</v>
      </c>
      <c r="M321" s="81">
        <v>46053.771493055552</v>
      </c>
      <c r="N321" s="81">
        <v>46055.542881944442</v>
      </c>
      <c r="O321" t="s">
        <v>58</v>
      </c>
      <c r="P321" t="s">
        <v>59</v>
      </c>
      <c r="Q321" t="s">
        <v>90</v>
      </c>
      <c r="R321" t="s">
        <v>60</v>
      </c>
      <c r="S321" t="s">
        <v>583</v>
      </c>
      <c r="U321" s="75">
        <v>183853</v>
      </c>
      <c r="V321" t="s">
        <v>1752</v>
      </c>
      <c r="W321" t="s">
        <v>1753</v>
      </c>
      <c r="X321" t="s">
        <v>62</v>
      </c>
      <c r="Y321" t="s">
        <v>63</v>
      </c>
      <c r="AA321" t="s">
        <v>295</v>
      </c>
      <c r="AB321">
        <v>42.449998999999998</v>
      </c>
      <c r="AC321">
        <v>10.333333</v>
      </c>
      <c r="AD321">
        <v>32.116666000000002</v>
      </c>
      <c r="AE321">
        <v>3</v>
      </c>
      <c r="AF321">
        <v>0</v>
      </c>
      <c r="AG321">
        <v>29.116665999999999</v>
      </c>
      <c r="AH321">
        <v>29.116665999999999</v>
      </c>
      <c r="AI321">
        <v>28.1</v>
      </c>
      <c r="AJ321">
        <v>1.0166660000000001</v>
      </c>
      <c r="AK321">
        <v>0</v>
      </c>
      <c r="AL321" s="76">
        <v>45777.749374999999</v>
      </c>
      <c r="AM321" s="75">
        <v>276</v>
      </c>
      <c r="AN321" t="s">
        <v>65</v>
      </c>
      <c r="AO321" t="s">
        <v>1754</v>
      </c>
      <c r="AP321" t="s">
        <v>67</v>
      </c>
      <c r="AQ321" t="s">
        <v>68</v>
      </c>
      <c r="AR321" t="s">
        <v>69</v>
      </c>
      <c r="AS321" s="79"/>
      <c r="AT321" s="82" t="s">
        <v>1722</v>
      </c>
      <c r="AU321" s="78">
        <v>2026</v>
      </c>
      <c r="AV321" s="78">
        <v>2</v>
      </c>
      <c r="AW321" s="78" t="s">
        <v>71</v>
      </c>
      <c r="AX321" s="78">
        <v>0</v>
      </c>
      <c r="AY321" s="78">
        <v>1</v>
      </c>
      <c r="BT321" s="3" t="s">
        <v>71</v>
      </c>
      <c r="BU321" s="3">
        <v>0</v>
      </c>
      <c r="BV321" s="3">
        <v>1</v>
      </c>
    </row>
    <row r="322" spans="1:74" ht="15" customHeight="1" x14ac:dyDescent="0.25">
      <c r="A322" s="75">
        <v>5805191</v>
      </c>
      <c r="B322" t="s">
        <v>1755</v>
      </c>
      <c r="C322" t="s">
        <v>1756</v>
      </c>
      <c r="D322" t="s">
        <v>527</v>
      </c>
      <c r="E322" t="s">
        <v>126</v>
      </c>
      <c r="F322" s="75">
        <v>11</v>
      </c>
      <c r="G322" s="75">
        <v>301625</v>
      </c>
      <c r="H322">
        <v>1800</v>
      </c>
      <c r="I322" t="s">
        <v>114</v>
      </c>
      <c r="J322" s="75">
        <v>19489</v>
      </c>
      <c r="K322" t="s">
        <v>935</v>
      </c>
      <c r="L322" t="s">
        <v>936</v>
      </c>
      <c r="M322" s="81">
        <v>46052.618611111109</v>
      </c>
      <c r="N322" s="81">
        <v>46055.548726851863</v>
      </c>
      <c r="O322" t="s">
        <v>58</v>
      </c>
      <c r="P322" t="s">
        <v>59</v>
      </c>
      <c r="Q322" t="s">
        <v>90</v>
      </c>
      <c r="R322" t="s">
        <v>60</v>
      </c>
      <c r="S322" t="s">
        <v>1757</v>
      </c>
      <c r="U322" s="75">
        <v>184385</v>
      </c>
      <c r="V322" t="s">
        <v>1758</v>
      </c>
      <c r="W322" t="s">
        <v>1759</v>
      </c>
      <c r="X322" t="s">
        <v>62</v>
      </c>
      <c r="Y322" t="s">
        <v>271</v>
      </c>
      <c r="AA322" t="s">
        <v>416</v>
      </c>
      <c r="AB322">
        <v>70.216667000000001</v>
      </c>
      <c r="AC322">
        <v>50.95</v>
      </c>
      <c r="AD322">
        <v>19.266667000000002</v>
      </c>
      <c r="AE322">
        <v>0.35</v>
      </c>
      <c r="AF322">
        <v>0</v>
      </c>
      <c r="AG322">
        <v>18.916667</v>
      </c>
      <c r="AH322">
        <v>18.916667</v>
      </c>
      <c r="AI322">
        <v>17.033334</v>
      </c>
      <c r="AJ322">
        <v>1.8833329999999999</v>
      </c>
      <c r="AK322">
        <v>0</v>
      </c>
      <c r="AL322" s="76">
        <v>45443</v>
      </c>
      <c r="AM322" s="75">
        <v>609</v>
      </c>
      <c r="AN322" t="s">
        <v>65</v>
      </c>
      <c r="AO322" t="s">
        <v>1760</v>
      </c>
      <c r="AP322" t="s">
        <v>67</v>
      </c>
      <c r="AQ322" t="s">
        <v>68</v>
      </c>
      <c r="AR322" t="s">
        <v>69</v>
      </c>
      <c r="AS322" s="78"/>
      <c r="AT322" s="82" t="s">
        <v>1722</v>
      </c>
      <c r="AU322" s="78">
        <v>2026</v>
      </c>
      <c r="AV322" s="78">
        <v>2</v>
      </c>
      <c r="AW322" s="78" t="s">
        <v>137</v>
      </c>
      <c r="AX322" s="78">
        <v>0</v>
      </c>
      <c r="AY322" s="78">
        <v>0</v>
      </c>
      <c r="BT322" s="2" t="s">
        <v>137</v>
      </c>
      <c r="BU322" s="2">
        <v>0</v>
      </c>
      <c r="BV322" s="2">
        <v>0</v>
      </c>
    </row>
    <row r="323" spans="1:74" ht="15" customHeight="1" x14ac:dyDescent="0.25">
      <c r="A323" s="75">
        <v>5799945</v>
      </c>
      <c r="B323" t="s">
        <v>1761</v>
      </c>
      <c r="C323" t="s">
        <v>1762</v>
      </c>
      <c r="D323" t="s">
        <v>527</v>
      </c>
      <c r="E323" t="s">
        <v>87</v>
      </c>
      <c r="F323" s="75">
        <v>680</v>
      </c>
      <c r="G323" s="75">
        <v>286933</v>
      </c>
      <c r="H323">
        <v>1276.26</v>
      </c>
      <c r="I323" t="s">
        <v>114</v>
      </c>
      <c r="J323" s="75">
        <v>19917</v>
      </c>
      <c r="K323" t="s">
        <v>1325</v>
      </c>
      <c r="L323" t="s">
        <v>1326</v>
      </c>
      <c r="M323" s="81">
        <v>46050.427905092591</v>
      </c>
      <c r="N323" s="81">
        <v>46055.550497685188</v>
      </c>
      <c r="O323" t="s">
        <v>58</v>
      </c>
      <c r="P323" t="s">
        <v>59</v>
      </c>
      <c r="Q323" t="s">
        <v>130</v>
      </c>
      <c r="R323" t="s">
        <v>131</v>
      </c>
      <c r="S323" t="s">
        <v>1316</v>
      </c>
      <c r="U323" s="75">
        <v>183879</v>
      </c>
      <c r="V323" t="s">
        <v>1763</v>
      </c>
      <c r="W323" t="s">
        <v>1764</v>
      </c>
      <c r="X323" t="s">
        <v>79</v>
      </c>
      <c r="Y323" t="s">
        <v>224</v>
      </c>
      <c r="AA323" t="s">
        <v>64</v>
      </c>
      <c r="AB323">
        <v>122.85000100000001</v>
      </c>
      <c r="AC323">
        <v>117.966667</v>
      </c>
      <c r="AD323">
        <v>4.8833339999999996</v>
      </c>
      <c r="AE323">
        <v>0.76666699999999999</v>
      </c>
      <c r="AF323">
        <v>0</v>
      </c>
      <c r="AG323">
        <v>4.1166669999999996</v>
      </c>
      <c r="AH323">
        <v>4.1166669999999996</v>
      </c>
      <c r="AI323">
        <v>2.95</v>
      </c>
      <c r="AJ323">
        <v>1.1666669999999999</v>
      </c>
      <c r="AK323">
        <v>0</v>
      </c>
      <c r="AL323" s="76">
        <v>44908.747430555559</v>
      </c>
      <c r="AM323" s="75">
        <v>1141</v>
      </c>
      <c r="AN323" t="s">
        <v>65</v>
      </c>
      <c r="AO323" t="s">
        <v>1328</v>
      </c>
      <c r="AP323" t="s">
        <v>67</v>
      </c>
      <c r="AQ323" t="s">
        <v>83</v>
      </c>
      <c r="AR323" t="s">
        <v>69</v>
      </c>
      <c r="AS323" s="79"/>
      <c r="AT323" s="82" t="s">
        <v>1722</v>
      </c>
      <c r="AU323" s="78">
        <v>2026</v>
      </c>
      <c r="AV323" s="78">
        <v>2</v>
      </c>
      <c r="AW323" s="78" t="s">
        <v>226</v>
      </c>
      <c r="AX323" s="78">
        <v>1</v>
      </c>
      <c r="AY323" s="78">
        <v>0</v>
      </c>
      <c r="BT323" s="3" t="s">
        <v>226</v>
      </c>
      <c r="BU323" s="3">
        <v>1</v>
      </c>
      <c r="BV323" s="3">
        <v>0</v>
      </c>
    </row>
    <row r="324" spans="1:74" ht="15" customHeight="1" x14ac:dyDescent="0.25">
      <c r="A324" s="75">
        <v>5806675</v>
      </c>
      <c r="B324" t="s">
        <v>1765</v>
      </c>
      <c r="C324" t="s">
        <v>1766</v>
      </c>
      <c r="D324" t="s">
        <v>956</v>
      </c>
      <c r="E324" t="s">
        <v>87</v>
      </c>
      <c r="F324" s="75">
        <v>3</v>
      </c>
      <c r="G324" s="75">
        <v>279833</v>
      </c>
      <c r="H324">
        <v>114956.21</v>
      </c>
      <c r="I324" t="s">
        <v>242</v>
      </c>
      <c r="J324" s="75">
        <v>49495</v>
      </c>
      <c r="K324" t="s">
        <v>460</v>
      </c>
      <c r="L324" t="s">
        <v>461</v>
      </c>
      <c r="M324" s="81">
        <v>46053.514490740738</v>
      </c>
      <c r="N324" s="81">
        <v>46055.60229166667</v>
      </c>
      <c r="O324" t="s">
        <v>58</v>
      </c>
      <c r="P324" t="s">
        <v>59</v>
      </c>
      <c r="Q324" t="s">
        <v>90</v>
      </c>
      <c r="R324" t="s">
        <v>99</v>
      </c>
      <c r="S324" t="s">
        <v>1244</v>
      </c>
      <c r="U324" s="75">
        <v>183865</v>
      </c>
      <c r="V324" t="s">
        <v>1767</v>
      </c>
      <c r="W324" t="s">
        <v>1768</v>
      </c>
      <c r="X324" t="s">
        <v>62</v>
      </c>
      <c r="Y324" t="s">
        <v>63</v>
      </c>
      <c r="AA324" t="s">
        <v>81</v>
      </c>
      <c r="AB324">
        <v>50.05</v>
      </c>
      <c r="AC324">
        <v>44.383333</v>
      </c>
      <c r="AD324">
        <v>5.6666670000000003</v>
      </c>
      <c r="AE324">
        <v>2.266667</v>
      </c>
      <c r="AF324">
        <v>0</v>
      </c>
      <c r="AG324">
        <v>3.4</v>
      </c>
      <c r="AH324">
        <v>3.4</v>
      </c>
      <c r="AI324">
        <v>3.0833330000000001</v>
      </c>
      <c r="AJ324">
        <v>0.31666699999999998</v>
      </c>
      <c r="AK324">
        <v>0</v>
      </c>
      <c r="AL324" s="76">
        <v>44614</v>
      </c>
      <c r="AM324" s="75">
        <v>1439</v>
      </c>
      <c r="AN324" t="s">
        <v>65</v>
      </c>
      <c r="AO324" t="s">
        <v>1769</v>
      </c>
      <c r="AP324" t="s">
        <v>67</v>
      </c>
      <c r="AQ324" t="s">
        <v>68</v>
      </c>
      <c r="AR324" t="s">
        <v>69</v>
      </c>
      <c r="AS324" s="78"/>
      <c r="AT324" s="82" t="s">
        <v>1722</v>
      </c>
      <c r="AU324" s="78">
        <v>2026</v>
      </c>
      <c r="AV324" s="78">
        <v>2</v>
      </c>
      <c r="AW324" s="78" t="s">
        <v>71</v>
      </c>
      <c r="AX324" s="78">
        <v>1</v>
      </c>
      <c r="AY324" s="78">
        <v>0</v>
      </c>
      <c r="BT324" s="2" t="s">
        <v>71</v>
      </c>
      <c r="BU324" s="2">
        <v>1</v>
      </c>
      <c r="BV324" s="2">
        <v>0</v>
      </c>
    </row>
    <row r="325" spans="1:74" ht="15" customHeight="1" x14ac:dyDescent="0.25">
      <c r="A325" s="75">
        <v>5807033</v>
      </c>
      <c r="B325" t="s">
        <v>1770</v>
      </c>
      <c r="C325" t="s">
        <v>1771</v>
      </c>
      <c r="D325" t="s">
        <v>265</v>
      </c>
      <c r="E325" t="s">
        <v>105</v>
      </c>
      <c r="F325" s="75">
        <v>608</v>
      </c>
      <c r="G325" s="75">
        <v>342863</v>
      </c>
      <c r="H325">
        <v>225</v>
      </c>
      <c r="I325" t="s">
        <v>163</v>
      </c>
      <c r="J325" s="75">
        <v>48887</v>
      </c>
      <c r="K325" t="s">
        <v>164</v>
      </c>
      <c r="L325" t="s">
        <v>165</v>
      </c>
      <c r="M325" s="81">
        <v>46053.734178240738</v>
      </c>
      <c r="N325" s="81">
        <v>46055.607164351852</v>
      </c>
      <c r="O325" t="s">
        <v>554</v>
      </c>
      <c r="P325" t="s">
        <v>59</v>
      </c>
      <c r="Q325" t="s">
        <v>77</v>
      </c>
      <c r="R325" t="s">
        <v>99</v>
      </c>
      <c r="S325" t="s">
        <v>1244</v>
      </c>
      <c r="U325" s="75">
        <v>184435</v>
      </c>
      <c r="V325" t="s">
        <v>1772</v>
      </c>
      <c r="W325" t="s">
        <v>1772</v>
      </c>
      <c r="X325" t="s">
        <v>62</v>
      </c>
      <c r="Y325" t="s">
        <v>824</v>
      </c>
      <c r="AA325" t="s">
        <v>81</v>
      </c>
      <c r="AB325">
        <v>44.899999000000001</v>
      </c>
      <c r="AC325">
        <v>0</v>
      </c>
      <c r="AD325">
        <v>44.899999000000001</v>
      </c>
      <c r="AE325">
        <v>42.133333</v>
      </c>
      <c r="AF325">
        <v>0</v>
      </c>
      <c r="AG325">
        <v>2.7666659999999998</v>
      </c>
      <c r="AI325">
        <v>2.733333</v>
      </c>
      <c r="AJ325">
        <v>3.3333000000000002E-2</v>
      </c>
      <c r="AK325">
        <v>0</v>
      </c>
      <c r="AL325" s="76">
        <v>45866</v>
      </c>
      <c r="AM325" s="75">
        <v>187</v>
      </c>
      <c r="AN325" t="s">
        <v>65</v>
      </c>
      <c r="AO325" t="s">
        <v>825</v>
      </c>
      <c r="AP325" t="s">
        <v>67</v>
      </c>
      <c r="AQ325" t="s">
        <v>68</v>
      </c>
      <c r="AR325" t="s">
        <v>69</v>
      </c>
      <c r="AS325" s="79"/>
      <c r="AT325" s="82" t="s">
        <v>1722</v>
      </c>
      <c r="AU325" s="78">
        <v>2026</v>
      </c>
      <c r="AV325" s="78">
        <v>2</v>
      </c>
      <c r="AW325" s="78" t="s">
        <v>137</v>
      </c>
      <c r="AX325" s="78">
        <v>1</v>
      </c>
      <c r="AY325" s="78">
        <v>0</v>
      </c>
      <c r="BT325" s="3" t="s">
        <v>137</v>
      </c>
      <c r="BU325" s="3">
        <v>1</v>
      </c>
      <c r="BV325" s="3">
        <v>0</v>
      </c>
    </row>
    <row r="326" spans="1:74" ht="15" customHeight="1" x14ac:dyDescent="0.25">
      <c r="A326" s="75">
        <v>5806241</v>
      </c>
      <c r="B326" t="s">
        <v>1773</v>
      </c>
      <c r="C326" t="s">
        <v>1774</v>
      </c>
      <c r="D326" t="s">
        <v>1555</v>
      </c>
      <c r="E326" t="s">
        <v>54</v>
      </c>
      <c r="F326" s="75">
        <v>2</v>
      </c>
      <c r="G326" s="75">
        <v>113733</v>
      </c>
      <c r="H326">
        <v>0</v>
      </c>
      <c r="I326" t="s">
        <v>1405</v>
      </c>
      <c r="J326" s="75">
        <v>94921</v>
      </c>
      <c r="K326" t="s">
        <v>1775</v>
      </c>
      <c r="L326" t="s">
        <v>1776</v>
      </c>
      <c r="M326" s="81">
        <v>46053.30846064815</v>
      </c>
      <c r="N326" s="81">
        <v>46055.618402777778</v>
      </c>
      <c r="O326" t="s">
        <v>58</v>
      </c>
      <c r="P326" t="s">
        <v>59</v>
      </c>
      <c r="Q326" t="s">
        <v>341</v>
      </c>
      <c r="R326" t="s">
        <v>60</v>
      </c>
      <c r="S326" t="s">
        <v>583</v>
      </c>
      <c r="T326" t="s">
        <v>970</v>
      </c>
      <c r="U326" s="75">
        <v>183563</v>
      </c>
      <c r="V326" t="s">
        <v>1777</v>
      </c>
      <c r="X326" t="s">
        <v>79</v>
      </c>
      <c r="Y326" t="s">
        <v>224</v>
      </c>
      <c r="AA326" t="s">
        <v>416</v>
      </c>
      <c r="AB326">
        <v>55.399999000000001</v>
      </c>
      <c r="AC326">
        <v>42.233333000000002</v>
      </c>
      <c r="AD326">
        <v>13.166665999999999</v>
      </c>
      <c r="AE326">
        <v>0.93333299999999997</v>
      </c>
      <c r="AF326">
        <v>0</v>
      </c>
      <c r="AG326">
        <v>12.233333</v>
      </c>
      <c r="AH326">
        <v>12.233333</v>
      </c>
      <c r="AI326">
        <v>12.2</v>
      </c>
      <c r="AJ326">
        <v>3.3333000000000002E-2</v>
      </c>
      <c r="AK326">
        <v>0</v>
      </c>
      <c r="AL326" s="76">
        <v>43558.600914351853</v>
      </c>
      <c r="AM326" s="75">
        <v>2494</v>
      </c>
      <c r="AN326" t="s">
        <v>65</v>
      </c>
      <c r="AO326" t="s">
        <v>1778</v>
      </c>
      <c r="AP326" t="s">
        <v>67</v>
      </c>
      <c r="AQ326" t="s">
        <v>83</v>
      </c>
      <c r="AR326" t="s">
        <v>69</v>
      </c>
      <c r="AS326" s="78"/>
      <c r="AT326" s="82" t="s">
        <v>1722</v>
      </c>
      <c r="AU326" s="78">
        <v>2026</v>
      </c>
      <c r="AV326" s="78">
        <v>2</v>
      </c>
      <c r="AW326" s="78" t="s">
        <v>226</v>
      </c>
      <c r="AX326" s="78">
        <v>0</v>
      </c>
      <c r="AY326" s="78">
        <v>0</v>
      </c>
      <c r="BT326" s="2" t="s">
        <v>226</v>
      </c>
      <c r="BU326" s="2">
        <v>0</v>
      </c>
      <c r="BV326" s="2">
        <v>0</v>
      </c>
    </row>
    <row r="327" spans="1:74" ht="15" customHeight="1" x14ac:dyDescent="0.25">
      <c r="A327" s="75">
        <v>5800205</v>
      </c>
      <c r="B327" t="s">
        <v>1779</v>
      </c>
      <c r="C327" t="s">
        <v>1780</v>
      </c>
      <c r="D327" t="s">
        <v>1137</v>
      </c>
      <c r="E327" t="s">
        <v>87</v>
      </c>
      <c r="F327" s="75">
        <v>101</v>
      </c>
      <c r="G327" s="75">
        <v>289759</v>
      </c>
      <c r="H327">
        <v>490</v>
      </c>
      <c r="I327" t="s">
        <v>55</v>
      </c>
      <c r="J327" s="75">
        <v>149307</v>
      </c>
      <c r="K327" t="s">
        <v>350</v>
      </c>
      <c r="L327" t="s">
        <v>351</v>
      </c>
      <c r="M327" s="81">
        <v>46050.472569444442</v>
      </c>
      <c r="N327" s="81">
        <v>46056.381354166668</v>
      </c>
      <c r="O327" t="s">
        <v>58</v>
      </c>
      <c r="P327" t="s">
        <v>59</v>
      </c>
      <c r="Q327" t="s">
        <v>90</v>
      </c>
      <c r="R327" t="s">
        <v>60</v>
      </c>
      <c r="S327" t="s">
        <v>583</v>
      </c>
      <c r="T327" t="s">
        <v>1781</v>
      </c>
      <c r="U327" s="75">
        <v>183875</v>
      </c>
      <c r="V327" t="s">
        <v>1782</v>
      </c>
      <c r="W327" t="s">
        <v>1783</v>
      </c>
      <c r="X327" t="s">
        <v>62</v>
      </c>
      <c r="Y327" t="s">
        <v>1784</v>
      </c>
      <c r="AA327" t="s">
        <v>416</v>
      </c>
      <c r="AB327">
        <v>141.63333299999999</v>
      </c>
      <c r="AC327">
        <v>115.816667</v>
      </c>
      <c r="AD327">
        <v>25.816666000000001</v>
      </c>
      <c r="AE327">
        <v>3.85</v>
      </c>
      <c r="AF327">
        <v>0</v>
      </c>
      <c r="AG327">
        <v>21.966666</v>
      </c>
      <c r="AH327">
        <v>21.966666</v>
      </c>
      <c r="AI327">
        <v>18.133333</v>
      </c>
      <c r="AJ327">
        <v>3.8333330000000001</v>
      </c>
      <c r="AK327">
        <v>0</v>
      </c>
      <c r="AL327" s="76">
        <v>45035.471516203703</v>
      </c>
      <c r="AM327" s="75">
        <v>1015</v>
      </c>
      <c r="AN327" t="s">
        <v>65</v>
      </c>
      <c r="AO327" t="s">
        <v>1785</v>
      </c>
      <c r="AP327" t="s">
        <v>67</v>
      </c>
      <c r="AQ327" t="s">
        <v>68</v>
      </c>
      <c r="AR327" t="s">
        <v>69</v>
      </c>
      <c r="AS327" s="79"/>
      <c r="AT327" s="82" t="s">
        <v>1722</v>
      </c>
      <c r="AU327" s="78">
        <v>2026</v>
      </c>
      <c r="AV327" s="78">
        <v>2</v>
      </c>
      <c r="AW327" s="78" t="s">
        <v>137</v>
      </c>
      <c r="AX327" s="78">
        <v>0</v>
      </c>
      <c r="AY327" s="78">
        <v>0</v>
      </c>
      <c r="BT327" s="3" t="s">
        <v>137</v>
      </c>
      <c r="BU327" s="3">
        <v>0</v>
      </c>
      <c r="BV327" s="3">
        <v>0</v>
      </c>
    </row>
    <row r="328" spans="1:74" ht="15" customHeight="1" x14ac:dyDescent="0.25">
      <c r="A328" s="75">
        <v>5802293</v>
      </c>
      <c r="B328" t="s">
        <v>1786</v>
      </c>
      <c r="C328" t="s">
        <v>1787</v>
      </c>
      <c r="D328" t="s">
        <v>1137</v>
      </c>
      <c r="E328" t="s">
        <v>54</v>
      </c>
      <c r="F328" s="75">
        <v>1</v>
      </c>
      <c r="G328" s="75">
        <v>302025</v>
      </c>
      <c r="H328">
        <v>600</v>
      </c>
      <c r="I328" t="s">
        <v>114</v>
      </c>
      <c r="J328" s="75">
        <v>217533</v>
      </c>
      <c r="K328" t="s">
        <v>1788</v>
      </c>
      <c r="L328" t="s">
        <v>1789</v>
      </c>
      <c r="M328" s="81">
        <v>46051.396365740737</v>
      </c>
      <c r="N328" s="81">
        <v>46056.394780092603</v>
      </c>
      <c r="O328" t="s">
        <v>58</v>
      </c>
      <c r="P328" t="s">
        <v>59</v>
      </c>
      <c r="Q328" t="s">
        <v>90</v>
      </c>
      <c r="R328" t="s">
        <v>60</v>
      </c>
      <c r="S328" t="s">
        <v>583</v>
      </c>
      <c r="U328" s="75">
        <v>182013</v>
      </c>
      <c r="V328" t="s">
        <v>1790</v>
      </c>
      <c r="W328" t="s">
        <v>1790</v>
      </c>
      <c r="X328" t="s">
        <v>79</v>
      </c>
      <c r="Y328" t="s">
        <v>224</v>
      </c>
      <c r="AA328" t="s">
        <v>416</v>
      </c>
      <c r="AB328">
        <v>119.883332</v>
      </c>
      <c r="AC328">
        <v>107.41666600000001</v>
      </c>
      <c r="AD328">
        <v>12.466666</v>
      </c>
      <c r="AE328">
        <v>0.26666600000000001</v>
      </c>
      <c r="AF328">
        <v>0</v>
      </c>
      <c r="AG328">
        <v>12.2</v>
      </c>
      <c r="AH328">
        <v>12.2</v>
      </c>
      <c r="AI328">
        <v>12.066666</v>
      </c>
      <c r="AJ328">
        <v>0.13333400000000001</v>
      </c>
      <c r="AK328">
        <v>0</v>
      </c>
      <c r="AL328" s="76">
        <v>45412.044699074067</v>
      </c>
      <c r="AM328" s="75">
        <v>639</v>
      </c>
      <c r="AN328" t="s">
        <v>65</v>
      </c>
      <c r="AO328" t="s">
        <v>1791</v>
      </c>
      <c r="AP328" t="s">
        <v>67</v>
      </c>
      <c r="AQ328" t="s">
        <v>83</v>
      </c>
      <c r="AR328" t="s">
        <v>69</v>
      </c>
      <c r="AS328" s="78"/>
      <c r="AT328" s="82" t="s">
        <v>1722</v>
      </c>
      <c r="AU328" s="78">
        <v>2026</v>
      </c>
      <c r="AV328" s="78">
        <v>2</v>
      </c>
      <c r="AW328" s="78" t="s">
        <v>226</v>
      </c>
      <c r="AX328" s="78">
        <v>0</v>
      </c>
      <c r="AY328" s="78">
        <v>0</v>
      </c>
      <c r="BT328" s="2" t="s">
        <v>226</v>
      </c>
      <c r="BU328" s="2">
        <v>0</v>
      </c>
      <c r="BV328" s="2">
        <v>0</v>
      </c>
    </row>
    <row r="329" spans="1:74" ht="15" customHeight="1" x14ac:dyDescent="0.25">
      <c r="A329" s="75">
        <v>5810425</v>
      </c>
      <c r="B329" t="s">
        <v>1792</v>
      </c>
      <c r="C329" t="s">
        <v>1793</v>
      </c>
      <c r="D329" t="s">
        <v>527</v>
      </c>
      <c r="E329" t="s">
        <v>87</v>
      </c>
      <c r="F329" s="75">
        <v>2</v>
      </c>
      <c r="G329" s="75">
        <v>280781</v>
      </c>
      <c r="H329">
        <v>6464.5</v>
      </c>
      <c r="I329" t="s">
        <v>242</v>
      </c>
      <c r="J329" s="75">
        <v>209013</v>
      </c>
      <c r="K329" t="s">
        <v>243</v>
      </c>
      <c r="L329" t="s">
        <v>244</v>
      </c>
      <c r="M329" s="81">
        <v>46056.278067129628</v>
      </c>
      <c r="N329" s="81">
        <v>46056.39875</v>
      </c>
      <c r="O329" t="s">
        <v>58</v>
      </c>
      <c r="P329" t="s">
        <v>59</v>
      </c>
      <c r="Q329" t="s">
        <v>90</v>
      </c>
      <c r="R329" t="s">
        <v>144</v>
      </c>
      <c r="S329" t="s">
        <v>1794</v>
      </c>
      <c r="U329" s="75">
        <v>184845</v>
      </c>
      <c r="V329" t="s">
        <v>1795</v>
      </c>
      <c r="W329" t="s">
        <v>1795</v>
      </c>
      <c r="X329" t="s">
        <v>79</v>
      </c>
      <c r="Y329" t="s">
        <v>110</v>
      </c>
      <c r="AA329" t="s">
        <v>81</v>
      </c>
      <c r="AB329">
        <v>2.8333330000000001</v>
      </c>
      <c r="AC329">
        <v>0.93333299999999997</v>
      </c>
      <c r="AD329">
        <v>1.9</v>
      </c>
      <c r="AE329">
        <v>0.66666700000000001</v>
      </c>
      <c r="AF329">
        <v>0</v>
      </c>
      <c r="AG329">
        <v>1.233333</v>
      </c>
      <c r="AH329">
        <v>1.233333</v>
      </c>
      <c r="AI329">
        <v>1.0166660000000001</v>
      </c>
      <c r="AJ329">
        <v>0.216667</v>
      </c>
      <c r="AK329">
        <v>0</v>
      </c>
      <c r="AL329" s="76">
        <v>44834</v>
      </c>
      <c r="AM329" s="75">
        <v>1222</v>
      </c>
      <c r="AN329" t="s">
        <v>65</v>
      </c>
      <c r="AO329" t="s">
        <v>1796</v>
      </c>
      <c r="AP329" t="s">
        <v>67</v>
      </c>
      <c r="AQ329" t="s">
        <v>83</v>
      </c>
      <c r="AR329" t="s">
        <v>69</v>
      </c>
      <c r="AS329" s="79"/>
      <c r="AT329" s="82" t="s">
        <v>1722</v>
      </c>
      <c r="AU329" s="78">
        <v>2026</v>
      </c>
      <c r="AV329" s="78">
        <v>2</v>
      </c>
      <c r="AW329" s="78" t="s">
        <v>84</v>
      </c>
      <c r="AX329" s="78">
        <v>1</v>
      </c>
      <c r="AY329" s="78">
        <v>0</v>
      </c>
      <c r="BT329" s="3" t="s">
        <v>84</v>
      </c>
      <c r="BU329" s="3">
        <v>1</v>
      </c>
      <c r="BV329" s="3">
        <v>0</v>
      </c>
    </row>
    <row r="330" spans="1:74" ht="15" customHeight="1" x14ac:dyDescent="0.25">
      <c r="A330" s="75">
        <v>5809329</v>
      </c>
      <c r="B330" t="s">
        <v>1797</v>
      </c>
      <c r="C330" t="s">
        <v>1798</v>
      </c>
      <c r="D330" t="s">
        <v>150</v>
      </c>
      <c r="E330" t="s">
        <v>54</v>
      </c>
      <c r="F330" s="75">
        <v>1</v>
      </c>
      <c r="G330" s="75">
        <v>345319</v>
      </c>
      <c r="H330">
        <v>800</v>
      </c>
      <c r="I330" t="s">
        <v>203</v>
      </c>
      <c r="J330" s="75">
        <v>228541</v>
      </c>
      <c r="K330" t="s">
        <v>1128</v>
      </c>
      <c r="L330" t="s">
        <v>1129</v>
      </c>
      <c r="M330" s="81">
        <v>46055.592060185183</v>
      </c>
      <c r="N330" s="81">
        <v>46056.410879629628</v>
      </c>
      <c r="O330" t="s">
        <v>58</v>
      </c>
      <c r="P330" t="s">
        <v>59</v>
      </c>
      <c r="Q330" t="s">
        <v>130</v>
      </c>
      <c r="R330" t="s">
        <v>131</v>
      </c>
      <c r="S330" t="s">
        <v>1316</v>
      </c>
      <c r="U330" s="75">
        <v>184621</v>
      </c>
      <c r="V330" t="s">
        <v>1799</v>
      </c>
      <c r="W330" t="s">
        <v>1799</v>
      </c>
      <c r="X330" t="s">
        <v>62</v>
      </c>
      <c r="Y330" t="s">
        <v>63</v>
      </c>
      <c r="AA330" t="s">
        <v>64</v>
      </c>
      <c r="AB330">
        <v>19.600000000000001</v>
      </c>
      <c r="AC330">
        <v>12.816667000000001</v>
      </c>
      <c r="AD330">
        <v>6.7833329999999998</v>
      </c>
      <c r="AE330">
        <v>0.05</v>
      </c>
      <c r="AF330">
        <v>0</v>
      </c>
      <c r="AG330">
        <v>6.733333</v>
      </c>
      <c r="AH330">
        <v>6.733333</v>
      </c>
      <c r="AI330">
        <v>6.483333</v>
      </c>
      <c r="AJ330">
        <v>0.25</v>
      </c>
      <c r="AK330">
        <v>0</v>
      </c>
      <c r="AL330" s="76">
        <v>45929.628067129634</v>
      </c>
      <c r="AM330" s="75">
        <v>125</v>
      </c>
      <c r="AN330" t="s">
        <v>65</v>
      </c>
      <c r="AO330" t="s">
        <v>1131</v>
      </c>
      <c r="AP330" t="s">
        <v>67</v>
      </c>
      <c r="AQ330" t="s">
        <v>68</v>
      </c>
      <c r="AR330" t="s">
        <v>69</v>
      </c>
      <c r="AS330" s="78"/>
      <c r="AT330" s="82" t="s">
        <v>1722</v>
      </c>
      <c r="AU330" s="78">
        <v>2026</v>
      </c>
      <c r="AV330" s="78">
        <v>2</v>
      </c>
      <c r="AW330" s="78" t="s">
        <v>71</v>
      </c>
      <c r="AX330" s="78">
        <v>1</v>
      </c>
      <c r="AY330" s="78">
        <v>0</v>
      </c>
      <c r="BT330" s="2" t="s">
        <v>71</v>
      </c>
      <c r="BU330" s="2">
        <v>1</v>
      </c>
      <c r="BV330" s="2">
        <v>0</v>
      </c>
    </row>
    <row r="331" spans="1:74" ht="15" customHeight="1" x14ac:dyDescent="0.25">
      <c r="A331" s="75">
        <v>5801729</v>
      </c>
      <c r="B331" t="s">
        <v>1800</v>
      </c>
      <c r="C331" t="s">
        <v>1801</v>
      </c>
      <c r="D331" t="s">
        <v>527</v>
      </c>
      <c r="E331" t="s">
        <v>54</v>
      </c>
      <c r="F331" s="75">
        <v>250</v>
      </c>
      <c r="G331" s="75">
        <v>52799</v>
      </c>
      <c r="H331">
        <v>304.88</v>
      </c>
      <c r="I331" t="s">
        <v>114</v>
      </c>
      <c r="J331" s="75">
        <v>6421</v>
      </c>
      <c r="K331" t="s">
        <v>291</v>
      </c>
      <c r="L331" t="s">
        <v>292</v>
      </c>
      <c r="M331" s="81">
        <v>46050.896423611113</v>
      </c>
      <c r="N331" s="81">
        <v>46056.411064814813</v>
      </c>
      <c r="O331" t="s">
        <v>58</v>
      </c>
      <c r="P331" t="s">
        <v>59</v>
      </c>
      <c r="Q331" t="s">
        <v>90</v>
      </c>
      <c r="R331" t="s">
        <v>156</v>
      </c>
      <c r="S331" t="s">
        <v>1320</v>
      </c>
      <c r="U331" s="75">
        <v>184371</v>
      </c>
      <c r="V331" t="s">
        <v>1802</v>
      </c>
      <c r="W331" t="s">
        <v>1802</v>
      </c>
      <c r="X331" t="s">
        <v>79</v>
      </c>
      <c r="Y331" t="s">
        <v>224</v>
      </c>
      <c r="AA331" t="s">
        <v>64</v>
      </c>
      <c r="AB331">
        <v>132.283334</v>
      </c>
      <c r="AC331">
        <v>18.216667000000001</v>
      </c>
      <c r="AD331">
        <v>114.066667</v>
      </c>
      <c r="AE331">
        <v>109.2</v>
      </c>
      <c r="AF331">
        <v>0</v>
      </c>
      <c r="AG331">
        <v>4.8666669999999996</v>
      </c>
      <c r="AH331">
        <v>4.8666669999999996</v>
      </c>
      <c r="AI331">
        <v>4.5833339999999998</v>
      </c>
      <c r="AJ331">
        <v>0.283333</v>
      </c>
      <c r="AK331">
        <v>0</v>
      </c>
      <c r="AL331" s="76">
        <v>42727.625</v>
      </c>
      <c r="AM331" s="75">
        <v>3323</v>
      </c>
      <c r="AN331" t="s">
        <v>65</v>
      </c>
      <c r="AO331" t="s">
        <v>1803</v>
      </c>
      <c r="AP331" t="s">
        <v>67</v>
      </c>
      <c r="AQ331" t="s">
        <v>83</v>
      </c>
      <c r="AR331" t="s">
        <v>69</v>
      </c>
      <c r="AS331" s="79"/>
      <c r="AT331" s="82" t="s">
        <v>1722</v>
      </c>
      <c r="AU331" s="78">
        <v>2026</v>
      </c>
      <c r="AV331" s="78">
        <v>2</v>
      </c>
      <c r="AW331" s="78" t="s">
        <v>226</v>
      </c>
      <c r="AX331" s="78">
        <v>1</v>
      </c>
      <c r="AY331" s="78">
        <v>0</v>
      </c>
      <c r="BT331" s="3" t="s">
        <v>226</v>
      </c>
      <c r="BU331" s="3">
        <v>1</v>
      </c>
      <c r="BV331" s="3">
        <v>0</v>
      </c>
    </row>
    <row r="332" spans="1:74" ht="15" customHeight="1" x14ac:dyDescent="0.25">
      <c r="A332" s="75">
        <v>5809125</v>
      </c>
      <c r="B332" t="s">
        <v>1804</v>
      </c>
      <c r="C332" t="s">
        <v>1805</v>
      </c>
      <c r="D332" t="s">
        <v>150</v>
      </c>
      <c r="E332" t="s">
        <v>54</v>
      </c>
      <c r="F332" s="75">
        <v>9</v>
      </c>
      <c r="G332" s="75">
        <v>245093</v>
      </c>
      <c r="H332">
        <v>1886.94</v>
      </c>
      <c r="I332" t="s">
        <v>114</v>
      </c>
      <c r="J332" s="75">
        <v>201821</v>
      </c>
      <c r="K332" t="s">
        <v>1806</v>
      </c>
      <c r="L332" t="s">
        <v>1807</v>
      </c>
      <c r="M332" s="81">
        <v>46055.514606481483</v>
      </c>
      <c r="N332" s="81">
        <v>46056.433958333328</v>
      </c>
      <c r="O332" t="s">
        <v>58</v>
      </c>
      <c r="P332" t="s">
        <v>59</v>
      </c>
      <c r="Q332" t="s">
        <v>90</v>
      </c>
      <c r="R332" t="s">
        <v>131</v>
      </c>
      <c r="S332" t="s">
        <v>1316</v>
      </c>
      <c r="T332" t="s">
        <v>1808</v>
      </c>
      <c r="U332" s="75">
        <v>184513</v>
      </c>
      <c r="V332" t="s">
        <v>1809</v>
      </c>
      <c r="W332" t="s">
        <v>1809</v>
      </c>
      <c r="X332" t="s">
        <v>392</v>
      </c>
      <c r="Y332" t="s">
        <v>393</v>
      </c>
      <c r="AA332" t="s">
        <v>64</v>
      </c>
      <c r="AB332">
        <v>22.033334</v>
      </c>
      <c r="AC332">
        <v>16.816666999999999</v>
      </c>
      <c r="AD332">
        <v>5.2166670000000002</v>
      </c>
      <c r="AE332">
        <v>0.63333300000000003</v>
      </c>
      <c r="AF332">
        <v>0</v>
      </c>
      <c r="AG332">
        <v>4.5833339999999998</v>
      </c>
      <c r="AH332">
        <v>4.5833339999999998</v>
      </c>
      <c r="AI332">
        <v>4.3666669999999996</v>
      </c>
      <c r="AJ332">
        <v>0.216667</v>
      </c>
      <c r="AK332">
        <v>0</v>
      </c>
      <c r="AL332" s="76">
        <v>44518.654513888891</v>
      </c>
      <c r="AM332" s="75">
        <v>1536</v>
      </c>
      <c r="AN332" t="s">
        <v>65</v>
      </c>
      <c r="AO332" t="s">
        <v>1810</v>
      </c>
      <c r="AP332" t="s">
        <v>67</v>
      </c>
      <c r="AQ332" t="s">
        <v>121</v>
      </c>
      <c r="AR332" t="s">
        <v>69</v>
      </c>
      <c r="AS332" s="78"/>
      <c r="AT332" s="82" t="s">
        <v>1722</v>
      </c>
      <c r="AU332" s="78">
        <v>2026</v>
      </c>
      <c r="AV332" s="78">
        <v>2</v>
      </c>
      <c r="AW332" s="78" t="s">
        <v>392</v>
      </c>
      <c r="AX332" s="78">
        <v>1</v>
      </c>
      <c r="AY332" s="78">
        <v>0</v>
      </c>
      <c r="BT332" s="2" t="s">
        <v>392</v>
      </c>
      <c r="BU332" s="2">
        <v>1</v>
      </c>
      <c r="BV332" s="2">
        <v>0</v>
      </c>
    </row>
    <row r="333" spans="1:74" ht="15" customHeight="1" x14ac:dyDescent="0.25">
      <c r="A333" s="75">
        <v>5807107</v>
      </c>
      <c r="B333" t="s">
        <v>1811</v>
      </c>
      <c r="C333" t="s">
        <v>1812</v>
      </c>
      <c r="D333" t="s">
        <v>1137</v>
      </c>
      <c r="E333" t="s">
        <v>105</v>
      </c>
      <c r="F333" s="75">
        <v>1123</v>
      </c>
      <c r="G333" s="75">
        <v>333493</v>
      </c>
      <c r="H333">
        <v>456.52</v>
      </c>
      <c r="I333" t="s">
        <v>175</v>
      </c>
      <c r="J333" s="75">
        <v>83605</v>
      </c>
      <c r="K333" t="s">
        <v>844</v>
      </c>
      <c r="L333" t="s">
        <v>845</v>
      </c>
      <c r="M333" s="81">
        <v>46053.771539351852</v>
      </c>
      <c r="N333" s="81">
        <v>46056.570960648147</v>
      </c>
      <c r="O333" t="s">
        <v>58</v>
      </c>
      <c r="P333" t="s">
        <v>59</v>
      </c>
      <c r="Q333" t="s">
        <v>90</v>
      </c>
      <c r="R333" t="s">
        <v>60</v>
      </c>
      <c r="S333" t="s">
        <v>583</v>
      </c>
      <c r="U333" s="75">
        <v>183851</v>
      </c>
      <c r="V333" t="s">
        <v>1813</v>
      </c>
      <c r="W333" t="s">
        <v>1814</v>
      </c>
      <c r="X333" t="s">
        <v>62</v>
      </c>
      <c r="Y333" t="s">
        <v>63</v>
      </c>
      <c r="AA333" t="s">
        <v>295</v>
      </c>
      <c r="AB333">
        <v>67.099998999999997</v>
      </c>
      <c r="AC333">
        <v>34.483333000000002</v>
      </c>
      <c r="AD333">
        <v>32.616666000000002</v>
      </c>
      <c r="AE333">
        <v>2.983333</v>
      </c>
      <c r="AF333">
        <v>0</v>
      </c>
      <c r="AG333">
        <v>29.633333</v>
      </c>
      <c r="AH333">
        <v>29.633333</v>
      </c>
      <c r="AI333">
        <v>27.933333000000001</v>
      </c>
      <c r="AJ333">
        <v>1.7</v>
      </c>
      <c r="AK333">
        <v>0</v>
      </c>
      <c r="AL333" s="76">
        <v>45808.717766203707</v>
      </c>
      <c r="AM333" s="75">
        <v>245</v>
      </c>
      <c r="AN333" t="s">
        <v>65</v>
      </c>
      <c r="AO333" t="s">
        <v>1333</v>
      </c>
      <c r="AP333" t="s">
        <v>67</v>
      </c>
      <c r="AQ333" t="s">
        <v>68</v>
      </c>
      <c r="AR333" t="s">
        <v>69</v>
      </c>
      <c r="AS333" s="79"/>
      <c r="AT333" s="82" t="s">
        <v>1722</v>
      </c>
      <c r="AU333" s="78">
        <v>2026</v>
      </c>
      <c r="AV333" s="78">
        <v>2</v>
      </c>
      <c r="AW333" s="78" t="s">
        <v>71</v>
      </c>
      <c r="AX333" s="78">
        <v>0</v>
      </c>
      <c r="AY333" s="78">
        <v>1</v>
      </c>
      <c r="BT333" s="3" t="s">
        <v>71</v>
      </c>
      <c r="BU333" s="3">
        <v>0</v>
      </c>
      <c r="BV333" s="3">
        <v>1</v>
      </c>
    </row>
    <row r="334" spans="1:74" ht="15" customHeight="1" x14ac:dyDescent="0.25">
      <c r="A334" s="75">
        <v>5806501</v>
      </c>
      <c r="B334" t="s">
        <v>1815</v>
      </c>
      <c r="C334" t="s">
        <v>1816</v>
      </c>
      <c r="D334" t="s">
        <v>1137</v>
      </c>
      <c r="E334" t="s">
        <v>87</v>
      </c>
      <c r="F334" s="75">
        <v>301</v>
      </c>
      <c r="G334" s="75">
        <v>286487</v>
      </c>
      <c r="H334">
        <v>364.96</v>
      </c>
      <c r="I334" t="s">
        <v>55</v>
      </c>
      <c r="J334" s="75">
        <v>218787</v>
      </c>
      <c r="K334" t="s">
        <v>96</v>
      </c>
      <c r="L334" t="s">
        <v>97</v>
      </c>
      <c r="M334" s="81">
        <v>46053.464375000003</v>
      </c>
      <c r="N334" s="81">
        <v>46056.579293981478</v>
      </c>
      <c r="O334" t="s">
        <v>58</v>
      </c>
      <c r="P334" t="s">
        <v>59</v>
      </c>
      <c r="Q334" t="s">
        <v>130</v>
      </c>
      <c r="R334" t="s">
        <v>60</v>
      </c>
      <c r="S334" t="s">
        <v>583</v>
      </c>
      <c r="U334" s="75">
        <v>183871</v>
      </c>
      <c r="V334" t="s">
        <v>1817</v>
      </c>
      <c r="W334" t="s">
        <v>1818</v>
      </c>
      <c r="X334" t="s">
        <v>62</v>
      </c>
      <c r="Y334" t="s">
        <v>63</v>
      </c>
      <c r="AA334" t="s">
        <v>64</v>
      </c>
      <c r="AB334">
        <v>74.716667000000001</v>
      </c>
      <c r="AC334">
        <v>69.516666999999998</v>
      </c>
      <c r="AD334">
        <v>5.2</v>
      </c>
      <c r="AE334">
        <v>0.26666699999999999</v>
      </c>
      <c r="AF334">
        <v>0</v>
      </c>
      <c r="AG334">
        <v>4.9333330000000002</v>
      </c>
      <c r="AH334">
        <v>4.9333330000000002</v>
      </c>
      <c r="AI334">
        <v>4.3499999999999996</v>
      </c>
      <c r="AJ334">
        <v>0.58333299999999999</v>
      </c>
      <c r="AK334">
        <v>0</v>
      </c>
      <c r="AL334" s="76">
        <v>44932</v>
      </c>
      <c r="AM334" s="75">
        <v>1121</v>
      </c>
      <c r="AN334" t="s">
        <v>65</v>
      </c>
      <c r="AO334" t="s">
        <v>1819</v>
      </c>
      <c r="AP334" t="s">
        <v>67</v>
      </c>
      <c r="AQ334" t="s">
        <v>68</v>
      </c>
      <c r="AR334" t="s">
        <v>69</v>
      </c>
      <c r="AS334" s="78"/>
      <c r="AT334" s="82" t="s">
        <v>1722</v>
      </c>
      <c r="AU334" s="78">
        <v>2026</v>
      </c>
      <c r="AV334" s="78">
        <v>2</v>
      </c>
      <c r="AW334" s="78" t="s">
        <v>71</v>
      </c>
      <c r="AX334" s="78">
        <v>1</v>
      </c>
      <c r="AY334" s="78">
        <v>0</v>
      </c>
      <c r="BT334" s="2" t="s">
        <v>71</v>
      </c>
      <c r="BU334" s="2">
        <v>1</v>
      </c>
      <c r="BV334" s="2">
        <v>0</v>
      </c>
    </row>
    <row r="335" spans="1:74" ht="15" customHeight="1" x14ac:dyDescent="0.25">
      <c r="A335" s="75">
        <v>5810423</v>
      </c>
      <c r="B335" t="s">
        <v>1820</v>
      </c>
      <c r="C335" t="s">
        <v>1821</v>
      </c>
      <c r="D335" t="s">
        <v>150</v>
      </c>
      <c r="E335" t="s">
        <v>87</v>
      </c>
      <c r="F335" s="75">
        <v>264</v>
      </c>
      <c r="G335" s="75">
        <v>286373</v>
      </c>
      <c r="H335">
        <v>364.96</v>
      </c>
      <c r="I335" t="s">
        <v>55</v>
      </c>
      <c r="J335" s="75">
        <v>218787</v>
      </c>
      <c r="K335" t="s">
        <v>96</v>
      </c>
      <c r="L335" t="s">
        <v>97</v>
      </c>
      <c r="M335" s="81">
        <v>46056.264201388891</v>
      </c>
      <c r="N335" s="81">
        <v>46056.580358796287</v>
      </c>
      <c r="O335" t="s">
        <v>58</v>
      </c>
      <c r="P335" t="s">
        <v>59</v>
      </c>
      <c r="Q335" t="s">
        <v>90</v>
      </c>
      <c r="R335" t="s">
        <v>131</v>
      </c>
      <c r="S335" t="s">
        <v>1316</v>
      </c>
      <c r="U335" s="75">
        <v>184851</v>
      </c>
      <c r="V335" t="s">
        <v>1822</v>
      </c>
      <c r="W335" t="s">
        <v>1823</v>
      </c>
      <c r="X335" t="s">
        <v>62</v>
      </c>
      <c r="Y335" t="s">
        <v>63</v>
      </c>
      <c r="AA335" t="s">
        <v>64</v>
      </c>
      <c r="AB335">
        <v>7.5</v>
      </c>
      <c r="AC335">
        <v>2.1</v>
      </c>
      <c r="AD335">
        <v>5.4</v>
      </c>
      <c r="AE335">
        <v>0.88333399999999995</v>
      </c>
      <c r="AF335">
        <v>0</v>
      </c>
      <c r="AG335">
        <v>4.5166659999999998</v>
      </c>
      <c r="AH335">
        <v>4.5166659999999998</v>
      </c>
      <c r="AI335">
        <v>4.1666660000000002</v>
      </c>
      <c r="AJ335">
        <v>0.35</v>
      </c>
      <c r="AK335">
        <v>0</v>
      </c>
      <c r="AL335" s="76">
        <v>44931</v>
      </c>
      <c r="AM335" s="75">
        <v>1125</v>
      </c>
      <c r="AN335" t="s">
        <v>65</v>
      </c>
      <c r="AO335" t="s">
        <v>1824</v>
      </c>
      <c r="AP335" t="s">
        <v>67</v>
      </c>
      <c r="AQ335" t="s">
        <v>68</v>
      </c>
      <c r="AR335" t="s">
        <v>69</v>
      </c>
      <c r="AS335" s="79"/>
      <c r="AT335" s="82" t="s">
        <v>1722</v>
      </c>
      <c r="AU335" s="78">
        <v>2026</v>
      </c>
      <c r="AV335" s="78">
        <v>2</v>
      </c>
      <c r="AW335" s="78" t="s">
        <v>71</v>
      </c>
      <c r="AX335" s="78">
        <v>1</v>
      </c>
      <c r="AY335" s="78">
        <v>0</v>
      </c>
      <c r="BT335" s="3" t="s">
        <v>71</v>
      </c>
      <c r="BU335" s="3">
        <v>1</v>
      </c>
      <c r="BV335" s="3">
        <v>0</v>
      </c>
    </row>
    <row r="336" spans="1:74" ht="15" customHeight="1" x14ac:dyDescent="0.25">
      <c r="A336" s="75">
        <v>5809041</v>
      </c>
      <c r="B336" t="s">
        <v>1825</v>
      </c>
      <c r="C336" t="s">
        <v>1079</v>
      </c>
      <c r="D336" t="s">
        <v>53</v>
      </c>
      <c r="E336" t="s">
        <v>87</v>
      </c>
      <c r="F336" s="75">
        <v>187</v>
      </c>
      <c r="G336" s="75">
        <v>285899</v>
      </c>
      <c r="H336">
        <v>398.82</v>
      </c>
      <c r="I336" t="s">
        <v>55</v>
      </c>
      <c r="J336" s="75">
        <v>216233</v>
      </c>
      <c r="K336" t="s">
        <v>88</v>
      </c>
      <c r="L336" t="s">
        <v>89</v>
      </c>
      <c r="M336" s="81">
        <v>46055.493506944447</v>
      </c>
      <c r="N336" s="81">
        <v>46056.582604166673</v>
      </c>
      <c r="O336" t="s">
        <v>58</v>
      </c>
      <c r="P336" t="s">
        <v>59</v>
      </c>
      <c r="Q336" t="s">
        <v>90</v>
      </c>
      <c r="R336" t="s">
        <v>131</v>
      </c>
      <c r="S336" t="s">
        <v>1316</v>
      </c>
      <c r="U336" s="75">
        <v>184481</v>
      </c>
      <c r="V336" t="s">
        <v>1826</v>
      </c>
      <c r="W336" t="s">
        <v>1826</v>
      </c>
      <c r="X336" t="s">
        <v>62</v>
      </c>
      <c r="Y336" t="s">
        <v>63</v>
      </c>
      <c r="AA336" t="s">
        <v>64</v>
      </c>
      <c r="AB336">
        <v>26.116667</v>
      </c>
      <c r="AC336">
        <v>21.95</v>
      </c>
      <c r="AD336">
        <v>4.1666670000000003</v>
      </c>
      <c r="AE336">
        <v>0.13333300000000001</v>
      </c>
      <c r="AF336">
        <v>0</v>
      </c>
      <c r="AG336">
        <v>4.033334</v>
      </c>
      <c r="AH336">
        <v>4.033334</v>
      </c>
      <c r="AI336">
        <v>3.7166670000000002</v>
      </c>
      <c r="AJ336">
        <v>0.31666699999999998</v>
      </c>
      <c r="AK336">
        <v>0</v>
      </c>
      <c r="AL336" s="76">
        <v>44875</v>
      </c>
      <c r="AM336" s="75">
        <v>1180</v>
      </c>
      <c r="AN336" t="s">
        <v>65</v>
      </c>
      <c r="AO336" t="s">
        <v>1081</v>
      </c>
      <c r="AP336" t="s">
        <v>67</v>
      </c>
      <c r="AQ336" t="s">
        <v>68</v>
      </c>
      <c r="AR336" t="s">
        <v>69</v>
      </c>
      <c r="AS336" s="78"/>
      <c r="AT336" s="82" t="s">
        <v>1722</v>
      </c>
      <c r="AU336" s="78">
        <v>2026</v>
      </c>
      <c r="AV336" s="78">
        <v>2</v>
      </c>
      <c r="AW336" s="78" t="s">
        <v>71</v>
      </c>
      <c r="AX336" s="78">
        <v>1</v>
      </c>
      <c r="AY336" s="78">
        <v>0</v>
      </c>
      <c r="BT336" s="2" t="s">
        <v>71</v>
      </c>
      <c r="BU336" s="2">
        <v>1</v>
      </c>
      <c r="BV336" s="2">
        <v>0</v>
      </c>
    </row>
    <row r="337" spans="1:74" ht="15" customHeight="1" x14ac:dyDescent="0.25">
      <c r="A337" s="75">
        <v>5809191</v>
      </c>
      <c r="B337" t="s">
        <v>1827</v>
      </c>
      <c r="C337" t="s">
        <v>499</v>
      </c>
      <c r="D337" t="s">
        <v>956</v>
      </c>
      <c r="E337" t="s">
        <v>87</v>
      </c>
      <c r="F337" s="75">
        <v>192</v>
      </c>
      <c r="G337" s="75">
        <v>285927</v>
      </c>
      <c r="H337">
        <v>350</v>
      </c>
      <c r="I337" t="s">
        <v>55</v>
      </c>
      <c r="J337" s="75">
        <v>218787</v>
      </c>
      <c r="K337" t="s">
        <v>96</v>
      </c>
      <c r="L337" t="s">
        <v>97</v>
      </c>
      <c r="M337" s="81">
        <v>46055.549201388887</v>
      </c>
      <c r="N337" s="81">
        <v>46056.584502314807</v>
      </c>
      <c r="O337" t="s">
        <v>58</v>
      </c>
      <c r="P337" t="s">
        <v>59</v>
      </c>
      <c r="Q337" t="s">
        <v>90</v>
      </c>
      <c r="R337" t="s">
        <v>131</v>
      </c>
      <c r="S337" t="s">
        <v>1316</v>
      </c>
      <c r="U337" s="75">
        <v>184811</v>
      </c>
      <c r="V337" t="s">
        <v>1828</v>
      </c>
      <c r="W337" t="s">
        <v>1829</v>
      </c>
      <c r="X337" t="s">
        <v>62</v>
      </c>
      <c r="Y337" t="s">
        <v>63</v>
      </c>
      <c r="AA337" t="s">
        <v>64</v>
      </c>
      <c r="AB337">
        <v>24.783334</v>
      </c>
      <c r="AC337">
        <v>16.816666999999999</v>
      </c>
      <c r="AD337">
        <v>7.9666670000000002</v>
      </c>
      <c r="AE337">
        <v>0.216666</v>
      </c>
      <c r="AF337">
        <v>0</v>
      </c>
      <c r="AG337">
        <v>7.7500010000000001</v>
      </c>
      <c r="AH337">
        <v>7.7500010000000001</v>
      </c>
      <c r="AI337">
        <v>6.266667</v>
      </c>
      <c r="AJ337">
        <v>1.4833339999999999</v>
      </c>
      <c r="AK337">
        <v>0</v>
      </c>
      <c r="AL337" s="76">
        <v>44870.389849537038</v>
      </c>
      <c r="AM337" s="75">
        <v>1185</v>
      </c>
      <c r="AN337" t="s">
        <v>65</v>
      </c>
      <c r="AO337" t="s">
        <v>502</v>
      </c>
      <c r="AP337" t="s">
        <v>67</v>
      </c>
      <c r="AQ337" t="s">
        <v>68</v>
      </c>
      <c r="AR337" t="s">
        <v>69</v>
      </c>
      <c r="AS337" s="79"/>
      <c r="AT337" s="82" t="s">
        <v>1722</v>
      </c>
      <c r="AU337" s="78">
        <v>2026</v>
      </c>
      <c r="AV337" s="78">
        <v>2</v>
      </c>
      <c r="AW337" s="78" t="s">
        <v>71</v>
      </c>
      <c r="AX337" s="78">
        <v>1</v>
      </c>
      <c r="AY337" s="78">
        <v>0</v>
      </c>
      <c r="BT337" s="3" t="s">
        <v>71</v>
      </c>
      <c r="BU337" s="3">
        <v>1</v>
      </c>
      <c r="BV337" s="3">
        <v>0</v>
      </c>
    </row>
    <row r="338" spans="1:74" ht="15" customHeight="1" x14ac:dyDescent="0.25">
      <c r="A338" s="75">
        <v>5810259</v>
      </c>
      <c r="B338" t="s">
        <v>1830</v>
      </c>
      <c r="C338" t="s">
        <v>1831</v>
      </c>
      <c r="D338" t="s">
        <v>150</v>
      </c>
      <c r="E338" t="s">
        <v>54</v>
      </c>
      <c r="F338" s="75">
        <v>1</v>
      </c>
      <c r="G338" s="75">
        <v>329639</v>
      </c>
      <c r="H338">
        <v>600</v>
      </c>
      <c r="I338" t="s">
        <v>141</v>
      </c>
      <c r="J338" s="75">
        <v>225015</v>
      </c>
      <c r="K338" t="s">
        <v>465</v>
      </c>
      <c r="L338" t="s">
        <v>466</v>
      </c>
      <c r="M338" s="81">
        <v>46055.929259259261</v>
      </c>
      <c r="N338" s="81">
        <v>46056.610451388893</v>
      </c>
      <c r="O338" t="s">
        <v>58</v>
      </c>
      <c r="P338" t="s">
        <v>59</v>
      </c>
      <c r="Q338" t="s">
        <v>130</v>
      </c>
      <c r="R338" t="s">
        <v>131</v>
      </c>
      <c r="S338" t="s">
        <v>1316</v>
      </c>
      <c r="U338" s="75">
        <v>184781</v>
      </c>
      <c r="V338" t="s">
        <v>1832</v>
      </c>
      <c r="W338" t="s">
        <v>1833</v>
      </c>
      <c r="X338" t="s">
        <v>62</v>
      </c>
      <c r="Y338" t="s">
        <v>63</v>
      </c>
      <c r="AA338" t="s">
        <v>81</v>
      </c>
      <c r="AB338">
        <v>16.283332000000001</v>
      </c>
      <c r="AC338">
        <v>12.466666</v>
      </c>
      <c r="AD338">
        <v>3.8166660000000001</v>
      </c>
      <c r="AE338">
        <v>0.71666700000000005</v>
      </c>
      <c r="AF338">
        <v>0</v>
      </c>
      <c r="AG338">
        <v>3.0999989999999999</v>
      </c>
      <c r="AH338">
        <v>3.0999989999999999</v>
      </c>
      <c r="AI338">
        <v>2.6833330000000002</v>
      </c>
      <c r="AJ338">
        <v>0.41666599999999998</v>
      </c>
      <c r="AK338">
        <v>0</v>
      </c>
      <c r="AL338" s="76">
        <v>45645.371886574067</v>
      </c>
      <c r="AM338" s="75">
        <v>410</v>
      </c>
      <c r="AN338" t="s">
        <v>65</v>
      </c>
      <c r="AO338" t="s">
        <v>468</v>
      </c>
      <c r="AP338" t="s">
        <v>67</v>
      </c>
      <c r="AQ338" t="s">
        <v>68</v>
      </c>
      <c r="AR338" t="s">
        <v>69</v>
      </c>
      <c r="AS338" s="78"/>
      <c r="AT338" s="82" t="s">
        <v>1722</v>
      </c>
      <c r="AU338" s="78">
        <v>2026</v>
      </c>
      <c r="AV338" s="78">
        <v>2</v>
      </c>
      <c r="AW338" s="78" t="s">
        <v>71</v>
      </c>
      <c r="AX338" s="78">
        <v>1</v>
      </c>
      <c r="AY338" s="78">
        <v>0</v>
      </c>
      <c r="BT338" s="2" t="s">
        <v>71</v>
      </c>
      <c r="BU338" s="2">
        <v>1</v>
      </c>
      <c r="BV338" s="2">
        <v>0</v>
      </c>
    </row>
    <row r="339" spans="1:74" ht="15" customHeight="1" x14ac:dyDescent="0.25">
      <c r="A339" s="75">
        <v>5810105</v>
      </c>
      <c r="B339" t="s">
        <v>1834</v>
      </c>
      <c r="C339" t="s">
        <v>210</v>
      </c>
      <c r="D339" t="s">
        <v>1137</v>
      </c>
      <c r="E339" t="s">
        <v>87</v>
      </c>
      <c r="F339" s="75">
        <v>422</v>
      </c>
      <c r="G339" s="75">
        <v>289265</v>
      </c>
      <c r="H339">
        <v>740.61</v>
      </c>
      <c r="I339" t="s">
        <v>55</v>
      </c>
      <c r="J339" s="75">
        <v>216233</v>
      </c>
      <c r="K339" t="s">
        <v>88</v>
      </c>
      <c r="L339" t="s">
        <v>89</v>
      </c>
      <c r="M339" s="81">
        <v>46055.819884259261</v>
      </c>
      <c r="N339" s="81">
        <v>46056.62572916667</v>
      </c>
      <c r="O339" t="s">
        <v>58</v>
      </c>
      <c r="P339" t="s">
        <v>59</v>
      </c>
      <c r="Q339" t="s">
        <v>90</v>
      </c>
      <c r="R339" t="s">
        <v>60</v>
      </c>
      <c r="S339" t="s">
        <v>583</v>
      </c>
      <c r="U339" s="75">
        <v>184815</v>
      </c>
      <c r="V339" t="s">
        <v>1835</v>
      </c>
      <c r="W339" t="s">
        <v>1836</v>
      </c>
      <c r="X339" t="s">
        <v>62</v>
      </c>
      <c r="Y339" t="s">
        <v>63</v>
      </c>
      <c r="AA339" t="s">
        <v>64</v>
      </c>
      <c r="AB339">
        <v>19.299999</v>
      </c>
      <c r="AC339">
        <v>13.316666</v>
      </c>
      <c r="AD339">
        <v>5.983333</v>
      </c>
      <c r="AE339">
        <v>0.3</v>
      </c>
      <c r="AF339">
        <v>0</v>
      </c>
      <c r="AG339">
        <v>5.6833330000000002</v>
      </c>
      <c r="AH339">
        <v>5.6833330000000002</v>
      </c>
      <c r="AI339">
        <v>4.45</v>
      </c>
      <c r="AJ339">
        <v>1.233333</v>
      </c>
      <c r="AK339">
        <v>0</v>
      </c>
      <c r="AL339" s="76">
        <v>45021</v>
      </c>
      <c r="AM339" s="75">
        <v>1034</v>
      </c>
      <c r="AN339" t="s">
        <v>65</v>
      </c>
      <c r="AO339" t="s">
        <v>212</v>
      </c>
      <c r="AP339" t="s">
        <v>67</v>
      </c>
      <c r="AQ339" t="s">
        <v>68</v>
      </c>
      <c r="AR339" t="s">
        <v>69</v>
      </c>
      <c r="AS339" s="79"/>
      <c r="AT339" s="82" t="s">
        <v>1722</v>
      </c>
      <c r="AU339" s="78">
        <v>2026</v>
      </c>
      <c r="AV339" s="78">
        <v>2</v>
      </c>
      <c r="AW339" s="78" t="s">
        <v>71</v>
      </c>
      <c r="AX339" s="78">
        <v>1</v>
      </c>
      <c r="AY339" s="78">
        <v>0</v>
      </c>
      <c r="BT339" s="3" t="s">
        <v>71</v>
      </c>
      <c r="BU339" s="3">
        <v>1</v>
      </c>
      <c r="BV339" s="3">
        <v>0</v>
      </c>
    </row>
    <row r="340" spans="1:74" ht="15" customHeight="1" x14ac:dyDescent="0.25">
      <c r="A340" s="75">
        <v>5808485</v>
      </c>
      <c r="B340" t="s">
        <v>1837</v>
      </c>
      <c r="C340" t="s">
        <v>1838</v>
      </c>
      <c r="D340" t="s">
        <v>527</v>
      </c>
      <c r="E340" t="s">
        <v>54</v>
      </c>
      <c r="F340" s="75">
        <v>13</v>
      </c>
      <c r="G340" s="75">
        <v>333049</v>
      </c>
      <c r="H340">
        <v>250</v>
      </c>
      <c r="I340" t="s">
        <v>141</v>
      </c>
      <c r="J340" s="75">
        <v>88921</v>
      </c>
      <c r="K340" t="s">
        <v>1177</v>
      </c>
      <c r="L340" t="s">
        <v>1178</v>
      </c>
      <c r="M340" s="81">
        <v>46055.385381944441</v>
      </c>
      <c r="N340" s="81">
        <v>46056.634259259263</v>
      </c>
      <c r="O340" t="s">
        <v>58</v>
      </c>
      <c r="P340" t="s">
        <v>59</v>
      </c>
      <c r="R340" t="s">
        <v>60</v>
      </c>
      <c r="S340" t="s">
        <v>583</v>
      </c>
      <c r="U340" s="75">
        <v>184807</v>
      </c>
      <c r="V340" t="s">
        <v>1839</v>
      </c>
      <c r="W340" t="s">
        <v>1840</v>
      </c>
      <c r="X340" t="s">
        <v>62</v>
      </c>
      <c r="Y340" t="s">
        <v>63</v>
      </c>
      <c r="AA340" t="s">
        <v>416</v>
      </c>
      <c r="AB340">
        <v>29.916668000000001</v>
      </c>
      <c r="AC340">
        <v>10.95</v>
      </c>
      <c r="AD340">
        <v>18.966667999999999</v>
      </c>
      <c r="AE340">
        <v>0.15</v>
      </c>
      <c r="AF340">
        <v>0</v>
      </c>
      <c r="AG340">
        <v>18.816668</v>
      </c>
      <c r="AH340">
        <v>18.816668</v>
      </c>
      <c r="AI340">
        <v>18.283334</v>
      </c>
      <c r="AJ340">
        <v>0.53333399999999997</v>
      </c>
      <c r="AK340">
        <v>0</v>
      </c>
      <c r="AL340" s="76">
        <v>45782.595682870371</v>
      </c>
      <c r="AM340" s="75">
        <v>272</v>
      </c>
      <c r="AN340" t="s">
        <v>65</v>
      </c>
      <c r="AO340" t="s">
        <v>1841</v>
      </c>
      <c r="AP340" t="s">
        <v>67</v>
      </c>
      <c r="AQ340" t="s">
        <v>68</v>
      </c>
      <c r="AR340" t="s">
        <v>69</v>
      </c>
      <c r="AS340" s="78"/>
      <c r="AT340" s="82" t="s">
        <v>1722</v>
      </c>
      <c r="AU340" s="78">
        <v>2026</v>
      </c>
      <c r="AV340" s="78">
        <v>2</v>
      </c>
      <c r="AW340" s="78" t="s">
        <v>71</v>
      </c>
      <c r="AX340" s="78">
        <v>0</v>
      </c>
      <c r="AY340" s="78">
        <v>0</v>
      </c>
      <c r="BT340" s="2" t="s">
        <v>71</v>
      </c>
      <c r="BU340" s="2">
        <v>0</v>
      </c>
      <c r="BV340" s="2">
        <v>0</v>
      </c>
    </row>
    <row r="341" spans="1:74" ht="15" customHeight="1" x14ac:dyDescent="0.25">
      <c r="A341" s="75">
        <v>5808737</v>
      </c>
      <c r="B341" t="s">
        <v>1842</v>
      </c>
      <c r="C341" t="s">
        <v>256</v>
      </c>
      <c r="D341" t="s">
        <v>265</v>
      </c>
      <c r="E341" t="s">
        <v>54</v>
      </c>
      <c r="F341" s="75">
        <v>11</v>
      </c>
      <c r="G341" s="75">
        <v>295427</v>
      </c>
      <c r="H341">
        <v>200</v>
      </c>
      <c r="I341" t="s">
        <v>55</v>
      </c>
      <c r="J341" s="75">
        <v>218297</v>
      </c>
      <c r="K341" t="s">
        <v>258</v>
      </c>
      <c r="L341" t="s">
        <v>259</v>
      </c>
      <c r="M341" s="81">
        <v>46055.431527777779</v>
      </c>
      <c r="N341" s="81">
        <v>46056.643750000003</v>
      </c>
      <c r="O341" t="s">
        <v>58</v>
      </c>
      <c r="P341" t="s">
        <v>59</v>
      </c>
      <c r="Q341" t="s">
        <v>77</v>
      </c>
      <c r="R341" t="s">
        <v>60</v>
      </c>
      <c r="S341" t="s">
        <v>583</v>
      </c>
      <c r="U341" s="75">
        <v>184809</v>
      </c>
      <c r="V341" t="s">
        <v>1843</v>
      </c>
      <c r="W341" t="s">
        <v>1843</v>
      </c>
      <c r="X341" t="s">
        <v>62</v>
      </c>
      <c r="Y341" t="s">
        <v>63</v>
      </c>
      <c r="AA341" t="s">
        <v>64</v>
      </c>
      <c r="AB341">
        <v>29.033334</v>
      </c>
      <c r="AC341">
        <v>21.7</v>
      </c>
      <c r="AD341">
        <v>7.3333339999999998</v>
      </c>
      <c r="AE341">
        <v>0.05</v>
      </c>
      <c r="AF341">
        <v>0</v>
      </c>
      <c r="AG341">
        <v>7.283334</v>
      </c>
      <c r="AH341">
        <v>7.283334</v>
      </c>
      <c r="AI341">
        <v>7.1166669999999996</v>
      </c>
      <c r="AJ341">
        <v>0.16666700000000001</v>
      </c>
      <c r="AK341">
        <v>0</v>
      </c>
      <c r="AL341" s="76">
        <v>45293.488159722219</v>
      </c>
      <c r="AM341" s="75">
        <v>761</v>
      </c>
      <c r="AN341" t="s">
        <v>65</v>
      </c>
      <c r="AO341" t="s">
        <v>262</v>
      </c>
      <c r="AP341" t="s">
        <v>67</v>
      </c>
      <c r="AQ341" t="s">
        <v>68</v>
      </c>
      <c r="AR341" t="s">
        <v>69</v>
      </c>
      <c r="AS341" s="79"/>
      <c r="AT341" s="82" t="s">
        <v>1722</v>
      </c>
      <c r="AU341" s="78">
        <v>2026</v>
      </c>
      <c r="AV341" s="78">
        <v>2</v>
      </c>
      <c r="AW341" s="78" t="s">
        <v>71</v>
      </c>
      <c r="AX341" s="78">
        <v>1</v>
      </c>
      <c r="AY341" s="78">
        <v>0</v>
      </c>
      <c r="BT341" s="3" t="s">
        <v>71</v>
      </c>
      <c r="BU341" s="3">
        <v>1</v>
      </c>
      <c r="BV341" s="3">
        <v>0</v>
      </c>
    </row>
    <row r="342" spans="1:74" ht="15" customHeight="1" x14ac:dyDescent="0.25">
      <c r="A342" s="75">
        <v>5806699</v>
      </c>
      <c r="B342" t="s">
        <v>1844</v>
      </c>
      <c r="C342" t="s">
        <v>1845</v>
      </c>
      <c r="D342" t="s">
        <v>265</v>
      </c>
      <c r="E342" t="s">
        <v>87</v>
      </c>
      <c r="F342" s="75">
        <v>253</v>
      </c>
      <c r="G342" s="75">
        <v>286349</v>
      </c>
      <c r="H342">
        <v>364.96</v>
      </c>
      <c r="I342" t="s">
        <v>55</v>
      </c>
      <c r="J342" s="75">
        <v>216233</v>
      </c>
      <c r="K342" t="s">
        <v>88</v>
      </c>
      <c r="L342" t="s">
        <v>89</v>
      </c>
      <c r="M342" s="81">
        <v>46053.528275462973</v>
      </c>
      <c r="N342" s="81">
        <v>46056.662534722222</v>
      </c>
      <c r="O342" t="s">
        <v>58</v>
      </c>
      <c r="P342" t="s">
        <v>59</v>
      </c>
      <c r="Q342" t="s">
        <v>90</v>
      </c>
      <c r="R342" t="s">
        <v>60</v>
      </c>
      <c r="S342" t="s">
        <v>1268</v>
      </c>
      <c r="U342" s="75">
        <v>183867</v>
      </c>
      <c r="V342" t="s">
        <v>1846</v>
      </c>
      <c r="W342" t="s">
        <v>1846</v>
      </c>
      <c r="X342" t="s">
        <v>62</v>
      </c>
      <c r="Y342" t="s">
        <v>63</v>
      </c>
      <c r="AA342" t="s">
        <v>101</v>
      </c>
      <c r="AB342">
        <v>75.166667000000004</v>
      </c>
      <c r="AC342">
        <v>65.083332999999996</v>
      </c>
      <c r="AD342">
        <v>10.083334000000001</v>
      </c>
      <c r="AE342">
        <v>1.1666669999999999</v>
      </c>
      <c r="AF342">
        <v>0</v>
      </c>
      <c r="AG342">
        <v>8.9166670000000003</v>
      </c>
      <c r="AH342">
        <v>8.9166670000000003</v>
      </c>
      <c r="AI342">
        <v>8.6166669999999996</v>
      </c>
      <c r="AJ342">
        <v>0.3</v>
      </c>
      <c r="AK342">
        <v>0</v>
      </c>
      <c r="AL342" s="76">
        <v>44893</v>
      </c>
      <c r="AM342" s="75">
        <v>1160</v>
      </c>
      <c r="AN342" t="s">
        <v>65</v>
      </c>
      <c r="AO342" t="s">
        <v>152</v>
      </c>
      <c r="AP342" t="s">
        <v>67</v>
      </c>
      <c r="AQ342" t="s">
        <v>68</v>
      </c>
      <c r="AR342" t="s">
        <v>69</v>
      </c>
      <c r="AS342" s="78"/>
      <c r="AT342" s="82" t="s">
        <v>1722</v>
      </c>
      <c r="AU342" s="78">
        <v>2026</v>
      </c>
      <c r="AV342" s="78">
        <v>2</v>
      </c>
      <c r="AW342" s="78" t="s">
        <v>71</v>
      </c>
      <c r="AX342" s="78">
        <v>0</v>
      </c>
      <c r="AY342" s="78">
        <v>0</v>
      </c>
      <c r="BT342" s="2" t="s">
        <v>71</v>
      </c>
      <c r="BU342" s="2">
        <v>0</v>
      </c>
      <c r="BV342" s="2">
        <v>0</v>
      </c>
    </row>
    <row r="343" spans="1:74" ht="15" customHeight="1" x14ac:dyDescent="0.25">
      <c r="A343" s="75">
        <v>5807855</v>
      </c>
      <c r="B343" t="s">
        <v>1847</v>
      </c>
      <c r="C343" t="s">
        <v>1848</v>
      </c>
      <c r="D343" t="s">
        <v>1137</v>
      </c>
      <c r="E343" t="s">
        <v>87</v>
      </c>
      <c r="F343" s="75">
        <v>290</v>
      </c>
      <c r="G343" s="75">
        <v>286453</v>
      </c>
      <c r="H343">
        <v>364.96</v>
      </c>
      <c r="I343" t="s">
        <v>55</v>
      </c>
      <c r="J343" s="75">
        <v>218787</v>
      </c>
      <c r="K343" t="s">
        <v>96</v>
      </c>
      <c r="L343" t="s">
        <v>97</v>
      </c>
      <c r="M343" s="81">
        <v>46054.618495370371</v>
      </c>
      <c r="N343" s="81">
        <v>46056.701284722221</v>
      </c>
      <c r="O343" t="s">
        <v>58</v>
      </c>
      <c r="P343" t="s">
        <v>59</v>
      </c>
      <c r="Q343" t="s">
        <v>90</v>
      </c>
      <c r="R343" t="s">
        <v>60</v>
      </c>
      <c r="S343" t="s">
        <v>583</v>
      </c>
      <c r="U343" s="75">
        <v>183873</v>
      </c>
      <c r="V343" t="s">
        <v>1849</v>
      </c>
      <c r="W343" t="s">
        <v>1850</v>
      </c>
      <c r="X343" t="s">
        <v>62</v>
      </c>
      <c r="Y343" t="s">
        <v>63</v>
      </c>
      <c r="AA343" t="s">
        <v>64</v>
      </c>
      <c r="AB343">
        <v>49.933334000000002</v>
      </c>
      <c r="AC343">
        <v>41.916666999999997</v>
      </c>
      <c r="AD343">
        <v>8.016667</v>
      </c>
      <c r="AE343">
        <v>0.15</v>
      </c>
      <c r="AF343">
        <v>0</v>
      </c>
      <c r="AG343">
        <v>7.8666669999999996</v>
      </c>
      <c r="AH343">
        <v>7.8666669999999996</v>
      </c>
      <c r="AI343">
        <v>7.6833330000000002</v>
      </c>
      <c r="AJ343">
        <v>0.183334</v>
      </c>
      <c r="AK343">
        <v>0</v>
      </c>
      <c r="AL343" s="76">
        <v>44923</v>
      </c>
      <c r="AM343" s="75">
        <v>1131</v>
      </c>
      <c r="AN343" t="s">
        <v>65</v>
      </c>
      <c r="AO343" t="s">
        <v>1851</v>
      </c>
      <c r="AP343" t="s">
        <v>67</v>
      </c>
      <c r="AQ343" t="s">
        <v>68</v>
      </c>
      <c r="AR343" t="s">
        <v>69</v>
      </c>
      <c r="AS343" s="79"/>
      <c r="AT343" s="82" t="s">
        <v>1722</v>
      </c>
      <c r="AU343" s="78">
        <v>2026</v>
      </c>
      <c r="AV343" s="78">
        <v>2</v>
      </c>
      <c r="AW343" s="78" t="s">
        <v>71</v>
      </c>
      <c r="AX343" s="78">
        <v>1</v>
      </c>
      <c r="AY343" s="78">
        <v>0</v>
      </c>
      <c r="BT343" s="3" t="s">
        <v>71</v>
      </c>
      <c r="BU343" s="3">
        <v>1</v>
      </c>
      <c r="BV343" s="3">
        <v>0</v>
      </c>
    </row>
    <row r="344" spans="1:74" ht="15" customHeight="1" x14ac:dyDescent="0.25">
      <c r="A344" s="75">
        <v>5805155</v>
      </c>
      <c r="B344" t="s">
        <v>1852</v>
      </c>
      <c r="C344" t="s">
        <v>1853</v>
      </c>
      <c r="D344" t="s">
        <v>1137</v>
      </c>
      <c r="E344" t="s">
        <v>87</v>
      </c>
      <c r="F344" s="75">
        <v>329</v>
      </c>
      <c r="G344" s="75">
        <v>287717</v>
      </c>
      <c r="H344">
        <v>154.15</v>
      </c>
      <c r="I344" t="s">
        <v>853</v>
      </c>
      <c r="J344" s="75">
        <v>49495</v>
      </c>
      <c r="K344" t="s">
        <v>460</v>
      </c>
      <c r="L344" t="s">
        <v>461</v>
      </c>
      <c r="M344" s="81">
        <v>46052.611562500002</v>
      </c>
      <c r="N344" s="81">
        <v>46056.721331018518</v>
      </c>
      <c r="O344" t="s">
        <v>58</v>
      </c>
      <c r="P344" t="s">
        <v>59</v>
      </c>
      <c r="Q344" t="s">
        <v>90</v>
      </c>
      <c r="R344" t="s">
        <v>99</v>
      </c>
      <c r="S344" t="s">
        <v>1244</v>
      </c>
      <c r="U344" s="75">
        <v>183859</v>
      </c>
      <c r="V344" t="s">
        <v>1854</v>
      </c>
      <c r="W344" t="s">
        <v>1855</v>
      </c>
      <c r="X344" t="s">
        <v>62</v>
      </c>
      <c r="Y344" t="s">
        <v>63</v>
      </c>
      <c r="AA344" t="s">
        <v>64</v>
      </c>
      <c r="AB344">
        <v>98.566666999999995</v>
      </c>
      <c r="AC344">
        <v>91.516666999999998</v>
      </c>
      <c r="AD344">
        <v>7.05</v>
      </c>
      <c r="AE344">
        <v>0.45</v>
      </c>
      <c r="AF344">
        <v>0</v>
      </c>
      <c r="AG344">
        <v>6.6</v>
      </c>
      <c r="AH344">
        <v>6.6</v>
      </c>
      <c r="AI344">
        <v>5.95</v>
      </c>
      <c r="AJ344">
        <v>0.65</v>
      </c>
      <c r="AK344">
        <v>0</v>
      </c>
      <c r="AL344" s="76">
        <v>45175.39402777778</v>
      </c>
      <c r="AM344" s="75">
        <v>877</v>
      </c>
      <c r="AN344" t="s">
        <v>65</v>
      </c>
      <c r="AO344" t="s">
        <v>1856</v>
      </c>
      <c r="AP344" t="s">
        <v>67</v>
      </c>
      <c r="AQ344" t="s">
        <v>68</v>
      </c>
      <c r="AR344" t="s">
        <v>69</v>
      </c>
      <c r="AS344" s="78"/>
      <c r="AT344" s="82" t="s">
        <v>1722</v>
      </c>
      <c r="AU344" s="78">
        <v>2026</v>
      </c>
      <c r="AV344" s="78">
        <v>2</v>
      </c>
      <c r="AW344" s="78" t="s">
        <v>71</v>
      </c>
      <c r="AX344" s="78">
        <v>1</v>
      </c>
      <c r="AY344" s="78">
        <v>0</v>
      </c>
      <c r="BT344" s="2" t="s">
        <v>71</v>
      </c>
      <c r="BU344" s="2">
        <v>1</v>
      </c>
      <c r="BV344" s="2">
        <v>0</v>
      </c>
    </row>
    <row r="345" spans="1:74" ht="15" customHeight="1" x14ac:dyDescent="0.25">
      <c r="A345" s="75">
        <v>5804715</v>
      </c>
      <c r="B345" t="s">
        <v>1857</v>
      </c>
      <c r="C345" t="s">
        <v>1858</v>
      </c>
      <c r="D345" t="s">
        <v>1137</v>
      </c>
      <c r="E345" t="s">
        <v>87</v>
      </c>
      <c r="F345" s="75">
        <v>326</v>
      </c>
      <c r="G345" s="75">
        <v>286601</v>
      </c>
      <c r="H345">
        <v>364.96</v>
      </c>
      <c r="I345" t="s">
        <v>55</v>
      </c>
      <c r="J345" s="75">
        <v>218787</v>
      </c>
      <c r="K345" t="s">
        <v>96</v>
      </c>
      <c r="L345" t="s">
        <v>97</v>
      </c>
      <c r="M345" s="81">
        <v>46052.482372685183</v>
      </c>
      <c r="N345" s="81">
        <v>46056.727696759262</v>
      </c>
      <c r="O345" t="s">
        <v>58</v>
      </c>
      <c r="P345" t="s">
        <v>59</v>
      </c>
      <c r="Q345" t="s">
        <v>130</v>
      </c>
      <c r="R345" t="s">
        <v>131</v>
      </c>
      <c r="S345" t="s">
        <v>1273</v>
      </c>
      <c r="U345" s="75">
        <v>183135</v>
      </c>
      <c r="V345" t="s">
        <v>1859</v>
      </c>
      <c r="W345" t="s">
        <v>1859</v>
      </c>
      <c r="X345" t="s">
        <v>62</v>
      </c>
      <c r="Y345" t="s">
        <v>63</v>
      </c>
      <c r="AA345" t="s">
        <v>64</v>
      </c>
      <c r="AB345">
        <v>101.816667</v>
      </c>
      <c r="AC345">
        <v>96.15</v>
      </c>
      <c r="AD345">
        <v>5.6666670000000003</v>
      </c>
      <c r="AE345">
        <v>1.6667000000000001E-2</v>
      </c>
      <c r="AF345">
        <v>0</v>
      </c>
      <c r="AG345">
        <v>5.65</v>
      </c>
      <c r="AH345">
        <v>5.65</v>
      </c>
      <c r="AI345">
        <v>5.6333330000000004</v>
      </c>
      <c r="AJ345">
        <v>1.6667000000000001E-2</v>
      </c>
      <c r="AK345">
        <v>0</v>
      </c>
      <c r="AL345" s="76">
        <v>44917</v>
      </c>
      <c r="AM345" s="75">
        <v>1135</v>
      </c>
      <c r="AN345" t="s">
        <v>65</v>
      </c>
      <c r="AO345" t="s">
        <v>1860</v>
      </c>
      <c r="AP345" t="s">
        <v>67</v>
      </c>
      <c r="AQ345" t="s">
        <v>68</v>
      </c>
      <c r="AR345" t="s">
        <v>69</v>
      </c>
      <c r="AS345" s="79"/>
      <c r="AT345" s="82" t="s">
        <v>1722</v>
      </c>
      <c r="AU345" s="78">
        <v>2026</v>
      </c>
      <c r="AV345" s="78">
        <v>2</v>
      </c>
      <c r="AW345" s="78" t="s">
        <v>71</v>
      </c>
      <c r="AX345" s="78">
        <v>1</v>
      </c>
      <c r="AY345" s="78">
        <v>0</v>
      </c>
      <c r="BT345" s="3" t="s">
        <v>71</v>
      </c>
      <c r="BU345" s="3">
        <v>1</v>
      </c>
      <c r="BV345" s="3">
        <v>0</v>
      </c>
    </row>
    <row r="346" spans="1:74" ht="15" customHeight="1" x14ac:dyDescent="0.25">
      <c r="A346" s="75">
        <v>5803767</v>
      </c>
      <c r="B346" t="s">
        <v>1861</v>
      </c>
      <c r="C346" t="s">
        <v>210</v>
      </c>
      <c r="D346" t="s">
        <v>1137</v>
      </c>
      <c r="E346" t="s">
        <v>87</v>
      </c>
      <c r="F346" s="75">
        <v>422</v>
      </c>
      <c r="G346" s="75">
        <v>289265</v>
      </c>
      <c r="H346">
        <v>740.61</v>
      </c>
      <c r="I346" t="s">
        <v>55</v>
      </c>
      <c r="J346" s="75">
        <v>216233</v>
      </c>
      <c r="K346" t="s">
        <v>88</v>
      </c>
      <c r="L346" t="s">
        <v>89</v>
      </c>
      <c r="M346" s="81">
        <v>46051.799050925933</v>
      </c>
      <c r="N346" s="81">
        <v>46056.730856481481</v>
      </c>
      <c r="O346" t="s">
        <v>58</v>
      </c>
      <c r="P346" t="s">
        <v>59</v>
      </c>
      <c r="Q346" t="s">
        <v>90</v>
      </c>
      <c r="R346" t="s">
        <v>60</v>
      </c>
      <c r="S346" t="s">
        <v>583</v>
      </c>
      <c r="U346" s="75">
        <v>182721</v>
      </c>
      <c r="V346" t="s">
        <v>1862</v>
      </c>
      <c r="W346" t="s">
        <v>1863</v>
      </c>
      <c r="X346" t="s">
        <v>62</v>
      </c>
      <c r="Y346" t="s">
        <v>63</v>
      </c>
      <c r="AA346" t="s">
        <v>64</v>
      </c>
      <c r="AB346">
        <v>118.3</v>
      </c>
      <c r="AC346">
        <v>112.63333299999999</v>
      </c>
      <c r="AD346">
        <v>5.6666670000000003</v>
      </c>
      <c r="AE346">
        <v>0.15</v>
      </c>
      <c r="AF346">
        <v>0</v>
      </c>
      <c r="AG346">
        <v>5.516667</v>
      </c>
      <c r="AH346">
        <v>5.516667</v>
      </c>
      <c r="AI346">
        <v>5.3166669999999998</v>
      </c>
      <c r="AJ346">
        <v>0.2</v>
      </c>
      <c r="AK346">
        <v>0</v>
      </c>
      <c r="AL346" s="76">
        <v>45021</v>
      </c>
      <c r="AM346" s="75">
        <v>1030</v>
      </c>
      <c r="AN346" t="s">
        <v>65</v>
      </c>
      <c r="AO346" t="s">
        <v>212</v>
      </c>
      <c r="AP346" t="s">
        <v>67</v>
      </c>
      <c r="AQ346" t="s">
        <v>68</v>
      </c>
      <c r="AR346" t="s">
        <v>69</v>
      </c>
      <c r="AS346" s="78"/>
      <c r="AT346" s="82" t="s">
        <v>1722</v>
      </c>
      <c r="AU346" s="78">
        <v>2026</v>
      </c>
      <c r="AV346" s="78">
        <v>2</v>
      </c>
      <c r="AW346" s="78" t="s">
        <v>71</v>
      </c>
      <c r="AX346" s="78">
        <v>1</v>
      </c>
      <c r="AY346" s="78">
        <v>0</v>
      </c>
      <c r="BT346" s="2" t="s">
        <v>71</v>
      </c>
      <c r="BU346" s="2">
        <v>1</v>
      </c>
      <c r="BV346" s="2">
        <v>0</v>
      </c>
    </row>
    <row r="347" spans="1:74" ht="15" customHeight="1" x14ac:dyDescent="0.25">
      <c r="A347" s="75">
        <v>5802515</v>
      </c>
      <c r="B347" t="s">
        <v>1864</v>
      </c>
      <c r="C347" t="s">
        <v>1865</v>
      </c>
      <c r="D347" t="s">
        <v>1137</v>
      </c>
      <c r="E347" t="s">
        <v>54</v>
      </c>
      <c r="F347" s="75">
        <v>1</v>
      </c>
      <c r="G347" s="75">
        <v>298421</v>
      </c>
      <c r="H347">
        <v>12120.5</v>
      </c>
      <c r="I347" t="s">
        <v>55</v>
      </c>
      <c r="J347" s="75">
        <v>218753</v>
      </c>
      <c r="K347" t="s">
        <v>1463</v>
      </c>
      <c r="L347" t="s">
        <v>1464</v>
      </c>
      <c r="M347" s="81">
        <v>46051.442858796298</v>
      </c>
      <c r="N347" s="81">
        <v>46057.370034722233</v>
      </c>
      <c r="O347" t="s">
        <v>58</v>
      </c>
      <c r="P347" t="s">
        <v>59</v>
      </c>
      <c r="Q347" t="s">
        <v>341</v>
      </c>
      <c r="R347" t="s">
        <v>156</v>
      </c>
      <c r="S347" t="s">
        <v>1320</v>
      </c>
      <c r="T347" t="s">
        <v>1465</v>
      </c>
      <c r="U347" s="75">
        <v>184431</v>
      </c>
      <c r="V347" t="s">
        <v>1866</v>
      </c>
      <c r="X347" t="s">
        <v>118</v>
      </c>
      <c r="Y347" t="s">
        <v>1468</v>
      </c>
      <c r="AA347" t="s">
        <v>81</v>
      </c>
      <c r="AB347">
        <v>142.16666699999999</v>
      </c>
      <c r="AC347">
        <v>140.183334</v>
      </c>
      <c r="AD347">
        <v>1.983333</v>
      </c>
      <c r="AE347">
        <v>0.3</v>
      </c>
      <c r="AF347">
        <v>0</v>
      </c>
      <c r="AG347">
        <v>1.683333</v>
      </c>
      <c r="AH347">
        <v>1.683333</v>
      </c>
      <c r="AI347">
        <v>1.3333330000000001</v>
      </c>
      <c r="AJ347">
        <v>0.35</v>
      </c>
      <c r="AK347">
        <v>0</v>
      </c>
      <c r="AL347" s="76">
        <v>46163.644583333327</v>
      </c>
      <c r="AM347" s="75">
        <v>-112</v>
      </c>
      <c r="AN347" t="s">
        <v>1436</v>
      </c>
      <c r="AO347" t="s">
        <v>1469</v>
      </c>
      <c r="AP347" t="s">
        <v>67</v>
      </c>
      <c r="AQ347" t="s">
        <v>121</v>
      </c>
      <c r="AR347" t="s">
        <v>69</v>
      </c>
      <c r="AS347" s="79"/>
      <c r="AT347" s="82" t="s">
        <v>1722</v>
      </c>
      <c r="AU347" s="78">
        <v>2026</v>
      </c>
      <c r="AV347" s="78">
        <v>2</v>
      </c>
      <c r="AW347" s="78" t="s">
        <v>347</v>
      </c>
      <c r="AX347" s="78">
        <v>1</v>
      </c>
      <c r="AY347" s="78">
        <v>0</v>
      </c>
      <c r="BT347" s="3" t="s">
        <v>347</v>
      </c>
      <c r="BU347" s="3">
        <v>1</v>
      </c>
      <c r="BV347" s="3">
        <v>0</v>
      </c>
    </row>
    <row r="348" spans="1:74" ht="15" customHeight="1" x14ac:dyDescent="0.25">
      <c r="A348" s="75">
        <v>5804559</v>
      </c>
      <c r="B348" t="s">
        <v>1867</v>
      </c>
      <c r="C348" t="s">
        <v>852</v>
      </c>
      <c r="D348" t="s">
        <v>257</v>
      </c>
      <c r="E348" t="s">
        <v>87</v>
      </c>
      <c r="F348" s="75">
        <v>21</v>
      </c>
      <c r="G348" s="75">
        <v>290947</v>
      </c>
      <c r="H348">
        <v>0.01</v>
      </c>
      <c r="I348" t="s">
        <v>853</v>
      </c>
      <c r="J348" s="75">
        <v>52957</v>
      </c>
      <c r="K348" t="s">
        <v>575</v>
      </c>
      <c r="L348" t="s">
        <v>576</v>
      </c>
      <c r="M348" s="81">
        <v>46052.437916666669</v>
      </c>
      <c r="N348" s="81">
        <v>46057.455613425933</v>
      </c>
      <c r="O348" t="s">
        <v>58</v>
      </c>
      <c r="P348" t="s">
        <v>59</v>
      </c>
      <c r="Q348" t="s">
        <v>90</v>
      </c>
      <c r="R348" t="s">
        <v>60</v>
      </c>
      <c r="S348" t="s">
        <v>1868</v>
      </c>
      <c r="U348" s="75">
        <v>183175</v>
      </c>
      <c r="V348" t="s">
        <v>1869</v>
      </c>
      <c r="W348" t="s">
        <v>1870</v>
      </c>
      <c r="X348" t="s">
        <v>392</v>
      </c>
      <c r="Y348" t="s">
        <v>393</v>
      </c>
      <c r="AA348" t="s">
        <v>295</v>
      </c>
      <c r="AB348">
        <v>120.33333399999999</v>
      </c>
      <c r="AC348">
        <v>95.833333999999994</v>
      </c>
      <c r="AD348">
        <v>24.5</v>
      </c>
      <c r="AE348">
        <v>0.25</v>
      </c>
      <c r="AF348">
        <v>0</v>
      </c>
      <c r="AG348">
        <v>24.25</v>
      </c>
      <c r="AH348">
        <v>24.25</v>
      </c>
      <c r="AI348">
        <v>22.65</v>
      </c>
      <c r="AJ348">
        <v>1.6</v>
      </c>
      <c r="AK348">
        <v>0</v>
      </c>
      <c r="AL348" s="76">
        <v>45191</v>
      </c>
      <c r="AM348" s="75">
        <v>861</v>
      </c>
      <c r="AN348" t="s">
        <v>65</v>
      </c>
      <c r="AO348" t="s">
        <v>855</v>
      </c>
      <c r="AP348" t="s">
        <v>67</v>
      </c>
      <c r="AQ348" t="s">
        <v>121</v>
      </c>
      <c r="AR348" t="s">
        <v>69</v>
      </c>
      <c r="AS348" s="78"/>
      <c r="AT348" s="82" t="s">
        <v>1722</v>
      </c>
      <c r="AU348" s="78">
        <v>2026</v>
      </c>
      <c r="AV348" s="78">
        <v>2</v>
      </c>
      <c r="AW348" s="78" t="s">
        <v>392</v>
      </c>
      <c r="AX348" s="78">
        <v>0</v>
      </c>
      <c r="AY348" s="78">
        <v>1</v>
      </c>
      <c r="BT348" s="2" t="s">
        <v>392</v>
      </c>
      <c r="BU348" s="2">
        <v>0</v>
      </c>
      <c r="BV348" s="2">
        <v>1</v>
      </c>
    </row>
    <row r="349" spans="1:74" ht="15" customHeight="1" x14ac:dyDescent="0.25">
      <c r="A349" s="75">
        <v>5807019</v>
      </c>
      <c r="B349" t="s">
        <v>1871</v>
      </c>
      <c r="C349" t="s">
        <v>1872</v>
      </c>
      <c r="D349" t="s">
        <v>1137</v>
      </c>
      <c r="E349" t="s">
        <v>54</v>
      </c>
      <c r="F349" s="75">
        <v>73</v>
      </c>
      <c r="G349" s="75">
        <v>276223</v>
      </c>
      <c r="H349">
        <v>400</v>
      </c>
      <c r="I349" t="s">
        <v>242</v>
      </c>
      <c r="J349" s="75">
        <v>73599</v>
      </c>
      <c r="K349" t="s">
        <v>1021</v>
      </c>
      <c r="L349" t="s">
        <v>1022</v>
      </c>
      <c r="M349" s="81">
        <v>46053.71638888889</v>
      </c>
      <c r="N349" s="81">
        <v>46057.492719907408</v>
      </c>
      <c r="O349" t="s">
        <v>58</v>
      </c>
      <c r="P349" t="s">
        <v>59</v>
      </c>
      <c r="Q349" t="s">
        <v>77</v>
      </c>
      <c r="R349" t="s">
        <v>60</v>
      </c>
      <c r="S349" t="s">
        <v>1268</v>
      </c>
      <c r="U349" s="75">
        <v>183893</v>
      </c>
      <c r="V349" t="s">
        <v>1873</v>
      </c>
      <c r="W349" t="s">
        <v>1873</v>
      </c>
      <c r="X349" t="s">
        <v>79</v>
      </c>
      <c r="Y349" t="s">
        <v>246</v>
      </c>
      <c r="AA349" t="s">
        <v>64</v>
      </c>
      <c r="AB349">
        <v>90.549998000000002</v>
      </c>
      <c r="AC349">
        <v>83.383332999999993</v>
      </c>
      <c r="AD349">
        <v>7.1666650000000001</v>
      </c>
      <c r="AE349">
        <v>0.11666600000000001</v>
      </c>
      <c r="AF349">
        <v>0</v>
      </c>
      <c r="AG349">
        <v>7.0499989999999997</v>
      </c>
      <c r="AH349">
        <v>7.0499989999999997</v>
      </c>
      <c r="AI349">
        <v>6.8833330000000004</v>
      </c>
      <c r="AJ349">
        <v>0.16666600000000001</v>
      </c>
      <c r="AK349">
        <v>0</v>
      </c>
      <c r="AL349" s="76">
        <v>44522</v>
      </c>
      <c r="AM349" s="75">
        <v>1531</v>
      </c>
      <c r="AN349" t="s">
        <v>65</v>
      </c>
      <c r="AO349" t="s">
        <v>1874</v>
      </c>
      <c r="AP349" t="s">
        <v>67</v>
      </c>
      <c r="AQ349" t="s">
        <v>83</v>
      </c>
      <c r="AR349" t="s">
        <v>69</v>
      </c>
      <c r="AS349" s="79"/>
      <c r="AT349" s="82" t="s">
        <v>1722</v>
      </c>
      <c r="AU349" s="78">
        <v>2026</v>
      </c>
      <c r="AV349" s="78">
        <v>2</v>
      </c>
      <c r="AW349" s="78" t="s">
        <v>84</v>
      </c>
      <c r="AX349" s="78">
        <v>1</v>
      </c>
      <c r="AY349" s="78">
        <v>0</v>
      </c>
      <c r="BT349" s="3" t="s">
        <v>84</v>
      </c>
      <c r="BU349" s="3">
        <v>1</v>
      </c>
      <c r="BV349" s="3">
        <v>0</v>
      </c>
    </row>
    <row r="350" spans="1:74" ht="15" customHeight="1" x14ac:dyDescent="0.25">
      <c r="A350" s="75">
        <v>5807073</v>
      </c>
      <c r="B350" t="s">
        <v>1875</v>
      </c>
      <c r="C350" t="s">
        <v>1876</v>
      </c>
      <c r="D350" t="s">
        <v>257</v>
      </c>
      <c r="E350" t="s">
        <v>87</v>
      </c>
      <c r="F350" s="75">
        <v>5</v>
      </c>
      <c r="G350" s="75">
        <v>250791</v>
      </c>
      <c r="H350">
        <v>2569.87</v>
      </c>
      <c r="I350" t="s">
        <v>114</v>
      </c>
      <c r="J350" s="75">
        <v>204303</v>
      </c>
      <c r="K350" t="s">
        <v>1877</v>
      </c>
      <c r="L350" t="s">
        <v>1878</v>
      </c>
      <c r="M350" s="81">
        <v>46053.76421296296</v>
      </c>
      <c r="N350" s="81">
        <v>46057.500520833331</v>
      </c>
      <c r="O350" t="s">
        <v>58</v>
      </c>
      <c r="P350" t="s">
        <v>59</v>
      </c>
      <c r="Q350" t="s">
        <v>90</v>
      </c>
      <c r="R350" t="s">
        <v>60</v>
      </c>
      <c r="S350" t="s">
        <v>583</v>
      </c>
      <c r="U350" s="75">
        <v>183661</v>
      </c>
      <c r="V350" t="s">
        <v>1879</v>
      </c>
      <c r="W350" t="s">
        <v>1879</v>
      </c>
      <c r="X350" t="s">
        <v>118</v>
      </c>
      <c r="Y350" t="s">
        <v>400</v>
      </c>
      <c r="AA350" t="s">
        <v>64</v>
      </c>
      <c r="AB350">
        <v>89.633331999999996</v>
      </c>
      <c r="AC350">
        <v>78.366665999999995</v>
      </c>
      <c r="AD350">
        <v>11.266666000000001</v>
      </c>
      <c r="AE350">
        <v>3.4333330000000002</v>
      </c>
      <c r="AF350">
        <v>0</v>
      </c>
      <c r="AG350">
        <v>7.8333329999999997</v>
      </c>
      <c r="AH350">
        <v>7.8333329999999997</v>
      </c>
      <c r="AI350">
        <v>7.4</v>
      </c>
      <c r="AJ350">
        <v>0.43333300000000002</v>
      </c>
      <c r="AK350">
        <v>0</v>
      </c>
      <c r="AL350" s="76">
        <v>44638.369652777779</v>
      </c>
      <c r="AM350" s="75">
        <v>1415</v>
      </c>
      <c r="AN350" t="s">
        <v>65</v>
      </c>
      <c r="AO350" t="s">
        <v>1880</v>
      </c>
      <c r="AP350" t="s">
        <v>67</v>
      </c>
      <c r="AQ350" t="s">
        <v>121</v>
      </c>
      <c r="AR350" t="s">
        <v>69</v>
      </c>
      <c r="AS350" s="78"/>
      <c r="AT350" s="82" t="s">
        <v>1722</v>
      </c>
      <c r="AU350" s="78">
        <v>2026</v>
      </c>
      <c r="AV350" s="78">
        <v>2</v>
      </c>
      <c r="AW350" s="78" t="s">
        <v>122</v>
      </c>
      <c r="AX350" s="78">
        <v>1</v>
      </c>
      <c r="AY350" s="78">
        <v>0</v>
      </c>
      <c r="BT350" s="2" t="s">
        <v>122</v>
      </c>
      <c r="BU350" s="2">
        <v>1</v>
      </c>
      <c r="BV350" s="2">
        <v>0</v>
      </c>
    </row>
    <row r="351" spans="1:74" ht="15" customHeight="1" x14ac:dyDescent="0.25">
      <c r="A351" s="75">
        <v>5811177</v>
      </c>
      <c r="B351" t="s">
        <v>1881</v>
      </c>
      <c r="C351" t="s">
        <v>574</v>
      </c>
      <c r="D351" t="s">
        <v>1555</v>
      </c>
      <c r="E351" t="s">
        <v>87</v>
      </c>
      <c r="F351" s="75">
        <v>13</v>
      </c>
      <c r="G351" s="75">
        <v>290927</v>
      </c>
      <c r="H351">
        <v>2914.74</v>
      </c>
      <c r="I351" t="s">
        <v>114</v>
      </c>
      <c r="J351" s="75">
        <v>52957</v>
      </c>
      <c r="K351" t="s">
        <v>575</v>
      </c>
      <c r="L351" t="s">
        <v>576</v>
      </c>
      <c r="M351" s="81">
        <v>46056.544224537043</v>
      </c>
      <c r="N351" s="81">
        <v>46057.500532407408</v>
      </c>
      <c r="P351" t="s">
        <v>59</v>
      </c>
      <c r="Q351" t="s">
        <v>77</v>
      </c>
      <c r="R351" t="s">
        <v>99</v>
      </c>
      <c r="S351" t="s">
        <v>1375</v>
      </c>
      <c r="U351" s="75">
        <v>185639</v>
      </c>
      <c r="V351" t="s">
        <v>1882</v>
      </c>
      <c r="W351" t="s">
        <v>1883</v>
      </c>
      <c r="X351" t="s">
        <v>118</v>
      </c>
      <c r="Y351" t="s">
        <v>579</v>
      </c>
      <c r="AA351" t="s">
        <v>416</v>
      </c>
      <c r="AB351">
        <v>22.866667</v>
      </c>
      <c r="AC351">
        <v>10.25</v>
      </c>
      <c r="AD351">
        <v>12.616667</v>
      </c>
      <c r="AE351">
        <v>0.2</v>
      </c>
      <c r="AF351">
        <v>0</v>
      </c>
      <c r="AG351">
        <v>12.416667</v>
      </c>
      <c r="AH351">
        <v>12.416667</v>
      </c>
      <c r="AI351">
        <v>10.316667000000001</v>
      </c>
      <c r="AJ351">
        <v>2.1</v>
      </c>
      <c r="AK351">
        <v>0</v>
      </c>
      <c r="AL351" s="76">
        <v>45244</v>
      </c>
      <c r="AM351" s="75">
        <v>812</v>
      </c>
      <c r="AN351" t="s">
        <v>65</v>
      </c>
      <c r="AO351" t="s">
        <v>580</v>
      </c>
      <c r="AP351" t="s">
        <v>67</v>
      </c>
      <c r="AQ351" t="s">
        <v>121</v>
      </c>
      <c r="AR351" t="s">
        <v>69</v>
      </c>
      <c r="AS351" s="79"/>
      <c r="AT351" s="82" t="s">
        <v>1722</v>
      </c>
      <c r="AU351" s="78">
        <v>2026</v>
      </c>
      <c r="AV351" s="78">
        <v>2</v>
      </c>
      <c r="AW351" s="78" t="s">
        <v>347</v>
      </c>
      <c r="AX351" s="78">
        <v>0</v>
      </c>
      <c r="AY351" s="78">
        <v>0</v>
      </c>
      <c r="BT351" s="3" t="s">
        <v>347</v>
      </c>
      <c r="BU351" s="3">
        <v>0</v>
      </c>
      <c r="BV351" s="3">
        <v>0</v>
      </c>
    </row>
    <row r="352" spans="1:74" ht="15" customHeight="1" x14ac:dyDescent="0.25">
      <c r="A352" s="75">
        <v>5807801</v>
      </c>
      <c r="B352" t="s">
        <v>1884</v>
      </c>
      <c r="C352" t="s">
        <v>1885</v>
      </c>
      <c r="D352" t="s">
        <v>1137</v>
      </c>
      <c r="E352" t="s">
        <v>105</v>
      </c>
      <c r="F352" s="75">
        <v>1131</v>
      </c>
      <c r="G352" s="75">
        <v>333539</v>
      </c>
      <c r="H352">
        <v>456.52</v>
      </c>
      <c r="I352" t="s">
        <v>175</v>
      </c>
      <c r="J352" s="75">
        <v>83605</v>
      </c>
      <c r="K352" t="s">
        <v>844</v>
      </c>
      <c r="L352" t="s">
        <v>845</v>
      </c>
      <c r="M352" s="81">
        <v>46054.521423611113</v>
      </c>
      <c r="N352" s="81">
        <v>46057.518888888888</v>
      </c>
      <c r="O352" t="s">
        <v>58</v>
      </c>
      <c r="P352" t="s">
        <v>59</v>
      </c>
      <c r="Q352" t="s">
        <v>90</v>
      </c>
      <c r="R352" t="s">
        <v>60</v>
      </c>
      <c r="S352" t="s">
        <v>583</v>
      </c>
      <c r="U352" s="75">
        <v>183855</v>
      </c>
      <c r="V352" t="s">
        <v>1886</v>
      </c>
      <c r="W352" t="s">
        <v>1887</v>
      </c>
      <c r="X352" t="s">
        <v>62</v>
      </c>
      <c r="Y352" t="s">
        <v>63</v>
      </c>
      <c r="AA352" t="s">
        <v>416</v>
      </c>
      <c r="AB352">
        <v>71.883332999999993</v>
      </c>
      <c r="AC352">
        <v>48.25</v>
      </c>
      <c r="AD352">
        <v>23.633333</v>
      </c>
      <c r="AE352">
        <v>0.38333299999999998</v>
      </c>
      <c r="AF352">
        <v>0</v>
      </c>
      <c r="AG352">
        <v>23.25</v>
      </c>
      <c r="AH352">
        <v>23.25</v>
      </c>
      <c r="AI352">
        <v>23.1</v>
      </c>
      <c r="AJ352">
        <v>0.15</v>
      </c>
      <c r="AK352">
        <v>0</v>
      </c>
      <c r="AL352" s="76">
        <v>45895</v>
      </c>
      <c r="AM352" s="75">
        <v>159</v>
      </c>
      <c r="AN352" t="s">
        <v>65</v>
      </c>
      <c r="AO352" t="s">
        <v>1888</v>
      </c>
      <c r="AP352" t="s">
        <v>67</v>
      </c>
      <c r="AQ352" t="s">
        <v>68</v>
      </c>
      <c r="AR352" t="s">
        <v>69</v>
      </c>
      <c r="AS352" s="78"/>
      <c r="AT352" s="82" t="s">
        <v>1722</v>
      </c>
      <c r="AU352" s="78">
        <v>2026</v>
      </c>
      <c r="AV352" s="78">
        <v>2</v>
      </c>
      <c r="AW352" s="78" t="s">
        <v>71</v>
      </c>
      <c r="AX352" s="78">
        <v>0</v>
      </c>
      <c r="AY352" s="78">
        <v>0</v>
      </c>
      <c r="BT352" s="2" t="s">
        <v>71</v>
      </c>
      <c r="BU352" s="2">
        <v>0</v>
      </c>
      <c r="BV352" s="2">
        <v>0</v>
      </c>
    </row>
    <row r="353" spans="1:74" ht="15" customHeight="1" x14ac:dyDescent="0.25">
      <c r="A353" s="75">
        <v>5807361</v>
      </c>
      <c r="B353" t="s">
        <v>1889</v>
      </c>
      <c r="C353" t="s">
        <v>582</v>
      </c>
      <c r="D353" t="s">
        <v>257</v>
      </c>
      <c r="E353" t="s">
        <v>87</v>
      </c>
      <c r="F353" s="75">
        <v>544</v>
      </c>
      <c r="G353" s="75">
        <v>297135</v>
      </c>
      <c r="H353">
        <v>346.37</v>
      </c>
      <c r="I353" t="s">
        <v>55</v>
      </c>
      <c r="J353" s="75">
        <v>216233</v>
      </c>
      <c r="K353" t="s">
        <v>88</v>
      </c>
      <c r="L353" t="s">
        <v>89</v>
      </c>
      <c r="M353" s="81">
        <v>46054.125543981478</v>
      </c>
      <c r="N353" s="81">
        <v>46057.52103009259</v>
      </c>
      <c r="O353" t="s">
        <v>58</v>
      </c>
      <c r="P353" t="s">
        <v>59</v>
      </c>
      <c r="Q353" t="s">
        <v>90</v>
      </c>
      <c r="R353" t="s">
        <v>131</v>
      </c>
      <c r="S353" t="s">
        <v>1273</v>
      </c>
      <c r="U353" s="75">
        <v>183733</v>
      </c>
      <c r="V353" t="s">
        <v>1890</v>
      </c>
      <c r="W353" t="s">
        <v>1891</v>
      </c>
      <c r="X353" t="s">
        <v>62</v>
      </c>
      <c r="Y353" t="s">
        <v>63</v>
      </c>
      <c r="AA353" t="s">
        <v>64</v>
      </c>
      <c r="AB353">
        <v>81.416668000000001</v>
      </c>
      <c r="AC353">
        <v>70.283332999999999</v>
      </c>
      <c r="AD353">
        <v>11.133335000000001</v>
      </c>
      <c r="AE353">
        <v>5.4666670000000002</v>
      </c>
      <c r="AF353">
        <v>0</v>
      </c>
      <c r="AG353">
        <v>5.6666679999999996</v>
      </c>
      <c r="AH353">
        <v>5.6666679999999996</v>
      </c>
      <c r="AI353">
        <v>4.7333340000000002</v>
      </c>
      <c r="AJ353">
        <v>0.933334</v>
      </c>
      <c r="AK353">
        <v>0</v>
      </c>
      <c r="AL353" s="76">
        <v>45254.689884259264</v>
      </c>
      <c r="AM353" s="75">
        <v>799</v>
      </c>
      <c r="AN353" t="s">
        <v>65</v>
      </c>
      <c r="AO353" t="s">
        <v>585</v>
      </c>
      <c r="AP353" t="s">
        <v>67</v>
      </c>
      <c r="AQ353" t="s">
        <v>68</v>
      </c>
      <c r="AR353" t="s">
        <v>69</v>
      </c>
      <c r="AS353" s="79"/>
      <c r="AT353" s="82" t="s">
        <v>1722</v>
      </c>
      <c r="AU353" s="78">
        <v>2026</v>
      </c>
      <c r="AV353" s="78">
        <v>2</v>
      </c>
      <c r="AW353" s="78" t="s">
        <v>71</v>
      </c>
      <c r="AX353" s="78">
        <v>1</v>
      </c>
      <c r="AY353" s="78">
        <v>0</v>
      </c>
      <c r="BT353" s="3" t="s">
        <v>71</v>
      </c>
      <c r="BU353" s="3">
        <v>1</v>
      </c>
      <c r="BV353" s="3">
        <v>0</v>
      </c>
    </row>
    <row r="354" spans="1:74" ht="15" customHeight="1" x14ac:dyDescent="0.25">
      <c r="A354" s="75">
        <v>5808447</v>
      </c>
      <c r="B354" t="s">
        <v>1892</v>
      </c>
      <c r="C354" t="s">
        <v>1893</v>
      </c>
      <c r="D354" t="s">
        <v>257</v>
      </c>
      <c r="E354" t="s">
        <v>54</v>
      </c>
      <c r="F354" s="75">
        <v>53</v>
      </c>
      <c r="G354" s="75">
        <v>296339</v>
      </c>
      <c r="H354">
        <v>399</v>
      </c>
      <c r="I354" t="s">
        <v>114</v>
      </c>
      <c r="J354" s="75">
        <v>60121</v>
      </c>
      <c r="K354" t="s">
        <v>481</v>
      </c>
      <c r="L354" t="s">
        <v>482</v>
      </c>
      <c r="M354" s="81">
        <v>46055.375914351847</v>
      </c>
      <c r="N354" s="81">
        <v>46057.540659722217</v>
      </c>
      <c r="O354" t="s">
        <v>58</v>
      </c>
      <c r="P354" t="s">
        <v>59</v>
      </c>
      <c r="Q354" t="s">
        <v>77</v>
      </c>
      <c r="R354" t="s">
        <v>60</v>
      </c>
      <c r="S354" t="s">
        <v>1268</v>
      </c>
      <c r="U354" s="75">
        <v>184213</v>
      </c>
      <c r="V354" t="s">
        <v>1894</v>
      </c>
      <c r="W354" t="s">
        <v>1894</v>
      </c>
      <c r="X354" t="s">
        <v>79</v>
      </c>
      <c r="Y354" t="s">
        <v>246</v>
      </c>
      <c r="AA354" t="s">
        <v>64</v>
      </c>
      <c r="AB354">
        <v>51.916665999999999</v>
      </c>
      <c r="AC354">
        <v>46.833333000000003</v>
      </c>
      <c r="AD354">
        <v>5.0833329999999997</v>
      </c>
      <c r="AE354">
        <v>0.183333</v>
      </c>
      <c r="AF354">
        <v>0</v>
      </c>
      <c r="AG354">
        <v>4.9000000000000004</v>
      </c>
      <c r="AH354">
        <v>4.9000000000000004</v>
      </c>
      <c r="AI354">
        <v>4.7833329999999998</v>
      </c>
      <c r="AJ354">
        <v>0.11666700000000001</v>
      </c>
      <c r="AK354">
        <v>0</v>
      </c>
      <c r="AL354" s="76">
        <v>45272</v>
      </c>
      <c r="AM354" s="75">
        <v>783</v>
      </c>
      <c r="AN354" t="s">
        <v>65</v>
      </c>
      <c r="AO354" t="s">
        <v>1895</v>
      </c>
      <c r="AP354" t="s">
        <v>67</v>
      </c>
      <c r="AQ354" t="s">
        <v>83</v>
      </c>
      <c r="AR354" t="s">
        <v>69</v>
      </c>
      <c r="AS354" s="78"/>
      <c r="AT354" s="82" t="s">
        <v>1722</v>
      </c>
      <c r="AU354" s="78">
        <v>2026</v>
      </c>
      <c r="AV354" s="78">
        <v>2</v>
      </c>
      <c r="AW354" s="78" t="s">
        <v>84</v>
      </c>
      <c r="AX354" s="78">
        <v>1</v>
      </c>
      <c r="AY354" s="78">
        <v>0</v>
      </c>
      <c r="BT354" s="2" t="s">
        <v>84</v>
      </c>
      <c r="BU354" s="2">
        <v>1</v>
      </c>
      <c r="BV354" s="2">
        <v>0</v>
      </c>
    </row>
    <row r="355" spans="1:74" ht="15" customHeight="1" x14ac:dyDescent="0.25">
      <c r="A355" s="75">
        <v>5810971</v>
      </c>
      <c r="B355" t="s">
        <v>1896</v>
      </c>
      <c r="C355" t="s">
        <v>1897</v>
      </c>
      <c r="D355" t="s">
        <v>257</v>
      </c>
      <c r="E355" t="s">
        <v>54</v>
      </c>
      <c r="F355" s="75">
        <v>1</v>
      </c>
      <c r="G355" s="75">
        <v>292855</v>
      </c>
      <c r="H355">
        <v>1047.25</v>
      </c>
      <c r="I355" t="s">
        <v>114</v>
      </c>
      <c r="J355" s="75">
        <v>217945</v>
      </c>
      <c r="K355" t="s">
        <v>1343</v>
      </c>
      <c r="L355" t="s">
        <v>1344</v>
      </c>
      <c r="M355" s="81">
        <v>46056.471145833333</v>
      </c>
      <c r="N355" s="81">
        <v>46057.581643518519</v>
      </c>
      <c r="O355" t="s">
        <v>58</v>
      </c>
      <c r="P355" t="s">
        <v>59</v>
      </c>
      <c r="Q355" t="s">
        <v>130</v>
      </c>
      <c r="R355" t="s">
        <v>99</v>
      </c>
      <c r="S355" t="s">
        <v>1244</v>
      </c>
      <c r="U355" s="75">
        <v>185867</v>
      </c>
      <c r="V355" t="s">
        <v>1898</v>
      </c>
      <c r="W355" t="s">
        <v>1898</v>
      </c>
      <c r="X355" t="s">
        <v>118</v>
      </c>
      <c r="Y355" t="s">
        <v>1346</v>
      </c>
      <c r="AA355" t="s">
        <v>64</v>
      </c>
      <c r="AB355">
        <v>26.583334000000001</v>
      </c>
      <c r="AC355">
        <v>18.649999999999999</v>
      </c>
      <c r="AD355">
        <v>7.9333340000000003</v>
      </c>
      <c r="AE355">
        <v>0.28333399999999997</v>
      </c>
      <c r="AF355">
        <v>0</v>
      </c>
      <c r="AG355">
        <v>7.65</v>
      </c>
      <c r="AH355">
        <v>7.65</v>
      </c>
      <c r="AI355">
        <v>7.233333</v>
      </c>
      <c r="AJ355">
        <v>0.41666700000000001</v>
      </c>
      <c r="AK355">
        <v>0</v>
      </c>
      <c r="AL355" s="76">
        <v>45201.729178240741</v>
      </c>
      <c r="AM355" s="75">
        <v>854</v>
      </c>
      <c r="AN355" t="s">
        <v>65</v>
      </c>
      <c r="AO355" t="s">
        <v>1347</v>
      </c>
      <c r="AP355" t="s">
        <v>67</v>
      </c>
      <c r="AQ355" t="s">
        <v>121</v>
      </c>
      <c r="AR355" t="s">
        <v>69</v>
      </c>
      <c r="AS355" s="79"/>
      <c r="AT355" s="82" t="s">
        <v>1722</v>
      </c>
      <c r="AU355" s="78">
        <v>2026</v>
      </c>
      <c r="AV355" s="78">
        <v>2</v>
      </c>
      <c r="AW355" s="78" t="s">
        <v>347</v>
      </c>
      <c r="AX355" s="78">
        <v>1</v>
      </c>
      <c r="AY355" s="78">
        <v>0</v>
      </c>
      <c r="BT355" s="3" t="s">
        <v>347</v>
      </c>
      <c r="BU355" s="3">
        <v>1</v>
      </c>
      <c r="BV355" s="3">
        <v>0</v>
      </c>
    </row>
    <row r="356" spans="1:74" ht="15" customHeight="1" x14ac:dyDescent="0.25">
      <c r="A356" s="75">
        <v>5809401</v>
      </c>
      <c r="B356" t="s">
        <v>1899</v>
      </c>
      <c r="C356" t="s">
        <v>1900</v>
      </c>
      <c r="D356" t="s">
        <v>1137</v>
      </c>
      <c r="E356" t="s">
        <v>87</v>
      </c>
      <c r="F356" s="75">
        <v>127</v>
      </c>
      <c r="G356" s="75">
        <v>327291</v>
      </c>
      <c r="H356">
        <v>517.82000000000005</v>
      </c>
      <c r="I356" t="s">
        <v>175</v>
      </c>
      <c r="J356" s="75">
        <v>203659</v>
      </c>
      <c r="K356" t="s">
        <v>1090</v>
      </c>
      <c r="L356" t="s">
        <v>1091</v>
      </c>
      <c r="M356" s="81">
        <v>46055.615243055552</v>
      </c>
      <c r="N356" s="81">
        <v>46057.633032407408</v>
      </c>
      <c r="O356" t="s">
        <v>58</v>
      </c>
      <c r="P356" t="s">
        <v>59</v>
      </c>
      <c r="Q356" t="s">
        <v>77</v>
      </c>
      <c r="R356" t="s">
        <v>144</v>
      </c>
      <c r="S356" t="s">
        <v>1901</v>
      </c>
      <c r="T356" t="s">
        <v>507</v>
      </c>
      <c r="U356" s="75">
        <v>184831</v>
      </c>
      <c r="V356" t="s">
        <v>1902</v>
      </c>
      <c r="W356" t="s">
        <v>1903</v>
      </c>
      <c r="X356" t="s">
        <v>62</v>
      </c>
      <c r="Y356" t="s">
        <v>1904</v>
      </c>
      <c r="AA356" t="s">
        <v>101</v>
      </c>
      <c r="AB356">
        <v>48.35</v>
      </c>
      <c r="AC356">
        <v>37.75</v>
      </c>
      <c r="AD356">
        <v>10.6</v>
      </c>
      <c r="AE356">
        <v>0.1</v>
      </c>
      <c r="AF356">
        <v>0</v>
      </c>
      <c r="AG356">
        <v>10.5</v>
      </c>
      <c r="AH356">
        <v>10.5</v>
      </c>
      <c r="AI356">
        <v>9.9666669999999993</v>
      </c>
      <c r="AJ356">
        <v>0.53333299999999995</v>
      </c>
      <c r="AK356">
        <v>0</v>
      </c>
      <c r="AL356" s="76">
        <v>45845</v>
      </c>
      <c r="AM356" s="75">
        <v>210</v>
      </c>
      <c r="AN356" t="s">
        <v>65</v>
      </c>
      <c r="AO356" t="s">
        <v>1905</v>
      </c>
      <c r="AP356" t="s">
        <v>67</v>
      </c>
      <c r="AQ356" t="s">
        <v>68</v>
      </c>
      <c r="AR356" t="s">
        <v>69</v>
      </c>
      <c r="AS356" s="78"/>
      <c r="AT356" s="82" t="s">
        <v>1722</v>
      </c>
      <c r="AU356" s="78">
        <v>2026</v>
      </c>
      <c r="AV356" s="78">
        <v>2</v>
      </c>
      <c r="AW356" s="78" t="s">
        <v>137</v>
      </c>
      <c r="AX356" s="78">
        <v>0</v>
      </c>
      <c r="AY356" s="78">
        <v>0</v>
      </c>
      <c r="BT356" s="2" t="s">
        <v>137</v>
      </c>
      <c r="BU356" s="2">
        <v>0</v>
      </c>
      <c r="BV356" s="2">
        <v>0</v>
      </c>
    </row>
    <row r="357" spans="1:74" ht="15" customHeight="1" x14ac:dyDescent="0.25">
      <c r="A357" s="75">
        <v>5810373</v>
      </c>
      <c r="B357" t="s">
        <v>1906</v>
      </c>
      <c r="C357" t="s">
        <v>1907</v>
      </c>
      <c r="D357" t="s">
        <v>150</v>
      </c>
      <c r="E357" t="s">
        <v>87</v>
      </c>
      <c r="F357" s="75">
        <v>272</v>
      </c>
      <c r="G357" s="75">
        <v>286389</v>
      </c>
      <c r="H357">
        <v>364.96</v>
      </c>
      <c r="I357" t="s">
        <v>55</v>
      </c>
      <c r="J357" s="75">
        <v>218787</v>
      </c>
      <c r="K357" t="s">
        <v>96</v>
      </c>
      <c r="L357" t="s">
        <v>97</v>
      </c>
      <c r="M357" s="81">
        <v>46056.125358796293</v>
      </c>
      <c r="N357" s="81">
        <v>46057.638981481483</v>
      </c>
      <c r="O357" t="s">
        <v>58</v>
      </c>
      <c r="P357" t="s">
        <v>59</v>
      </c>
      <c r="Q357" t="s">
        <v>90</v>
      </c>
      <c r="R357" t="s">
        <v>131</v>
      </c>
      <c r="S357" t="s">
        <v>1316</v>
      </c>
      <c r="U357" s="75">
        <v>185651</v>
      </c>
      <c r="V357" t="s">
        <v>1908</v>
      </c>
      <c r="W357" t="s">
        <v>1909</v>
      </c>
      <c r="X357" t="s">
        <v>62</v>
      </c>
      <c r="Y357" t="s">
        <v>63</v>
      </c>
      <c r="AA357" t="s">
        <v>101</v>
      </c>
      <c r="AB357">
        <v>36.216665999999996</v>
      </c>
      <c r="AC357">
        <v>24.916667</v>
      </c>
      <c r="AD357">
        <v>11.299999</v>
      </c>
      <c r="AE357">
        <v>0.11666600000000001</v>
      </c>
      <c r="AF357">
        <v>0</v>
      </c>
      <c r="AG357">
        <v>11.183332999999999</v>
      </c>
      <c r="AH357">
        <v>11.183332999999999</v>
      </c>
      <c r="AI357">
        <v>10.783333000000001</v>
      </c>
      <c r="AJ357">
        <v>0.4</v>
      </c>
      <c r="AK357">
        <v>0</v>
      </c>
      <c r="AL357" s="76">
        <v>44972</v>
      </c>
      <c r="AM357" s="75">
        <v>1084</v>
      </c>
      <c r="AN357" t="s">
        <v>65</v>
      </c>
      <c r="AO357" t="s">
        <v>1910</v>
      </c>
      <c r="AP357" t="s">
        <v>67</v>
      </c>
      <c r="AQ357" t="s">
        <v>68</v>
      </c>
      <c r="AR357" t="s">
        <v>69</v>
      </c>
      <c r="AS357" s="79"/>
      <c r="AT357" s="82" t="s">
        <v>1722</v>
      </c>
      <c r="AU357" s="78">
        <v>2026</v>
      </c>
      <c r="AV357" s="78">
        <v>2</v>
      </c>
      <c r="AW357" s="78" t="s">
        <v>71</v>
      </c>
      <c r="AX357" s="78">
        <v>0</v>
      </c>
      <c r="AY357" s="78">
        <v>0</v>
      </c>
      <c r="BT357" s="3" t="s">
        <v>71</v>
      </c>
      <c r="BU357" s="3">
        <v>0</v>
      </c>
      <c r="BV357" s="3">
        <v>0</v>
      </c>
    </row>
    <row r="358" spans="1:74" ht="15" customHeight="1" x14ac:dyDescent="0.25">
      <c r="A358" s="75">
        <v>5811083</v>
      </c>
      <c r="B358" t="s">
        <v>1911</v>
      </c>
      <c r="C358" t="s">
        <v>1912</v>
      </c>
      <c r="D358" t="s">
        <v>1137</v>
      </c>
      <c r="E358" t="s">
        <v>87</v>
      </c>
      <c r="F358" s="75">
        <v>38</v>
      </c>
      <c r="G358" s="75">
        <v>275263</v>
      </c>
      <c r="H358">
        <v>368.16</v>
      </c>
      <c r="I358" t="s">
        <v>55</v>
      </c>
      <c r="J358" s="75">
        <v>218791</v>
      </c>
      <c r="K358" t="s">
        <v>312</v>
      </c>
      <c r="L358" t="s">
        <v>313</v>
      </c>
      <c r="M358" s="81">
        <v>46056.500601851847</v>
      </c>
      <c r="N358" s="81">
        <v>46057.650891203702</v>
      </c>
      <c r="O358" t="s">
        <v>58</v>
      </c>
      <c r="P358" t="s">
        <v>59</v>
      </c>
      <c r="Q358" t="s">
        <v>90</v>
      </c>
      <c r="R358" t="s">
        <v>60</v>
      </c>
      <c r="S358" t="s">
        <v>583</v>
      </c>
      <c r="U358" s="75">
        <v>185423</v>
      </c>
      <c r="V358" t="s">
        <v>1913</v>
      </c>
      <c r="W358" t="s">
        <v>1913</v>
      </c>
      <c r="X358" t="s">
        <v>62</v>
      </c>
      <c r="Y358" t="s">
        <v>63</v>
      </c>
      <c r="AA358" t="s">
        <v>64</v>
      </c>
      <c r="AB358">
        <v>27.549999</v>
      </c>
      <c r="AC358">
        <v>22.183333000000001</v>
      </c>
      <c r="AD358">
        <v>5.3666660000000004</v>
      </c>
      <c r="AE358">
        <v>0.13333300000000001</v>
      </c>
      <c r="AF358">
        <v>0</v>
      </c>
      <c r="AG358">
        <v>5.233333</v>
      </c>
      <c r="AH358">
        <v>5.233333</v>
      </c>
      <c r="AI358">
        <v>5.05</v>
      </c>
      <c r="AJ358">
        <v>0.183333</v>
      </c>
      <c r="AK358">
        <v>0</v>
      </c>
      <c r="AL358" s="76">
        <v>44841.391076388893</v>
      </c>
      <c r="AM358" s="75">
        <v>1215</v>
      </c>
      <c r="AN358" t="s">
        <v>65</v>
      </c>
      <c r="AO358" t="s">
        <v>1914</v>
      </c>
      <c r="AP358" t="s">
        <v>67</v>
      </c>
      <c r="AQ358" t="s">
        <v>68</v>
      </c>
      <c r="AR358" t="s">
        <v>69</v>
      </c>
      <c r="AS358" s="78"/>
      <c r="AT358" s="82" t="s">
        <v>1722</v>
      </c>
      <c r="AU358" s="78">
        <v>2026</v>
      </c>
      <c r="AV358" s="78">
        <v>2</v>
      </c>
      <c r="AW358" s="78" t="s">
        <v>71</v>
      </c>
      <c r="AX358" s="78">
        <v>1</v>
      </c>
      <c r="AY358" s="78">
        <v>0</v>
      </c>
      <c r="BT358" s="2" t="s">
        <v>71</v>
      </c>
      <c r="BU358" s="2">
        <v>1</v>
      </c>
      <c r="BV358" s="2">
        <v>0</v>
      </c>
    </row>
    <row r="359" spans="1:74" ht="15" customHeight="1" x14ac:dyDescent="0.25">
      <c r="A359" s="75">
        <v>5812661</v>
      </c>
      <c r="B359" t="s">
        <v>1915</v>
      </c>
      <c r="C359" t="s">
        <v>1916</v>
      </c>
      <c r="D359" t="s">
        <v>527</v>
      </c>
      <c r="E359" t="s">
        <v>87</v>
      </c>
      <c r="F359" s="75">
        <v>295</v>
      </c>
      <c r="G359" s="75">
        <v>286465</v>
      </c>
      <c r="H359">
        <v>364.96</v>
      </c>
      <c r="I359" t="s">
        <v>55</v>
      </c>
      <c r="J359" s="75">
        <v>218787</v>
      </c>
      <c r="K359" t="s">
        <v>96</v>
      </c>
      <c r="L359" t="s">
        <v>97</v>
      </c>
      <c r="M359" s="81">
        <v>46057.445115740738</v>
      </c>
      <c r="N359" s="81">
        <v>46058.508553240739</v>
      </c>
      <c r="O359" t="s">
        <v>58</v>
      </c>
      <c r="P359" t="s">
        <v>59</v>
      </c>
      <c r="Q359" t="s">
        <v>90</v>
      </c>
      <c r="R359" t="s">
        <v>60</v>
      </c>
      <c r="S359" t="s">
        <v>1268</v>
      </c>
      <c r="U359" s="75">
        <v>186377</v>
      </c>
      <c r="V359" t="s">
        <v>1917</v>
      </c>
      <c r="W359" t="s">
        <v>1918</v>
      </c>
      <c r="X359" t="s">
        <v>62</v>
      </c>
      <c r="Y359" t="s">
        <v>63</v>
      </c>
      <c r="AA359" t="s">
        <v>101</v>
      </c>
      <c r="AB359">
        <v>25.416665999999999</v>
      </c>
      <c r="AC359">
        <v>16.283332999999999</v>
      </c>
      <c r="AD359">
        <v>9.1333330000000004</v>
      </c>
      <c r="AE359">
        <v>0.13333300000000001</v>
      </c>
      <c r="AF359">
        <v>0</v>
      </c>
      <c r="AG359">
        <v>9</v>
      </c>
      <c r="AH359">
        <v>9</v>
      </c>
      <c r="AI359">
        <v>8.4</v>
      </c>
      <c r="AJ359">
        <v>0.6</v>
      </c>
      <c r="AK359">
        <v>0</v>
      </c>
      <c r="AL359" s="76">
        <v>44922</v>
      </c>
      <c r="AM359" s="75">
        <v>1135</v>
      </c>
      <c r="AN359" t="s">
        <v>65</v>
      </c>
      <c r="AO359" t="s">
        <v>1919</v>
      </c>
      <c r="AP359" t="s">
        <v>67</v>
      </c>
      <c r="AQ359" t="s">
        <v>68</v>
      </c>
      <c r="AR359" t="s">
        <v>69</v>
      </c>
      <c r="AS359" s="79"/>
      <c r="AT359" s="82" t="s">
        <v>1722</v>
      </c>
      <c r="AU359" s="78">
        <v>2026</v>
      </c>
      <c r="AV359" s="78">
        <v>2</v>
      </c>
      <c r="AW359" s="78" t="s">
        <v>71</v>
      </c>
      <c r="AX359" s="78">
        <v>0</v>
      </c>
      <c r="AY359" s="78">
        <v>0</v>
      </c>
      <c r="BT359" s="3" t="s">
        <v>71</v>
      </c>
      <c r="BU359" s="3">
        <v>0</v>
      </c>
      <c r="BV359" s="3">
        <v>0</v>
      </c>
    </row>
    <row r="360" spans="1:74" ht="15" customHeight="1" x14ac:dyDescent="0.25">
      <c r="A360" s="75">
        <v>5814267</v>
      </c>
      <c r="B360" t="s">
        <v>1920</v>
      </c>
      <c r="C360" t="s">
        <v>1793</v>
      </c>
      <c r="D360" t="s">
        <v>527</v>
      </c>
      <c r="E360" t="s">
        <v>87</v>
      </c>
      <c r="F360" s="75">
        <v>2</v>
      </c>
      <c r="G360" s="75">
        <v>280781</v>
      </c>
      <c r="H360">
        <v>6464.5</v>
      </c>
      <c r="I360" t="s">
        <v>242</v>
      </c>
      <c r="J360" s="75">
        <v>209013</v>
      </c>
      <c r="K360" t="s">
        <v>243</v>
      </c>
      <c r="L360" t="s">
        <v>244</v>
      </c>
      <c r="M360" s="81">
        <v>46058.437951388893</v>
      </c>
      <c r="N360" s="81">
        <v>46058.517789351848</v>
      </c>
      <c r="O360" t="s">
        <v>58</v>
      </c>
      <c r="P360" t="s">
        <v>59</v>
      </c>
      <c r="Q360" t="s">
        <v>90</v>
      </c>
      <c r="R360" t="s">
        <v>144</v>
      </c>
      <c r="S360" t="s">
        <v>1794</v>
      </c>
      <c r="U360" s="75">
        <v>186829</v>
      </c>
      <c r="V360" t="s">
        <v>1921</v>
      </c>
      <c r="W360" t="s">
        <v>1921</v>
      </c>
      <c r="X360" t="s">
        <v>79</v>
      </c>
      <c r="Y360" t="s">
        <v>110</v>
      </c>
      <c r="AA360" t="s">
        <v>81</v>
      </c>
      <c r="AB360">
        <v>1.8666659999999999</v>
      </c>
      <c r="AC360">
        <v>3.3333000000000002E-2</v>
      </c>
      <c r="AD360">
        <v>1.8333330000000001</v>
      </c>
      <c r="AE360">
        <v>0.183333</v>
      </c>
      <c r="AF360">
        <v>0</v>
      </c>
      <c r="AG360">
        <v>1.65</v>
      </c>
      <c r="AH360">
        <v>1.65</v>
      </c>
      <c r="AI360">
        <v>1.5333330000000001</v>
      </c>
      <c r="AJ360">
        <v>0.11666700000000001</v>
      </c>
      <c r="AK360">
        <v>0</v>
      </c>
      <c r="AL360" s="76">
        <v>44834</v>
      </c>
      <c r="AM360" s="75">
        <v>1224</v>
      </c>
      <c r="AN360" t="s">
        <v>65</v>
      </c>
      <c r="AO360" t="s">
        <v>1796</v>
      </c>
      <c r="AP360" t="s">
        <v>67</v>
      </c>
      <c r="AQ360" t="s">
        <v>83</v>
      </c>
      <c r="AR360" t="s">
        <v>69</v>
      </c>
      <c r="AS360" s="78"/>
      <c r="AT360" s="82" t="s">
        <v>1722</v>
      </c>
      <c r="AU360" s="78">
        <v>2026</v>
      </c>
      <c r="AV360" s="78">
        <v>2</v>
      </c>
      <c r="AW360" s="78" t="s">
        <v>84</v>
      </c>
      <c r="AX360" s="78">
        <v>1</v>
      </c>
      <c r="AY360" s="78">
        <v>0</v>
      </c>
      <c r="BT360" s="2" t="s">
        <v>84</v>
      </c>
      <c r="BU360" s="2">
        <v>1</v>
      </c>
      <c r="BV360" s="2">
        <v>0</v>
      </c>
    </row>
    <row r="361" spans="1:74" ht="15" customHeight="1" x14ac:dyDescent="0.25">
      <c r="A361" s="75">
        <v>5810467</v>
      </c>
      <c r="B361" t="s">
        <v>1922</v>
      </c>
      <c r="C361" t="s">
        <v>1923</v>
      </c>
      <c r="D361" t="s">
        <v>527</v>
      </c>
      <c r="E361" t="s">
        <v>54</v>
      </c>
      <c r="F361" s="75">
        <v>80</v>
      </c>
      <c r="G361" s="75">
        <v>293497</v>
      </c>
      <c r="H361">
        <v>367.96</v>
      </c>
      <c r="I361" t="s">
        <v>114</v>
      </c>
      <c r="J361" s="75">
        <v>212603</v>
      </c>
      <c r="K361" t="s">
        <v>538</v>
      </c>
      <c r="L361" t="s">
        <v>539</v>
      </c>
      <c r="M361" s="81">
        <v>46056.333773148152</v>
      </c>
      <c r="N361" s="81">
        <v>46058.541875000003</v>
      </c>
      <c r="O361" t="s">
        <v>475</v>
      </c>
      <c r="P361" t="s">
        <v>59</v>
      </c>
      <c r="Q361" t="s">
        <v>90</v>
      </c>
      <c r="R361" t="s">
        <v>99</v>
      </c>
      <c r="S361" t="s">
        <v>1244</v>
      </c>
      <c r="U361" s="75">
        <v>185101</v>
      </c>
      <c r="V361" t="s">
        <v>1924</v>
      </c>
      <c r="X361" t="s">
        <v>79</v>
      </c>
      <c r="Y361" t="s">
        <v>110</v>
      </c>
      <c r="AA361" t="s">
        <v>81</v>
      </c>
      <c r="AB361">
        <v>52.950001</v>
      </c>
      <c r="AC361">
        <v>50.466667000000001</v>
      </c>
      <c r="AD361">
        <v>2.4833340000000002</v>
      </c>
      <c r="AE361">
        <v>1.283334</v>
      </c>
      <c r="AF361">
        <v>0</v>
      </c>
      <c r="AG361">
        <v>1.2</v>
      </c>
      <c r="AH361">
        <v>1.2</v>
      </c>
      <c r="AI361">
        <v>1.2</v>
      </c>
      <c r="AJ361">
        <v>0</v>
      </c>
      <c r="AK361">
        <v>0</v>
      </c>
      <c r="AL361" s="76">
        <v>45171</v>
      </c>
      <c r="AM361" s="75">
        <v>885</v>
      </c>
      <c r="AN361" t="s">
        <v>65</v>
      </c>
      <c r="AO361" t="s">
        <v>1925</v>
      </c>
      <c r="AP361" t="s">
        <v>67</v>
      </c>
      <c r="AQ361" t="s">
        <v>83</v>
      </c>
      <c r="AR361" t="s">
        <v>69</v>
      </c>
      <c r="AS361" s="79"/>
      <c r="AT361" s="82" t="s">
        <v>1722</v>
      </c>
      <c r="AU361" s="78">
        <v>2026</v>
      </c>
      <c r="AV361" s="78">
        <v>2</v>
      </c>
      <c r="AW361" s="78" t="s">
        <v>84</v>
      </c>
      <c r="AX361" s="78">
        <v>1</v>
      </c>
      <c r="AY361" s="78">
        <v>0</v>
      </c>
      <c r="BT361" s="3" t="s">
        <v>84</v>
      </c>
      <c r="BU361" s="3">
        <v>1</v>
      </c>
      <c r="BV361" s="3">
        <v>0</v>
      </c>
    </row>
    <row r="362" spans="1:74" ht="15" customHeight="1" x14ac:dyDescent="0.25">
      <c r="A362" s="75">
        <v>5809733</v>
      </c>
      <c r="B362" t="s">
        <v>1926</v>
      </c>
      <c r="C362" t="s">
        <v>452</v>
      </c>
      <c r="D362" t="s">
        <v>527</v>
      </c>
      <c r="E362" t="s">
        <v>54</v>
      </c>
      <c r="F362" s="75">
        <v>1</v>
      </c>
      <c r="G362" s="75">
        <v>331211</v>
      </c>
      <c r="H362">
        <v>800</v>
      </c>
      <c r="I362" t="s">
        <v>141</v>
      </c>
      <c r="J362" s="75">
        <v>225435</v>
      </c>
      <c r="K362" t="s">
        <v>453</v>
      </c>
      <c r="L362" t="s">
        <v>454</v>
      </c>
      <c r="M362" s="81">
        <v>46055.686215277783</v>
      </c>
      <c r="N362" s="81">
        <v>46058.546006944453</v>
      </c>
      <c r="O362" t="s">
        <v>58</v>
      </c>
      <c r="P362" t="s">
        <v>59</v>
      </c>
      <c r="Q362" t="s">
        <v>77</v>
      </c>
      <c r="R362" t="s">
        <v>131</v>
      </c>
      <c r="S362" t="s">
        <v>1273</v>
      </c>
      <c r="U362" s="75">
        <v>184813</v>
      </c>
      <c r="V362" t="s">
        <v>1927</v>
      </c>
      <c r="W362" t="s">
        <v>1927</v>
      </c>
      <c r="X362" t="s">
        <v>62</v>
      </c>
      <c r="Y362" t="s">
        <v>63</v>
      </c>
      <c r="AA362" t="s">
        <v>101</v>
      </c>
      <c r="AB362">
        <v>68.566666999999995</v>
      </c>
      <c r="AC362">
        <v>57.5</v>
      </c>
      <c r="AD362">
        <v>11.066667000000001</v>
      </c>
      <c r="AE362">
        <v>0.11666700000000001</v>
      </c>
      <c r="AF362">
        <v>0</v>
      </c>
      <c r="AG362">
        <v>10.95</v>
      </c>
      <c r="AH362">
        <v>10.95</v>
      </c>
      <c r="AI362">
        <v>8.75</v>
      </c>
      <c r="AJ362">
        <v>2.2000000000000002</v>
      </c>
      <c r="AK362">
        <v>0</v>
      </c>
      <c r="AL362" s="76">
        <v>45796.459490740737</v>
      </c>
      <c r="AM362" s="75">
        <v>259</v>
      </c>
      <c r="AN362" t="s">
        <v>65</v>
      </c>
      <c r="AO362" t="s">
        <v>457</v>
      </c>
      <c r="AP362" t="s">
        <v>67</v>
      </c>
      <c r="AQ362" t="s">
        <v>68</v>
      </c>
      <c r="AR362" t="s">
        <v>69</v>
      </c>
      <c r="AS362" s="78"/>
      <c r="AT362" s="82" t="s">
        <v>1722</v>
      </c>
      <c r="AU362" s="78">
        <v>2026</v>
      </c>
      <c r="AV362" s="78">
        <v>2</v>
      </c>
      <c r="AW362" s="78" t="s">
        <v>71</v>
      </c>
      <c r="AX362" s="78">
        <v>0</v>
      </c>
      <c r="AY362" s="78">
        <v>0</v>
      </c>
      <c r="BT362" s="2" t="s">
        <v>71</v>
      </c>
      <c r="BU362" s="2">
        <v>0</v>
      </c>
      <c r="BV362" s="2">
        <v>0</v>
      </c>
    </row>
    <row r="363" spans="1:74" ht="15" customHeight="1" x14ac:dyDescent="0.25">
      <c r="A363" s="75">
        <v>5812887</v>
      </c>
      <c r="B363" t="s">
        <v>1928</v>
      </c>
      <c r="C363" t="s">
        <v>1929</v>
      </c>
      <c r="D363" t="s">
        <v>527</v>
      </c>
      <c r="E363" t="s">
        <v>87</v>
      </c>
      <c r="F363" s="75">
        <v>68</v>
      </c>
      <c r="G363" s="75">
        <v>279963</v>
      </c>
      <c r="H363">
        <v>616.59</v>
      </c>
      <c r="I363" t="s">
        <v>266</v>
      </c>
      <c r="J363" s="75">
        <v>49495</v>
      </c>
      <c r="K363" t="s">
        <v>460</v>
      </c>
      <c r="L363" t="s">
        <v>461</v>
      </c>
      <c r="M363" s="81">
        <v>46057.500358796293</v>
      </c>
      <c r="N363" s="81">
        <v>46058.560393518521</v>
      </c>
      <c r="O363" t="s">
        <v>58</v>
      </c>
      <c r="P363" t="s">
        <v>59</v>
      </c>
      <c r="Q363" t="s">
        <v>90</v>
      </c>
      <c r="R363" t="s">
        <v>99</v>
      </c>
      <c r="S363" t="s">
        <v>1244</v>
      </c>
      <c r="T363" t="s">
        <v>231</v>
      </c>
      <c r="U363" s="75">
        <v>186141</v>
      </c>
      <c r="V363" t="s">
        <v>1930</v>
      </c>
      <c r="X363" t="s">
        <v>62</v>
      </c>
      <c r="Y363" t="s">
        <v>190</v>
      </c>
      <c r="AA363" t="s">
        <v>81</v>
      </c>
      <c r="AB363">
        <v>25.400001</v>
      </c>
      <c r="AC363">
        <v>22.45</v>
      </c>
      <c r="AD363">
        <v>2.9500009999999999</v>
      </c>
      <c r="AE363">
        <v>0.13333400000000001</v>
      </c>
      <c r="AF363">
        <v>0</v>
      </c>
      <c r="AG363">
        <v>2.8166669999999998</v>
      </c>
      <c r="AH363">
        <v>2.8166669999999998</v>
      </c>
      <c r="AI363">
        <v>2.6833339999999999</v>
      </c>
      <c r="AJ363">
        <v>0.13333300000000001</v>
      </c>
      <c r="AK363">
        <v>0</v>
      </c>
      <c r="AL363" s="76">
        <v>44753</v>
      </c>
      <c r="AM363" s="75">
        <v>1304</v>
      </c>
      <c r="AN363" t="s">
        <v>65</v>
      </c>
      <c r="AO363" t="s">
        <v>1654</v>
      </c>
      <c r="AP363" t="s">
        <v>67</v>
      </c>
      <c r="AQ363" t="s">
        <v>68</v>
      </c>
      <c r="AR363" t="s">
        <v>69</v>
      </c>
      <c r="AS363" s="79"/>
      <c r="AT363" s="82" t="s">
        <v>1722</v>
      </c>
      <c r="AU363" s="78">
        <v>2026</v>
      </c>
      <c r="AV363" s="78">
        <v>2</v>
      </c>
      <c r="AW363" s="78" t="s">
        <v>137</v>
      </c>
      <c r="AX363" s="78">
        <v>1</v>
      </c>
      <c r="AY363" s="78">
        <v>0</v>
      </c>
      <c r="BT363" s="3" t="s">
        <v>137</v>
      </c>
      <c r="BU363" s="3">
        <v>1</v>
      </c>
      <c r="BV363" s="3">
        <v>0</v>
      </c>
    </row>
    <row r="364" spans="1:74" ht="15" customHeight="1" x14ac:dyDescent="0.25">
      <c r="A364" s="75">
        <v>5812375</v>
      </c>
      <c r="B364" t="s">
        <v>1931</v>
      </c>
      <c r="C364" t="s">
        <v>480</v>
      </c>
      <c r="D364" t="s">
        <v>527</v>
      </c>
      <c r="E364" t="s">
        <v>54</v>
      </c>
      <c r="F364" s="75">
        <v>3</v>
      </c>
      <c r="G364" s="75">
        <v>303081</v>
      </c>
      <c r="H364">
        <v>399</v>
      </c>
      <c r="I364" t="s">
        <v>114</v>
      </c>
      <c r="J364" s="75">
        <v>60121</v>
      </c>
      <c r="K364" t="s">
        <v>481</v>
      </c>
      <c r="L364" t="s">
        <v>482</v>
      </c>
      <c r="M364" s="81">
        <v>46057.392118055563</v>
      </c>
      <c r="N364" s="81">
        <v>46058.567928240736</v>
      </c>
      <c r="O364" t="s">
        <v>58</v>
      </c>
      <c r="P364" t="s">
        <v>59</v>
      </c>
      <c r="Q364" t="s">
        <v>77</v>
      </c>
      <c r="R364" t="s">
        <v>60</v>
      </c>
      <c r="S364" t="s">
        <v>583</v>
      </c>
      <c r="U364" s="75">
        <v>186015</v>
      </c>
      <c r="V364" t="s">
        <v>1932</v>
      </c>
      <c r="W364" t="s">
        <v>1932</v>
      </c>
      <c r="X364" t="s">
        <v>118</v>
      </c>
      <c r="Y364" t="s">
        <v>484</v>
      </c>
      <c r="AA364" t="s">
        <v>64</v>
      </c>
      <c r="AB364">
        <v>28.166667</v>
      </c>
      <c r="AC364">
        <v>20.733332999999998</v>
      </c>
      <c r="AD364">
        <v>7.4333340000000003</v>
      </c>
      <c r="AE364">
        <v>3.3334000000000003E-2</v>
      </c>
      <c r="AF364">
        <v>0</v>
      </c>
      <c r="AG364">
        <v>7.4</v>
      </c>
      <c r="AH364">
        <v>7.4</v>
      </c>
      <c r="AI364">
        <v>6.9166670000000003</v>
      </c>
      <c r="AJ364">
        <v>0.48333300000000001</v>
      </c>
      <c r="AK364">
        <v>0</v>
      </c>
      <c r="AL364" s="76">
        <v>45502</v>
      </c>
      <c r="AM364" s="75">
        <v>555</v>
      </c>
      <c r="AN364" t="s">
        <v>65</v>
      </c>
      <c r="AO364" t="s">
        <v>480</v>
      </c>
      <c r="AP364" t="s">
        <v>67</v>
      </c>
      <c r="AQ364" t="s">
        <v>121</v>
      </c>
      <c r="AR364" t="s">
        <v>69</v>
      </c>
      <c r="AS364" s="78"/>
      <c r="AT364" s="82" t="s">
        <v>1722</v>
      </c>
      <c r="AU364" s="78">
        <v>2026</v>
      </c>
      <c r="AV364" s="78">
        <v>2</v>
      </c>
      <c r="AW364" s="78" t="s">
        <v>347</v>
      </c>
      <c r="AX364" s="78">
        <v>1</v>
      </c>
      <c r="AY364" s="78">
        <v>0</v>
      </c>
      <c r="BT364" s="2" t="s">
        <v>347</v>
      </c>
      <c r="BU364" s="2">
        <v>1</v>
      </c>
      <c r="BV364" s="2">
        <v>0</v>
      </c>
    </row>
    <row r="365" spans="1:74" ht="15" customHeight="1" x14ac:dyDescent="0.25">
      <c r="A365" s="75">
        <v>5812881</v>
      </c>
      <c r="B365" t="s">
        <v>1933</v>
      </c>
      <c r="C365" t="s">
        <v>1934</v>
      </c>
      <c r="D365" t="s">
        <v>527</v>
      </c>
      <c r="E365" t="s">
        <v>54</v>
      </c>
      <c r="F365" s="75">
        <v>1</v>
      </c>
      <c r="G365" s="75">
        <v>294383</v>
      </c>
      <c r="H365">
        <v>377.91</v>
      </c>
      <c r="I365" t="s">
        <v>55</v>
      </c>
      <c r="J365" s="75">
        <v>218289</v>
      </c>
      <c r="K365" t="s">
        <v>487</v>
      </c>
      <c r="L365" t="s">
        <v>488</v>
      </c>
      <c r="M365" s="81">
        <v>46057.495416666658</v>
      </c>
      <c r="N365" s="81">
        <v>46058.572685185187</v>
      </c>
      <c r="O365" t="s">
        <v>58</v>
      </c>
      <c r="P365" t="s">
        <v>59</v>
      </c>
      <c r="Q365" t="s">
        <v>130</v>
      </c>
      <c r="R365" t="s">
        <v>60</v>
      </c>
      <c r="S365" t="s">
        <v>583</v>
      </c>
      <c r="U365" s="75">
        <v>186375</v>
      </c>
      <c r="V365" t="s">
        <v>1935</v>
      </c>
      <c r="W365" t="s">
        <v>1936</v>
      </c>
      <c r="X365" t="s">
        <v>62</v>
      </c>
      <c r="Y365" t="s">
        <v>63</v>
      </c>
      <c r="AA365" t="s">
        <v>101</v>
      </c>
      <c r="AB365">
        <v>25.766666000000001</v>
      </c>
      <c r="AC365">
        <v>16.350000000000001</v>
      </c>
      <c r="AD365">
        <v>9.4166659999999993</v>
      </c>
      <c r="AE365">
        <v>8.3333000000000004E-2</v>
      </c>
      <c r="AF365">
        <v>0</v>
      </c>
      <c r="AG365">
        <v>9.3333329999999997</v>
      </c>
      <c r="AH365">
        <v>9.3333329999999997</v>
      </c>
      <c r="AI365">
        <v>9.1333330000000004</v>
      </c>
      <c r="AJ365">
        <v>0.2</v>
      </c>
      <c r="AK365">
        <v>0</v>
      </c>
      <c r="AL365" s="76">
        <v>45205</v>
      </c>
      <c r="AM365" s="75">
        <v>852</v>
      </c>
      <c r="AN365" t="s">
        <v>65</v>
      </c>
      <c r="AO365" t="s">
        <v>491</v>
      </c>
      <c r="AP365" t="s">
        <v>67</v>
      </c>
      <c r="AQ365" t="s">
        <v>68</v>
      </c>
      <c r="AR365" t="s">
        <v>69</v>
      </c>
      <c r="AS365" s="79"/>
      <c r="AT365" s="82" t="s">
        <v>1722</v>
      </c>
      <c r="AU365" s="78">
        <v>2026</v>
      </c>
      <c r="AV365" s="78">
        <v>2</v>
      </c>
      <c r="AW365" s="78" t="s">
        <v>71</v>
      </c>
      <c r="AX365" s="78">
        <v>0</v>
      </c>
      <c r="AY365" s="78">
        <v>0</v>
      </c>
      <c r="BT365" s="3" t="s">
        <v>71</v>
      </c>
      <c r="BU365" s="3">
        <v>0</v>
      </c>
      <c r="BV365" s="3">
        <v>0</v>
      </c>
    </row>
    <row r="366" spans="1:74" ht="15" customHeight="1" x14ac:dyDescent="0.25">
      <c r="A366" s="75">
        <v>5812177</v>
      </c>
      <c r="B366" t="s">
        <v>1937</v>
      </c>
      <c r="C366" t="s">
        <v>1938</v>
      </c>
      <c r="D366" t="s">
        <v>527</v>
      </c>
      <c r="E366" t="s">
        <v>87</v>
      </c>
      <c r="F366" s="75">
        <v>93</v>
      </c>
      <c r="G366" s="75">
        <v>280013</v>
      </c>
      <c r="H366">
        <v>616.59</v>
      </c>
      <c r="I366" t="s">
        <v>266</v>
      </c>
      <c r="J366" s="75">
        <v>49495</v>
      </c>
      <c r="K366" t="s">
        <v>460</v>
      </c>
      <c r="L366" t="s">
        <v>461</v>
      </c>
      <c r="M366" s="81">
        <v>46057.326724537037</v>
      </c>
      <c r="N366" s="81">
        <v>46058.600694444453</v>
      </c>
      <c r="O366" t="s">
        <v>58</v>
      </c>
      <c r="P366" t="s">
        <v>59</v>
      </c>
      <c r="Q366" t="s">
        <v>90</v>
      </c>
      <c r="R366" t="s">
        <v>60</v>
      </c>
      <c r="S366" t="s">
        <v>583</v>
      </c>
      <c r="U366" s="75">
        <v>185713</v>
      </c>
      <c r="V366" t="s">
        <v>1939</v>
      </c>
      <c r="W366" t="s">
        <v>1939</v>
      </c>
      <c r="X366" t="s">
        <v>62</v>
      </c>
      <c r="Y366" t="s">
        <v>63</v>
      </c>
      <c r="AA366" t="s">
        <v>101</v>
      </c>
      <c r="AB366">
        <v>30.533332999999999</v>
      </c>
      <c r="AC366">
        <v>20.666667</v>
      </c>
      <c r="AD366">
        <v>9.8666660000000004</v>
      </c>
      <c r="AE366">
        <v>0.16666600000000001</v>
      </c>
      <c r="AF366">
        <v>0</v>
      </c>
      <c r="AG366">
        <v>9.6999999999999993</v>
      </c>
      <c r="AH366">
        <v>9.6999999999999993</v>
      </c>
      <c r="AI366">
        <v>9.6666670000000003</v>
      </c>
      <c r="AJ366">
        <v>3.3333000000000002E-2</v>
      </c>
      <c r="AK366">
        <v>0</v>
      </c>
      <c r="AL366" s="76">
        <v>44774</v>
      </c>
      <c r="AM366" s="75">
        <v>1283</v>
      </c>
      <c r="AN366" t="s">
        <v>65</v>
      </c>
      <c r="AO366" t="s">
        <v>529</v>
      </c>
      <c r="AP366" t="s">
        <v>67</v>
      </c>
      <c r="AQ366" t="s">
        <v>68</v>
      </c>
      <c r="AR366" t="s">
        <v>69</v>
      </c>
      <c r="AS366" s="78"/>
      <c r="AT366" s="82" t="s">
        <v>1722</v>
      </c>
      <c r="AU366" s="78">
        <v>2026</v>
      </c>
      <c r="AV366" s="78">
        <v>2</v>
      </c>
      <c r="AW366" s="78" t="s">
        <v>71</v>
      </c>
      <c r="AX366" s="78">
        <v>0</v>
      </c>
      <c r="AY366" s="78">
        <v>0</v>
      </c>
      <c r="BT366" s="2" t="s">
        <v>71</v>
      </c>
      <c r="BU366" s="2">
        <v>0</v>
      </c>
      <c r="BV366" s="2">
        <v>0</v>
      </c>
    </row>
    <row r="367" spans="1:74" ht="15" customHeight="1" x14ac:dyDescent="0.25">
      <c r="A367" s="75">
        <v>5811043</v>
      </c>
      <c r="B367" t="s">
        <v>1940</v>
      </c>
      <c r="C367" t="s">
        <v>1941</v>
      </c>
      <c r="D367" t="s">
        <v>527</v>
      </c>
      <c r="E367" t="s">
        <v>126</v>
      </c>
      <c r="F367" s="75">
        <v>14</v>
      </c>
      <c r="G367" s="75">
        <v>321283</v>
      </c>
      <c r="H367">
        <v>5453.16</v>
      </c>
      <c r="I367" t="s">
        <v>55</v>
      </c>
      <c r="J367" s="75">
        <v>19489</v>
      </c>
      <c r="K367" t="s">
        <v>935</v>
      </c>
      <c r="L367" t="s">
        <v>936</v>
      </c>
      <c r="M367" s="81">
        <v>46056.486655092587</v>
      </c>
      <c r="N367" s="81">
        <v>46058.613657407397</v>
      </c>
      <c r="O367" t="s">
        <v>58</v>
      </c>
      <c r="P367" t="s">
        <v>59</v>
      </c>
      <c r="Q367" t="s">
        <v>90</v>
      </c>
      <c r="R367" t="s">
        <v>60</v>
      </c>
      <c r="S367" t="s">
        <v>1942</v>
      </c>
      <c r="U367" s="75">
        <v>185671</v>
      </c>
      <c r="V367" t="s">
        <v>1943</v>
      </c>
      <c r="W367" t="s">
        <v>1944</v>
      </c>
      <c r="X367" t="s">
        <v>392</v>
      </c>
      <c r="Y367" t="s">
        <v>393</v>
      </c>
      <c r="AA367" t="s">
        <v>416</v>
      </c>
      <c r="AB367">
        <v>50.850000999999999</v>
      </c>
      <c r="AC367">
        <v>26.200001</v>
      </c>
      <c r="AD367">
        <v>24.65</v>
      </c>
      <c r="AE367">
        <v>0.66666700000000001</v>
      </c>
      <c r="AF367">
        <v>0</v>
      </c>
      <c r="AG367">
        <v>23.983332999999998</v>
      </c>
      <c r="AH367">
        <v>23.983332999999998</v>
      </c>
      <c r="AI367">
        <v>21.433333000000001</v>
      </c>
      <c r="AJ367">
        <v>2.5499999999999998</v>
      </c>
      <c r="AK367">
        <v>0</v>
      </c>
      <c r="AL367" s="76">
        <v>45687</v>
      </c>
      <c r="AM367" s="75">
        <v>369</v>
      </c>
      <c r="AN367" t="s">
        <v>65</v>
      </c>
      <c r="AO367" t="s">
        <v>1945</v>
      </c>
      <c r="AP367" t="s">
        <v>67</v>
      </c>
      <c r="AQ367" t="s">
        <v>121</v>
      </c>
      <c r="AR367" t="s">
        <v>69</v>
      </c>
      <c r="AS367" s="79"/>
      <c r="AT367" s="82" t="s">
        <v>1722</v>
      </c>
      <c r="AU367" s="78">
        <v>2026</v>
      </c>
      <c r="AV367" s="78">
        <v>2</v>
      </c>
      <c r="AW367" s="78" t="s">
        <v>392</v>
      </c>
      <c r="AX367" s="78">
        <v>0</v>
      </c>
      <c r="AY367" s="78">
        <v>0</v>
      </c>
      <c r="BT367" s="3" t="s">
        <v>392</v>
      </c>
      <c r="BU367" s="3">
        <v>0</v>
      </c>
      <c r="BV367" s="3">
        <v>0</v>
      </c>
    </row>
    <row r="368" spans="1:74" ht="15" customHeight="1" x14ac:dyDescent="0.25">
      <c r="A368" s="75">
        <v>5810545</v>
      </c>
      <c r="B368" t="s">
        <v>1946</v>
      </c>
      <c r="C368" t="s">
        <v>1424</v>
      </c>
      <c r="D368" t="s">
        <v>162</v>
      </c>
      <c r="E368" t="s">
        <v>87</v>
      </c>
      <c r="F368" s="75">
        <v>29</v>
      </c>
      <c r="G368" s="75">
        <v>251445</v>
      </c>
      <c r="H368">
        <v>3090</v>
      </c>
      <c r="I368" t="s">
        <v>114</v>
      </c>
      <c r="J368" s="75">
        <v>203645</v>
      </c>
      <c r="K368" t="s">
        <v>520</v>
      </c>
      <c r="L368" t="s">
        <v>521</v>
      </c>
      <c r="M368" s="81">
        <v>46056.360405092593</v>
      </c>
      <c r="N368" s="81">
        <v>46058.703368055547</v>
      </c>
      <c r="O368" t="s">
        <v>58</v>
      </c>
      <c r="P368" t="s">
        <v>59</v>
      </c>
      <c r="Q368" t="s">
        <v>77</v>
      </c>
      <c r="R368" t="s">
        <v>156</v>
      </c>
      <c r="S368" t="s">
        <v>1320</v>
      </c>
      <c r="U368" s="75">
        <v>185115</v>
      </c>
      <c r="V368" t="s">
        <v>1947</v>
      </c>
      <c r="W368" t="s">
        <v>1947</v>
      </c>
      <c r="X368" t="s">
        <v>118</v>
      </c>
      <c r="Y368" t="s">
        <v>119</v>
      </c>
      <c r="AA368" t="s">
        <v>101</v>
      </c>
      <c r="AB368">
        <v>56.2</v>
      </c>
      <c r="AC368">
        <v>47.616667</v>
      </c>
      <c r="AD368">
        <v>8.5833329999999997</v>
      </c>
      <c r="AE368">
        <v>0.183333</v>
      </c>
      <c r="AF368">
        <v>0</v>
      </c>
      <c r="AG368">
        <v>8.4</v>
      </c>
      <c r="AH368">
        <v>8.4</v>
      </c>
      <c r="AI368">
        <v>7.8</v>
      </c>
      <c r="AJ368">
        <v>0.6</v>
      </c>
      <c r="AK368">
        <v>0</v>
      </c>
      <c r="AL368" s="76">
        <v>44798.7187962963</v>
      </c>
      <c r="AM368" s="75">
        <v>1257</v>
      </c>
      <c r="AN368" t="s">
        <v>65</v>
      </c>
      <c r="AO368" t="s">
        <v>1948</v>
      </c>
      <c r="AP368" t="s">
        <v>67</v>
      </c>
      <c r="AQ368" t="s">
        <v>121</v>
      </c>
      <c r="AR368" t="s">
        <v>69</v>
      </c>
      <c r="AS368" s="78"/>
      <c r="AT368" s="82" t="s">
        <v>1722</v>
      </c>
      <c r="AU368" s="78">
        <v>2026</v>
      </c>
      <c r="AV368" s="78">
        <v>2</v>
      </c>
      <c r="AW368" s="78" t="s">
        <v>122</v>
      </c>
      <c r="AX368" s="78">
        <v>0</v>
      </c>
      <c r="AY368" s="78">
        <v>0</v>
      </c>
      <c r="BT368" s="2" t="s">
        <v>122</v>
      </c>
      <c r="BU368" s="2">
        <v>0</v>
      </c>
      <c r="BV368" s="2">
        <v>0</v>
      </c>
    </row>
    <row r="369" spans="1:74" ht="15" customHeight="1" x14ac:dyDescent="0.25">
      <c r="A369" s="75">
        <v>5813569</v>
      </c>
      <c r="B369" t="s">
        <v>1949</v>
      </c>
      <c r="C369" t="s">
        <v>1950</v>
      </c>
      <c r="D369" t="s">
        <v>1052</v>
      </c>
      <c r="E369" t="s">
        <v>54</v>
      </c>
      <c r="F369" s="75">
        <v>870</v>
      </c>
      <c r="G369" s="75">
        <v>302085</v>
      </c>
      <c r="H369">
        <v>450</v>
      </c>
      <c r="I369" t="s">
        <v>55</v>
      </c>
      <c r="J369" s="75">
        <v>218497</v>
      </c>
      <c r="K369" t="s">
        <v>56</v>
      </c>
      <c r="L369" t="s">
        <v>57</v>
      </c>
      <c r="M369" s="81">
        <v>46057.890497685177</v>
      </c>
      <c r="N369" s="81">
        <v>46058.811956018522</v>
      </c>
      <c r="O369" t="s">
        <v>58</v>
      </c>
      <c r="P369" t="s">
        <v>59</v>
      </c>
      <c r="Q369" t="s">
        <v>130</v>
      </c>
      <c r="R369" t="s">
        <v>60</v>
      </c>
      <c r="S369" t="s">
        <v>583</v>
      </c>
      <c r="U369" s="75">
        <v>186367</v>
      </c>
      <c r="V369" t="s">
        <v>1951</v>
      </c>
      <c r="W369" t="s">
        <v>1952</v>
      </c>
      <c r="X369" t="s">
        <v>62</v>
      </c>
      <c r="Y369" t="s">
        <v>63</v>
      </c>
      <c r="AA369" t="s">
        <v>101</v>
      </c>
      <c r="AB369">
        <v>22.05</v>
      </c>
      <c r="AC369">
        <v>11.333333</v>
      </c>
      <c r="AD369">
        <v>10.716666999999999</v>
      </c>
      <c r="AE369">
        <v>1.933333</v>
      </c>
      <c r="AF369">
        <v>0</v>
      </c>
      <c r="AG369">
        <v>8.783334</v>
      </c>
      <c r="AH369">
        <v>8.783334</v>
      </c>
      <c r="AI369">
        <v>8.266667</v>
      </c>
      <c r="AJ369">
        <v>0.51666699999999999</v>
      </c>
      <c r="AK369">
        <v>0</v>
      </c>
      <c r="AL369" s="76">
        <v>45408.67800925926</v>
      </c>
      <c r="AM369" s="75">
        <v>649</v>
      </c>
      <c r="AN369" t="s">
        <v>65</v>
      </c>
      <c r="AO369" t="s">
        <v>864</v>
      </c>
      <c r="AP369" t="s">
        <v>67</v>
      </c>
      <c r="AQ369" t="s">
        <v>68</v>
      </c>
      <c r="AR369" t="s">
        <v>69</v>
      </c>
      <c r="AS369" s="79"/>
      <c r="AT369" s="82" t="s">
        <v>1722</v>
      </c>
      <c r="AU369" s="78">
        <v>2026</v>
      </c>
      <c r="AV369" s="78">
        <v>2</v>
      </c>
      <c r="AW369" s="78" t="s">
        <v>71</v>
      </c>
      <c r="AX369" s="78">
        <v>0</v>
      </c>
      <c r="AY369" s="78">
        <v>0</v>
      </c>
      <c r="BT369" s="3" t="s">
        <v>71</v>
      </c>
      <c r="BU369" s="3">
        <v>0</v>
      </c>
      <c r="BV369" s="3">
        <v>0</v>
      </c>
    </row>
    <row r="370" spans="1:74" ht="15" customHeight="1" x14ac:dyDescent="0.25">
      <c r="A370" s="75">
        <v>5811477</v>
      </c>
      <c r="B370" t="s">
        <v>1953</v>
      </c>
      <c r="C370" t="s">
        <v>1954</v>
      </c>
      <c r="D370" t="s">
        <v>527</v>
      </c>
      <c r="E370" t="s">
        <v>54</v>
      </c>
      <c r="F370" s="75">
        <v>1</v>
      </c>
      <c r="G370" s="75">
        <v>294211</v>
      </c>
      <c r="H370">
        <v>800</v>
      </c>
      <c r="I370" t="s">
        <v>114</v>
      </c>
      <c r="J370" s="75">
        <v>218221</v>
      </c>
      <c r="K370" t="s">
        <v>1955</v>
      </c>
      <c r="L370" t="s">
        <v>1956</v>
      </c>
      <c r="M370" s="81">
        <v>46056.62740740741</v>
      </c>
      <c r="N370" s="81">
        <v>46059.290219907409</v>
      </c>
      <c r="O370" t="s">
        <v>391</v>
      </c>
      <c r="P370" t="s">
        <v>59</v>
      </c>
      <c r="Q370" t="s">
        <v>77</v>
      </c>
      <c r="R370" t="s">
        <v>131</v>
      </c>
      <c r="S370" t="s">
        <v>1273</v>
      </c>
      <c r="U370" s="75">
        <v>185653</v>
      </c>
      <c r="V370" t="s">
        <v>1957</v>
      </c>
      <c r="W370" t="s">
        <v>1958</v>
      </c>
      <c r="X370" t="s">
        <v>62</v>
      </c>
      <c r="Y370" t="s">
        <v>63</v>
      </c>
      <c r="AA370" t="s">
        <v>295</v>
      </c>
      <c r="AB370">
        <v>63.816665</v>
      </c>
      <c r="AC370">
        <v>33.799999999999997</v>
      </c>
      <c r="AD370">
        <v>30.016665</v>
      </c>
      <c r="AE370">
        <v>3.65</v>
      </c>
      <c r="AF370">
        <v>0</v>
      </c>
      <c r="AG370">
        <v>26.366665000000001</v>
      </c>
      <c r="AH370">
        <v>26.366665000000001</v>
      </c>
      <c r="AI370">
        <v>9.8666660000000004</v>
      </c>
      <c r="AJ370">
        <v>16.499998999999999</v>
      </c>
      <c r="AK370">
        <v>0</v>
      </c>
      <c r="AL370" s="76">
        <v>45191</v>
      </c>
      <c r="AM370" s="75">
        <v>865</v>
      </c>
      <c r="AN370" t="s">
        <v>65</v>
      </c>
      <c r="AO370" t="s">
        <v>1959</v>
      </c>
      <c r="AP370" t="s">
        <v>67</v>
      </c>
      <c r="AQ370" t="s">
        <v>68</v>
      </c>
      <c r="AR370" t="s">
        <v>69</v>
      </c>
      <c r="AS370" s="78"/>
      <c r="AT370" s="82" t="s">
        <v>1722</v>
      </c>
      <c r="AU370" s="78">
        <v>2026</v>
      </c>
      <c r="AV370" s="78">
        <v>2</v>
      </c>
      <c r="AW370" s="78" t="s">
        <v>71</v>
      </c>
      <c r="AX370" s="78">
        <v>0</v>
      </c>
      <c r="AY370" s="78">
        <v>1</v>
      </c>
      <c r="BT370" s="2" t="s">
        <v>71</v>
      </c>
      <c r="BU370" s="2">
        <v>0</v>
      </c>
      <c r="BV370" s="2">
        <v>1</v>
      </c>
    </row>
    <row r="371" spans="1:74" ht="15" customHeight="1" x14ac:dyDescent="0.25">
      <c r="A371" s="75">
        <v>5811637</v>
      </c>
      <c r="B371" t="s">
        <v>1960</v>
      </c>
      <c r="C371" t="s">
        <v>1961</v>
      </c>
      <c r="D371" t="s">
        <v>527</v>
      </c>
      <c r="E371" t="s">
        <v>54</v>
      </c>
      <c r="F371" s="75">
        <v>1</v>
      </c>
      <c r="G371" s="75">
        <v>301545</v>
      </c>
      <c r="H371">
        <v>0.01</v>
      </c>
      <c r="I371" t="s">
        <v>55</v>
      </c>
      <c r="J371" s="75">
        <v>219553</v>
      </c>
      <c r="K371" t="s">
        <v>1962</v>
      </c>
      <c r="L371" t="s">
        <v>1963</v>
      </c>
      <c r="M371" s="81">
        <v>46056.667523148149</v>
      </c>
      <c r="N371" s="81">
        <v>46059.365891203714</v>
      </c>
      <c r="O371" t="s">
        <v>391</v>
      </c>
      <c r="P371" t="s">
        <v>59</v>
      </c>
      <c r="Q371" t="s">
        <v>90</v>
      </c>
      <c r="R371" t="s">
        <v>60</v>
      </c>
      <c r="S371" t="s">
        <v>583</v>
      </c>
      <c r="U371" s="75">
        <v>186363</v>
      </c>
      <c r="V371" t="s">
        <v>1964</v>
      </c>
      <c r="W371" t="s">
        <v>1965</v>
      </c>
      <c r="X371" t="s">
        <v>62</v>
      </c>
      <c r="Y371" t="s">
        <v>271</v>
      </c>
      <c r="AA371" t="s">
        <v>416</v>
      </c>
      <c r="AB371">
        <v>64.683334000000002</v>
      </c>
      <c r="AC371">
        <v>46.483333999999999</v>
      </c>
      <c r="AD371">
        <v>18.2</v>
      </c>
      <c r="AE371">
        <v>2.65</v>
      </c>
      <c r="AF371">
        <v>0</v>
      </c>
      <c r="AG371">
        <v>15.55</v>
      </c>
      <c r="AH371">
        <v>15.55</v>
      </c>
      <c r="AI371">
        <v>13.716666999999999</v>
      </c>
      <c r="AJ371">
        <v>1.8333330000000001</v>
      </c>
      <c r="AK371">
        <v>0</v>
      </c>
      <c r="AL371" s="76">
        <v>45379</v>
      </c>
      <c r="AM371" s="75">
        <v>677</v>
      </c>
      <c r="AN371" t="s">
        <v>65</v>
      </c>
      <c r="AO371" t="s">
        <v>1966</v>
      </c>
      <c r="AP371" t="s">
        <v>67</v>
      </c>
      <c r="AQ371" t="s">
        <v>68</v>
      </c>
      <c r="AR371" t="s">
        <v>69</v>
      </c>
      <c r="AS371" s="79"/>
      <c r="AT371" s="82" t="s">
        <v>1722</v>
      </c>
      <c r="AU371" s="78">
        <v>2026</v>
      </c>
      <c r="AV371" s="78">
        <v>2</v>
      </c>
      <c r="AW371" s="78" t="s">
        <v>137</v>
      </c>
      <c r="AX371" s="78">
        <v>0</v>
      </c>
      <c r="AY371" s="78">
        <v>0</v>
      </c>
      <c r="BT371" s="3" t="s">
        <v>137</v>
      </c>
      <c r="BU371" s="3">
        <v>0</v>
      </c>
      <c r="BV371" s="3">
        <v>0</v>
      </c>
    </row>
    <row r="372" spans="1:74" ht="15" customHeight="1" x14ac:dyDescent="0.25">
      <c r="A372" s="75">
        <v>5814073</v>
      </c>
      <c r="B372" t="s">
        <v>1967</v>
      </c>
      <c r="C372" t="s">
        <v>1968</v>
      </c>
      <c r="D372" t="s">
        <v>527</v>
      </c>
      <c r="E372" t="s">
        <v>87</v>
      </c>
      <c r="F372" s="75">
        <v>608</v>
      </c>
      <c r="G372" s="75">
        <v>344169</v>
      </c>
      <c r="H372">
        <v>398.82</v>
      </c>
      <c r="I372" t="s">
        <v>818</v>
      </c>
      <c r="J372" s="75">
        <v>216233</v>
      </c>
      <c r="K372" t="s">
        <v>88</v>
      </c>
      <c r="L372" t="s">
        <v>89</v>
      </c>
      <c r="M372" s="81">
        <v>46058.39634259259</v>
      </c>
      <c r="N372" s="81">
        <v>46059.375787037039</v>
      </c>
      <c r="O372" t="s">
        <v>58</v>
      </c>
      <c r="P372" t="s">
        <v>59</v>
      </c>
      <c r="Q372" t="s">
        <v>90</v>
      </c>
      <c r="R372" t="s">
        <v>60</v>
      </c>
      <c r="S372" t="s">
        <v>583</v>
      </c>
      <c r="U372" s="75">
        <v>186821</v>
      </c>
      <c r="V372" t="s">
        <v>1969</v>
      </c>
      <c r="W372" t="s">
        <v>1969</v>
      </c>
      <c r="X372" t="s">
        <v>62</v>
      </c>
      <c r="Y372" t="s">
        <v>63</v>
      </c>
      <c r="AA372" t="s">
        <v>64</v>
      </c>
      <c r="AB372">
        <v>23.45</v>
      </c>
      <c r="AC372">
        <v>16.95</v>
      </c>
      <c r="AD372">
        <v>6.5</v>
      </c>
      <c r="AE372">
        <v>0.11666600000000001</v>
      </c>
      <c r="AF372">
        <v>0</v>
      </c>
      <c r="AG372">
        <v>6.3833339999999996</v>
      </c>
      <c r="AH372">
        <v>6.3833339999999996</v>
      </c>
      <c r="AI372">
        <v>5.3333339999999998</v>
      </c>
      <c r="AJ372">
        <v>1.05</v>
      </c>
      <c r="AK372">
        <v>0</v>
      </c>
      <c r="AL372" s="76">
        <v>45911</v>
      </c>
      <c r="AM372" s="75">
        <v>147</v>
      </c>
      <c r="AN372" t="s">
        <v>65</v>
      </c>
      <c r="AO372" t="s">
        <v>1970</v>
      </c>
      <c r="AP372" t="s">
        <v>67</v>
      </c>
      <c r="AQ372" t="s">
        <v>68</v>
      </c>
      <c r="AR372" t="s">
        <v>69</v>
      </c>
      <c r="AS372" s="78"/>
      <c r="AT372" s="82" t="s">
        <v>1722</v>
      </c>
      <c r="AU372" s="78">
        <v>2026</v>
      </c>
      <c r="AV372" s="78">
        <v>2</v>
      </c>
      <c r="AW372" s="78" t="s">
        <v>71</v>
      </c>
      <c r="AX372" s="78">
        <v>1</v>
      </c>
      <c r="AY372" s="78">
        <v>0</v>
      </c>
      <c r="BT372" s="2" t="s">
        <v>71</v>
      </c>
      <c r="BU372" s="2">
        <v>1</v>
      </c>
      <c r="BV372" s="2">
        <v>0</v>
      </c>
    </row>
    <row r="373" spans="1:74" ht="15" customHeight="1" x14ac:dyDescent="0.25">
      <c r="A373" s="75">
        <v>5813457</v>
      </c>
      <c r="B373" t="s">
        <v>1971</v>
      </c>
      <c r="C373" t="s">
        <v>693</v>
      </c>
      <c r="D373" t="s">
        <v>527</v>
      </c>
      <c r="E373" t="s">
        <v>87</v>
      </c>
      <c r="F373" s="75">
        <v>402</v>
      </c>
      <c r="G373" s="75">
        <v>288381</v>
      </c>
      <c r="H373">
        <v>368.16</v>
      </c>
      <c r="I373" t="s">
        <v>55</v>
      </c>
      <c r="J373" s="75">
        <v>218791</v>
      </c>
      <c r="K373" t="s">
        <v>312</v>
      </c>
      <c r="L373" t="s">
        <v>313</v>
      </c>
      <c r="M373" s="81">
        <v>46057.778298611112</v>
      </c>
      <c r="N373" s="81">
        <v>46059.376898148148</v>
      </c>
      <c r="O373" t="s">
        <v>58</v>
      </c>
      <c r="P373" t="s">
        <v>59</v>
      </c>
      <c r="Q373" t="s">
        <v>90</v>
      </c>
      <c r="R373" t="s">
        <v>60</v>
      </c>
      <c r="S373" t="s">
        <v>583</v>
      </c>
      <c r="U373" s="75">
        <v>186381</v>
      </c>
      <c r="V373" t="s">
        <v>1972</v>
      </c>
      <c r="W373" t="s">
        <v>1973</v>
      </c>
      <c r="X373" t="s">
        <v>62</v>
      </c>
      <c r="Y373" t="s">
        <v>63</v>
      </c>
      <c r="AA373" t="s">
        <v>64</v>
      </c>
      <c r="AB373">
        <v>38.299999999999997</v>
      </c>
      <c r="AC373">
        <v>32.516666999999998</v>
      </c>
      <c r="AD373">
        <v>5.7833329999999998</v>
      </c>
      <c r="AE373">
        <v>0.2</v>
      </c>
      <c r="AF373">
        <v>0</v>
      </c>
      <c r="AG373">
        <v>5.5833329999999997</v>
      </c>
      <c r="AH373">
        <v>5.5833329999999997</v>
      </c>
      <c r="AI373">
        <v>5.35</v>
      </c>
      <c r="AJ373">
        <v>0.23333300000000001</v>
      </c>
      <c r="AK373">
        <v>0</v>
      </c>
      <c r="AL373" s="76">
        <v>44946.44804398148</v>
      </c>
      <c r="AM373" s="75">
        <v>1111</v>
      </c>
      <c r="AN373" t="s">
        <v>65</v>
      </c>
      <c r="AO373" t="s">
        <v>695</v>
      </c>
      <c r="AP373" t="s">
        <v>67</v>
      </c>
      <c r="AQ373" t="s">
        <v>68</v>
      </c>
      <c r="AR373" t="s">
        <v>69</v>
      </c>
      <c r="AS373" s="79"/>
      <c r="AT373" s="82" t="s">
        <v>1722</v>
      </c>
      <c r="AU373" s="78">
        <v>2026</v>
      </c>
      <c r="AV373" s="78">
        <v>2</v>
      </c>
      <c r="AW373" s="78" t="s">
        <v>71</v>
      </c>
      <c r="AX373" s="78">
        <v>1</v>
      </c>
      <c r="AY373" s="78">
        <v>0</v>
      </c>
      <c r="BT373" s="3" t="s">
        <v>71</v>
      </c>
      <c r="BU373" s="3">
        <v>1</v>
      </c>
      <c r="BV373" s="3">
        <v>0</v>
      </c>
    </row>
    <row r="374" spans="1:74" ht="15" customHeight="1" x14ac:dyDescent="0.25">
      <c r="A374" s="75">
        <v>5808987</v>
      </c>
      <c r="B374" t="s">
        <v>1974</v>
      </c>
      <c r="C374" t="s">
        <v>1975</v>
      </c>
      <c r="D374" t="s">
        <v>1137</v>
      </c>
      <c r="E374" t="s">
        <v>87</v>
      </c>
      <c r="F374" s="75">
        <v>852</v>
      </c>
      <c r="G374" s="75">
        <v>345277</v>
      </c>
      <c r="H374">
        <v>334.78</v>
      </c>
      <c r="I374" t="s">
        <v>203</v>
      </c>
      <c r="J374" s="75">
        <v>6971</v>
      </c>
      <c r="K374" t="s">
        <v>369</v>
      </c>
      <c r="L374" t="s">
        <v>370</v>
      </c>
      <c r="M374" s="81">
        <v>46055.477476851847</v>
      </c>
      <c r="N374" s="81">
        <v>46059.384398148148</v>
      </c>
      <c r="O374" t="s">
        <v>58</v>
      </c>
      <c r="P374" t="s">
        <v>59</v>
      </c>
      <c r="R374" t="s">
        <v>156</v>
      </c>
      <c r="S374" t="s">
        <v>1320</v>
      </c>
      <c r="U374" s="75">
        <v>184447</v>
      </c>
      <c r="V374" t="s">
        <v>1976</v>
      </c>
      <c r="W374" t="s">
        <v>1976</v>
      </c>
      <c r="X374" t="s">
        <v>79</v>
      </c>
      <c r="Y374" t="s">
        <v>1977</v>
      </c>
      <c r="AA374" t="s">
        <v>64</v>
      </c>
      <c r="AB374">
        <v>93.716666000000004</v>
      </c>
      <c r="AC374">
        <v>88.8</v>
      </c>
      <c r="AD374">
        <v>4.9166660000000002</v>
      </c>
      <c r="AE374">
        <v>0.283333</v>
      </c>
      <c r="AF374">
        <v>0</v>
      </c>
      <c r="AG374">
        <v>4.6333330000000004</v>
      </c>
      <c r="AH374">
        <v>4.6333330000000004</v>
      </c>
      <c r="AI374">
        <v>4.0999999999999996</v>
      </c>
      <c r="AJ374">
        <v>0.53333299999999995</v>
      </c>
      <c r="AK374">
        <v>0</v>
      </c>
      <c r="AL374" s="76">
        <v>46149</v>
      </c>
      <c r="AM374" s="75">
        <v>-93</v>
      </c>
      <c r="AN374" t="s">
        <v>1436</v>
      </c>
      <c r="AO374" t="s">
        <v>1978</v>
      </c>
      <c r="AP374" t="s">
        <v>67</v>
      </c>
      <c r="AQ374" t="s">
        <v>83</v>
      </c>
      <c r="AR374" t="s">
        <v>69</v>
      </c>
      <c r="AS374" s="78"/>
      <c r="AT374" s="82" t="s">
        <v>1722</v>
      </c>
      <c r="AU374" s="78">
        <v>2026</v>
      </c>
      <c r="AV374" s="78">
        <v>2</v>
      </c>
      <c r="AW374" s="78" t="s">
        <v>84</v>
      </c>
      <c r="AX374" s="78">
        <v>1</v>
      </c>
      <c r="AY374" s="78">
        <v>0</v>
      </c>
      <c r="BT374" s="2" t="s">
        <v>84</v>
      </c>
      <c r="BU374" s="2">
        <v>1</v>
      </c>
      <c r="BV374" s="2">
        <v>0</v>
      </c>
    </row>
    <row r="375" spans="1:74" ht="15" customHeight="1" x14ac:dyDescent="0.25">
      <c r="A375" s="75">
        <v>5815581</v>
      </c>
      <c r="B375" t="s">
        <v>1979</v>
      </c>
      <c r="C375" t="s">
        <v>1980</v>
      </c>
      <c r="D375" t="s">
        <v>956</v>
      </c>
      <c r="E375" t="s">
        <v>54</v>
      </c>
      <c r="F375" s="75">
        <v>2</v>
      </c>
      <c r="G375" s="75">
        <v>341723</v>
      </c>
      <c r="H375">
        <v>700</v>
      </c>
      <c r="I375" t="s">
        <v>203</v>
      </c>
      <c r="J375" s="75">
        <v>227909</v>
      </c>
      <c r="K375" t="s">
        <v>1981</v>
      </c>
      <c r="L375" t="s">
        <v>1982</v>
      </c>
      <c r="M375" s="81">
        <v>46059.03261574074</v>
      </c>
      <c r="N375" s="81">
        <v>46059.478958333333</v>
      </c>
      <c r="O375" t="s">
        <v>58</v>
      </c>
      <c r="P375" t="s">
        <v>59</v>
      </c>
      <c r="Q375" t="s">
        <v>341</v>
      </c>
      <c r="R375" t="s">
        <v>131</v>
      </c>
      <c r="S375" t="s">
        <v>1316</v>
      </c>
      <c r="U375" s="75">
        <v>187301</v>
      </c>
      <c r="V375" t="s">
        <v>1983</v>
      </c>
      <c r="W375" t="s">
        <v>1983</v>
      </c>
      <c r="X375" t="s">
        <v>79</v>
      </c>
      <c r="Y375" t="s">
        <v>224</v>
      </c>
      <c r="AA375" t="s">
        <v>81</v>
      </c>
      <c r="AB375">
        <v>10.666667</v>
      </c>
      <c r="AC375">
        <v>8</v>
      </c>
      <c r="AD375">
        <v>2.6666669999999999</v>
      </c>
      <c r="AE375">
        <v>0.26666699999999999</v>
      </c>
      <c r="AF375">
        <v>0</v>
      </c>
      <c r="AG375">
        <v>2.4</v>
      </c>
      <c r="AH375">
        <v>2.4</v>
      </c>
      <c r="AI375">
        <v>2.2999999999999998</v>
      </c>
      <c r="AJ375">
        <v>0.1</v>
      </c>
      <c r="AK375">
        <v>0</v>
      </c>
      <c r="AL375" s="76">
        <v>45838.641168981478</v>
      </c>
      <c r="AM375" s="75">
        <v>220</v>
      </c>
      <c r="AN375" t="s">
        <v>65</v>
      </c>
      <c r="AO375" t="s">
        <v>1984</v>
      </c>
      <c r="AP375" t="s">
        <v>67</v>
      </c>
      <c r="AQ375" t="s">
        <v>83</v>
      </c>
      <c r="AR375" t="s">
        <v>69</v>
      </c>
      <c r="AS375" s="79"/>
      <c r="AT375" s="82" t="s">
        <v>1722</v>
      </c>
      <c r="AU375" s="78">
        <v>2026</v>
      </c>
      <c r="AV375" s="78">
        <v>2</v>
      </c>
      <c r="AW375" s="78" t="s">
        <v>226</v>
      </c>
      <c r="AX375" s="78">
        <v>1</v>
      </c>
      <c r="AY375" s="78">
        <v>0</v>
      </c>
      <c r="BT375" s="3" t="s">
        <v>226</v>
      </c>
      <c r="BU375" s="3">
        <v>1</v>
      </c>
      <c r="BV375" s="3">
        <v>0</v>
      </c>
    </row>
    <row r="376" spans="1:74" ht="15" customHeight="1" x14ac:dyDescent="0.25">
      <c r="A376" s="75">
        <v>5814509</v>
      </c>
      <c r="B376" t="s">
        <v>1985</v>
      </c>
      <c r="C376" t="s">
        <v>1986</v>
      </c>
      <c r="D376" t="s">
        <v>257</v>
      </c>
      <c r="E376" t="s">
        <v>87</v>
      </c>
      <c r="F376" s="75">
        <v>271</v>
      </c>
      <c r="G376" s="75">
        <v>286387</v>
      </c>
      <c r="H376">
        <v>364.96</v>
      </c>
      <c r="I376" t="s">
        <v>55</v>
      </c>
      <c r="J376" s="75">
        <v>218787</v>
      </c>
      <c r="K376" t="s">
        <v>96</v>
      </c>
      <c r="L376" t="s">
        <v>97</v>
      </c>
      <c r="M376" s="81">
        <v>46058.473043981481</v>
      </c>
      <c r="N376" s="81">
        <v>46059.479224537034</v>
      </c>
      <c r="O376" t="s">
        <v>58</v>
      </c>
      <c r="P376" t="s">
        <v>59</v>
      </c>
      <c r="Q376" t="s">
        <v>90</v>
      </c>
      <c r="R376" t="s">
        <v>131</v>
      </c>
      <c r="S376" t="s">
        <v>1316</v>
      </c>
      <c r="U376" s="75">
        <v>187313</v>
      </c>
      <c r="V376" t="s">
        <v>1987</v>
      </c>
      <c r="W376" t="s">
        <v>1988</v>
      </c>
      <c r="X376" t="s">
        <v>62</v>
      </c>
      <c r="Y376" t="s">
        <v>63</v>
      </c>
      <c r="AA376" t="s">
        <v>64</v>
      </c>
      <c r="AB376">
        <v>24.05</v>
      </c>
      <c r="AC376">
        <v>15.666665999999999</v>
      </c>
      <c r="AD376">
        <v>8.3833339999999996</v>
      </c>
      <c r="AE376">
        <v>0.55000000000000004</v>
      </c>
      <c r="AF376">
        <v>0</v>
      </c>
      <c r="AG376">
        <v>7.8333339999999998</v>
      </c>
      <c r="AH376">
        <v>7.8333339999999998</v>
      </c>
      <c r="AI376">
        <v>7.7</v>
      </c>
      <c r="AJ376">
        <v>0.13333400000000001</v>
      </c>
      <c r="AK376">
        <v>0</v>
      </c>
      <c r="AL376" s="76">
        <v>44882</v>
      </c>
      <c r="AM376" s="75">
        <v>1176</v>
      </c>
      <c r="AN376" t="s">
        <v>65</v>
      </c>
      <c r="AO376" t="s">
        <v>1989</v>
      </c>
      <c r="AP376" t="s">
        <v>67</v>
      </c>
      <c r="AQ376" t="s">
        <v>68</v>
      </c>
      <c r="AR376" t="s">
        <v>69</v>
      </c>
      <c r="AS376" s="78"/>
      <c r="AT376" s="82" t="s">
        <v>1722</v>
      </c>
      <c r="AU376" s="78">
        <v>2026</v>
      </c>
      <c r="AV376" s="78">
        <v>2</v>
      </c>
      <c r="AW376" s="78" t="s">
        <v>71</v>
      </c>
      <c r="AX376" s="78">
        <v>1</v>
      </c>
      <c r="AY376" s="78">
        <v>0</v>
      </c>
      <c r="BT376" s="2" t="s">
        <v>71</v>
      </c>
      <c r="BU376" s="2">
        <v>1</v>
      </c>
      <c r="BV376" s="2">
        <v>0</v>
      </c>
    </row>
    <row r="377" spans="1:74" ht="15" customHeight="1" x14ac:dyDescent="0.25">
      <c r="A377" s="75">
        <v>5813967</v>
      </c>
      <c r="B377" t="s">
        <v>1990</v>
      </c>
      <c r="C377" t="s">
        <v>1991</v>
      </c>
      <c r="D377" t="s">
        <v>150</v>
      </c>
      <c r="E377" t="s">
        <v>54</v>
      </c>
      <c r="F377" s="75">
        <v>3</v>
      </c>
      <c r="G377" s="75">
        <v>51949</v>
      </c>
      <c r="H377">
        <v>402.42</v>
      </c>
      <c r="I377" t="s">
        <v>114</v>
      </c>
      <c r="J377" s="75">
        <v>56181</v>
      </c>
      <c r="K377" t="s">
        <v>275</v>
      </c>
      <c r="L377" t="s">
        <v>653</v>
      </c>
      <c r="M377" s="81">
        <v>46058.369849537034</v>
      </c>
      <c r="N377" s="81">
        <v>46059.506597222222</v>
      </c>
      <c r="O377" t="s">
        <v>58</v>
      </c>
      <c r="P377" t="s">
        <v>59</v>
      </c>
      <c r="Q377" t="s">
        <v>130</v>
      </c>
      <c r="R377" t="s">
        <v>131</v>
      </c>
      <c r="S377" t="s">
        <v>1695</v>
      </c>
      <c r="U377" s="75">
        <v>187311</v>
      </c>
      <c r="V377" t="s">
        <v>1992</v>
      </c>
      <c r="W377" t="s">
        <v>1993</v>
      </c>
      <c r="X377" t="s">
        <v>62</v>
      </c>
      <c r="Y377" t="s">
        <v>63</v>
      </c>
      <c r="AA377" t="s">
        <v>416</v>
      </c>
      <c r="AB377">
        <v>27.2</v>
      </c>
      <c r="AC377">
        <v>12.283334</v>
      </c>
      <c r="AD377">
        <v>14.916665999999999</v>
      </c>
      <c r="AE377">
        <v>0.3</v>
      </c>
      <c r="AF377">
        <v>0</v>
      </c>
      <c r="AG377">
        <v>14.616666</v>
      </c>
      <c r="AH377">
        <v>14.616666</v>
      </c>
      <c r="AI377">
        <v>12.833333</v>
      </c>
      <c r="AJ377">
        <v>1.7833330000000001</v>
      </c>
      <c r="AK377">
        <v>0</v>
      </c>
      <c r="AL377" s="76">
        <v>42629.625</v>
      </c>
      <c r="AM377" s="75">
        <v>3428</v>
      </c>
      <c r="AN377" t="s">
        <v>65</v>
      </c>
      <c r="AO377" t="s">
        <v>709</v>
      </c>
      <c r="AP377" t="s">
        <v>67</v>
      </c>
      <c r="AQ377" t="s">
        <v>68</v>
      </c>
      <c r="AR377" t="s">
        <v>69</v>
      </c>
      <c r="AS377" s="79"/>
      <c r="AT377" s="82" t="s">
        <v>1722</v>
      </c>
      <c r="AU377" s="78">
        <v>2026</v>
      </c>
      <c r="AV377" s="78">
        <v>2</v>
      </c>
      <c r="AW377" s="78" t="s">
        <v>71</v>
      </c>
      <c r="AX377" s="78">
        <v>0</v>
      </c>
      <c r="AY377" s="78">
        <v>0</v>
      </c>
      <c r="BT377" s="3" t="s">
        <v>71</v>
      </c>
      <c r="BU377" s="3">
        <v>0</v>
      </c>
      <c r="BV377" s="3">
        <v>0</v>
      </c>
    </row>
    <row r="378" spans="1:74" ht="15" customHeight="1" x14ac:dyDescent="0.25">
      <c r="A378" s="75">
        <v>5812441</v>
      </c>
      <c r="B378" t="s">
        <v>1994</v>
      </c>
      <c r="C378" t="s">
        <v>1424</v>
      </c>
      <c r="D378" t="s">
        <v>257</v>
      </c>
      <c r="E378" t="s">
        <v>87</v>
      </c>
      <c r="F378" s="75">
        <v>20</v>
      </c>
      <c r="G378" s="75">
        <v>251427</v>
      </c>
      <c r="H378">
        <v>510</v>
      </c>
      <c r="I378" t="s">
        <v>114</v>
      </c>
      <c r="J378" s="75">
        <v>203645</v>
      </c>
      <c r="K378" t="s">
        <v>520</v>
      </c>
      <c r="L378" t="s">
        <v>521</v>
      </c>
      <c r="M378" s="81">
        <v>46057.403611111113</v>
      </c>
      <c r="N378" s="81">
        <v>46059.612199074072</v>
      </c>
      <c r="O378" t="s">
        <v>58</v>
      </c>
      <c r="P378" t="s">
        <v>59</v>
      </c>
      <c r="Q378" t="s">
        <v>77</v>
      </c>
      <c r="R378" t="s">
        <v>131</v>
      </c>
      <c r="S378" t="s">
        <v>1316</v>
      </c>
      <c r="U378" s="75">
        <v>186017</v>
      </c>
      <c r="V378" t="s">
        <v>1995</v>
      </c>
      <c r="W378" t="s">
        <v>1996</v>
      </c>
      <c r="X378" t="s">
        <v>118</v>
      </c>
      <c r="Y378" t="s">
        <v>119</v>
      </c>
      <c r="AA378" t="s">
        <v>416</v>
      </c>
      <c r="AB378">
        <v>52.916668000000001</v>
      </c>
      <c r="AC378">
        <v>36.65</v>
      </c>
      <c r="AD378">
        <v>16.266667999999999</v>
      </c>
      <c r="AE378">
        <v>0.23333400000000001</v>
      </c>
      <c r="AF378">
        <v>0</v>
      </c>
      <c r="AG378">
        <v>16.033334</v>
      </c>
      <c r="AH378">
        <v>16.033334</v>
      </c>
      <c r="AI378">
        <v>15.900001</v>
      </c>
      <c r="AJ378">
        <v>0.13333300000000001</v>
      </c>
      <c r="AK378">
        <v>0</v>
      </c>
      <c r="AL378" s="76">
        <v>44972.456203703703</v>
      </c>
      <c r="AM378" s="75">
        <v>1084</v>
      </c>
      <c r="AN378" t="s">
        <v>65</v>
      </c>
      <c r="AO378" t="s">
        <v>1997</v>
      </c>
      <c r="AP378" t="s">
        <v>67</v>
      </c>
      <c r="AQ378" t="s">
        <v>121</v>
      </c>
      <c r="AR378" t="s">
        <v>69</v>
      </c>
      <c r="AS378" s="78"/>
      <c r="AT378" s="82" t="s">
        <v>1722</v>
      </c>
      <c r="AU378" s="78">
        <v>2026</v>
      </c>
      <c r="AV378" s="78">
        <v>2</v>
      </c>
      <c r="AW378" s="78" t="s">
        <v>122</v>
      </c>
      <c r="AX378" s="78">
        <v>0</v>
      </c>
      <c r="AY378" s="78">
        <v>0</v>
      </c>
      <c r="BT378" s="2" t="s">
        <v>122</v>
      </c>
      <c r="BU378" s="2">
        <v>0</v>
      </c>
      <c r="BV378" s="2">
        <v>0</v>
      </c>
    </row>
    <row r="379" spans="1:74" ht="15" customHeight="1" x14ac:dyDescent="0.25">
      <c r="A379" s="75">
        <v>5815173</v>
      </c>
      <c r="B379" t="s">
        <v>1998</v>
      </c>
      <c r="C379" t="s">
        <v>1999</v>
      </c>
      <c r="D379" t="s">
        <v>150</v>
      </c>
      <c r="E379" t="s">
        <v>87</v>
      </c>
      <c r="F379" s="75">
        <v>3</v>
      </c>
      <c r="G379" s="75">
        <v>291047</v>
      </c>
      <c r="H379">
        <v>500</v>
      </c>
      <c r="I379" t="s">
        <v>114</v>
      </c>
      <c r="J379" s="75">
        <v>214467</v>
      </c>
      <c r="K379" t="s">
        <v>1444</v>
      </c>
      <c r="L379" t="s">
        <v>1445</v>
      </c>
      <c r="M379" s="81">
        <v>46058.691319444442</v>
      </c>
      <c r="N379" s="81">
        <v>46059.613379629627</v>
      </c>
      <c r="O379" t="s">
        <v>58</v>
      </c>
      <c r="P379" t="s">
        <v>59</v>
      </c>
      <c r="Q379" t="s">
        <v>130</v>
      </c>
      <c r="R379" t="s">
        <v>131</v>
      </c>
      <c r="S379" t="s">
        <v>1316</v>
      </c>
      <c r="U379" s="75">
        <v>187315</v>
      </c>
      <c r="V379" t="s">
        <v>2000</v>
      </c>
      <c r="W379" t="s">
        <v>2000</v>
      </c>
      <c r="X379" t="s">
        <v>62</v>
      </c>
      <c r="Y379" t="s">
        <v>63</v>
      </c>
      <c r="AA379" t="s">
        <v>64</v>
      </c>
      <c r="AB379">
        <v>22.1</v>
      </c>
      <c r="AC379">
        <v>15.933332999999999</v>
      </c>
      <c r="AD379">
        <v>6.1666670000000003</v>
      </c>
      <c r="AE379">
        <v>0.15</v>
      </c>
      <c r="AF379">
        <v>0</v>
      </c>
      <c r="AG379">
        <v>6.016667</v>
      </c>
      <c r="AH379">
        <v>6.016667</v>
      </c>
      <c r="AI379">
        <v>5.4666670000000002</v>
      </c>
      <c r="AJ379">
        <v>0.55000000000000004</v>
      </c>
      <c r="AK379">
        <v>0</v>
      </c>
      <c r="AL379" s="76">
        <v>45069.80332175926</v>
      </c>
      <c r="AM379" s="75">
        <v>988</v>
      </c>
      <c r="AN379" t="s">
        <v>65</v>
      </c>
      <c r="AO379" t="s">
        <v>2001</v>
      </c>
      <c r="AP379" t="s">
        <v>67</v>
      </c>
      <c r="AQ379" t="s">
        <v>68</v>
      </c>
      <c r="AR379" t="s">
        <v>69</v>
      </c>
      <c r="AS379" s="79"/>
      <c r="AT379" s="82" t="s">
        <v>1722</v>
      </c>
      <c r="AU379" s="78">
        <v>2026</v>
      </c>
      <c r="AV379" s="78">
        <v>2</v>
      </c>
      <c r="AW379" s="78" t="s">
        <v>71</v>
      </c>
      <c r="AX379" s="78">
        <v>1</v>
      </c>
      <c r="AY379" s="78">
        <v>0</v>
      </c>
      <c r="BT379" s="3" t="s">
        <v>71</v>
      </c>
      <c r="BU379" s="3">
        <v>1</v>
      </c>
      <c r="BV379" s="3">
        <v>0</v>
      </c>
    </row>
    <row r="380" spans="1:74" ht="15" customHeight="1" x14ac:dyDescent="0.25">
      <c r="A380" s="75">
        <v>5813267</v>
      </c>
      <c r="B380" t="s">
        <v>2002</v>
      </c>
      <c r="C380" t="s">
        <v>2003</v>
      </c>
      <c r="D380" t="s">
        <v>1567</v>
      </c>
      <c r="E380" t="s">
        <v>87</v>
      </c>
      <c r="F380" s="75">
        <v>340</v>
      </c>
      <c r="G380" s="75">
        <v>286689</v>
      </c>
      <c r="H380">
        <v>364.96</v>
      </c>
      <c r="I380" t="s">
        <v>55</v>
      </c>
      <c r="J380" s="75">
        <v>218787</v>
      </c>
      <c r="K380" t="s">
        <v>96</v>
      </c>
      <c r="L380" t="s">
        <v>97</v>
      </c>
      <c r="M380" s="81">
        <v>46057.675416666672</v>
      </c>
      <c r="N380" s="81">
        <v>46060.384317129632</v>
      </c>
      <c r="O380" t="s">
        <v>58</v>
      </c>
      <c r="P380" t="s">
        <v>59</v>
      </c>
      <c r="Q380" t="s">
        <v>130</v>
      </c>
      <c r="R380" t="s">
        <v>60</v>
      </c>
      <c r="S380" t="s">
        <v>583</v>
      </c>
      <c r="U380" s="75">
        <v>186383</v>
      </c>
      <c r="V380" t="s">
        <v>2004</v>
      </c>
      <c r="W380" t="s">
        <v>2004</v>
      </c>
      <c r="X380" t="s">
        <v>62</v>
      </c>
      <c r="Y380" t="s">
        <v>63</v>
      </c>
      <c r="AA380" t="s">
        <v>101</v>
      </c>
      <c r="AB380">
        <v>64.933334000000002</v>
      </c>
      <c r="AC380">
        <v>55.75</v>
      </c>
      <c r="AD380">
        <v>9.1833340000000003</v>
      </c>
      <c r="AE380">
        <v>6.6667000000000004E-2</v>
      </c>
      <c r="AF380">
        <v>0</v>
      </c>
      <c r="AG380">
        <v>9.1166669999999996</v>
      </c>
      <c r="AH380">
        <v>9.1166669999999996</v>
      </c>
      <c r="AI380">
        <v>8.9</v>
      </c>
      <c r="AJ380">
        <v>0.216667</v>
      </c>
      <c r="AK380">
        <v>0</v>
      </c>
      <c r="AL380" s="76">
        <v>44914</v>
      </c>
      <c r="AM380" s="75">
        <v>1143</v>
      </c>
      <c r="AN380" t="s">
        <v>65</v>
      </c>
      <c r="AO380" t="s">
        <v>766</v>
      </c>
      <c r="AP380" t="s">
        <v>67</v>
      </c>
      <c r="AQ380" t="s">
        <v>68</v>
      </c>
      <c r="AR380" t="s">
        <v>69</v>
      </c>
      <c r="AS380" s="78"/>
      <c r="AT380" s="82" t="s">
        <v>1722</v>
      </c>
      <c r="AU380" s="78">
        <v>2026</v>
      </c>
      <c r="AV380" s="78">
        <v>2</v>
      </c>
      <c r="AW380" s="78" t="s">
        <v>71</v>
      </c>
      <c r="AX380" s="78">
        <v>0</v>
      </c>
      <c r="AY380" s="78">
        <v>0</v>
      </c>
      <c r="BT380" s="2" t="s">
        <v>71</v>
      </c>
      <c r="BU380" s="2">
        <v>0</v>
      </c>
      <c r="BV380" s="2">
        <v>0</v>
      </c>
    </row>
    <row r="381" spans="1:74" ht="15" customHeight="1" x14ac:dyDescent="0.25">
      <c r="A381" s="75">
        <v>5813869</v>
      </c>
      <c r="B381" t="s">
        <v>2005</v>
      </c>
      <c r="C381" t="s">
        <v>2006</v>
      </c>
      <c r="D381" t="s">
        <v>1567</v>
      </c>
      <c r="E381" t="s">
        <v>87</v>
      </c>
      <c r="F381" s="75">
        <v>112</v>
      </c>
      <c r="G381" s="75">
        <v>302153</v>
      </c>
      <c r="H381">
        <v>623.5</v>
      </c>
      <c r="I381" t="s">
        <v>55</v>
      </c>
      <c r="J381" s="75">
        <v>203659</v>
      </c>
      <c r="K381" t="s">
        <v>1090</v>
      </c>
      <c r="L381" t="s">
        <v>1091</v>
      </c>
      <c r="M381" s="81">
        <v>46058.354386574072</v>
      </c>
      <c r="N381" s="81">
        <v>46060.393437500003</v>
      </c>
      <c r="O381" t="s">
        <v>58</v>
      </c>
      <c r="P381" t="s">
        <v>59</v>
      </c>
      <c r="Q381" t="s">
        <v>77</v>
      </c>
      <c r="R381" t="s">
        <v>144</v>
      </c>
      <c r="S381" t="s">
        <v>1901</v>
      </c>
      <c r="T381" t="s">
        <v>507</v>
      </c>
      <c r="U381" s="75">
        <v>186957</v>
      </c>
      <c r="V381" t="s">
        <v>2007</v>
      </c>
      <c r="X381" t="s">
        <v>62</v>
      </c>
      <c r="Y381" t="s">
        <v>510</v>
      </c>
      <c r="AA381" t="s">
        <v>81</v>
      </c>
      <c r="AB381">
        <v>48.883333</v>
      </c>
      <c r="AC381">
        <v>45.25</v>
      </c>
      <c r="AD381">
        <v>3.6333329999999999</v>
      </c>
      <c r="AE381">
        <v>0.8</v>
      </c>
      <c r="AF381">
        <v>0</v>
      </c>
      <c r="AG381">
        <v>2.8333330000000001</v>
      </c>
      <c r="AH381">
        <v>2.8333330000000001</v>
      </c>
      <c r="AI381">
        <v>2.8166660000000001</v>
      </c>
      <c r="AJ381">
        <v>1.6667000000000001E-2</v>
      </c>
      <c r="AK381">
        <v>0</v>
      </c>
      <c r="AL381" s="76">
        <v>45398</v>
      </c>
      <c r="AM381" s="75">
        <v>660</v>
      </c>
      <c r="AN381" t="s">
        <v>65</v>
      </c>
      <c r="AO381" t="s">
        <v>1093</v>
      </c>
      <c r="AP381" t="s">
        <v>67</v>
      </c>
      <c r="AQ381" t="s">
        <v>68</v>
      </c>
      <c r="AR381" t="s">
        <v>69</v>
      </c>
      <c r="AS381" s="79"/>
      <c r="AT381" s="82" t="s">
        <v>1722</v>
      </c>
      <c r="AU381" s="78">
        <v>2026</v>
      </c>
      <c r="AV381" s="78">
        <v>2</v>
      </c>
      <c r="AW381" s="78" t="s">
        <v>137</v>
      </c>
      <c r="AX381" s="78">
        <v>1</v>
      </c>
      <c r="AY381" s="78">
        <v>0</v>
      </c>
      <c r="BT381" s="3" t="s">
        <v>137</v>
      </c>
      <c r="BU381" s="3">
        <v>1</v>
      </c>
      <c r="BV381" s="3">
        <v>0</v>
      </c>
    </row>
    <row r="382" spans="1:74" ht="15" customHeight="1" x14ac:dyDescent="0.25">
      <c r="A382" s="75">
        <v>5814661</v>
      </c>
      <c r="B382" t="s">
        <v>2008</v>
      </c>
      <c r="C382" t="s">
        <v>1876</v>
      </c>
      <c r="D382" t="s">
        <v>1567</v>
      </c>
      <c r="E382" t="s">
        <v>87</v>
      </c>
      <c r="F382" s="75">
        <v>5</v>
      </c>
      <c r="G382" s="75">
        <v>250791</v>
      </c>
      <c r="H382">
        <v>2569.87</v>
      </c>
      <c r="I382" t="s">
        <v>114</v>
      </c>
      <c r="J382" s="75">
        <v>204303</v>
      </c>
      <c r="K382" t="s">
        <v>1877</v>
      </c>
      <c r="L382" t="s">
        <v>1878</v>
      </c>
      <c r="M382" s="81">
        <v>46058.500462962962</v>
      </c>
      <c r="N382" s="81">
        <v>46060.441805555558</v>
      </c>
      <c r="O382" t="s">
        <v>58</v>
      </c>
      <c r="P382" t="s">
        <v>59</v>
      </c>
      <c r="Q382" t="s">
        <v>90</v>
      </c>
      <c r="R382" t="s">
        <v>60</v>
      </c>
      <c r="S382" t="s">
        <v>583</v>
      </c>
      <c r="U382" s="75">
        <v>186933</v>
      </c>
      <c r="V382" t="s">
        <v>2009</v>
      </c>
      <c r="W382" t="s">
        <v>2009</v>
      </c>
      <c r="X382" t="s">
        <v>118</v>
      </c>
      <c r="Y382" t="s">
        <v>400</v>
      </c>
      <c r="AA382" t="s">
        <v>416</v>
      </c>
      <c r="AB382">
        <v>46.533332000000001</v>
      </c>
      <c r="AC382">
        <v>22.383333</v>
      </c>
      <c r="AD382">
        <v>24.149999000000001</v>
      </c>
      <c r="AE382">
        <v>0.316666</v>
      </c>
      <c r="AF382">
        <v>0</v>
      </c>
      <c r="AG382">
        <v>23.833333</v>
      </c>
      <c r="AH382">
        <v>23.833333</v>
      </c>
      <c r="AI382">
        <v>23.75</v>
      </c>
      <c r="AJ382">
        <v>8.3333000000000004E-2</v>
      </c>
      <c r="AK382">
        <v>0</v>
      </c>
      <c r="AL382" s="76">
        <v>44638.369652777779</v>
      </c>
      <c r="AM382" s="75">
        <v>1420</v>
      </c>
      <c r="AN382" t="s">
        <v>65</v>
      </c>
      <c r="AO382" t="s">
        <v>1880</v>
      </c>
      <c r="AP382" t="s">
        <v>67</v>
      </c>
      <c r="AQ382" t="s">
        <v>121</v>
      </c>
      <c r="AR382" t="s">
        <v>69</v>
      </c>
      <c r="AS382" s="78"/>
      <c r="AT382" s="82" t="s">
        <v>1722</v>
      </c>
      <c r="AU382" s="78">
        <v>2026</v>
      </c>
      <c r="AV382" s="78">
        <v>2</v>
      </c>
      <c r="AW382" s="78" t="s">
        <v>122</v>
      </c>
      <c r="AX382" s="78">
        <v>0</v>
      </c>
      <c r="AY382" s="78">
        <v>0</v>
      </c>
      <c r="BT382" s="2" t="s">
        <v>122</v>
      </c>
      <c r="BU382" s="2">
        <v>0</v>
      </c>
      <c r="BV382" s="2">
        <v>0</v>
      </c>
    </row>
    <row r="383" spans="1:74" ht="15" customHeight="1" x14ac:dyDescent="0.25">
      <c r="A383" s="75">
        <v>5815299</v>
      </c>
      <c r="B383" t="s">
        <v>2010</v>
      </c>
      <c r="C383" t="s">
        <v>1907</v>
      </c>
      <c r="D383" t="s">
        <v>1388</v>
      </c>
      <c r="E383" t="s">
        <v>87</v>
      </c>
      <c r="F383" s="75">
        <v>272</v>
      </c>
      <c r="G383" s="75">
        <v>286389</v>
      </c>
      <c r="H383">
        <v>364.96</v>
      </c>
      <c r="I383" t="s">
        <v>55</v>
      </c>
      <c r="J383" s="75">
        <v>218787</v>
      </c>
      <c r="K383" t="s">
        <v>96</v>
      </c>
      <c r="L383" t="s">
        <v>97</v>
      </c>
      <c r="M383" s="81">
        <v>46058.736666666657</v>
      </c>
      <c r="N383" s="81">
        <v>46060.494976851849</v>
      </c>
      <c r="O383" t="s">
        <v>58</v>
      </c>
      <c r="P383" t="s">
        <v>59</v>
      </c>
      <c r="Q383" t="s">
        <v>90</v>
      </c>
      <c r="R383" t="s">
        <v>60</v>
      </c>
      <c r="S383" t="s">
        <v>583</v>
      </c>
      <c r="U383" s="75">
        <v>187317</v>
      </c>
      <c r="V383" t="s">
        <v>2011</v>
      </c>
      <c r="W383" t="s">
        <v>2012</v>
      </c>
      <c r="X383" t="s">
        <v>62</v>
      </c>
      <c r="Y383" t="s">
        <v>63</v>
      </c>
      <c r="AA383" t="s">
        <v>81</v>
      </c>
      <c r="AB383">
        <v>42.133333999999998</v>
      </c>
      <c r="AC383">
        <v>38.133333999999998</v>
      </c>
      <c r="AD383">
        <v>4</v>
      </c>
      <c r="AE383">
        <v>0.216666</v>
      </c>
      <c r="AF383">
        <v>0</v>
      </c>
      <c r="AG383">
        <v>3.783334</v>
      </c>
      <c r="AH383">
        <v>3.783334</v>
      </c>
      <c r="AI383">
        <v>3.7</v>
      </c>
      <c r="AJ383">
        <v>8.3334000000000005E-2</v>
      </c>
      <c r="AK383">
        <v>0</v>
      </c>
      <c r="AL383" s="76">
        <v>44972</v>
      </c>
      <c r="AM383" s="75">
        <v>1086</v>
      </c>
      <c r="AN383" t="s">
        <v>65</v>
      </c>
      <c r="AO383" t="s">
        <v>1910</v>
      </c>
      <c r="AP383" t="s">
        <v>67</v>
      </c>
      <c r="AQ383" t="s">
        <v>68</v>
      </c>
      <c r="AR383" t="s">
        <v>69</v>
      </c>
      <c r="AS383" s="79"/>
      <c r="AT383" s="82" t="s">
        <v>1722</v>
      </c>
      <c r="AU383" s="78">
        <v>2026</v>
      </c>
      <c r="AV383" s="78">
        <v>2</v>
      </c>
      <c r="AW383" s="78" t="s">
        <v>71</v>
      </c>
      <c r="AX383" s="78">
        <v>1</v>
      </c>
      <c r="AY383" s="78">
        <v>0</v>
      </c>
      <c r="BT383" s="3" t="s">
        <v>71</v>
      </c>
      <c r="BU383" s="3">
        <v>1</v>
      </c>
      <c r="BV383" s="3">
        <v>0</v>
      </c>
    </row>
    <row r="384" spans="1:74" ht="15" customHeight="1" x14ac:dyDescent="0.25">
      <c r="A384" s="75">
        <v>5816039</v>
      </c>
      <c r="B384" t="s">
        <v>2013</v>
      </c>
      <c r="C384" t="s">
        <v>2014</v>
      </c>
      <c r="D384" t="s">
        <v>1567</v>
      </c>
      <c r="E384" t="s">
        <v>54</v>
      </c>
      <c r="F384" s="75">
        <v>794</v>
      </c>
      <c r="G384" s="75">
        <v>272185</v>
      </c>
      <c r="H384">
        <v>750</v>
      </c>
      <c r="I384" t="s">
        <v>242</v>
      </c>
      <c r="J384" s="75">
        <v>42041</v>
      </c>
      <c r="K384" t="s">
        <v>1700</v>
      </c>
      <c r="L384" t="s">
        <v>1701</v>
      </c>
      <c r="M384" s="81">
        <v>46059.450648148151</v>
      </c>
      <c r="N384" s="81">
        <v>46060.527407407397</v>
      </c>
      <c r="O384" t="s">
        <v>58</v>
      </c>
      <c r="P384" t="s">
        <v>59</v>
      </c>
      <c r="Q384" t="s">
        <v>130</v>
      </c>
      <c r="R384" t="s">
        <v>60</v>
      </c>
      <c r="S384" t="s">
        <v>583</v>
      </c>
      <c r="T384" t="s">
        <v>507</v>
      </c>
      <c r="U384" s="75">
        <v>187657</v>
      </c>
      <c r="V384" t="s">
        <v>2015</v>
      </c>
      <c r="W384" t="s">
        <v>2015</v>
      </c>
      <c r="X384" t="s">
        <v>62</v>
      </c>
      <c r="Y384" t="s">
        <v>63</v>
      </c>
      <c r="AA384" t="s">
        <v>64</v>
      </c>
      <c r="AB384">
        <v>25.783334</v>
      </c>
      <c r="AC384">
        <v>18.05</v>
      </c>
      <c r="AD384">
        <v>7.7333340000000002</v>
      </c>
      <c r="AE384">
        <v>0.61666699999999997</v>
      </c>
      <c r="AF384">
        <v>0</v>
      </c>
      <c r="AG384">
        <v>7.1166669999999996</v>
      </c>
      <c r="AH384">
        <v>7.1166669999999996</v>
      </c>
      <c r="AI384">
        <v>6.9666670000000002</v>
      </c>
      <c r="AJ384">
        <v>0.15</v>
      </c>
      <c r="AK384">
        <v>0</v>
      </c>
      <c r="AL384" s="76">
        <v>36526</v>
      </c>
      <c r="AM384" s="75">
        <v>9533</v>
      </c>
      <c r="AN384" t="s">
        <v>65</v>
      </c>
      <c r="AO384" t="s">
        <v>1705</v>
      </c>
      <c r="AP384" t="s">
        <v>67</v>
      </c>
      <c r="AQ384" t="s">
        <v>68</v>
      </c>
      <c r="AR384" t="s">
        <v>69</v>
      </c>
      <c r="AS384" s="78"/>
      <c r="AT384" s="82" t="s">
        <v>1722</v>
      </c>
      <c r="AU384" s="78">
        <v>2026</v>
      </c>
      <c r="AV384" s="78">
        <v>2</v>
      </c>
      <c r="AW384" s="78" t="s">
        <v>71</v>
      </c>
      <c r="AX384" s="78">
        <v>1</v>
      </c>
      <c r="AY384" s="78">
        <v>0</v>
      </c>
      <c r="BT384" s="2" t="s">
        <v>71</v>
      </c>
      <c r="BU384" s="2">
        <v>1</v>
      </c>
      <c r="BV384" s="2">
        <v>0</v>
      </c>
    </row>
    <row r="385" spans="1:74" ht="15" customHeight="1" x14ac:dyDescent="0.25">
      <c r="A385" s="75">
        <v>5815841</v>
      </c>
      <c r="B385" t="s">
        <v>2016</v>
      </c>
      <c r="C385" t="s">
        <v>2017</v>
      </c>
      <c r="D385" t="s">
        <v>809</v>
      </c>
      <c r="E385" t="s">
        <v>54</v>
      </c>
      <c r="F385" s="75">
        <v>32</v>
      </c>
      <c r="G385" s="75">
        <v>335861</v>
      </c>
      <c r="H385">
        <v>99.9</v>
      </c>
      <c r="I385" t="s">
        <v>1591</v>
      </c>
      <c r="J385" s="75">
        <v>88921</v>
      </c>
      <c r="K385" t="s">
        <v>1177</v>
      </c>
      <c r="L385" t="s">
        <v>1178</v>
      </c>
      <c r="M385" s="81">
        <v>46059.3830787037</v>
      </c>
      <c r="N385" s="81">
        <v>46060.628993055558</v>
      </c>
      <c r="O385" t="s">
        <v>58</v>
      </c>
      <c r="P385" t="s">
        <v>59</v>
      </c>
      <c r="Q385" t="s">
        <v>130</v>
      </c>
      <c r="R385" t="s">
        <v>156</v>
      </c>
      <c r="S385" t="s">
        <v>1320</v>
      </c>
      <c r="U385" s="75">
        <v>188087</v>
      </c>
      <c r="V385" t="s">
        <v>2018</v>
      </c>
      <c r="W385" t="s">
        <v>2018</v>
      </c>
      <c r="X385" t="s">
        <v>62</v>
      </c>
      <c r="Y385" t="s">
        <v>1447</v>
      </c>
      <c r="AA385" t="s">
        <v>416</v>
      </c>
      <c r="AB385">
        <v>29.783334</v>
      </c>
      <c r="AC385">
        <v>14.083334000000001</v>
      </c>
      <c r="AD385">
        <v>15.7</v>
      </c>
      <c r="AE385">
        <v>0.1</v>
      </c>
      <c r="AF385">
        <v>0</v>
      </c>
      <c r="AG385">
        <v>15.6</v>
      </c>
      <c r="AH385">
        <v>15.6</v>
      </c>
      <c r="AI385">
        <v>15.183332999999999</v>
      </c>
      <c r="AJ385">
        <v>0.41666700000000001</v>
      </c>
      <c r="AK385">
        <v>0</v>
      </c>
      <c r="AL385" s="76"/>
      <c r="AM385" s="75"/>
      <c r="AN385" t="s">
        <v>135</v>
      </c>
      <c r="AO385" t="s">
        <v>2019</v>
      </c>
      <c r="AP385" t="s">
        <v>67</v>
      </c>
      <c r="AQ385" t="s">
        <v>68</v>
      </c>
      <c r="AR385" t="s">
        <v>69</v>
      </c>
      <c r="AS385" s="79"/>
      <c r="AT385" s="82" t="s">
        <v>1722</v>
      </c>
      <c r="AU385" s="78">
        <v>2026</v>
      </c>
      <c r="AV385" s="78">
        <v>2</v>
      </c>
      <c r="AW385" s="78" t="s">
        <v>137</v>
      </c>
      <c r="AX385" s="78">
        <v>0</v>
      </c>
      <c r="AY385" s="78">
        <v>0</v>
      </c>
      <c r="BT385" s="3" t="s">
        <v>137</v>
      </c>
      <c r="BU385" s="3">
        <v>0</v>
      </c>
      <c r="BV385" s="3">
        <v>0</v>
      </c>
    </row>
    <row r="386" spans="1:74" ht="15" customHeight="1" x14ac:dyDescent="0.25">
      <c r="A386" s="75">
        <v>5816385</v>
      </c>
      <c r="B386" t="s">
        <v>2020</v>
      </c>
      <c r="C386" t="s">
        <v>2021</v>
      </c>
      <c r="D386" t="s">
        <v>125</v>
      </c>
      <c r="E386" t="s">
        <v>87</v>
      </c>
      <c r="F386" s="75">
        <v>416</v>
      </c>
      <c r="G386" s="75">
        <v>289241</v>
      </c>
      <c r="H386">
        <v>398.82</v>
      </c>
      <c r="I386" t="s">
        <v>55</v>
      </c>
      <c r="J386" s="75">
        <v>216233</v>
      </c>
      <c r="K386" t="s">
        <v>88</v>
      </c>
      <c r="L386" t="s">
        <v>89</v>
      </c>
      <c r="M386" s="81">
        <v>46059.562974537039</v>
      </c>
      <c r="N386" s="81">
        <v>46061.398622685178</v>
      </c>
      <c r="O386" t="s">
        <v>58</v>
      </c>
      <c r="P386" t="s">
        <v>59</v>
      </c>
      <c r="Q386" t="s">
        <v>90</v>
      </c>
      <c r="R386" t="s">
        <v>60</v>
      </c>
      <c r="S386" t="s">
        <v>1268</v>
      </c>
      <c r="U386" s="75">
        <v>187821</v>
      </c>
      <c r="V386" t="s">
        <v>2022</v>
      </c>
      <c r="W386" t="s">
        <v>2022</v>
      </c>
      <c r="X386" t="s">
        <v>62</v>
      </c>
      <c r="Y386" t="s">
        <v>63</v>
      </c>
      <c r="AA386" t="s">
        <v>64</v>
      </c>
      <c r="AB386">
        <v>44</v>
      </c>
      <c r="AC386">
        <v>39</v>
      </c>
      <c r="AD386">
        <v>5</v>
      </c>
      <c r="AE386">
        <v>6.6667000000000004E-2</v>
      </c>
      <c r="AF386">
        <v>0</v>
      </c>
      <c r="AG386">
        <v>4.9333330000000002</v>
      </c>
      <c r="AH386">
        <v>4.9333330000000002</v>
      </c>
      <c r="AI386">
        <v>4.8833330000000004</v>
      </c>
      <c r="AJ386">
        <v>0.05</v>
      </c>
      <c r="AK386">
        <v>0</v>
      </c>
      <c r="AL386" s="76">
        <v>45006</v>
      </c>
      <c r="AM386" s="75">
        <v>1053</v>
      </c>
      <c r="AN386" t="s">
        <v>65</v>
      </c>
      <c r="AO386" t="s">
        <v>2023</v>
      </c>
      <c r="AP386" t="s">
        <v>67</v>
      </c>
      <c r="AQ386" t="s">
        <v>68</v>
      </c>
      <c r="AR386" t="s">
        <v>69</v>
      </c>
      <c r="AS386" s="78"/>
      <c r="AT386" s="82" t="s">
        <v>1722</v>
      </c>
      <c r="AU386" s="78">
        <v>2026</v>
      </c>
      <c r="AV386" s="78">
        <v>2</v>
      </c>
      <c r="AW386" s="78" t="s">
        <v>71</v>
      </c>
      <c r="AX386" s="78">
        <v>1</v>
      </c>
      <c r="AY386" s="78">
        <v>0</v>
      </c>
      <c r="BT386" s="2" t="s">
        <v>71</v>
      </c>
      <c r="BU386" s="2">
        <v>1</v>
      </c>
      <c r="BV386" s="2">
        <v>0</v>
      </c>
    </row>
    <row r="387" spans="1:74" ht="15" customHeight="1" x14ac:dyDescent="0.25">
      <c r="A387" s="75">
        <v>5816335</v>
      </c>
      <c r="B387" t="s">
        <v>2024</v>
      </c>
      <c r="C387" t="s">
        <v>2025</v>
      </c>
      <c r="D387" t="s">
        <v>1400</v>
      </c>
      <c r="E387" t="s">
        <v>54</v>
      </c>
      <c r="F387" s="75">
        <v>1</v>
      </c>
      <c r="G387" s="75">
        <v>329517</v>
      </c>
      <c r="H387">
        <v>1000</v>
      </c>
      <c r="I387" t="s">
        <v>141</v>
      </c>
      <c r="J387" s="75">
        <v>225013</v>
      </c>
      <c r="K387" t="s">
        <v>2026</v>
      </c>
      <c r="L387" t="s">
        <v>2027</v>
      </c>
      <c r="M387" s="81">
        <v>46059.542187500003</v>
      </c>
      <c r="N387" s="81">
        <v>46061.43304398148</v>
      </c>
      <c r="O387" t="s">
        <v>58</v>
      </c>
      <c r="P387" t="s">
        <v>59</v>
      </c>
      <c r="Q387" t="s">
        <v>130</v>
      </c>
      <c r="R387" t="s">
        <v>60</v>
      </c>
      <c r="S387" t="s">
        <v>1268</v>
      </c>
      <c r="U387" s="75">
        <v>187805</v>
      </c>
      <c r="V387" t="s">
        <v>2028</v>
      </c>
      <c r="W387" t="s">
        <v>2028</v>
      </c>
      <c r="X387" t="s">
        <v>62</v>
      </c>
      <c r="Y387" t="s">
        <v>63</v>
      </c>
      <c r="AA387" t="s">
        <v>64</v>
      </c>
      <c r="AB387">
        <v>45.35</v>
      </c>
      <c r="AC387">
        <v>39.75</v>
      </c>
      <c r="AD387">
        <v>5.6</v>
      </c>
      <c r="AE387">
        <v>0.36666700000000002</v>
      </c>
      <c r="AF387">
        <v>0</v>
      </c>
      <c r="AG387">
        <v>5.233333</v>
      </c>
      <c r="AH387">
        <v>5.233333</v>
      </c>
      <c r="AI387">
        <v>5.0833329999999997</v>
      </c>
      <c r="AJ387">
        <v>0.15</v>
      </c>
      <c r="AK387">
        <v>0</v>
      </c>
      <c r="AL387" s="76">
        <v>45686.662638888891</v>
      </c>
      <c r="AM387" s="75">
        <v>372</v>
      </c>
      <c r="AN387" t="s">
        <v>65</v>
      </c>
      <c r="AO387" t="s">
        <v>2029</v>
      </c>
      <c r="AP387" t="s">
        <v>67</v>
      </c>
      <c r="AQ387" t="s">
        <v>68</v>
      </c>
      <c r="AR387" t="s">
        <v>69</v>
      </c>
      <c r="AS387" s="79"/>
      <c r="AT387" s="82" t="s">
        <v>1722</v>
      </c>
      <c r="AU387" s="78">
        <v>2026</v>
      </c>
      <c r="AV387" s="78">
        <v>2</v>
      </c>
      <c r="AW387" s="78" t="s">
        <v>71</v>
      </c>
      <c r="AX387" s="78">
        <v>1</v>
      </c>
      <c r="AY387" s="78">
        <v>0</v>
      </c>
      <c r="BT387" s="3" t="s">
        <v>71</v>
      </c>
      <c r="BU387" s="3">
        <v>1</v>
      </c>
      <c r="BV387" s="3">
        <v>0</v>
      </c>
    </row>
    <row r="388" spans="1:74" ht="15" customHeight="1" x14ac:dyDescent="0.25">
      <c r="A388" s="75">
        <v>5815667</v>
      </c>
      <c r="B388" t="s">
        <v>2030</v>
      </c>
      <c r="C388" t="s">
        <v>2031</v>
      </c>
      <c r="D388" t="s">
        <v>1400</v>
      </c>
      <c r="E388" t="s">
        <v>54</v>
      </c>
      <c r="F388" s="75">
        <v>19</v>
      </c>
      <c r="G388" s="75">
        <v>322045</v>
      </c>
      <c r="H388">
        <v>399</v>
      </c>
      <c r="I388" t="s">
        <v>114</v>
      </c>
      <c r="J388" s="75">
        <v>219061</v>
      </c>
      <c r="K388" t="s">
        <v>444</v>
      </c>
      <c r="L388" t="s">
        <v>445</v>
      </c>
      <c r="M388" s="81">
        <v>46059.335474537038</v>
      </c>
      <c r="N388" s="81">
        <v>46061.480439814812</v>
      </c>
      <c r="O388" t="s">
        <v>58</v>
      </c>
      <c r="P388" t="s">
        <v>59</v>
      </c>
      <c r="Q388" t="s">
        <v>77</v>
      </c>
      <c r="R388" t="s">
        <v>131</v>
      </c>
      <c r="S388" t="s">
        <v>1702</v>
      </c>
      <c r="U388" s="75">
        <v>187475</v>
      </c>
      <c r="V388" t="s">
        <v>2032</v>
      </c>
      <c r="W388" t="s">
        <v>2032</v>
      </c>
      <c r="X388" t="s">
        <v>62</v>
      </c>
      <c r="Y388" t="s">
        <v>63</v>
      </c>
      <c r="AA388" t="s">
        <v>81</v>
      </c>
      <c r="AB388">
        <v>51.433332999999998</v>
      </c>
      <c r="AC388">
        <v>47.416666999999997</v>
      </c>
      <c r="AD388">
        <v>4.0166659999999998</v>
      </c>
      <c r="AE388">
        <v>0.46666600000000003</v>
      </c>
      <c r="AF388">
        <v>0</v>
      </c>
      <c r="AG388">
        <v>3.55</v>
      </c>
      <c r="AH388">
        <v>3.55</v>
      </c>
      <c r="AI388">
        <v>3.25</v>
      </c>
      <c r="AJ388">
        <v>0.3</v>
      </c>
      <c r="AK388">
        <v>0</v>
      </c>
      <c r="AL388" s="76">
        <v>45488</v>
      </c>
      <c r="AM388" s="75">
        <v>571</v>
      </c>
      <c r="AN388" t="s">
        <v>65</v>
      </c>
      <c r="AO388" t="s">
        <v>2031</v>
      </c>
      <c r="AP388" t="s">
        <v>67</v>
      </c>
      <c r="AQ388" t="s">
        <v>68</v>
      </c>
      <c r="AR388" t="s">
        <v>69</v>
      </c>
      <c r="AS388" s="78"/>
      <c r="AT388" s="82" t="s">
        <v>1722</v>
      </c>
      <c r="AU388" s="78">
        <v>2026</v>
      </c>
      <c r="AV388" s="78">
        <v>2</v>
      </c>
      <c r="AW388" s="78" t="s">
        <v>71</v>
      </c>
      <c r="AX388" s="78">
        <v>1</v>
      </c>
      <c r="AY388" s="78">
        <v>0</v>
      </c>
      <c r="BT388" s="2" t="s">
        <v>71</v>
      </c>
      <c r="BU388" s="2">
        <v>1</v>
      </c>
      <c r="BV388" s="2">
        <v>0</v>
      </c>
    </row>
    <row r="389" spans="1:74" ht="15" customHeight="1" x14ac:dyDescent="0.25">
      <c r="A389" s="75">
        <v>5816365</v>
      </c>
      <c r="B389" t="s">
        <v>2033</v>
      </c>
      <c r="C389" t="s">
        <v>2034</v>
      </c>
      <c r="D389" t="s">
        <v>1567</v>
      </c>
      <c r="E389" t="s">
        <v>87</v>
      </c>
      <c r="F389" s="75">
        <v>273</v>
      </c>
      <c r="G389" s="75">
        <v>286393</v>
      </c>
      <c r="H389">
        <v>364.96</v>
      </c>
      <c r="I389" t="s">
        <v>55</v>
      </c>
      <c r="J389" s="75">
        <v>218787</v>
      </c>
      <c r="K389" t="s">
        <v>96</v>
      </c>
      <c r="L389" t="s">
        <v>97</v>
      </c>
      <c r="M389" s="81">
        <v>46059.553576388891</v>
      </c>
      <c r="N389" s="81">
        <v>46062.395729166667</v>
      </c>
      <c r="O389" t="s">
        <v>58</v>
      </c>
      <c r="P389" t="s">
        <v>59</v>
      </c>
      <c r="Q389" t="s">
        <v>130</v>
      </c>
      <c r="R389" t="s">
        <v>131</v>
      </c>
      <c r="S389" t="s">
        <v>1273</v>
      </c>
      <c r="U389" s="75">
        <v>187827</v>
      </c>
      <c r="V389" t="s">
        <v>2035</v>
      </c>
      <c r="W389" t="s">
        <v>2035</v>
      </c>
      <c r="X389" t="s">
        <v>62</v>
      </c>
      <c r="Y389" t="s">
        <v>63</v>
      </c>
      <c r="AA389" t="s">
        <v>81</v>
      </c>
      <c r="AB389">
        <v>68.149998999999994</v>
      </c>
      <c r="AC389">
        <v>64.583332999999996</v>
      </c>
      <c r="AD389">
        <v>3.5666660000000001</v>
      </c>
      <c r="AE389">
        <v>3.3333000000000002E-2</v>
      </c>
      <c r="AF389">
        <v>0</v>
      </c>
      <c r="AG389">
        <v>3.5333329999999998</v>
      </c>
      <c r="AH389">
        <v>3.5333329999999998</v>
      </c>
      <c r="AI389">
        <v>3.25</v>
      </c>
      <c r="AJ389">
        <v>0.283333</v>
      </c>
      <c r="AK389">
        <v>0</v>
      </c>
      <c r="AL389" s="76">
        <v>44930</v>
      </c>
      <c r="AM389" s="75">
        <v>1129</v>
      </c>
      <c r="AN389" t="s">
        <v>65</v>
      </c>
      <c r="AO389" t="s">
        <v>2036</v>
      </c>
      <c r="AP389" t="s">
        <v>67</v>
      </c>
      <c r="AQ389" t="s">
        <v>68</v>
      </c>
      <c r="AR389" t="s">
        <v>69</v>
      </c>
      <c r="AS389" s="79"/>
      <c r="AT389" s="82" t="s">
        <v>2037</v>
      </c>
      <c r="AU389" s="78">
        <v>2026</v>
      </c>
      <c r="AV389" s="78">
        <v>2</v>
      </c>
      <c r="AW389" s="78" t="s">
        <v>71</v>
      </c>
      <c r="AX389" s="78">
        <v>1</v>
      </c>
      <c r="AY389" s="78">
        <v>0</v>
      </c>
      <c r="BT389" s="3" t="s">
        <v>71</v>
      </c>
      <c r="BU389" s="3">
        <v>1</v>
      </c>
      <c r="BV389" s="3">
        <v>0</v>
      </c>
    </row>
    <row r="390" spans="1:74" ht="15" customHeight="1" x14ac:dyDescent="0.25">
      <c r="A390" s="75">
        <v>5816197</v>
      </c>
      <c r="B390" t="s">
        <v>2038</v>
      </c>
      <c r="C390" t="s">
        <v>1631</v>
      </c>
      <c r="D390" t="s">
        <v>74</v>
      </c>
      <c r="E390" t="s">
        <v>87</v>
      </c>
      <c r="F390" s="75">
        <v>508</v>
      </c>
      <c r="G390" s="75">
        <v>292003</v>
      </c>
      <c r="H390">
        <v>364.95</v>
      </c>
      <c r="I390" t="s">
        <v>55</v>
      </c>
      <c r="J390" s="75">
        <v>218787</v>
      </c>
      <c r="K390" t="s">
        <v>96</v>
      </c>
      <c r="L390" t="s">
        <v>97</v>
      </c>
      <c r="M390" s="81">
        <v>46059.486724537041</v>
      </c>
      <c r="N390" s="81">
        <v>46062.452187499999</v>
      </c>
      <c r="O390" t="s">
        <v>58</v>
      </c>
      <c r="P390" t="s">
        <v>59</v>
      </c>
      <c r="Q390" t="s">
        <v>90</v>
      </c>
      <c r="R390" t="s">
        <v>60</v>
      </c>
      <c r="S390" t="s">
        <v>583</v>
      </c>
      <c r="U390" s="75">
        <v>187669</v>
      </c>
      <c r="V390" t="s">
        <v>2039</v>
      </c>
      <c r="W390" t="s">
        <v>2039</v>
      </c>
      <c r="X390" t="s">
        <v>62</v>
      </c>
      <c r="Y390" t="s">
        <v>63</v>
      </c>
      <c r="AA390" t="s">
        <v>101</v>
      </c>
      <c r="AB390">
        <v>71.133334000000005</v>
      </c>
      <c r="AC390">
        <v>62.666666999999997</v>
      </c>
      <c r="AD390">
        <v>8.4666669999999993</v>
      </c>
      <c r="AE390">
        <v>0.183333</v>
      </c>
      <c r="AF390">
        <v>0</v>
      </c>
      <c r="AG390">
        <v>8.283334</v>
      </c>
      <c r="AH390">
        <v>8.283334</v>
      </c>
      <c r="AI390">
        <v>8.2166669999999993</v>
      </c>
      <c r="AJ390">
        <v>6.6667000000000004E-2</v>
      </c>
      <c r="AK390">
        <v>0</v>
      </c>
      <c r="AL390" s="76">
        <v>45156</v>
      </c>
      <c r="AM390" s="75">
        <v>903</v>
      </c>
      <c r="AN390" t="s">
        <v>65</v>
      </c>
      <c r="AO390" t="s">
        <v>1634</v>
      </c>
      <c r="AP390" t="s">
        <v>67</v>
      </c>
      <c r="AQ390" t="s">
        <v>68</v>
      </c>
      <c r="AR390" t="s">
        <v>69</v>
      </c>
      <c r="AS390" s="78"/>
      <c r="AT390" s="82" t="s">
        <v>2037</v>
      </c>
      <c r="AU390" s="78">
        <v>2026</v>
      </c>
      <c r="AV390" s="78">
        <v>2</v>
      </c>
      <c r="AW390" s="78" t="s">
        <v>71</v>
      </c>
      <c r="AX390" s="78">
        <v>0</v>
      </c>
      <c r="AY390" s="78">
        <v>0</v>
      </c>
      <c r="BT390" s="2" t="s">
        <v>71</v>
      </c>
      <c r="BU390" s="2">
        <v>0</v>
      </c>
      <c r="BV390" s="2">
        <v>0</v>
      </c>
    </row>
    <row r="391" spans="1:74" ht="15" customHeight="1" x14ac:dyDescent="0.25">
      <c r="A391" s="75">
        <v>5816239</v>
      </c>
      <c r="B391" t="s">
        <v>2040</v>
      </c>
      <c r="C391" t="s">
        <v>2041</v>
      </c>
      <c r="D391" t="s">
        <v>74</v>
      </c>
      <c r="E391" t="s">
        <v>105</v>
      </c>
      <c r="F391" s="75">
        <v>599</v>
      </c>
      <c r="G391" s="75">
        <v>168349</v>
      </c>
      <c r="H391">
        <v>1750</v>
      </c>
      <c r="I391" t="s">
        <v>55</v>
      </c>
      <c r="J391" s="75">
        <v>49331</v>
      </c>
      <c r="K391" t="s">
        <v>1266</v>
      </c>
      <c r="L391" t="s">
        <v>1267</v>
      </c>
      <c r="M391" s="81">
        <v>46059.500347222223</v>
      </c>
      <c r="N391" s="81">
        <v>46062.454907407409</v>
      </c>
      <c r="O391" t="s">
        <v>58</v>
      </c>
      <c r="P391" t="s">
        <v>59</v>
      </c>
      <c r="Q391" t="s">
        <v>90</v>
      </c>
      <c r="R391" t="s">
        <v>60</v>
      </c>
      <c r="S391" t="s">
        <v>583</v>
      </c>
      <c r="U391" s="75">
        <v>187803</v>
      </c>
      <c r="V391" t="s">
        <v>2042</v>
      </c>
      <c r="W391" t="s">
        <v>2042</v>
      </c>
      <c r="X391" t="s">
        <v>79</v>
      </c>
      <c r="Y391" t="s">
        <v>224</v>
      </c>
      <c r="AA391" t="s">
        <v>81</v>
      </c>
      <c r="AB391">
        <v>70.866667000000007</v>
      </c>
      <c r="AC391">
        <v>66.033333999999996</v>
      </c>
      <c r="AD391">
        <v>4.8333329999999997</v>
      </c>
      <c r="AE391">
        <v>1.35</v>
      </c>
      <c r="AF391">
        <v>0</v>
      </c>
      <c r="AG391">
        <v>3.483333</v>
      </c>
      <c r="AH391">
        <v>3.483333</v>
      </c>
      <c r="AI391">
        <v>3.3833329999999999</v>
      </c>
      <c r="AJ391">
        <v>0.1</v>
      </c>
      <c r="AK391">
        <v>0</v>
      </c>
      <c r="AL391" s="76">
        <v>43945.601631944453</v>
      </c>
      <c r="AM391" s="75">
        <v>2113</v>
      </c>
      <c r="AN391" t="s">
        <v>65</v>
      </c>
      <c r="AO391" t="s">
        <v>1270</v>
      </c>
      <c r="AP391" t="s">
        <v>67</v>
      </c>
      <c r="AQ391" t="s">
        <v>83</v>
      </c>
      <c r="AR391" t="s">
        <v>69</v>
      </c>
      <c r="AS391" s="79"/>
      <c r="AT391" s="82" t="s">
        <v>2037</v>
      </c>
      <c r="AU391" s="78">
        <v>2026</v>
      </c>
      <c r="AV391" s="78">
        <v>2</v>
      </c>
      <c r="AW391" s="78" t="s">
        <v>226</v>
      </c>
      <c r="AX391" s="78">
        <v>1</v>
      </c>
      <c r="AY391" s="78">
        <v>0</v>
      </c>
      <c r="BT391" s="3" t="s">
        <v>226</v>
      </c>
      <c r="BU391" s="3">
        <v>1</v>
      </c>
      <c r="BV391" s="3">
        <v>0</v>
      </c>
    </row>
    <row r="392" spans="1:74" ht="15" customHeight="1" x14ac:dyDescent="0.25">
      <c r="A392" s="75">
        <v>5816387</v>
      </c>
      <c r="B392" t="s">
        <v>2043</v>
      </c>
      <c r="C392" t="s">
        <v>2044</v>
      </c>
      <c r="D392" t="s">
        <v>74</v>
      </c>
      <c r="E392" t="s">
        <v>87</v>
      </c>
      <c r="F392" s="75">
        <v>232</v>
      </c>
      <c r="G392" s="75">
        <v>286305</v>
      </c>
      <c r="H392">
        <v>364.96</v>
      </c>
      <c r="I392" t="s">
        <v>55</v>
      </c>
      <c r="J392" s="75">
        <v>218787</v>
      </c>
      <c r="K392" t="s">
        <v>96</v>
      </c>
      <c r="L392" t="s">
        <v>97</v>
      </c>
      <c r="M392" s="81">
        <v>46059.562986111108</v>
      </c>
      <c r="N392" s="81">
        <v>46062.459340277783</v>
      </c>
      <c r="O392" t="s">
        <v>58</v>
      </c>
      <c r="P392" t="s">
        <v>59</v>
      </c>
      <c r="Q392" t="s">
        <v>90</v>
      </c>
      <c r="R392" t="s">
        <v>60</v>
      </c>
      <c r="S392" t="s">
        <v>583</v>
      </c>
      <c r="U392" s="75">
        <v>187845</v>
      </c>
      <c r="V392" t="s">
        <v>2045</v>
      </c>
      <c r="W392" t="s">
        <v>2045</v>
      </c>
      <c r="X392" t="s">
        <v>62</v>
      </c>
      <c r="Y392" t="s">
        <v>63</v>
      </c>
      <c r="AA392" t="s">
        <v>64</v>
      </c>
      <c r="AB392">
        <v>69.449999000000005</v>
      </c>
      <c r="AC392">
        <v>64.433333000000005</v>
      </c>
      <c r="AD392">
        <v>5.0166659999999998</v>
      </c>
      <c r="AE392">
        <v>0.2</v>
      </c>
      <c r="AF392">
        <v>0</v>
      </c>
      <c r="AG392">
        <v>4.8166659999999997</v>
      </c>
      <c r="AH392">
        <v>4.8166659999999997</v>
      </c>
      <c r="AI392">
        <v>4.733333</v>
      </c>
      <c r="AJ392">
        <v>8.3333000000000004E-2</v>
      </c>
      <c r="AK392">
        <v>0</v>
      </c>
      <c r="AL392" s="76">
        <v>44896</v>
      </c>
      <c r="AM392" s="75">
        <v>1163</v>
      </c>
      <c r="AN392" t="s">
        <v>65</v>
      </c>
      <c r="AO392" t="s">
        <v>2046</v>
      </c>
      <c r="AP392" t="s">
        <v>67</v>
      </c>
      <c r="AQ392" t="s">
        <v>68</v>
      </c>
      <c r="AR392" t="s">
        <v>69</v>
      </c>
      <c r="AS392" s="78"/>
      <c r="AT392" s="82" t="s">
        <v>2037</v>
      </c>
      <c r="AU392" s="78">
        <v>2026</v>
      </c>
      <c r="AV392" s="78">
        <v>2</v>
      </c>
      <c r="AW392" s="78" t="s">
        <v>71</v>
      </c>
      <c r="AX392" s="78">
        <v>1</v>
      </c>
      <c r="AY392" s="78">
        <v>0</v>
      </c>
      <c r="BT392" s="2" t="s">
        <v>71</v>
      </c>
      <c r="BU392" s="2">
        <v>1</v>
      </c>
      <c r="BV392" s="2">
        <v>0</v>
      </c>
    </row>
    <row r="393" spans="1:74" ht="15" customHeight="1" x14ac:dyDescent="0.25">
      <c r="A393" s="75">
        <v>5815155</v>
      </c>
      <c r="B393" t="s">
        <v>2047</v>
      </c>
      <c r="C393" t="s">
        <v>2048</v>
      </c>
      <c r="D393" t="s">
        <v>74</v>
      </c>
      <c r="E393" t="s">
        <v>126</v>
      </c>
      <c r="F393" s="75">
        <v>7</v>
      </c>
      <c r="G393" s="75">
        <v>330869</v>
      </c>
      <c r="H393">
        <v>5000</v>
      </c>
      <c r="I393" t="s">
        <v>2049</v>
      </c>
      <c r="J393" s="75">
        <v>219529</v>
      </c>
      <c r="K393" t="s">
        <v>2050</v>
      </c>
      <c r="L393" t="s">
        <v>2051</v>
      </c>
      <c r="M393" s="81">
        <v>46058.681041666663</v>
      </c>
      <c r="N393" s="81">
        <v>46062.464583333327</v>
      </c>
      <c r="O393" t="s">
        <v>58</v>
      </c>
      <c r="P393" t="s">
        <v>59</v>
      </c>
      <c r="Q393" t="s">
        <v>90</v>
      </c>
      <c r="R393" t="s">
        <v>99</v>
      </c>
      <c r="S393" t="s">
        <v>1244</v>
      </c>
      <c r="U393" s="75">
        <v>187335</v>
      </c>
      <c r="V393" t="s">
        <v>2052</v>
      </c>
      <c r="X393" t="s">
        <v>2053</v>
      </c>
      <c r="Y393" t="s">
        <v>2054</v>
      </c>
      <c r="AA393" t="s">
        <v>295</v>
      </c>
      <c r="AB393">
        <v>90.666667000000004</v>
      </c>
      <c r="AC393">
        <v>51.45</v>
      </c>
      <c r="AD393">
        <v>39.216667000000001</v>
      </c>
      <c r="AE393">
        <v>0.3</v>
      </c>
      <c r="AF393">
        <v>0</v>
      </c>
      <c r="AG393">
        <v>38.916666999999997</v>
      </c>
      <c r="AH393">
        <v>38.916666999999997</v>
      </c>
      <c r="AI393">
        <v>6.75</v>
      </c>
      <c r="AJ393">
        <v>32.166666999999997</v>
      </c>
      <c r="AK393">
        <v>0</v>
      </c>
      <c r="AL393" s="76">
        <v>45671</v>
      </c>
      <c r="AM393" s="75">
        <v>387</v>
      </c>
      <c r="AN393" t="s">
        <v>65</v>
      </c>
      <c r="AO393" t="s">
        <v>2055</v>
      </c>
      <c r="AP393" t="s">
        <v>67</v>
      </c>
      <c r="AQ393" t="s">
        <v>121</v>
      </c>
      <c r="AR393" t="s">
        <v>69</v>
      </c>
      <c r="AS393" s="79"/>
      <c r="AT393" s="82" t="s">
        <v>2037</v>
      </c>
      <c r="AU393" s="78">
        <v>2026</v>
      </c>
      <c r="AV393" s="78">
        <v>2</v>
      </c>
      <c r="AW393" s="78" t="s">
        <v>2056</v>
      </c>
      <c r="AX393" s="78">
        <v>0</v>
      </c>
      <c r="AY393" s="78">
        <v>1</v>
      </c>
      <c r="BT393" s="3" t="s">
        <v>2056</v>
      </c>
      <c r="BU393" s="3">
        <v>0</v>
      </c>
      <c r="BV393" s="3">
        <v>1</v>
      </c>
    </row>
    <row r="394" spans="1:74" ht="15" customHeight="1" x14ac:dyDescent="0.25">
      <c r="A394" s="75">
        <v>5816573</v>
      </c>
      <c r="B394" t="s">
        <v>2057</v>
      </c>
      <c r="C394" t="s">
        <v>2058</v>
      </c>
      <c r="D394" t="s">
        <v>74</v>
      </c>
      <c r="E394" t="s">
        <v>54</v>
      </c>
      <c r="F394" s="75">
        <v>1</v>
      </c>
      <c r="G394" s="75">
        <v>329359</v>
      </c>
      <c r="H394">
        <v>500</v>
      </c>
      <c r="I394" t="s">
        <v>141</v>
      </c>
      <c r="J394" s="75">
        <v>224907</v>
      </c>
      <c r="K394" t="s">
        <v>898</v>
      </c>
      <c r="L394" t="s">
        <v>2059</v>
      </c>
      <c r="M394" s="81">
        <v>46059.625092592592</v>
      </c>
      <c r="N394" s="81">
        <v>46062.47929398148</v>
      </c>
      <c r="O394" t="s">
        <v>58</v>
      </c>
      <c r="P394" t="s">
        <v>59</v>
      </c>
      <c r="Q394" t="s">
        <v>130</v>
      </c>
      <c r="R394" t="s">
        <v>131</v>
      </c>
      <c r="S394" t="s">
        <v>1273</v>
      </c>
      <c r="U394" s="75">
        <v>188283</v>
      </c>
      <c r="V394" t="s">
        <v>2060</v>
      </c>
      <c r="W394" t="s">
        <v>2061</v>
      </c>
      <c r="X394" t="s">
        <v>62</v>
      </c>
      <c r="Y394" t="s">
        <v>63</v>
      </c>
      <c r="AA394" t="s">
        <v>416</v>
      </c>
      <c r="AB394">
        <v>68.400001000000003</v>
      </c>
      <c r="AC394">
        <v>53.05</v>
      </c>
      <c r="AD394">
        <v>15.350001000000001</v>
      </c>
      <c r="AE394">
        <v>8.3333000000000004E-2</v>
      </c>
      <c r="AF394">
        <v>0</v>
      </c>
      <c r="AG394">
        <v>15.266667999999999</v>
      </c>
      <c r="AH394">
        <v>15.266667999999999</v>
      </c>
      <c r="AI394">
        <v>14.750000999999999</v>
      </c>
      <c r="AJ394">
        <v>0.51666699999999999</v>
      </c>
      <c r="AK394">
        <v>0</v>
      </c>
      <c r="AL394" s="76">
        <v>45621.429236111107</v>
      </c>
      <c r="AM394" s="75">
        <v>438</v>
      </c>
      <c r="AN394" t="s">
        <v>65</v>
      </c>
      <c r="AO394" t="s">
        <v>2062</v>
      </c>
      <c r="AP394" t="s">
        <v>67</v>
      </c>
      <c r="AQ394" t="s">
        <v>68</v>
      </c>
      <c r="AR394" t="s">
        <v>69</v>
      </c>
      <c r="AS394" s="78"/>
      <c r="AT394" s="82" t="s">
        <v>2037</v>
      </c>
      <c r="AU394" s="78">
        <v>2026</v>
      </c>
      <c r="AV394" s="78">
        <v>2</v>
      </c>
      <c r="AW394" s="78" t="s">
        <v>71</v>
      </c>
      <c r="AX394" s="78">
        <v>0</v>
      </c>
      <c r="AY394" s="78">
        <v>0</v>
      </c>
      <c r="BT394" s="2" t="s">
        <v>71</v>
      </c>
      <c r="BU394" s="2">
        <v>0</v>
      </c>
      <c r="BV394" s="2">
        <v>0</v>
      </c>
    </row>
    <row r="395" spans="1:74" ht="15" customHeight="1" x14ac:dyDescent="0.25">
      <c r="A395" s="75">
        <v>5814483</v>
      </c>
      <c r="B395" t="s">
        <v>2063</v>
      </c>
      <c r="C395" t="s">
        <v>2064</v>
      </c>
      <c r="D395" t="s">
        <v>74</v>
      </c>
      <c r="E395" t="s">
        <v>87</v>
      </c>
      <c r="F395" s="75">
        <v>50</v>
      </c>
      <c r="G395" s="75">
        <v>280223</v>
      </c>
      <c r="H395">
        <v>926.83</v>
      </c>
      <c r="I395" t="s">
        <v>266</v>
      </c>
      <c r="J395" s="75">
        <v>201809</v>
      </c>
      <c r="K395" t="s">
        <v>505</v>
      </c>
      <c r="L395" t="s">
        <v>506</v>
      </c>
      <c r="M395" s="81">
        <v>46058.471550925933</v>
      </c>
      <c r="N395" s="81">
        <v>46062.517465277779</v>
      </c>
      <c r="O395" t="s">
        <v>58</v>
      </c>
      <c r="P395" t="s">
        <v>59</v>
      </c>
      <c r="Q395" t="s">
        <v>98</v>
      </c>
      <c r="R395" t="s">
        <v>99</v>
      </c>
      <c r="S395" t="s">
        <v>1244</v>
      </c>
      <c r="T395" t="s">
        <v>970</v>
      </c>
      <c r="U395" s="75">
        <v>186923</v>
      </c>
      <c r="V395" t="s">
        <v>2065</v>
      </c>
      <c r="W395" t="s">
        <v>2065</v>
      </c>
      <c r="X395" t="s">
        <v>62</v>
      </c>
      <c r="Y395" t="s">
        <v>2066</v>
      </c>
      <c r="AA395" t="s">
        <v>101</v>
      </c>
      <c r="AB395">
        <v>97.033332999999999</v>
      </c>
      <c r="AC395">
        <v>88.3</v>
      </c>
      <c r="AD395">
        <v>8.733333</v>
      </c>
      <c r="AE395">
        <v>0.63333300000000003</v>
      </c>
      <c r="AF395">
        <v>0</v>
      </c>
      <c r="AG395">
        <v>8.1</v>
      </c>
      <c r="AH395">
        <v>8.1</v>
      </c>
      <c r="AI395">
        <v>7.75</v>
      </c>
      <c r="AJ395">
        <v>0.35</v>
      </c>
      <c r="AK395">
        <v>0</v>
      </c>
      <c r="AL395" s="76">
        <v>44399</v>
      </c>
      <c r="AM395" s="75">
        <v>1659</v>
      </c>
      <c r="AN395" t="s">
        <v>65</v>
      </c>
      <c r="AO395" t="s">
        <v>2067</v>
      </c>
      <c r="AP395" t="s">
        <v>67</v>
      </c>
      <c r="AQ395" t="s">
        <v>68</v>
      </c>
      <c r="AR395" t="s">
        <v>69</v>
      </c>
      <c r="AS395" s="79"/>
      <c r="AT395" s="82" t="s">
        <v>2037</v>
      </c>
      <c r="AU395" s="78">
        <v>2026</v>
      </c>
      <c r="AV395" s="78">
        <v>2</v>
      </c>
      <c r="AW395" s="78" t="s">
        <v>137</v>
      </c>
      <c r="AX395" s="78">
        <v>0</v>
      </c>
      <c r="AY395" s="78">
        <v>0</v>
      </c>
      <c r="BT395" s="3" t="s">
        <v>137</v>
      </c>
      <c r="BU395" s="3">
        <v>0</v>
      </c>
      <c r="BV395" s="3">
        <v>0</v>
      </c>
    </row>
    <row r="396" spans="1:74" ht="15" customHeight="1" x14ac:dyDescent="0.25">
      <c r="A396" s="75">
        <v>5817257</v>
      </c>
      <c r="B396" t="s">
        <v>2068</v>
      </c>
      <c r="C396" t="s">
        <v>2069</v>
      </c>
      <c r="D396" t="s">
        <v>956</v>
      </c>
      <c r="E396" t="s">
        <v>87</v>
      </c>
      <c r="F396" s="75">
        <v>826</v>
      </c>
      <c r="G396" s="75">
        <v>345215</v>
      </c>
      <c r="H396">
        <v>334.78</v>
      </c>
      <c r="I396" t="s">
        <v>203</v>
      </c>
      <c r="J396" s="75">
        <v>6971</v>
      </c>
      <c r="K396" t="s">
        <v>369</v>
      </c>
      <c r="L396" t="s">
        <v>370</v>
      </c>
      <c r="M396" s="81">
        <v>46060.319803240738</v>
      </c>
      <c r="N396" s="81">
        <v>46062.536412037043</v>
      </c>
      <c r="P396" t="s">
        <v>59</v>
      </c>
      <c r="Q396" t="s">
        <v>90</v>
      </c>
      <c r="R396" t="s">
        <v>60</v>
      </c>
      <c r="S396" t="s">
        <v>1268</v>
      </c>
      <c r="U396" s="75">
        <v>188493</v>
      </c>
      <c r="V396" t="s">
        <v>2070</v>
      </c>
      <c r="W396" t="s">
        <v>2071</v>
      </c>
      <c r="X396" t="s">
        <v>79</v>
      </c>
      <c r="Y396" t="s">
        <v>224</v>
      </c>
      <c r="AA396" t="s">
        <v>81</v>
      </c>
      <c r="AB396">
        <v>53.099998999999997</v>
      </c>
      <c r="AC396">
        <v>51.399999000000001</v>
      </c>
      <c r="AD396">
        <v>1.7</v>
      </c>
      <c r="AE396">
        <v>0.13333300000000001</v>
      </c>
      <c r="AF396">
        <v>0</v>
      </c>
      <c r="AG396">
        <v>1.566667</v>
      </c>
      <c r="AH396">
        <v>1.566667</v>
      </c>
      <c r="AI396">
        <v>1.1666669999999999</v>
      </c>
      <c r="AJ396">
        <v>0.4</v>
      </c>
      <c r="AK396">
        <v>0</v>
      </c>
      <c r="AL396" s="76">
        <v>46149</v>
      </c>
      <c r="AM396" s="75">
        <v>-88</v>
      </c>
      <c r="AN396" t="s">
        <v>1436</v>
      </c>
      <c r="AO396" t="s">
        <v>2072</v>
      </c>
      <c r="AP396" t="s">
        <v>67</v>
      </c>
      <c r="AQ396" t="s">
        <v>83</v>
      </c>
      <c r="AR396" t="s">
        <v>69</v>
      </c>
      <c r="AS396" s="78"/>
      <c r="AT396" s="82" t="s">
        <v>2037</v>
      </c>
      <c r="AU396" s="78">
        <v>2026</v>
      </c>
      <c r="AV396" s="78">
        <v>2</v>
      </c>
      <c r="AW396" s="78" t="s">
        <v>226</v>
      </c>
      <c r="AX396" s="78">
        <v>1</v>
      </c>
      <c r="AY396" s="78">
        <v>0</v>
      </c>
      <c r="BT396" s="2" t="s">
        <v>226</v>
      </c>
      <c r="BU396" s="2">
        <v>1</v>
      </c>
      <c r="BV396" s="2">
        <v>0</v>
      </c>
    </row>
    <row r="397" spans="1:74" ht="15" customHeight="1" x14ac:dyDescent="0.25">
      <c r="A397" s="75">
        <v>5816913</v>
      </c>
      <c r="B397" t="s">
        <v>2073</v>
      </c>
      <c r="C397" t="s">
        <v>2074</v>
      </c>
      <c r="D397" t="s">
        <v>74</v>
      </c>
      <c r="E397" t="s">
        <v>54</v>
      </c>
      <c r="F397" s="75">
        <v>2</v>
      </c>
      <c r="G397" s="75">
        <v>293845</v>
      </c>
      <c r="H397">
        <v>681.4</v>
      </c>
      <c r="I397" t="s">
        <v>55</v>
      </c>
      <c r="J397" s="75">
        <v>218097</v>
      </c>
      <c r="K397" t="s">
        <v>2075</v>
      </c>
      <c r="L397" t="s">
        <v>2076</v>
      </c>
      <c r="M397" s="81">
        <v>46059.764363425929</v>
      </c>
      <c r="N397" s="81">
        <v>46062.563125000001</v>
      </c>
      <c r="O397" t="s">
        <v>58</v>
      </c>
      <c r="P397" t="s">
        <v>59</v>
      </c>
      <c r="Q397" t="s">
        <v>90</v>
      </c>
      <c r="R397" t="s">
        <v>60</v>
      </c>
      <c r="S397" t="s">
        <v>1268</v>
      </c>
      <c r="U397" s="75">
        <v>188449</v>
      </c>
      <c r="V397" t="s">
        <v>2077</v>
      </c>
      <c r="W397" t="s">
        <v>2078</v>
      </c>
      <c r="X397" t="s">
        <v>62</v>
      </c>
      <c r="Y397" t="s">
        <v>63</v>
      </c>
      <c r="AA397" t="s">
        <v>64</v>
      </c>
      <c r="AB397">
        <v>67.100001000000006</v>
      </c>
      <c r="AC397">
        <v>60.150001000000003</v>
      </c>
      <c r="AD397">
        <v>6.95</v>
      </c>
      <c r="AE397">
        <v>0.93333299999999997</v>
      </c>
      <c r="AF397">
        <v>0</v>
      </c>
      <c r="AG397">
        <v>6.016667</v>
      </c>
      <c r="AH397">
        <v>6.016667</v>
      </c>
      <c r="AI397">
        <v>4.733333</v>
      </c>
      <c r="AJ397">
        <v>1.283334</v>
      </c>
      <c r="AK397">
        <v>0</v>
      </c>
      <c r="AL397" s="76">
        <v>45183.661828703713</v>
      </c>
      <c r="AM397" s="75">
        <v>876</v>
      </c>
      <c r="AN397" t="s">
        <v>65</v>
      </c>
      <c r="AO397" t="s">
        <v>2079</v>
      </c>
      <c r="AP397" t="s">
        <v>67</v>
      </c>
      <c r="AQ397" t="s">
        <v>68</v>
      </c>
      <c r="AR397" t="s">
        <v>69</v>
      </c>
      <c r="AS397" s="79"/>
      <c r="AT397" s="82" t="s">
        <v>2037</v>
      </c>
      <c r="AU397" s="78">
        <v>2026</v>
      </c>
      <c r="AV397" s="78">
        <v>2</v>
      </c>
      <c r="AW397" s="78" t="s">
        <v>71</v>
      </c>
      <c r="AX397" s="78">
        <v>1</v>
      </c>
      <c r="AY397" s="78">
        <v>0</v>
      </c>
      <c r="BT397" s="3" t="s">
        <v>71</v>
      </c>
      <c r="BU397" s="3">
        <v>1</v>
      </c>
      <c r="BV397" s="3">
        <v>0</v>
      </c>
    </row>
    <row r="398" spans="1:74" ht="15" customHeight="1" x14ac:dyDescent="0.25">
      <c r="A398" s="75">
        <v>5817933</v>
      </c>
      <c r="B398" t="s">
        <v>2080</v>
      </c>
      <c r="C398" t="s">
        <v>2081</v>
      </c>
      <c r="D398" t="s">
        <v>809</v>
      </c>
      <c r="E398" t="s">
        <v>126</v>
      </c>
      <c r="F398" s="75">
        <v>2</v>
      </c>
      <c r="G398" s="75">
        <v>343773</v>
      </c>
      <c r="H398">
        <v>12750</v>
      </c>
      <c r="I398" t="s">
        <v>2049</v>
      </c>
      <c r="J398" s="75">
        <v>56145</v>
      </c>
      <c r="K398" t="s">
        <v>2082</v>
      </c>
      <c r="L398" t="s">
        <v>2083</v>
      </c>
      <c r="M398" s="81">
        <v>46061.339895833327</v>
      </c>
      <c r="N398" s="81">
        <v>46062.683553240742</v>
      </c>
      <c r="O398" t="s">
        <v>58</v>
      </c>
      <c r="P398" t="s">
        <v>59</v>
      </c>
      <c r="Q398" t="s">
        <v>130</v>
      </c>
      <c r="R398" t="s">
        <v>156</v>
      </c>
      <c r="S398" t="s">
        <v>1320</v>
      </c>
      <c r="U398" s="75">
        <v>188317</v>
      </c>
      <c r="V398" t="s">
        <v>2084</v>
      </c>
      <c r="W398" t="s">
        <v>2085</v>
      </c>
      <c r="X398" t="s">
        <v>118</v>
      </c>
      <c r="Y398" t="s">
        <v>400</v>
      </c>
      <c r="AA398" t="s">
        <v>81</v>
      </c>
      <c r="AB398">
        <v>32.166666999999997</v>
      </c>
      <c r="AC398">
        <v>29.583334000000001</v>
      </c>
      <c r="AD398">
        <v>2.5833330000000001</v>
      </c>
      <c r="AE398">
        <v>0.16666600000000001</v>
      </c>
      <c r="AF398">
        <v>0</v>
      </c>
      <c r="AG398">
        <v>2.4166669999999999</v>
      </c>
      <c r="AH398">
        <v>2.4166669999999999</v>
      </c>
      <c r="AI398">
        <v>2.2999999999999998</v>
      </c>
      <c r="AJ398">
        <v>0.11666700000000001</v>
      </c>
      <c r="AK398">
        <v>0</v>
      </c>
      <c r="AL398" s="76">
        <v>45895</v>
      </c>
      <c r="AM398" s="75">
        <v>166</v>
      </c>
      <c r="AN398" t="s">
        <v>65</v>
      </c>
      <c r="AO398" t="s">
        <v>2086</v>
      </c>
      <c r="AP398" t="s">
        <v>67</v>
      </c>
      <c r="AQ398" t="s">
        <v>121</v>
      </c>
      <c r="AR398" t="s">
        <v>69</v>
      </c>
      <c r="AS398" s="78"/>
      <c r="AT398" s="82" t="s">
        <v>2037</v>
      </c>
      <c r="AU398" s="78">
        <v>2026</v>
      </c>
      <c r="AV398" s="78">
        <v>2</v>
      </c>
      <c r="AW398" s="78" t="s">
        <v>122</v>
      </c>
      <c r="AX398" s="78">
        <v>1</v>
      </c>
      <c r="AY398" s="78">
        <v>0</v>
      </c>
      <c r="BT398" s="2" t="s">
        <v>122</v>
      </c>
      <c r="BU398" s="2">
        <v>1</v>
      </c>
      <c r="BV398" s="2">
        <v>0</v>
      </c>
    </row>
    <row r="399" spans="1:74" ht="15" customHeight="1" x14ac:dyDescent="0.25">
      <c r="A399" s="75">
        <v>5815987</v>
      </c>
      <c r="B399" t="s">
        <v>2087</v>
      </c>
      <c r="C399" t="s">
        <v>1399</v>
      </c>
      <c r="D399" t="s">
        <v>53</v>
      </c>
      <c r="E399" t="s">
        <v>87</v>
      </c>
      <c r="F399" s="75">
        <v>428</v>
      </c>
      <c r="G399" s="75">
        <v>289281</v>
      </c>
      <c r="H399">
        <v>683.73</v>
      </c>
      <c r="I399" t="s">
        <v>55</v>
      </c>
      <c r="J399" s="75">
        <v>218791</v>
      </c>
      <c r="K399" t="s">
        <v>312</v>
      </c>
      <c r="L399" t="s">
        <v>313</v>
      </c>
      <c r="M399" s="81">
        <v>46059.430995370371</v>
      </c>
      <c r="N399" s="81">
        <v>46062.697928240741</v>
      </c>
      <c r="O399" t="s">
        <v>58</v>
      </c>
      <c r="P399" t="s">
        <v>59</v>
      </c>
      <c r="Q399" t="s">
        <v>90</v>
      </c>
      <c r="R399" t="s">
        <v>60</v>
      </c>
      <c r="S399" t="s">
        <v>583</v>
      </c>
      <c r="U399" s="75">
        <v>188447</v>
      </c>
      <c r="V399" t="s">
        <v>2088</v>
      </c>
      <c r="W399" t="s">
        <v>2089</v>
      </c>
      <c r="X399" t="s">
        <v>62</v>
      </c>
      <c r="Y399" t="s">
        <v>63</v>
      </c>
      <c r="AA399" t="s">
        <v>416</v>
      </c>
      <c r="AB399">
        <v>78.316665999999998</v>
      </c>
      <c r="AC399">
        <v>65.233333000000002</v>
      </c>
      <c r="AD399">
        <v>13.083333</v>
      </c>
      <c r="AE399">
        <v>0.35</v>
      </c>
      <c r="AF399">
        <v>0</v>
      </c>
      <c r="AG399">
        <v>12.733333</v>
      </c>
      <c r="AH399">
        <v>12.733333</v>
      </c>
      <c r="AI399">
        <v>12.15</v>
      </c>
      <c r="AJ399">
        <v>0.58333299999999999</v>
      </c>
      <c r="AK399">
        <v>0</v>
      </c>
      <c r="AL399" s="76">
        <v>45015.443495370368</v>
      </c>
      <c r="AM399" s="75">
        <v>1043</v>
      </c>
      <c r="AN399" t="s">
        <v>65</v>
      </c>
      <c r="AO399" t="s">
        <v>1402</v>
      </c>
      <c r="AP399" t="s">
        <v>67</v>
      </c>
      <c r="AQ399" t="s">
        <v>68</v>
      </c>
      <c r="AR399" t="s">
        <v>69</v>
      </c>
      <c r="AS399" s="79"/>
      <c r="AT399" s="82" t="s">
        <v>2037</v>
      </c>
      <c r="AU399" s="78">
        <v>2026</v>
      </c>
      <c r="AV399" s="78">
        <v>2</v>
      </c>
      <c r="AW399" s="78" t="s">
        <v>71</v>
      </c>
      <c r="AX399" s="78">
        <v>0</v>
      </c>
      <c r="AY399" s="78">
        <v>0</v>
      </c>
      <c r="BT399" s="3" t="s">
        <v>71</v>
      </c>
      <c r="BU399" s="3">
        <v>0</v>
      </c>
      <c r="BV399" s="3">
        <v>0</v>
      </c>
    </row>
    <row r="400" spans="1:74" ht="15" customHeight="1" x14ac:dyDescent="0.25">
      <c r="A400" s="75">
        <v>5820659</v>
      </c>
      <c r="B400" t="s">
        <v>2090</v>
      </c>
      <c r="C400" t="s">
        <v>2091</v>
      </c>
      <c r="D400" t="s">
        <v>809</v>
      </c>
      <c r="E400" t="s">
        <v>54</v>
      </c>
      <c r="F400" s="75">
        <v>944</v>
      </c>
      <c r="G400" s="75">
        <v>340801</v>
      </c>
      <c r="H400">
        <v>449</v>
      </c>
      <c r="I400" t="s">
        <v>141</v>
      </c>
      <c r="J400" s="75">
        <v>4341</v>
      </c>
      <c r="K400" t="s">
        <v>2092</v>
      </c>
      <c r="L400" t="s">
        <v>2093</v>
      </c>
      <c r="M400" s="81">
        <v>46062.746400462973</v>
      </c>
      <c r="N400" s="81">
        <v>46063.424675925933</v>
      </c>
      <c r="O400" t="s">
        <v>391</v>
      </c>
      <c r="P400" t="s">
        <v>59</v>
      </c>
      <c r="Q400" t="s">
        <v>905</v>
      </c>
      <c r="R400" t="s">
        <v>60</v>
      </c>
      <c r="S400" t="s">
        <v>583</v>
      </c>
      <c r="U400" s="75">
        <v>189315</v>
      </c>
      <c r="V400" t="s">
        <v>2094</v>
      </c>
      <c r="W400" t="s">
        <v>2094</v>
      </c>
      <c r="X400" t="s">
        <v>118</v>
      </c>
      <c r="Y400" t="s">
        <v>400</v>
      </c>
      <c r="AA400" t="s">
        <v>64</v>
      </c>
      <c r="AB400">
        <v>16.233333999999999</v>
      </c>
      <c r="AC400">
        <v>11.933334</v>
      </c>
      <c r="AD400">
        <v>4.3</v>
      </c>
      <c r="AE400">
        <v>8.3333000000000004E-2</v>
      </c>
      <c r="AF400">
        <v>0</v>
      </c>
      <c r="AG400">
        <v>4.2166670000000002</v>
      </c>
      <c r="AH400">
        <v>4.2166670000000002</v>
      </c>
      <c r="AI400">
        <v>2.4666670000000002</v>
      </c>
      <c r="AJ400">
        <v>1.75</v>
      </c>
      <c r="AK400">
        <v>0</v>
      </c>
      <c r="AL400" s="76">
        <v>45803</v>
      </c>
      <c r="AM400" s="75">
        <v>259</v>
      </c>
      <c r="AN400" t="s">
        <v>65</v>
      </c>
      <c r="AO400" t="s">
        <v>2095</v>
      </c>
      <c r="AP400" t="s">
        <v>67</v>
      </c>
      <c r="AQ400" t="s">
        <v>121</v>
      </c>
      <c r="AR400" t="s">
        <v>69</v>
      </c>
      <c r="AS400" s="78"/>
      <c r="AT400" s="82" t="s">
        <v>2037</v>
      </c>
      <c r="AU400" s="78">
        <v>2026</v>
      </c>
      <c r="AV400" s="78">
        <v>2</v>
      </c>
      <c r="AW400" s="78" t="s">
        <v>122</v>
      </c>
      <c r="AX400" s="78">
        <v>1</v>
      </c>
      <c r="AY400" s="78">
        <v>0</v>
      </c>
      <c r="BT400" s="2" t="s">
        <v>122</v>
      </c>
      <c r="BU400" s="2">
        <v>1</v>
      </c>
      <c r="BV400" s="2">
        <v>0</v>
      </c>
    </row>
    <row r="401" spans="1:74" ht="15" customHeight="1" x14ac:dyDescent="0.25">
      <c r="A401" s="75">
        <v>5820229</v>
      </c>
      <c r="B401" t="s">
        <v>2096</v>
      </c>
      <c r="C401" t="s">
        <v>2097</v>
      </c>
      <c r="D401" t="s">
        <v>956</v>
      </c>
      <c r="E401" t="s">
        <v>105</v>
      </c>
      <c r="F401" s="75">
        <v>608</v>
      </c>
      <c r="G401" s="75">
        <v>342863</v>
      </c>
      <c r="H401">
        <v>225</v>
      </c>
      <c r="I401" t="s">
        <v>163</v>
      </c>
      <c r="J401" s="75">
        <v>48887</v>
      </c>
      <c r="K401" t="s">
        <v>164</v>
      </c>
      <c r="L401" t="s">
        <v>165</v>
      </c>
      <c r="M401" s="81">
        <v>46062.638842592591</v>
      </c>
      <c r="N401" s="81">
        <v>46063.503275462957</v>
      </c>
      <c r="O401" t="s">
        <v>58</v>
      </c>
      <c r="P401" t="s">
        <v>59</v>
      </c>
      <c r="Q401" t="s">
        <v>77</v>
      </c>
      <c r="R401" t="s">
        <v>131</v>
      </c>
      <c r="S401" t="s">
        <v>1273</v>
      </c>
      <c r="U401" s="75">
        <v>189389</v>
      </c>
      <c r="V401" t="s">
        <v>2098</v>
      </c>
      <c r="W401" t="s">
        <v>2098</v>
      </c>
      <c r="X401" t="s">
        <v>62</v>
      </c>
      <c r="Y401" t="s">
        <v>824</v>
      </c>
      <c r="AA401" t="s">
        <v>81</v>
      </c>
      <c r="AB401">
        <v>20.683333999999999</v>
      </c>
      <c r="AC401">
        <v>8.4499999999999993</v>
      </c>
      <c r="AD401">
        <v>12.233333999999999</v>
      </c>
      <c r="AE401">
        <v>10.85</v>
      </c>
      <c r="AF401">
        <v>0</v>
      </c>
      <c r="AG401">
        <v>1.3833340000000001</v>
      </c>
      <c r="AH401">
        <v>1.3833340000000001</v>
      </c>
      <c r="AI401">
        <v>1.1166670000000001</v>
      </c>
      <c r="AJ401">
        <v>0.26666699999999999</v>
      </c>
      <c r="AK401">
        <v>0</v>
      </c>
      <c r="AL401" s="76">
        <v>45866</v>
      </c>
      <c r="AM401" s="75">
        <v>196</v>
      </c>
      <c r="AN401" t="s">
        <v>65</v>
      </c>
      <c r="AO401" t="s">
        <v>825</v>
      </c>
      <c r="AP401" t="s">
        <v>67</v>
      </c>
      <c r="AQ401" t="s">
        <v>68</v>
      </c>
      <c r="AR401" t="s">
        <v>69</v>
      </c>
      <c r="AS401" s="79"/>
      <c r="AT401" s="82" t="s">
        <v>2037</v>
      </c>
      <c r="AU401" s="78">
        <v>2026</v>
      </c>
      <c r="AV401" s="78">
        <v>2</v>
      </c>
      <c r="AW401" s="78" t="s">
        <v>137</v>
      </c>
      <c r="AX401" s="78">
        <v>1</v>
      </c>
      <c r="AY401" s="78">
        <v>0</v>
      </c>
      <c r="BT401" s="3" t="s">
        <v>137</v>
      </c>
      <c r="BU401" s="3">
        <v>1</v>
      </c>
      <c r="BV401" s="3">
        <v>0</v>
      </c>
    </row>
    <row r="402" spans="1:74" ht="15" customHeight="1" x14ac:dyDescent="0.25">
      <c r="A402" s="75">
        <v>5818799</v>
      </c>
      <c r="B402" t="s">
        <v>2099</v>
      </c>
      <c r="C402" t="s">
        <v>1548</v>
      </c>
      <c r="D402" t="s">
        <v>527</v>
      </c>
      <c r="E402" t="s">
        <v>87</v>
      </c>
      <c r="F402" s="75">
        <v>367</v>
      </c>
      <c r="G402" s="75">
        <v>286775</v>
      </c>
      <c r="H402">
        <v>364.96</v>
      </c>
      <c r="I402" t="s">
        <v>55</v>
      </c>
      <c r="J402" s="75">
        <v>218787</v>
      </c>
      <c r="K402" t="s">
        <v>96</v>
      </c>
      <c r="L402" t="s">
        <v>97</v>
      </c>
      <c r="M402" s="81">
        <v>46061.743541666663</v>
      </c>
      <c r="N402" s="81">
        <v>46063.562303240738</v>
      </c>
      <c r="O402" t="s">
        <v>58</v>
      </c>
      <c r="P402" t="s">
        <v>59</v>
      </c>
      <c r="Q402" t="s">
        <v>90</v>
      </c>
      <c r="R402" t="s">
        <v>131</v>
      </c>
      <c r="S402" t="s">
        <v>1316</v>
      </c>
      <c r="U402" s="75">
        <v>189369</v>
      </c>
      <c r="V402" t="s">
        <v>2100</v>
      </c>
      <c r="W402" t="s">
        <v>2101</v>
      </c>
      <c r="X402" t="s">
        <v>62</v>
      </c>
      <c r="Y402" t="s">
        <v>63</v>
      </c>
      <c r="AA402" t="s">
        <v>416</v>
      </c>
      <c r="AB402">
        <v>43.583333000000003</v>
      </c>
      <c r="AC402">
        <v>28.9</v>
      </c>
      <c r="AD402">
        <v>14.683332999999999</v>
      </c>
      <c r="AE402">
        <v>2.0499999999999998</v>
      </c>
      <c r="AF402">
        <v>0</v>
      </c>
      <c r="AG402">
        <v>12.633333</v>
      </c>
      <c r="AH402">
        <v>12.633333</v>
      </c>
      <c r="AI402">
        <v>11.916665999999999</v>
      </c>
      <c r="AJ402">
        <v>0.71666700000000005</v>
      </c>
      <c r="AK402">
        <v>0</v>
      </c>
      <c r="AL402" s="76">
        <v>44943</v>
      </c>
      <c r="AM402" s="75">
        <v>1118</v>
      </c>
      <c r="AN402" t="s">
        <v>65</v>
      </c>
      <c r="AO402" t="s">
        <v>478</v>
      </c>
      <c r="AP402" t="s">
        <v>67</v>
      </c>
      <c r="AQ402" t="s">
        <v>68</v>
      </c>
      <c r="AR402" t="s">
        <v>69</v>
      </c>
      <c r="AS402" s="78"/>
      <c r="AT402" s="82" t="s">
        <v>2037</v>
      </c>
      <c r="AU402" s="78">
        <v>2026</v>
      </c>
      <c r="AV402" s="78">
        <v>2</v>
      </c>
      <c r="AW402" s="78" t="s">
        <v>71</v>
      </c>
      <c r="AX402" s="78">
        <v>0</v>
      </c>
      <c r="AY402" s="78">
        <v>0</v>
      </c>
      <c r="BT402" s="2" t="s">
        <v>71</v>
      </c>
      <c r="BU402" s="2">
        <v>0</v>
      </c>
      <c r="BV402" s="2">
        <v>0</v>
      </c>
    </row>
    <row r="403" spans="1:74" ht="15" customHeight="1" x14ac:dyDescent="0.25">
      <c r="A403" s="75">
        <v>5817419</v>
      </c>
      <c r="B403" t="s">
        <v>2102</v>
      </c>
      <c r="C403" t="s">
        <v>2103</v>
      </c>
      <c r="D403" t="s">
        <v>527</v>
      </c>
      <c r="E403" t="s">
        <v>87</v>
      </c>
      <c r="F403" s="75">
        <v>6</v>
      </c>
      <c r="G403" s="75">
        <v>278133</v>
      </c>
      <c r="H403">
        <v>623.5</v>
      </c>
      <c r="I403" t="s">
        <v>266</v>
      </c>
      <c r="J403" s="75">
        <v>203659</v>
      </c>
      <c r="K403" t="s">
        <v>1090</v>
      </c>
      <c r="L403" t="s">
        <v>1091</v>
      </c>
      <c r="M403" s="81">
        <v>46060.423900462964</v>
      </c>
      <c r="N403" s="81">
        <v>46063.577696759261</v>
      </c>
      <c r="O403" t="s">
        <v>58</v>
      </c>
      <c r="P403" t="s">
        <v>59</v>
      </c>
      <c r="Q403" t="s">
        <v>90</v>
      </c>
      <c r="R403" t="s">
        <v>131</v>
      </c>
      <c r="S403" t="s">
        <v>1316</v>
      </c>
      <c r="T403" t="s">
        <v>507</v>
      </c>
      <c r="U403" s="75">
        <v>189189</v>
      </c>
      <c r="V403" t="s">
        <v>2104</v>
      </c>
      <c r="W403" t="s">
        <v>2104</v>
      </c>
      <c r="X403" t="s">
        <v>62</v>
      </c>
      <c r="Y403" t="s">
        <v>1186</v>
      </c>
      <c r="AA403" t="s">
        <v>81</v>
      </c>
      <c r="AB403">
        <v>75.566665</v>
      </c>
      <c r="AC403">
        <v>67.833331999999999</v>
      </c>
      <c r="AD403">
        <v>7.733333</v>
      </c>
      <c r="AE403">
        <v>4.0833339999999998</v>
      </c>
      <c r="AF403">
        <v>0</v>
      </c>
      <c r="AG403">
        <v>3.6499990000000002</v>
      </c>
      <c r="AH403">
        <v>3.6499990000000002</v>
      </c>
      <c r="AI403">
        <v>0.61666699999999997</v>
      </c>
      <c r="AJ403">
        <v>3.0333320000000001</v>
      </c>
      <c r="AK403">
        <v>0</v>
      </c>
      <c r="AL403" s="76">
        <v>44711</v>
      </c>
      <c r="AM403" s="75">
        <v>1349</v>
      </c>
      <c r="AN403" t="s">
        <v>65</v>
      </c>
      <c r="AO403" t="s">
        <v>2105</v>
      </c>
      <c r="AP403" t="s">
        <v>67</v>
      </c>
      <c r="AQ403" t="s">
        <v>68</v>
      </c>
      <c r="AR403" t="s">
        <v>69</v>
      </c>
      <c r="AS403" s="79"/>
      <c r="AT403" s="82" t="s">
        <v>2037</v>
      </c>
      <c r="AU403" s="78">
        <v>2026</v>
      </c>
      <c r="AV403" s="78">
        <v>2</v>
      </c>
      <c r="AW403" s="78" t="s">
        <v>137</v>
      </c>
      <c r="AX403" s="78">
        <v>1</v>
      </c>
      <c r="AY403" s="78">
        <v>0</v>
      </c>
      <c r="BT403" s="3" t="s">
        <v>137</v>
      </c>
      <c r="BU403" s="3">
        <v>1</v>
      </c>
      <c r="BV403" s="3">
        <v>0</v>
      </c>
    </row>
    <row r="404" spans="1:74" ht="15" customHeight="1" x14ac:dyDescent="0.25">
      <c r="A404" s="75">
        <v>5822467</v>
      </c>
      <c r="B404" t="s">
        <v>2106</v>
      </c>
      <c r="C404" t="s">
        <v>2107</v>
      </c>
      <c r="D404" t="s">
        <v>527</v>
      </c>
      <c r="E404" t="s">
        <v>87</v>
      </c>
      <c r="F404" s="75">
        <v>5</v>
      </c>
      <c r="G404" s="75">
        <v>278131</v>
      </c>
      <c r="H404">
        <v>0</v>
      </c>
      <c r="I404" t="s">
        <v>242</v>
      </c>
      <c r="J404" s="75">
        <v>203659</v>
      </c>
      <c r="K404" t="s">
        <v>1090</v>
      </c>
      <c r="L404" t="s">
        <v>1091</v>
      </c>
      <c r="M404" s="81">
        <v>46063.702060185176</v>
      </c>
      <c r="N404" s="81">
        <v>46064.317615740743</v>
      </c>
      <c r="O404" t="s">
        <v>624</v>
      </c>
      <c r="P404" t="s">
        <v>59</v>
      </c>
      <c r="Q404" t="s">
        <v>90</v>
      </c>
      <c r="R404" t="s">
        <v>99</v>
      </c>
      <c r="S404" t="s">
        <v>1244</v>
      </c>
      <c r="U404" s="75">
        <v>190293</v>
      </c>
      <c r="V404" t="s">
        <v>2108</v>
      </c>
      <c r="X404" t="s">
        <v>62</v>
      </c>
      <c r="Y404" t="s">
        <v>63</v>
      </c>
      <c r="AA404" t="s">
        <v>81</v>
      </c>
      <c r="AB404">
        <v>14.733333999999999</v>
      </c>
      <c r="AC404">
        <v>12.55</v>
      </c>
      <c r="AD404">
        <v>2.1833339999999999</v>
      </c>
      <c r="AE404">
        <v>1.566667</v>
      </c>
      <c r="AF404">
        <v>0</v>
      </c>
      <c r="AG404">
        <v>0.61666699999999997</v>
      </c>
      <c r="AH404">
        <v>0.61666699999999997</v>
      </c>
      <c r="AI404">
        <v>0</v>
      </c>
      <c r="AJ404">
        <v>0.61666699999999997</v>
      </c>
      <c r="AK404">
        <v>0</v>
      </c>
      <c r="AL404" s="76">
        <v>44711</v>
      </c>
      <c r="AM404" s="75">
        <v>1352</v>
      </c>
      <c r="AN404" t="s">
        <v>65</v>
      </c>
      <c r="AO404" t="s">
        <v>2109</v>
      </c>
      <c r="AP404" t="s">
        <v>67</v>
      </c>
      <c r="AQ404" t="s">
        <v>68</v>
      </c>
      <c r="AR404" t="s">
        <v>69</v>
      </c>
      <c r="AS404" s="78"/>
      <c r="AT404" s="82" t="s">
        <v>2037</v>
      </c>
      <c r="AU404" s="78">
        <v>2026</v>
      </c>
      <c r="AV404" s="78">
        <v>2</v>
      </c>
      <c r="AW404" s="78" t="s">
        <v>71</v>
      </c>
      <c r="AX404" s="78">
        <v>1</v>
      </c>
      <c r="AY404" s="78">
        <v>0</v>
      </c>
      <c r="BT404" s="2" t="s">
        <v>71</v>
      </c>
      <c r="BU404" s="2">
        <v>1</v>
      </c>
      <c r="BV404" s="2">
        <v>0</v>
      </c>
    </row>
    <row r="405" spans="1:74" ht="15" customHeight="1" x14ac:dyDescent="0.25">
      <c r="A405" s="75">
        <v>5822469</v>
      </c>
      <c r="B405" t="s">
        <v>2110</v>
      </c>
      <c r="C405" t="s">
        <v>2111</v>
      </c>
      <c r="D405" t="s">
        <v>150</v>
      </c>
      <c r="E405" t="s">
        <v>87</v>
      </c>
      <c r="F405" s="75">
        <v>1</v>
      </c>
      <c r="G405" s="75">
        <v>251521</v>
      </c>
      <c r="H405">
        <v>12500</v>
      </c>
      <c r="I405" t="s">
        <v>880</v>
      </c>
      <c r="J405" s="75">
        <v>203659</v>
      </c>
      <c r="K405" t="s">
        <v>1090</v>
      </c>
      <c r="L405" t="s">
        <v>1091</v>
      </c>
      <c r="M405" s="81">
        <v>46063.70208333333</v>
      </c>
      <c r="N405" s="81">
        <v>46064.317708333343</v>
      </c>
      <c r="O405" t="s">
        <v>624</v>
      </c>
      <c r="P405" t="s">
        <v>59</v>
      </c>
      <c r="Q405" t="s">
        <v>90</v>
      </c>
      <c r="R405" t="s">
        <v>99</v>
      </c>
      <c r="S405" t="s">
        <v>1244</v>
      </c>
      <c r="T405" t="s">
        <v>507</v>
      </c>
      <c r="U405" s="75">
        <v>190289</v>
      </c>
      <c r="V405" t="s">
        <v>2112</v>
      </c>
      <c r="W405" t="s">
        <v>2113</v>
      </c>
      <c r="X405" t="s">
        <v>62</v>
      </c>
      <c r="Y405" t="s">
        <v>63</v>
      </c>
      <c r="AA405" t="s">
        <v>81</v>
      </c>
      <c r="AB405">
        <v>14.733333999999999</v>
      </c>
      <c r="AC405">
        <v>12.55</v>
      </c>
      <c r="AD405">
        <v>2.1833339999999999</v>
      </c>
      <c r="AE405">
        <v>1.533334</v>
      </c>
      <c r="AF405">
        <v>0</v>
      </c>
      <c r="AG405">
        <v>0.65</v>
      </c>
      <c r="AH405">
        <v>0.65</v>
      </c>
      <c r="AI405">
        <v>0</v>
      </c>
      <c r="AJ405">
        <v>0.65</v>
      </c>
      <c r="AK405">
        <v>0</v>
      </c>
      <c r="AL405" s="76">
        <v>44657</v>
      </c>
      <c r="AM405" s="75">
        <v>1406</v>
      </c>
      <c r="AN405" t="s">
        <v>65</v>
      </c>
      <c r="AO405" t="s">
        <v>2114</v>
      </c>
      <c r="AP405" t="s">
        <v>67</v>
      </c>
      <c r="AQ405" t="s">
        <v>68</v>
      </c>
      <c r="AR405" t="s">
        <v>69</v>
      </c>
      <c r="AS405" s="79"/>
      <c r="AT405" s="82" t="s">
        <v>2037</v>
      </c>
      <c r="AU405" s="78">
        <v>2026</v>
      </c>
      <c r="AV405" s="78">
        <v>2</v>
      </c>
      <c r="AW405" s="78" t="s">
        <v>71</v>
      </c>
      <c r="AX405" s="78">
        <v>1</v>
      </c>
      <c r="AY405" s="78">
        <v>0</v>
      </c>
      <c r="BT405" s="3" t="s">
        <v>71</v>
      </c>
      <c r="BU405" s="3">
        <v>1</v>
      </c>
      <c r="BV405" s="3">
        <v>0</v>
      </c>
    </row>
    <row r="406" spans="1:74" ht="15" customHeight="1" x14ac:dyDescent="0.25">
      <c r="A406" s="75">
        <v>5822285</v>
      </c>
      <c r="B406" t="s">
        <v>2115</v>
      </c>
      <c r="C406" t="s">
        <v>2116</v>
      </c>
      <c r="D406" t="s">
        <v>527</v>
      </c>
      <c r="E406" t="s">
        <v>54</v>
      </c>
      <c r="F406" s="75">
        <v>67</v>
      </c>
      <c r="G406" s="75">
        <v>52581</v>
      </c>
      <c r="H406">
        <v>188.59</v>
      </c>
      <c r="I406" t="s">
        <v>195</v>
      </c>
      <c r="J406" s="75">
        <v>1819</v>
      </c>
      <c r="K406" t="s">
        <v>759</v>
      </c>
      <c r="L406" t="s">
        <v>760</v>
      </c>
      <c r="M406" s="81">
        <v>46063.659942129627</v>
      </c>
      <c r="N406" s="81">
        <v>46064.460358796299</v>
      </c>
      <c r="O406" t="s">
        <v>58</v>
      </c>
      <c r="P406" t="s">
        <v>59</v>
      </c>
      <c r="Q406" t="s">
        <v>130</v>
      </c>
      <c r="R406" t="s">
        <v>60</v>
      </c>
      <c r="S406" t="s">
        <v>1268</v>
      </c>
      <c r="U406" s="75">
        <v>190197</v>
      </c>
      <c r="V406" t="s">
        <v>2117</v>
      </c>
      <c r="W406" t="s">
        <v>2117</v>
      </c>
      <c r="X406" t="s">
        <v>79</v>
      </c>
      <c r="Y406" t="s">
        <v>224</v>
      </c>
      <c r="AA406" t="s">
        <v>81</v>
      </c>
      <c r="AB406">
        <v>19.166665999999999</v>
      </c>
      <c r="AC406">
        <v>14.383333</v>
      </c>
      <c r="AD406">
        <v>4.7833329999999998</v>
      </c>
      <c r="AE406">
        <v>1.066667</v>
      </c>
      <c r="AF406">
        <v>0</v>
      </c>
      <c r="AG406">
        <v>3.716666</v>
      </c>
      <c r="AH406">
        <v>3.716666</v>
      </c>
      <c r="AI406">
        <v>2.2000000000000002</v>
      </c>
      <c r="AJ406">
        <v>1.5166660000000001</v>
      </c>
      <c r="AK406">
        <v>0</v>
      </c>
      <c r="AL406" s="76">
        <v>41964</v>
      </c>
      <c r="AM406" s="75">
        <v>4099</v>
      </c>
      <c r="AN406" t="s">
        <v>65</v>
      </c>
      <c r="AO406" t="s">
        <v>2118</v>
      </c>
      <c r="AP406" t="s">
        <v>67</v>
      </c>
      <c r="AQ406" t="s">
        <v>83</v>
      </c>
      <c r="AR406" t="s">
        <v>69</v>
      </c>
      <c r="AS406" s="78"/>
      <c r="AT406" s="82" t="s">
        <v>2037</v>
      </c>
      <c r="AU406" s="78">
        <v>2026</v>
      </c>
      <c r="AV406" s="78">
        <v>2</v>
      </c>
      <c r="AW406" s="78" t="s">
        <v>226</v>
      </c>
      <c r="AX406" s="78">
        <v>1</v>
      </c>
      <c r="AY406" s="78">
        <v>0</v>
      </c>
      <c r="BT406" s="2" t="s">
        <v>226</v>
      </c>
      <c r="BU406" s="2">
        <v>1</v>
      </c>
      <c r="BV406" s="2">
        <v>0</v>
      </c>
    </row>
    <row r="407" spans="1:74" ht="15" customHeight="1" x14ac:dyDescent="0.25">
      <c r="A407" s="75">
        <v>5819357</v>
      </c>
      <c r="B407" t="s">
        <v>2119</v>
      </c>
      <c r="C407" t="s">
        <v>2120</v>
      </c>
      <c r="D407" t="s">
        <v>53</v>
      </c>
      <c r="E407" t="s">
        <v>54</v>
      </c>
      <c r="F407" s="75">
        <v>45</v>
      </c>
      <c r="G407" s="75">
        <v>277745</v>
      </c>
      <c r="H407">
        <v>367.96</v>
      </c>
      <c r="I407" t="s">
        <v>242</v>
      </c>
      <c r="J407" s="75">
        <v>212603</v>
      </c>
      <c r="K407" t="s">
        <v>538</v>
      </c>
      <c r="L407" t="s">
        <v>539</v>
      </c>
      <c r="M407" s="81">
        <v>46062.38957175926</v>
      </c>
      <c r="N407" s="81">
        <v>46064.553020833337</v>
      </c>
      <c r="O407" t="s">
        <v>475</v>
      </c>
      <c r="P407" t="s">
        <v>59</v>
      </c>
      <c r="Q407" t="s">
        <v>90</v>
      </c>
      <c r="R407" t="s">
        <v>144</v>
      </c>
      <c r="S407" t="s">
        <v>2121</v>
      </c>
      <c r="T407" t="s">
        <v>970</v>
      </c>
      <c r="U407" s="75">
        <v>189005</v>
      </c>
      <c r="V407" t="s">
        <v>2122</v>
      </c>
      <c r="X407" t="s">
        <v>79</v>
      </c>
      <c r="Y407" t="s">
        <v>224</v>
      </c>
      <c r="AA407" t="s">
        <v>81</v>
      </c>
      <c r="AB407">
        <v>51.866666000000002</v>
      </c>
      <c r="AC407">
        <v>46.033332999999999</v>
      </c>
      <c r="AD407">
        <v>5.8333329999999997</v>
      </c>
      <c r="AE407">
        <v>2.8333330000000001</v>
      </c>
      <c r="AF407">
        <v>0</v>
      </c>
      <c r="AG407">
        <v>3</v>
      </c>
      <c r="AH407">
        <v>3</v>
      </c>
      <c r="AI407">
        <v>2.9</v>
      </c>
      <c r="AJ407">
        <v>0.1</v>
      </c>
      <c r="AK407">
        <v>0</v>
      </c>
      <c r="AL407" s="76">
        <v>43963</v>
      </c>
      <c r="AM407" s="75">
        <v>2099</v>
      </c>
      <c r="AN407" t="s">
        <v>65</v>
      </c>
      <c r="AO407" t="s">
        <v>2123</v>
      </c>
      <c r="AP407" t="s">
        <v>67</v>
      </c>
      <c r="AQ407" t="s">
        <v>83</v>
      </c>
      <c r="AR407" t="s">
        <v>69</v>
      </c>
      <c r="AS407" s="79"/>
      <c r="AT407" s="82" t="s">
        <v>2037</v>
      </c>
      <c r="AU407" s="78">
        <v>2026</v>
      </c>
      <c r="AV407" s="78">
        <v>2</v>
      </c>
      <c r="AW407" s="78" t="s">
        <v>226</v>
      </c>
      <c r="AX407" s="78">
        <v>1</v>
      </c>
      <c r="AY407" s="78">
        <v>0</v>
      </c>
      <c r="BT407" s="3" t="s">
        <v>226</v>
      </c>
      <c r="BU407" s="3">
        <v>1</v>
      </c>
      <c r="BV407" s="3">
        <v>0</v>
      </c>
    </row>
    <row r="408" spans="1:74" ht="15" customHeight="1" x14ac:dyDescent="0.25">
      <c r="A408" s="75">
        <v>5819975</v>
      </c>
      <c r="B408" t="s">
        <v>2124</v>
      </c>
      <c r="C408" t="s">
        <v>2125</v>
      </c>
      <c r="D408" t="s">
        <v>53</v>
      </c>
      <c r="E408" t="s">
        <v>126</v>
      </c>
      <c r="F408" s="75">
        <v>1</v>
      </c>
      <c r="G408" s="75">
        <v>300145</v>
      </c>
      <c r="H408">
        <v>1366.69</v>
      </c>
      <c r="I408" t="s">
        <v>55</v>
      </c>
      <c r="J408" s="75">
        <v>219219</v>
      </c>
      <c r="K408" t="s">
        <v>2126</v>
      </c>
      <c r="L408" t="s">
        <v>2127</v>
      </c>
      <c r="M408" s="81">
        <v>46062.571655092594</v>
      </c>
      <c r="N408" s="81">
        <v>46064.561921296299</v>
      </c>
      <c r="O408" t="s">
        <v>58</v>
      </c>
      <c r="P408" t="s">
        <v>59</v>
      </c>
      <c r="Q408" t="s">
        <v>130</v>
      </c>
      <c r="R408" t="s">
        <v>99</v>
      </c>
      <c r="S408" t="s">
        <v>1244</v>
      </c>
      <c r="U408" s="75">
        <v>189105</v>
      </c>
      <c r="V408" t="s">
        <v>2128</v>
      </c>
      <c r="X408" t="s">
        <v>62</v>
      </c>
      <c r="Y408" t="s">
        <v>702</v>
      </c>
      <c r="AA408" t="s">
        <v>64</v>
      </c>
      <c r="AB408">
        <v>47.733333999999999</v>
      </c>
      <c r="AC408">
        <v>41.6</v>
      </c>
      <c r="AD408">
        <v>6.1333339999999996</v>
      </c>
      <c r="AE408">
        <v>0.2</v>
      </c>
      <c r="AF408">
        <v>0</v>
      </c>
      <c r="AG408">
        <v>5.9333340000000003</v>
      </c>
      <c r="AH408">
        <v>5.9333340000000003</v>
      </c>
      <c r="AI408">
        <v>5.766667</v>
      </c>
      <c r="AJ408">
        <v>0.16666700000000001</v>
      </c>
      <c r="AK408">
        <v>0</v>
      </c>
      <c r="AL408" s="76">
        <v>45331.509687500002</v>
      </c>
      <c r="AM408" s="75">
        <v>731</v>
      </c>
      <c r="AN408" t="s">
        <v>65</v>
      </c>
      <c r="AO408" t="s">
        <v>2129</v>
      </c>
      <c r="AP408" t="s">
        <v>67</v>
      </c>
      <c r="AQ408" t="s">
        <v>68</v>
      </c>
      <c r="AR408" t="s">
        <v>69</v>
      </c>
      <c r="AS408" s="78"/>
      <c r="AT408" s="82" t="s">
        <v>2037</v>
      </c>
      <c r="AU408" s="78">
        <v>2026</v>
      </c>
      <c r="AV408" s="78">
        <v>2</v>
      </c>
      <c r="AW408" s="78" t="s">
        <v>137</v>
      </c>
      <c r="AX408" s="78">
        <v>1</v>
      </c>
      <c r="AY408" s="78">
        <v>0</v>
      </c>
      <c r="BT408" s="2" t="s">
        <v>137</v>
      </c>
      <c r="BU408" s="2">
        <v>1</v>
      </c>
      <c r="BV408" s="2">
        <v>0</v>
      </c>
    </row>
    <row r="409" spans="1:74" ht="15" customHeight="1" x14ac:dyDescent="0.25">
      <c r="A409" s="75">
        <v>5822387</v>
      </c>
      <c r="B409" t="s">
        <v>2130</v>
      </c>
      <c r="C409" t="s">
        <v>256</v>
      </c>
      <c r="D409" t="s">
        <v>527</v>
      </c>
      <c r="E409" t="s">
        <v>54</v>
      </c>
      <c r="F409" s="75">
        <v>11</v>
      </c>
      <c r="G409" s="75">
        <v>295427</v>
      </c>
      <c r="H409">
        <v>200</v>
      </c>
      <c r="I409" t="s">
        <v>55</v>
      </c>
      <c r="J409" s="75">
        <v>218297</v>
      </c>
      <c r="K409" t="s">
        <v>258</v>
      </c>
      <c r="L409" t="s">
        <v>259</v>
      </c>
      <c r="M409" s="81">
        <v>46063.684398148151</v>
      </c>
      <c r="N409" s="81">
        <v>46064.592488425929</v>
      </c>
      <c r="O409" t="s">
        <v>58</v>
      </c>
      <c r="P409" t="s">
        <v>59</v>
      </c>
      <c r="Q409" t="s">
        <v>77</v>
      </c>
      <c r="R409" t="s">
        <v>60</v>
      </c>
      <c r="S409" t="s">
        <v>1543</v>
      </c>
      <c r="U409" s="75">
        <v>190285</v>
      </c>
      <c r="V409" t="s">
        <v>2131</v>
      </c>
      <c r="W409" t="s">
        <v>2132</v>
      </c>
      <c r="X409" t="s">
        <v>62</v>
      </c>
      <c r="Y409" t="s">
        <v>63</v>
      </c>
      <c r="AA409" t="s">
        <v>64</v>
      </c>
      <c r="AB409">
        <v>21.733332999999998</v>
      </c>
      <c r="AC409">
        <v>15.216666999999999</v>
      </c>
      <c r="AD409">
        <v>6.5166659999999998</v>
      </c>
      <c r="AE409">
        <v>0.1</v>
      </c>
      <c r="AF409">
        <v>0</v>
      </c>
      <c r="AG409">
        <v>6.4166660000000002</v>
      </c>
      <c r="AH409">
        <v>6.4166660000000002</v>
      </c>
      <c r="AI409">
        <v>4.1833330000000002</v>
      </c>
      <c r="AJ409">
        <v>2.233333</v>
      </c>
      <c r="AK409">
        <v>0</v>
      </c>
      <c r="AL409" s="76">
        <v>45293.488159722219</v>
      </c>
      <c r="AM409" s="75">
        <v>770</v>
      </c>
      <c r="AN409" t="s">
        <v>65</v>
      </c>
      <c r="AO409" t="s">
        <v>262</v>
      </c>
      <c r="AP409" t="s">
        <v>67</v>
      </c>
      <c r="AQ409" t="s">
        <v>68</v>
      </c>
      <c r="AR409" t="s">
        <v>69</v>
      </c>
      <c r="AS409" s="79"/>
      <c r="AT409" s="82" t="s">
        <v>2037</v>
      </c>
      <c r="AU409" s="78">
        <v>2026</v>
      </c>
      <c r="AV409" s="78">
        <v>2</v>
      </c>
      <c r="AW409" s="78" t="s">
        <v>71</v>
      </c>
      <c r="AX409" s="78">
        <v>1</v>
      </c>
      <c r="AY409" s="78">
        <v>0</v>
      </c>
      <c r="BT409" s="3" t="s">
        <v>71</v>
      </c>
      <c r="BU409" s="3">
        <v>1</v>
      </c>
      <c r="BV409" s="3">
        <v>0</v>
      </c>
    </row>
    <row r="410" spans="1:74" ht="15" customHeight="1" x14ac:dyDescent="0.25">
      <c r="A410" s="75">
        <v>5822345</v>
      </c>
      <c r="B410" t="s">
        <v>2133</v>
      </c>
      <c r="C410" t="s">
        <v>1450</v>
      </c>
      <c r="D410" t="s">
        <v>527</v>
      </c>
      <c r="E410" t="s">
        <v>87</v>
      </c>
      <c r="F410" s="75">
        <v>447</v>
      </c>
      <c r="G410" s="75">
        <v>289323</v>
      </c>
      <c r="H410">
        <v>398.82</v>
      </c>
      <c r="I410" t="s">
        <v>55</v>
      </c>
      <c r="J410" s="75">
        <v>216233</v>
      </c>
      <c r="K410" t="s">
        <v>88</v>
      </c>
      <c r="L410" t="s">
        <v>89</v>
      </c>
      <c r="M410" s="81">
        <v>46063.674027777779</v>
      </c>
      <c r="N410" s="81">
        <v>46064.610532407409</v>
      </c>
      <c r="O410" t="s">
        <v>58</v>
      </c>
      <c r="P410" t="s">
        <v>59</v>
      </c>
      <c r="Q410" t="s">
        <v>90</v>
      </c>
      <c r="R410" t="s">
        <v>131</v>
      </c>
      <c r="S410" t="s">
        <v>1316</v>
      </c>
      <c r="U410" s="75">
        <v>190299</v>
      </c>
      <c r="V410" t="s">
        <v>2134</v>
      </c>
      <c r="W410" t="s">
        <v>2135</v>
      </c>
      <c r="X410" t="s">
        <v>62</v>
      </c>
      <c r="Y410" t="s">
        <v>63</v>
      </c>
      <c r="AA410" t="s">
        <v>64</v>
      </c>
      <c r="AB410">
        <v>22.416668000000001</v>
      </c>
      <c r="AC410">
        <v>15.95</v>
      </c>
      <c r="AD410">
        <v>6.4666680000000003</v>
      </c>
      <c r="AE410">
        <v>0.71666700000000005</v>
      </c>
      <c r="AF410">
        <v>0</v>
      </c>
      <c r="AG410">
        <v>5.7500010000000001</v>
      </c>
      <c r="AH410">
        <v>5.7500010000000001</v>
      </c>
      <c r="AI410">
        <v>5.033334</v>
      </c>
      <c r="AJ410">
        <v>0.71666700000000005</v>
      </c>
      <c r="AK410">
        <v>0</v>
      </c>
      <c r="AL410" s="76">
        <v>45022</v>
      </c>
      <c r="AM410" s="75">
        <v>1041</v>
      </c>
      <c r="AN410" t="s">
        <v>65</v>
      </c>
      <c r="AO410" t="s">
        <v>1453</v>
      </c>
      <c r="AP410" t="s">
        <v>67</v>
      </c>
      <c r="AQ410" t="s">
        <v>68</v>
      </c>
      <c r="AR410" t="s">
        <v>69</v>
      </c>
      <c r="AS410" s="78"/>
      <c r="AT410" s="82" t="s">
        <v>2037</v>
      </c>
      <c r="AU410" s="78">
        <v>2026</v>
      </c>
      <c r="AV410" s="78">
        <v>2</v>
      </c>
      <c r="AW410" s="78" t="s">
        <v>71</v>
      </c>
      <c r="AX410" s="78">
        <v>1</v>
      </c>
      <c r="AY410" s="78">
        <v>0</v>
      </c>
      <c r="BT410" s="2" t="s">
        <v>71</v>
      </c>
      <c r="BU410" s="2">
        <v>1</v>
      </c>
      <c r="BV410" s="2">
        <v>0</v>
      </c>
    </row>
    <row r="411" spans="1:74" ht="15" customHeight="1" x14ac:dyDescent="0.25">
      <c r="A411" s="75">
        <v>5822637</v>
      </c>
      <c r="B411" t="s">
        <v>2136</v>
      </c>
      <c r="C411" t="s">
        <v>2137</v>
      </c>
      <c r="D411" t="s">
        <v>809</v>
      </c>
      <c r="E411" t="s">
        <v>54</v>
      </c>
      <c r="F411" s="75">
        <v>2</v>
      </c>
      <c r="G411" s="75">
        <v>338919</v>
      </c>
      <c r="H411">
        <v>799</v>
      </c>
      <c r="I411" t="s">
        <v>141</v>
      </c>
      <c r="J411" s="75">
        <v>226759</v>
      </c>
      <c r="K411" t="s">
        <v>736</v>
      </c>
      <c r="L411" t="s">
        <v>737</v>
      </c>
      <c r="M411" s="81">
        <v>46063.748124999998</v>
      </c>
      <c r="N411" s="81">
        <v>46064.669374999998</v>
      </c>
      <c r="O411" t="s">
        <v>58</v>
      </c>
      <c r="P411" t="s">
        <v>59</v>
      </c>
      <c r="R411" t="s">
        <v>144</v>
      </c>
      <c r="S411" t="s">
        <v>1491</v>
      </c>
      <c r="U411" s="75">
        <v>190297</v>
      </c>
      <c r="V411" t="s">
        <v>2138</v>
      </c>
      <c r="W411" t="s">
        <v>2139</v>
      </c>
      <c r="X411" t="s">
        <v>62</v>
      </c>
      <c r="Y411" t="s">
        <v>63</v>
      </c>
      <c r="AA411" t="s">
        <v>81</v>
      </c>
      <c r="AB411">
        <v>22.066668</v>
      </c>
      <c r="AC411">
        <v>17.433333999999999</v>
      </c>
      <c r="AD411">
        <v>4.6333339999999996</v>
      </c>
      <c r="AE411">
        <v>1.016667</v>
      </c>
      <c r="AF411">
        <v>0</v>
      </c>
      <c r="AG411">
        <v>3.6166670000000001</v>
      </c>
      <c r="AH411">
        <v>3.6166670000000001</v>
      </c>
      <c r="AI411">
        <v>2</v>
      </c>
      <c r="AJ411">
        <v>1.6166670000000001</v>
      </c>
      <c r="AK411">
        <v>0</v>
      </c>
      <c r="AL411" s="76">
        <v>45812.69427083333</v>
      </c>
      <c r="AM411" s="75">
        <v>251</v>
      </c>
      <c r="AN411" t="s">
        <v>65</v>
      </c>
      <c r="AO411" t="s">
        <v>2140</v>
      </c>
      <c r="AP411" t="s">
        <v>67</v>
      </c>
      <c r="AQ411" t="s">
        <v>68</v>
      </c>
      <c r="AR411" t="s">
        <v>69</v>
      </c>
      <c r="AS411" s="79"/>
      <c r="AT411" s="82" t="s">
        <v>2037</v>
      </c>
      <c r="AU411" s="78">
        <v>2026</v>
      </c>
      <c r="AV411" s="78">
        <v>2</v>
      </c>
      <c r="AW411" s="78" t="s">
        <v>71</v>
      </c>
      <c r="AX411" s="78">
        <v>1</v>
      </c>
      <c r="AY411" s="78">
        <v>0</v>
      </c>
      <c r="BT411" s="3" t="s">
        <v>71</v>
      </c>
      <c r="BU411" s="3">
        <v>1</v>
      </c>
      <c r="BV411" s="3">
        <v>0</v>
      </c>
    </row>
    <row r="412" spans="1:74" ht="15" customHeight="1" x14ac:dyDescent="0.25">
      <c r="A412" s="75">
        <v>5821737</v>
      </c>
      <c r="B412" t="s">
        <v>2141</v>
      </c>
      <c r="C412" t="s">
        <v>1424</v>
      </c>
      <c r="D412" t="s">
        <v>53</v>
      </c>
      <c r="E412" t="s">
        <v>87</v>
      </c>
      <c r="F412" s="75">
        <v>19</v>
      </c>
      <c r="G412" s="75">
        <v>251423</v>
      </c>
      <c r="H412">
        <v>510</v>
      </c>
      <c r="I412" t="s">
        <v>114</v>
      </c>
      <c r="J412" s="75">
        <v>203645</v>
      </c>
      <c r="K412" t="s">
        <v>520</v>
      </c>
      <c r="L412" t="s">
        <v>521</v>
      </c>
      <c r="M412" s="81">
        <v>46063.518738425933</v>
      </c>
      <c r="N412" s="81">
        <v>46064.685995370368</v>
      </c>
      <c r="O412" t="s">
        <v>391</v>
      </c>
      <c r="P412" t="s">
        <v>59</v>
      </c>
      <c r="Q412" t="s">
        <v>77</v>
      </c>
      <c r="R412" t="s">
        <v>60</v>
      </c>
      <c r="S412" t="s">
        <v>583</v>
      </c>
      <c r="U412" s="75">
        <v>190009</v>
      </c>
      <c r="V412" t="s">
        <v>2142</v>
      </c>
      <c r="W412" t="s">
        <v>2142</v>
      </c>
      <c r="X412" t="s">
        <v>118</v>
      </c>
      <c r="Y412" t="s">
        <v>119</v>
      </c>
      <c r="AA412" t="s">
        <v>64</v>
      </c>
      <c r="AB412">
        <v>27.966667000000001</v>
      </c>
      <c r="AC412">
        <v>20.05</v>
      </c>
      <c r="AD412">
        <v>7.9166670000000003</v>
      </c>
      <c r="AE412">
        <v>8.3333000000000004E-2</v>
      </c>
      <c r="AF412">
        <v>0</v>
      </c>
      <c r="AG412">
        <v>7.8333339999999998</v>
      </c>
      <c r="AH412">
        <v>7.8333339999999998</v>
      </c>
      <c r="AI412">
        <v>7.8166669999999998</v>
      </c>
      <c r="AJ412">
        <v>1.6667000000000001E-2</v>
      </c>
      <c r="AK412">
        <v>0</v>
      </c>
      <c r="AL412" s="76">
        <v>44973.7580787037</v>
      </c>
      <c r="AM412" s="75">
        <v>1089</v>
      </c>
      <c r="AN412" t="s">
        <v>65</v>
      </c>
      <c r="AO412" t="s">
        <v>2143</v>
      </c>
      <c r="AP412" t="s">
        <v>67</v>
      </c>
      <c r="AQ412" t="s">
        <v>121</v>
      </c>
      <c r="AR412" t="s">
        <v>69</v>
      </c>
      <c r="AS412" s="78"/>
      <c r="AT412" s="82" t="s">
        <v>2037</v>
      </c>
      <c r="AU412" s="78">
        <v>2026</v>
      </c>
      <c r="AV412" s="78">
        <v>2</v>
      </c>
      <c r="AW412" s="78" t="s">
        <v>122</v>
      </c>
      <c r="AX412" s="78">
        <v>1</v>
      </c>
      <c r="AY412" s="78">
        <v>0</v>
      </c>
      <c r="BT412" s="2" t="s">
        <v>122</v>
      </c>
      <c r="BU412" s="2">
        <v>1</v>
      </c>
      <c r="BV412" s="2">
        <v>0</v>
      </c>
    </row>
    <row r="413" spans="1:74" ht="15" customHeight="1" x14ac:dyDescent="0.25">
      <c r="A413" s="75">
        <v>5822543</v>
      </c>
      <c r="B413" t="s">
        <v>2144</v>
      </c>
      <c r="C413" t="s">
        <v>2145</v>
      </c>
      <c r="D413" t="s">
        <v>956</v>
      </c>
      <c r="E413" t="s">
        <v>54</v>
      </c>
      <c r="F413" s="75">
        <v>1</v>
      </c>
      <c r="G413" s="75">
        <v>349145</v>
      </c>
      <c r="H413">
        <v>650</v>
      </c>
      <c r="I413" t="s">
        <v>141</v>
      </c>
      <c r="J413" s="75">
        <v>229449</v>
      </c>
      <c r="K413" t="s">
        <v>2146</v>
      </c>
      <c r="L413" t="s">
        <v>2147</v>
      </c>
      <c r="M413" s="81">
        <v>46063.715983796297</v>
      </c>
      <c r="N413" s="81">
        <v>46064.686296296299</v>
      </c>
      <c r="O413" t="s">
        <v>391</v>
      </c>
      <c r="P413" t="s">
        <v>59</v>
      </c>
      <c r="Q413" t="s">
        <v>90</v>
      </c>
      <c r="R413" t="s">
        <v>60</v>
      </c>
      <c r="S413" t="s">
        <v>583</v>
      </c>
      <c r="U413" s="75">
        <v>190291</v>
      </c>
      <c r="V413" t="s">
        <v>2148</v>
      </c>
      <c r="W413" t="s">
        <v>2149</v>
      </c>
      <c r="X413" t="s">
        <v>62</v>
      </c>
      <c r="Y413" t="s">
        <v>63</v>
      </c>
      <c r="AA413" t="s">
        <v>81</v>
      </c>
      <c r="AB413">
        <v>23.233333999999999</v>
      </c>
      <c r="AC413">
        <v>18.350000000000001</v>
      </c>
      <c r="AD413">
        <v>4.8833339999999996</v>
      </c>
      <c r="AE413">
        <v>1.2166669999999999</v>
      </c>
      <c r="AF413">
        <v>0</v>
      </c>
      <c r="AG413">
        <v>3.6666669999999999</v>
      </c>
      <c r="AH413">
        <v>3.6666669999999999</v>
      </c>
      <c r="AI413">
        <v>2.016667</v>
      </c>
      <c r="AJ413">
        <v>1.65</v>
      </c>
      <c r="AK413">
        <v>0</v>
      </c>
      <c r="AL413" s="76">
        <v>46001</v>
      </c>
      <c r="AM413" s="75">
        <v>62</v>
      </c>
      <c r="AN413" t="s">
        <v>65</v>
      </c>
      <c r="AO413" t="s">
        <v>2150</v>
      </c>
      <c r="AP413" t="s">
        <v>67</v>
      </c>
      <c r="AQ413" t="s">
        <v>68</v>
      </c>
      <c r="AR413" t="s">
        <v>69</v>
      </c>
      <c r="AS413" s="79"/>
      <c r="AT413" s="82" t="s">
        <v>2037</v>
      </c>
      <c r="AU413" s="78">
        <v>2026</v>
      </c>
      <c r="AV413" s="78">
        <v>2</v>
      </c>
      <c r="AW413" s="78" t="s">
        <v>71</v>
      </c>
      <c r="AX413" s="78">
        <v>1</v>
      </c>
      <c r="AY413" s="78">
        <v>0</v>
      </c>
      <c r="BT413" s="3" t="s">
        <v>71</v>
      </c>
      <c r="BU413" s="3">
        <v>1</v>
      </c>
      <c r="BV413" s="3">
        <v>0</v>
      </c>
    </row>
    <row r="414" spans="1:74" ht="15" customHeight="1" x14ac:dyDescent="0.25">
      <c r="A414" s="75">
        <v>5806775</v>
      </c>
      <c r="B414" t="s">
        <v>2151</v>
      </c>
      <c r="C414" t="s">
        <v>2152</v>
      </c>
      <c r="D414" t="s">
        <v>125</v>
      </c>
      <c r="E414" t="s">
        <v>54</v>
      </c>
      <c r="F414" s="75">
        <v>1</v>
      </c>
      <c r="G414" s="75">
        <v>350439</v>
      </c>
      <c r="H414">
        <v>3599.9</v>
      </c>
      <c r="I414" t="s">
        <v>141</v>
      </c>
      <c r="J414" s="75">
        <v>227681</v>
      </c>
      <c r="K414" t="s">
        <v>2153</v>
      </c>
      <c r="L414" t="s">
        <v>2154</v>
      </c>
      <c r="M414" s="81">
        <v>46053.597314814811</v>
      </c>
      <c r="N414" s="81">
        <v>46065.389733796299</v>
      </c>
      <c r="O414" t="s">
        <v>58</v>
      </c>
      <c r="P414" t="s">
        <v>59</v>
      </c>
      <c r="Q414" t="s">
        <v>130</v>
      </c>
      <c r="R414" t="s">
        <v>99</v>
      </c>
      <c r="S414" t="s">
        <v>1244</v>
      </c>
      <c r="U414" s="75">
        <v>191041</v>
      </c>
      <c r="V414" t="s">
        <v>2155</v>
      </c>
      <c r="W414" t="s">
        <v>2156</v>
      </c>
      <c r="X414" t="s">
        <v>62</v>
      </c>
      <c r="Y414" t="s">
        <v>63</v>
      </c>
      <c r="Z414" t="s">
        <v>2157</v>
      </c>
      <c r="AA414" t="s">
        <v>295</v>
      </c>
      <c r="AB414">
        <v>282.51666799999998</v>
      </c>
      <c r="AC414">
        <v>211.133332</v>
      </c>
      <c r="AD414">
        <v>71.383336</v>
      </c>
      <c r="AE414">
        <v>20.966667000000001</v>
      </c>
      <c r="AF414">
        <v>14.483333</v>
      </c>
      <c r="AG414">
        <v>50.416668999999999</v>
      </c>
      <c r="AH414">
        <v>64.900002000000001</v>
      </c>
      <c r="AI414">
        <v>42.333334000000001</v>
      </c>
      <c r="AJ414">
        <v>8.0833349999999999</v>
      </c>
      <c r="AK414">
        <v>0</v>
      </c>
      <c r="AL414" s="76">
        <v>46052.598796296297</v>
      </c>
      <c r="AM414" s="75">
        <v>0</v>
      </c>
      <c r="AN414" t="s">
        <v>1220</v>
      </c>
      <c r="AO414" t="s">
        <v>2158</v>
      </c>
      <c r="AP414" t="s">
        <v>67</v>
      </c>
      <c r="AQ414" t="s">
        <v>68</v>
      </c>
      <c r="AR414" t="s">
        <v>69</v>
      </c>
      <c r="AS414" s="78"/>
      <c r="AT414" s="82" t="s">
        <v>2037</v>
      </c>
      <c r="AU414" s="78">
        <v>2026</v>
      </c>
      <c r="AV414" s="78">
        <v>2</v>
      </c>
      <c r="AW414" s="78" t="s">
        <v>71</v>
      </c>
      <c r="AX414" s="78">
        <v>0</v>
      </c>
      <c r="AY414" s="78">
        <v>1</v>
      </c>
      <c r="BT414" s="2" t="s">
        <v>71</v>
      </c>
      <c r="BU414" s="2">
        <v>0</v>
      </c>
      <c r="BV414" s="2">
        <v>1</v>
      </c>
    </row>
    <row r="415" spans="1:74" ht="15" customHeight="1" x14ac:dyDescent="0.25">
      <c r="A415" s="75">
        <v>5814609</v>
      </c>
      <c r="B415" t="s">
        <v>2159</v>
      </c>
      <c r="C415" t="s">
        <v>2160</v>
      </c>
      <c r="D415" t="s">
        <v>125</v>
      </c>
      <c r="E415" t="s">
        <v>126</v>
      </c>
      <c r="F415" s="75">
        <v>22</v>
      </c>
      <c r="G415" s="75">
        <v>303269</v>
      </c>
      <c r="H415">
        <v>0.01</v>
      </c>
      <c r="I415" t="s">
        <v>2161</v>
      </c>
      <c r="J415" s="75">
        <v>217697</v>
      </c>
      <c r="K415" t="s">
        <v>507</v>
      </c>
      <c r="L415" t="s">
        <v>2162</v>
      </c>
      <c r="M415" s="81">
        <v>46058.487037037034</v>
      </c>
      <c r="N415" s="81">
        <v>46065.391215277778</v>
      </c>
      <c r="O415" t="s">
        <v>58</v>
      </c>
      <c r="P415" t="s">
        <v>59</v>
      </c>
      <c r="Q415" t="s">
        <v>130</v>
      </c>
      <c r="R415" t="s">
        <v>131</v>
      </c>
      <c r="S415" t="s">
        <v>1273</v>
      </c>
      <c r="U415" s="75">
        <v>191205</v>
      </c>
      <c r="V415" t="s">
        <v>2163</v>
      </c>
      <c r="W415" t="s">
        <v>2164</v>
      </c>
      <c r="X415" t="s">
        <v>62</v>
      </c>
      <c r="Y415" t="s">
        <v>2165</v>
      </c>
      <c r="AA415" t="s">
        <v>295</v>
      </c>
      <c r="AB415">
        <v>165.48333299999999</v>
      </c>
      <c r="AC415">
        <v>113.783334</v>
      </c>
      <c r="AD415">
        <v>51.699998999999998</v>
      </c>
      <c r="AE415">
        <v>3.766667</v>
      </c>
      <c r="AF415">
        <v>0</v>
      </c>
      <c r="AG415">
        <v>47.933332</v>
      </c>
      <c r="AH415">
        <v>47.933332</v>
      </c>
      <c r="AI415">
        <v>40.399999000000001</v>
      </c>
      <c r="AJ415">
        <v>7.5333329999999998</v>
      </c>
      <c r="AK415">
        <v>0</v>
      </c>
      <c r="AL415" s="76">
        <v>45989.569351851853</v>
      </c>
      <c r="AM415" s="75">
        <v>68</v>
      </c>
      <c r="AN415" t="s">
        <v>65</v>
      </c>
      <c r="AO415" t="s">
        <v>2166</v>
      </c>
      <c r="AP415" t="s">
        <v>67</v>
      </c>
      <c r="AQ415" t="s">
        <v>68</v>
      </c>
      <c r="AR415" t="s">
        <v>69</v>
      </c>
      <c r="AS415" s="79"/>
      <c r="AT415" s="82" t="s">
        <v>2037</v>
      </c>
      <c r="AU415" s="78">
        <v>2026</v>
      </c>
      <c r="AV415" s="78">
        <v>2</v>
      </c>
      <c r="AW415" s="78" t="s">
        <v>137</v>
      </c>
      <c r="AX415" s="78">
        <v>0</v>
      </c>
      <c r="AY415" s="78">
        <v>1</v>
      </c>
      <c r="BT415" s="3" t="s">
        <v>137</v>
      </c>
      <c r="BU415" s="3">
        <v>0</v>
      </c>
      <c r="BV415" s="3">
        <v>1</v>
      </c>
    </row>
    <row r="416" spans="1:74" ht="15" customHeight="1" x14ac:dyDescent="0.25">
      <c r="A416" s="75">
        <v>5818421</v>
      </c>
      <c r="B416" t="s">
        <v>2167</v>
      </c>
      <c r="C416" t="s">
        <v>2168</v>
      </c>
      <c r="D416" t="s">
        <v>527</v>
      </c>
      <c r="E416" t="s">
        <v>87</v>
      </c>
      <c r="F416" s="75">
        <v>14</v>
      </c>
      <c r="G416" s="75">
        <v>275215</v>
      </c>
      <c r="H416">
        <v>569.71</v>
      </c>
      <c r="I416" t="s">
        <v>55</v>
      </c>
      <c r="J416" s="75">
        <v>216233</v>
      </c>
      <c r="K416" t="s">
        <v>88</v>
      </c>
      <c r="L416" t="s">
        <v>89</v>
      </c>
      <c r="M416" s="81">
        <v>46061.448553240742</v>
      </c>
      <c r="N416" s="81">
        <v>46065.400185185194</v>
      </c>
      <c r="O416" t="s">
        <v>58</v>
      </c>
      <c r="P416" t="s">
        <v>59</v>
      </c>
      <c r="Q416" t="s">
        <v>90</v>
      </c>
      <c r="R416" t="s">
        <v>131</v>
      </c>
      <c r="S416" t="s">
        <v>1273</v>
      </c>
      <c r="U416" s="75">
        <v>189625</v>
      </c>
      <c r="V416" t="s">
        <v>2169</v>
      </c>
      <c r="W416" t="s">
        <v>2170</v>
      </c>
      <c r="X416" t="s">
        <v>62</v>
      </c>
      <c r="Y416" t="s">
        <v>63</v>
      </c>
      <c r="AA416" t="s">
        <v>416</v>
      </c>
      <c r="AB416">
        <v>94.733333000000002</v>
      </c>
      <c r="AC416">
        <v>75.883334000000005</v>
      </c>
      <c r="AD416">
        <v>18.849999</v>
      </c>
      <c r="AE416">
        <v>1.6</v>
      </c>
      <c r="AF416">
        <v>0</v>
      </c>
      <c r="AG416">
        <v>17.249998999999999</v>
      </c>
      <c r="AH416">
        <v>17.249998999999999</v>
      </c>
      <c r="AI416">
        <v>15.716666</v>
      </c>
      <c r="AJ416">
        <v>1.5333330000000001</v>
      </c>
      <c r="AK416">
        <v>0</v>
      </c>
      <c r="AL416" s="76">
        <v>44974</v>
      </c>
      <c r="AM416" s="75">
        <v>1087</v>
      </c>
      <c r="AN416" t="s">
        <v>65</v>
      </c>
      <c r="AO416" t="s">
        <v>2171</v>
      </c>
      <c r="AP416" t="s">
        <v>67</v>
      </c>
      <c r="AQ416" t="s">
        <v>68</v>
      </c>
      <c r="AR416" t="s">
        <v>69</v>
      </c>
      <c r="AS416" s="78"/>
      <c r="AT416" s="82" t="s">
        <v>2037</v>
      </c>
      <c r="AU416" s="78">
        <v>2026</v>
      </c>
      <c r="AV416" s="78">
        <v>2</v>
      </c>
      <c r="AW416" s="78" t="s">
        <v>71</v>
      </c>
      <c r="AX416" s="78">
        <v>0</v>
      </c>
      <c r="AY416" s="78">
        <v>0</v>
      </c>
      <c r="BT416" s="2" t="s">
        <v>71</v>
      </c>
      <c r="BU416" s="2">
        <v>0</v>
      </c>
      <c r="BV416" s="2">
        <v>0</v>
      </c>
    </row>
    <row r="417" spans="1:74" ht="15" customHeight="1" x14ac:dyDescent="0.25">
      <c r="A417" s="75">
        <v>5818577</v>
      </c>
      <c r="B417" t="s">
        <v>2172</v>
      </c>
      <c r="C417" t="s">
        <v>2173</v>
      </c>
      <c r="D417" t="s">
        <v>527</v>
      </c>
      <c r="E417" t="s">
        <v>87</v>
      </c>
      <c r="F417" s="75">
        <v>332</v>
      </c>
      <c r="G417" s="75">
        <v>286639</v>
      </c>
      <c r="H417">
        <v>364.96</v>
      </c>
      <c r="I417" t="s">
        <v>55</v>
      </c>
      <c r="J417" s="75">
        <v>218787</v>
      </c>
      <c r="K417" t="s">
        <v>96</v>
      </c>
      <c r="L417" t="s">
        <v>97</v>
      </c>
      <c r="M417" s="81">
        <v>46061.528252314813</v>
      </c>
      <c r="N417" s="81">
        <v>46065.400659722232</v>
      </c>
      <c r="O417" t="s">
        <v>58</v>
      </c>
      <c r="P417" t="s">
        <v>59</v>
      </c>
      <c r="Q417" t="s">
        <v>90</v>
      </c>
      <c r="R417" t="s">
        <v>60</v>
      </c>
      <c r="S417" t="s">
        <v>1268</v>
      </c>
      <c r="U417" s="75">
        <v>188455</v>
      </c>
      <c r="V417" t="s">
        <v>2174</v>
      </c>
      <c r="W417" t="s">
        <v>2174</v>
      </c>
      <c r="X417" t="s">
        <v>62</v>
      </c>
      <c r="Y417" t="s">
        <v>63</v>
      </c>
      <c r="AA417" t="s">
        <v>81</v>
      </c>
      <c r="AB417">
        <v>92.883331999999996</v>
      </c>
      <c r="AC417">
        <v>87.733333000000002</v>
      </c>
      <c r="AD417">
        <v>5.1499990000000002</v>
      </c>
      <c r="AE417">
        <v>1.2</v>
      </c>
      <c r="AF417">
        <v>0</v>
      </c>
      <c r="AG417">
        <v>3.949999</v>
      </c>
      <c r="AH417">
        <v>3.949999</v>
      </c>
      <c r="AI417">
        <v>3.716666</v>
      </c>
      <c r="AJ417">
        <v>0.23333300000000001</v>
      </c>
      <c r="AK417">
        <v>0</v>
      </c>
      <c r="AL417" s="76">
        <v>44972</v>
      </c>
      <c r="AM417" s="75">
        <v>1089</v>
      </c>
      <c r="AN417" t="s">
        <v>65</v>
      </c>
      <c r="AO417" t="s">
        <v>2175</v>
      </c>
      <c r="AP417" t="s">
        <v>67</v>
      </c>
      <c r="AQ417" t="s">
        <v>68</v>
      </c>
      <c r="AR417" t="s">
        <v>69</v>
      </c>
      <c r="AS417" s="79"/>
      <c r="AT417" s="82" t="s">
        <v>2037</v>
      </c>
      <c r="AU417" s="78">
        <v>2026</v>
      </c>
      <c r="AV417" s="78">
        <v>2</v>
      </c>
      <c r="AW417" s="78" t="s">
        <v>71</v>
      </c>
      <c r="AX417" s="78">
        <v>1</v>
      </c>
      <c r="AY417" s="78">
        <v>0</v>
      </c>
      <c r="BT417" s="3" t="s">
        <v>71</v>
      </c>
      <c r="BU417" s="3">
        <v>1</v>
      </c>
      <c r="BV417" s="3">
        <v>0</v>
      </c>
    </row>
    <row r="418" spans="1:74" ht="15" customHeight="1" x14ac:dyDescent="0.25">
      <c r="A418" s="75">
        <v>5818805</v>
      </c>
      <c r="B418" t="s">
        <v>2176</v>
      </c>
      <c r="C418" t="s">
        <v>2177</v>
      </c>
      <c r="D418" t="s">
        <v>527</v>
      </c>
      <c r="E418" t="s">
        <v>87</v>
      </c>
      <c r="F418" s="75">
        <v>329</v>
      </c>
      <c r="G418" s="75">
        <v>286607</v>
      </c>
      <c r="H418">
        <v>364.96</v>
      </c>
      <c r="I418" t="s">
        <v>55</v>
      </c>
      <c r="J418" s="75">
        <v>218787</v>
      </c>
      <c r="K418" t="s">
        <v>96</v>
      </c>
      <c r="L418" t="s">
        <v>97</v>
      </c>
      <c r="M418" s="81">
        <v>46061.750358796293</v>
      </c>
      <c r="N418" s="81">
        <v>46065.400949074072</v>
      </c>
      <c r="O418" t="s">
        <v>58</v>
      </c>
      <c r="P418" t="s">
        <v>59</v>
      </c>
      <c r="Q418" t="s">
        <v>90</v>
      </c>
      <c r="R418" t="s">
        <v>60</v>
      </c>
      <c r="S418" t="s">
        <v>1268</v>
      </c>
      <c r="U418" s="75">
        <v>188441</v>
      </c>
      <c r="V418" t="s">
        <v>2178</v>
      </c>
      <c r="W418" t="s">
        <v>2179</v>
      </c>
      <c r="X418" t="s">
        <v>62</v>
      </c>
      <c r="Y418" t="s">
        <v>63</v>
      </c>
      <c r="AA418" t="s">
        <v>101</v>
      </c>
      <c r="AB418">
        <v>87.55</v>
      </c>
      <c r="AC418">
        <v>75.933333000000005</v>
      </c>
      <c r="AD418">
        <v>11.616667</v>
      </c>
      <c r="AE418">
        <v>2.0499999999999998</v>
      </c>
      <c r="AF418">
        <v>0</v>
      </c>
      <c r="AG418">
        <v>9.5666670000000007</v>
      </c>
      <c r="AH418">
        <v>9.5666670000000007</v>
      </c>
      <c r="AI418">
        <v>8.9666669999999993</v>
      </c>
      <c r="AJ418">
        <v>0.6</v>
      </c>
      <c r="AK418">
        <v>0</v>
      </c>
      <c r="AL418" s="76">
        <v>44922</v>
      </c>
      <c r="AM418" s="75">
        <v>1139</v>
      </c>
      <c r="AN418" t="s">
        <v>65</v>
      </c>
      <c r="AO418" t="s">
        <v>2180</v>
      </c>
      <c r="AP418" t="s">
        <v>67</v>
      </c>
      <c r="AQ418" t="s">
        <v>68</v>
      </c>
      <c r="AR418" t="s">
        <v>69</v>
      </c>
      <c r="AS418" s="78"/>
      <c r="AT418" s="82" t="s">
        <v>2037</v>
      </c>
      <c r="AU418" s="78">
        <v>2026</v>
      </c>
      <c r="AV418" s="78">
        <v>2</v>
      </c>
      <c r="AW418" s="78" t="s">
        <v>71</v>
      </c>
      <c r="AX418" s="78">
        <v>0</v>
      </c>
      <c r="AY418" s="78">
        <v>0</v>
      </c>
      <c r="BT418" s="2" t="s">
        <v>71</v>
      </c>
      <c r="BU418" s="2">
        <v>0</v>
      </c>
      <c r="BV418" s="2">
        <v>0</v>
      </c>
    </row>
    <row r="419" spans="1:74" ht="15" customHeight="1" x14ac:dyDescent="0.25">
      <c r="A419" s="75">
        <v>5816375</v>
      </c>
      <c r="B419" t="s">
        <v>2181</v>
      </c>
      <c r="C419" t="s">
        <v>1577</v>
      </c>
      <c r="D419" t="s">
        <v>527</v>
      </c>
      <c r="E419" t="s">
        <v>87</v>
      </c>
      <c r="F419" s="75">
        <v>300</v>
      </c>
      <c r="G419" s="75">
        <v>285733</v>
      </c>
      <c r="H419">
        <v>616.59</v>
      </c>
      <c r="I419" t="s">
        <v>266</v>
      </c>
      <c r="J419" s="75">
        <v>49495</v>
      </c>
      <c r="K419" t="s">
        <v>460</v>
      </c>
      <c r="L419" t="s">
        <v>461</v>
      </c>
      <c r="M419" s="81">
        <v>46059.555949074071</v>
      </c>
      <c r="N419" s="81">
        <v>46065.403009259258</v>
      </c>
      <c r="O419" t="s">
        <v>58</v>
      </c>
      <c r="P419" t="s">
        <v>59</v>
      </c>
      <c r="Q419" t="s">
        <v>90</v>
      </c>
      <c r="R419" t="s">
        <v>156</v>
      </c>
      <c r="S419" t="s">
        <v>1311</v>
      </c>
      <c r="U419" s="75">
        <v>188491</v>
      </c>
      <c r="V419" t="s">
        <v>2182</v>
      </c>
      <c r="W419" t="s">
        <v>2183</v>
      </c>
      <c r="X419" t="s">
        <v>62</v>
      </c>
      <c r="Y419" t="s">
        <v>1049</v>
      </c>
      <c r="AA419" t="s">
        <v>416</v>
      </c>
      <c r="AB419">
        <v>140.25</v>
      </c>
      <c r="AC419">
        <v>127.33333399999999</v>
      </c>
      <c r="AD419">
        <v>12.916665999999999</v>
      </c>
      <c r="AE419">
        <v>0.183333</v>
      </c>
      <c r="AF419">
        <v>0</v>
      </c>
      <c r="AG419">
        <v>12.733333</v>
      </c>
      <c r="AH419">
        <v>12.733333</v>
      </c>
      <c r="AI419">
        <v>11.95</v>
      </c>
      <c r="AJ419">
        <v>0.78333299999999995</v>
      </c>
      <c r="AK419">
        <v>0</v>
      </c>
      <c r="AL419" s="76">
        <v>44862.600069444437</v>
      </c>
      <c r="AM419" s="75">
        <v>1196</v>
      </c>
      <c r="AN419" t="s">
        <v>65</v>
      </c>
      <c r="AO419" t="s">
        <v>1050</v>
      </c>
      <c r="AP419" t="s">
        <v>67</v>
      </c>
      <c r="AQ419" t="s">
        <v>68</v>
      </c>
      <c r="AR419" t="s">
        <v>69</v>
      </c>
      <c r="AS419" s="79"/>
      <c r="AT419" s="82" t="s">
        <v>2037</v>
      </c>
      <c r="AU419" s="78">
        <v>2026</v>
      </c>
      <c r="AV419" s="78">
        <v>2</v>
      </c>
      <c r="AW419" s="78" t="s">
        <v>137</v>
      </c>
      <c r="AX419" s="78">
        <v>0</v>
      </c>
      <c r="AY419" s="78">
        <v>0</v>
      </c>
      <c r="BT419" s="3" t="s">
        <v>137</v>
      </c>
      <c r="BU419" s="3">
        <v>0</v>
      </c>
      <c r="BV419" s="3">
        <v>0</v>
      </c>
    </row>
    <row r="420" spans="1:74" ht="15" customHeight="1" x14ac:dyDescent="0.25">
      <c r="A420" s="75">
        <v>5819899</v>
      </c>
      <c r="B420" t="s">
        <v>2184</v>
      </c>
      <c r="C420" t="s">
        <v>2185</v>
      </c>
      <c r="D420" t="s">
        <v>125</v>
      </c>
      <c r="E420" t="s">
        <v>126</v>
      </c>
      <c r="F420" s="75">
        <v>4</v>
      </c>
      <c r="G420" s="75">
        <v>331053</v>
      </c>
      <c r="H420">
        <v>1500</v>
      </c>
      <c r="I420" t="s">
        <v>2049</v>
      </c>
      <c r="J420" s="75">
        <v>56141</v>
      </c>
      <c r="K420" t="s">
        <v>2186</v>
      </c>
      <c r="L420" t="s">
        <v>2187</v>
      </c>
      <c r="M420" s="81">
        <v>46062.546030092592</v>
      </c>
      <c r="N420" s="81">
        <v>46065.403692129628</v>
      </c>
      <c r="O420" t="s">
        <v>58</v>
      </c>
      <c r="P420" t="s">
        <v>59</v>
      </c>
      <c r="Q420" t="s">
        <v>77</v>
      </c>
      <c r="R420" t="s">
        <v>99</v>
      </c>
      <c r="S420" t="s">
        <v>1244</v>
      </c>
      <c r="U420" s="75">
        <v>189499</v>
      </c>
      <c r="V420" t="s">
        <v>2188</v>
      </c>
      <c r="W420" t="s">
        <v>2188</v>
      </c>
      <c r="X420" t="s">
        <v>118</v>
      </c>
      <c r="Y420" t="s">
        <v>400</v>
      </c>
      <c r="AA420" t="s">
        <v>295</v>
      </c>
      <c r="AB420">
        <v>68.5</v>
      </c>
      <c r="AC420">
        <v>42.366667</v>
      </c>
      <c r="AD420">
        <v>26.133333</v>
      </c>
      <c r="AE420">
        <v>0.216667</v>
      </c>
      <c r="AF420">
        <v>0</v>
      </c>
      <c r="AG420">
        <v>25.916665999999999</v>
      </c>
      <c r="AH420">
        <v>25.916665999999999</v>
      </c>
      <c r="AI420">
        <v>25.566666000000001</v>
      </c>
      <c r="AJ420">
        <v>0.35</v>
      </c>
      <c r="AK420">
        <v>0</v>
      </c>
      <c r="AL420" s="76">
        <v>45692</v>
      </c>
      <c r="AM420" s="75">
        <v>370</v>
      </c>
      <c r="AN420" t="s">
        <v>65</v>
      </c>
      <c r="AO420" t="s">
        <v>2189</v>
      </c>
      <c r="AP420" t="s">
        <v>67</v>
      </c>
      <c r="AQ420" t="s">
        <v>121</v>
      </c>
      <c r="AR420" t="s">
        <v>69</v>
      </c>
      <c r="AS420" s="78"/>
      <c r="AT420" s="82" t="s">
        <v>2037</v>
      </c>
      <c r="AU420" s="78">
        <v>2026</v>
      </c>
      <c r="AV420" s="78">
        <v>2</v>
      </c>
      <c r="AW420" s="78" t="s">
        <v>122</v>
      </c>
      <c r="AX420" s="78">
        <v>0</v>
      </c>
      <c r="AY420" s="78">
        <v>1</v>
      </c>
      <c r="BT420" s="2" t="s">
        <v>122</v>
      </c>
      <c r="BU420" s="2">
        <v>0</v>
      </c>
      <c r="BV420" s="2">
        <v>1</v>
      </c>
    </row>
    <row r="421" spans="1:74" ht="15" customHeight="1" x14ac:dyDescent="0.25">
      <c r="A421" s="75">
        <v>5819285</v>
      </c>
      <c r="B421" t="s">
        <v>2190</v>
      </c>
      <c r="C421" t="s">
        <v>2191</v>
      </c>
      <c r="D421" t="s">
        <v>527</v>
      </c>
      <c r="E421" t="s">
        <v>54</v>
      </c>
      <c r="F421" s="75">
        <v>1</v>
      </c>
      <c r="G421" s="75">
        <v>330149</v>
      </c>
      <c r="H421">
        <v>450</v>
      </c>
      <c r="I421" t="s">
        <v>141</v>
      </c>
      <c r="J421" s="75">
        <v>225267</v>
      </c>
      <c r="K421" t="s">
        <v>2192</v>
      </c>
      <c r="L421" t="s">
        <v>2193</v>
      </c>
      <c r="M421" s="81">
        <v>46062.375451388893</v>
      </c>
      <c r="N421" s="81">
        <v>46065.408622685187</v>
      </c>
      <c r="O421" t="s">
        <v>58</v>
      </c>
      <c r="P421" t="s">
        <v>59</v>
      </c>
      <c r="Q421" t="s">
        <v>90</v>
      </c>
      <c r="R421" t="s">
        <v>131</v>
      </c>
      <c r="S421" t="s">
        <v>1316</v>
      </c>
      <c r="U421" s="75">
        <v>189363</v>
      </c>
      <c r="V421" t="s">
        <v>2194</v>
      </c>
      <c r="W421" t="s">
        <v>2194</v>
      </c>
      <c r="X421" t="s">
        <v>79</v>
      </c>
      <c r="Y421" t="s">
        <v>224</v>
      </c>
      <c r="AA421" t="s">
        <v>81</v>
      </c>
      <c r="AB421">
        <v>72.716666000000004</v>
      </c>
      <c r="AC421">
        <v>55.05</v>
      </c>
      <c r="AD421">
        <v>17.666665999999999</v>
      </c>
      <c r="AE421">
        <v>15.616666</v>
      </c>
      <c r="AF421">
        <v>0</v>
      </c>
      <c r="AG421">
        <v>2.0499999999999998</v>
      </c>
      <c r="AH421">
        <v>2.0499999999999998</v>
      </c>
      <c r="AI421">
        <v>0.51666699999999999</v>
      </c>
      <c r="AJ421">
        <v>1.5333330000000001</v>
      </c>
      <c r="AK421">
        <v>0</v>
      </c>
      <c r="AL421" s="76">
        <v>45645.435798611114</v>
      </c>
      <c r="AM421" s="75">
        <v>416</v>
      </c>
      <c r="AN421" t="s">
        <v>65</v>
      </c>
      <c r="AO421" t="s">
        <v>2195</v>
      </c>
      <c r="AP421" t="s">
        <v>67</v>
      </c>
      <c r="AQ421" t="s">
        <v>83</v>
      </c>
      <c r="AR421" t="s">
        <v>69</v>
      </c>
      <c r="AS421" s="79"/>
      <c r="AT421" s="82" t="s">
        <v>2037</v>
      </c>
      <c r="AU421" s="78">
        <v>2026</v>
      </c>
      <c r="AV421" s="78">
        <v>2</v>
      </c>
      <c r="AW421" s="78" t="s">
        <v>226</v>
      </c>
      <c r="AX421" s="78">
        <v>1</v>
      </c>
      <c r="AY421" s="78">
        <v>0</v>
      </c>
      <c r="BT421" s="3" t="s">
        <v>226</v>
      </c>
      <c r="BU421" s="3">
        <v>1</v>
      </c>
      <c r="BV421" s="3">
        <v>0</v>
      </c>
    </row>
    <row r="422" spans="1:74" ht="15" customHeight="1" x14ac:dyDescent="0.25">
      <c r="A422" s="75">
        <v>5823477</v>
      </c>
      <c r="B422" t="s">
        <v>2196</v>
      </c>
      <c r="C422" t="s">
        <v>2197</v>
      </c>
      <c r="D422" t="s">
        <v>150</v>
      </c>
      <c r="E422" t="s">
        <v>87</v>
      </c>
      <c r="F422" s="75">
        <v>27</v>
      </c>
      <c r="G422" s="75">
        <v>279685</v>
      </c>
      <c r="H422">
        <v>621.57000000000005</v>
      </c>
      <c r="I422" t="s">
        <v>266</v>
      </c>
      <c r="J422" s="75">
        <v>149307</v>
      </c>
      <c r="K422" t="s">
        <v>350</v>
      </c>
      <c r="L422" t="s">
        <v>351</v>
      </c>
      <c r="M422" s="81">
        <v>46064.38921296296</v>
      </c>
      <c r="N422" s="81">
        <v>46065.415879629632</v>
      </c>
      <c r="O422" t="s">
        <v>58</v>
      </c>
      <c r="P422" t="s">
        <v>59</v>
      </c>
      <c r="Q422" t="s">
        <v>90</v>
      </c>
      <c r="R422" t="s">
        <v>99</v>
      </c>
      <c r="S422" t="s">
        <v>1375</v>
      </c>
      <c r="T422" t="s">
        <v>231</v>
      </c>
      <c r="U422" s="75">
        <v>190877</v>
      </c>
      <c r="V422" t="s">
        <v>2198</v>
      </c>
      <c r="X422" t="s">
        <v>62</v>
      </c>
      <c r="Y422" t="s">
        <v>2199</v>
      </c>
      <c r="AA422" t="s">
        <v>81</v>
      </c>
      <c r="AB422">
        <v>24.6</v>
      </c>
      <c r="AC422">
        <v>19.083333</v>
      </c>
      <c r="AD422">
        <v>5.516667</v>
      </c>
      <c r="AE422">
        <v>2.85</v>
      </c>
      <c r="AF422">
        <v>0</v>
      </c>
      <c r="AG422">
        <v>2.6666669999999999</v>
      </c>
      <c r="AH422">
        <v>2.6666669999999999</v>
      </c>
      <c r="AI422">
        <v>2.6166670000000001</v>
      </c>
      <c r="AJ422">
        <v>0.05</v>
      </c>
      <c r="AK422">
        <v>0</v>
      </c>
      <c r="AL422" s="76">
        <v>44767</v>
      </c>
      <c r="AM422" s="75">
        <v>1297</v>
      </c>
      <c r="AN422" t="s">
        <v>65</v>
      </c>
      <c r="AO422" t="s">
        <v>2200</v>
      </c>
      <c r="AP422" t="s">
        <v>67</v>
      </c>
      <c r="AQ422" t="s">
        <v>68</v>
      </c>
      <c r="AR422" t="s">
        <v>69</v>
      </c>
      <c r="AS422" s="78"/>
      <c r="AT422" s="82" t="s">
        <v>2037</v>
      </c>
      <c r="AU422" s="78">
        <v>2026</v>
      </c>
      <c r="AV422" s="78">
        <v>2</v>
      </c>
      <c r="AW422" s="78" t="s">
        <v>137</v>
      </c>
      <c r="AX422" s="78">
        <v>1</v>
      </c>
      <c r="AY422" s="78">
        <v>0</v>
      </c>
      <c r="BT422" s="2" t="s">
        <v>137</v>
      </c>
      <c r="BU422" s="2">
        <v>1</v>
      </c>
      <c r="BV422" s="2">
        <v>0</v>
      </c>
    </row>
    <row r="423" spans="1:74" ht="15" customHeight="1" x14ac:dyDescent="0.25">
      <c r="A423" s="75">
        <v>5816629</v>
      </c>
      <c r="B423" t="s">
        <v>2201</v>
      </c>
      <c r="C423" t="s">
        <v>2202</v>
      </c>
      <c r="D423" t="s">
        <v>527</v>
      </c>
      <c r="E423" t="s">
        <v>105</v>
      </c>
      <c r="F423" s="75">
        <v>976</v>
      </c>
      <c r="G423" s="75">
        <v>278821</v>
      </c>
      <c r="H423">
        <v>1025.04</v>
      </c>
      <c r="I423" t="s">
        <v>266</v>
      </c>
      <c r="J423" s="75">
        <v>48887</v>
      </c>
      <c r="K423" t="s">
        <v>164</v>
      </c>
      <c r="L423" t="s">
        <v>165</v>
      </c>
      <c r="M423" s="81">
        <v>46059.636030092603</v>
      </c>
      <c r="N423" s="81">
        <v>46065.430555555547</v>
      </c>
      <c r="O423" t="s">
        <v>58</v>
      </c>
      <c r="P423" t="s">
        <v>59</v>
      </c>
      <c r="Q423" t="s">
        <v>77</v>
      </c>
      <c r="R423" t="s">
        <v>156</v>
      </c>
      <c r="S423" t="s">
        <v>1320</v>
      </c>
      <c r="U423" s="75">
        <v>190903</v>
      </c>
      <c r="V423" t="s">
        <v>2203</v>
      </c>
      <c r="X423" t="s">
        <v>62</v>
      </c>
      <c r="Y423" t="s">
        <v>2204</v>
      </c>
      <c r="Z423" t="s">
        <v>2205</v>
      </c>
      <c r="AA423" t="s">
        <v>416</v>
      </c>
      <c r="AB423">
        <v>138.80000100000001</v>
      </c>
      <c r="AC423">
        <v>101.8</v>
      </c>
      <c r="AD423">
        <v>37.000000999999997</v>
      </c>
      <c r="AE423">
        <v>18.350000000000001</v>
      </c>
      <c r="AF423">
        <v>14.633333</v>
      </c>
      <c r="AG423">
        <v>18.650001</v>
      </c>
      <c r="AH423">
        <v>33.283334000000004</v>
      </c>
      <c r="AI423">
        <v>13.133334</v>
      </c>
      <c r="AJ423">
        <v>5.516667</v>
      </c>
      <c r="AK423">
        <v>0</v>
      </c>
      <c r="AL423" s="76">
        <v>44441</v>
      </c>
      <c r="AM423" s="75">
        <v>1618</v>
      </c>
      <c r="AN423" t="s">
        <v>65</v>
      </c>
      <c r="AO423" t="s">
        <v>2206</v>
      </c>
      <c r="AP423" t="s">
        <v>67</v>
      </c>
      <c r="AQ423" t="s">
        <v>68</v>
      </c>
      <c r="AR423" t="s">
        <v>69</v>
      </c>
      <c r="AS423" s="79"/>
      <c r="AT423" s="82" t="s">
        <v>2037</v>
      </c>
      <c r="AU423" s="78">
        <v>2026</v>
      </c>
      <c r="AV423" s="78">
        <v>2</v>
      </c>
      <c r="AW423" s="78" t="s">
        <v>137</v>
      </c>
      <c r="AX423" s="78">
        <v>0</v>
      </c>
      <c r="AY423" s="78">
        <v>0</v>
      </c>
      <c r="BT423" s="3" t="s">
        <v>137</v>
      </c>
      <c r="BU423" s="3">
        <v>0</v>
      </c>
      <c r="BV423" s="3">
        <v>0</v>
      </c>
    </row>
    <row r="424" spans="1:74" ht="15" customHeight="1" x14ac:dyDescent="0.25">
      <c r="A424" s="75">
        <v>5819239</v>
      </c>
      <c r="B424" t="s">
        <v>2207</v>
      </c>
      <c r="C424" t="s">
        <v>2208</v>
      </c>
      <c r="D424" t="s">
        <v>527</v>
      </c>
      <c r="E424" t="s">
        <v>105</v>
      </c>
      <c r="F424" s="75">
        <v>4</v>
      </c>
      <c r="G424" s="75">
        <v>328451</v>
      </c>
      <c r="H424">
        <v>135</v>
      </c>
      <c r="I424" t="s">
        <v>163</v>
      </c>
      <c r="J424" s="75">
        <v>213163</v>
      </c>
      <c r="K424" t="s">
        <v>2209</v>
      </c>
      <c r="L424" t="s">
        <v>2210</v>
      </c>
      <c r="M424" s="81">
        <v>46062.366736111107</v>
      </c>
      <c r="N424" s="81">
        <v>46065.431921296287</v>
      </c>
      <c r="O424" t="s">
        <v>58</v>
      </c>
      <c r="P424" t="s">
        <v>59</v>
      </c>
      <c r="Q424" t="s">
        <v>130</v>
      </c>
      <c r="R424" t="s">
        <v>156</v>
      </c>
      <c r="S424" t="s">
        <v>1320</v>
      </c>
      <c r="U424" s="75">
        <v>189113</v>
      </c>
      <c r="V424" t="s">
        <v>2211</v>
      </c>
      <c r="W424" t="s">
        <v>2211</v>
      </c>
      <c r="X424" t="s">
        <v>118</v>
      </c>
      <c r="Y424" t="s">
        <v>2212</v>
      </c>
      <c r="AA424" t="s">
        <v>81</v>
      </c>
      <c r="AB424">
        <v>73.500000999999997</v>
      </c>
      <c r="AC424">
        <v>69.166667000000004</v>
      </c>
      <c r="AD424">
        <v>4.3333339999999998</v>
      </c>
      <c r="AE424">
        <v>0.66666700000000001</v>
      </c>
      <c r="AF424">
        <v>0</v>
      </c>
      <c r="AG424">
        <v>3.6666669999999999</v>
      </c>
      <c r="AH424">
        <v>3.6666669999999999</v>
      </c>
      <c r="AI424">
        <v>2.4</v>
      </c>
      <c r="AJ424">
        <v>1.266667</v>
      </c>
      <c r="AK424">
        <v>0</v>
      </c>
      <c r="AL424" s="76">
        <v>45707.365787037037</v>
      </c>
      <c r="AM424" s="75">
        <v>355</v>
      </c>
      <c r="AN424" t="s">
        <v>65</v>
      </c>
      <c r="AO424" t="s">
        <v>2213</v>
      </c>
      <c r="AP424" t="s">
        <v>67</v>
      </c>
      <c r="AQ424" t="s">
        <v>121</v>
      </c>
      <c r="AR424" t="s">
        <v>69</v>
      </c>
      <c r="AS424" s="78"/>
      <c r="AT424" s="82" t="s">
        <v>2037</v>
      </c>
      <c r="AU424" s="78">
        <v>2026</v>
      </c>
      <c r="AV424" s="78">
        <v>2</v>
      </c>
      <c r="AW424" s="78" t="s">
        <v>347</v>
      </c>
      <c r="AX424" s="78">
        <v>1</v>
      </c>
      <c r="AY424" s="78">
        <v>0</v>
      </c>
      <c r="BT424" s="2" t="s">
        <v>347</v>
      </c>
      <c r="BU424" s="2">
        <v>1</v>
      </c>
      <c r="BV424" s="2">
        <v>0</v>
      </c>
    </row>
    <row r="425" spans="1:74" ht="15" customHeight="1" x14ac:dyDescent="0.25">
      <c r="A425" s="75">
        <v>5817867</v>
      </c>
      <c r="B425" t="s">
        <v>2214</v>
      </c>
      <c r="C425" t="s">
        <v>2215</v>
      </c>
      <c r="D425" t="s">
        <v>527</v>
      </c>
      <c r="E425" t="s">
        <v>87</v>
      </c>
      <c r="F425" s="75">
        <v>43</v>
      </c>
      <c r="G425" s="75">
        <v>330019</v>
      </c>
      <c r="H425">
        <v>899.99</v>
      </c>
      <c r="I425" t="s">
        <v>141</v>
      </c>
      <c r="J425" s="75">
        <v>202555</v>
      </c>
      <c r="K425" t="s">
        <v>2216</v>
      </c>
      <c r="L425" t="s">
        <v>2217</v>
      </c>
      <c r="M425" s="81">
        <v>46060.74013888889</v>
      </c>
      <c r="N425" s="81">
        <v>46065.432719907411</v>
      </c>
      <c r="O425" t="s">
        <v>58</v>
      </c>
      <c r="P425" t="s">
        <v>59</v>
      </c>
      <c r="Q425" t="s">
        <v>77</v>
      </c>
      <c r="R425" t="s">
        <v>60</v>
      </c>
      <c r="S425" t="s">
        <v>583</v>
      </c>
      <c r="U425" s="75">
        <v>189371</v>
      </c>
      <c r="V425" t="s">
        <v>2218</v>
      </c>
      <c r="W425" t="s">
        <v>2219</v>
      </c>
      <c r="X425" t="s">
        <v>62</v>
      </c>
      <c r="Y425" t="s">
        <v>63</v>
      </c>
      <c r="AA425" t="s">
        <v>101</v>
      </c>
      <c r="AB425">
        <v>112.5</v>
      </c>
      <c r="AC425">
        <v>101.1</v>
      </c>
      <c r="AD425">
        <v>11.4</v>
      </c>
      <c r="AE425">
        <v>0.36666700000000002</v>
      </c>
      <c r="AF425">
        <v>0</v>
      </c>
      <c r="AG425">
        <v>11.033333000000001</v>
      </c>
      <c r="AH425">
        <v>11.033333000000001</v>
      </c>
      <c r="AI425">
        <v>9.766667</v>
      </c>
      <c r="AJ425">
        <v>1.2666660000000001</v>
      </c>
      <c r="AK425">
        <v>0</v>
      </c>
      <c r="AL425" s="76">
        <v>45747.362893518519</v>
      </c>
      <c r="AM425" s="75">
        <v>313</v>
      </c>
      <c r="AN425" t="s">
        <v>65</v>
      </c>
      <c r="AO425" t="s">
        <v>2220</v>
      </c>
      <c r="AP425" t="s">
        <v>67</v>
      </c>
      <c r="AQ425" t="s">
        <v>68</v>
      </c>
      <c r="AR425" t="s">
        <v>69</v>
      </c>
      <c r="AS425" s="79"/>
      <c r="AT425" s="82" t="s">
        <v>2037</v>
      </c>
      <c r="AU425" s="78">
        <v>2026</v>
      </c>
      <c r="AV425" s="78">
        <v>2</v>
      </c>
      <c r="AW425" s="78" t="s">
        <v>71</v>
      </c>
      <c r="AX425" s="78">
        <v>0</v>
      </c>
      <c r="AY425" s="78">
        <v>0</v>
      </c>
      <c r="BT425" s="3" t="s">
        <v>71</v>
      </c>
      <c r="BU425" s="3">
        <v>0</v>
      </c>
      <c r="BV425" s="3">
        <v>0</v>
      </c>
    </row>
    <row r="426" spans="1:74" ht="15" customHeight="1" x14ac:dyDescent="0.25">
      <c r="A426" s="75">
        <v>5819613</v>
      </c>
      <c r="B426" t="s">
        <v>2221</v>
      </c>
      <c r="C426" t="s">
        <v>2222</v>
      </c>
      <c r="D426" t="s">
        <v>527</v>
      </c>
      <c r="E426" t="s">
        <v>87</v>
      </c>
      <c r="F426" s="75">
        <v>197</v>
      </c>
      <c r="G426" s="75">
        <v>285971</v>
      </c>
      <c r="H426">
        <v>364.96</v>
      </c>
      <c r="I426" t="s">
        <v>55</v>
      </c>
      <c r="J426" s="75">
        <v>218787</v>
      </c>
      <c r="K426" t="s">
        <v>96</v>
      </c>
      <c r="L426" t="s">
        <v>97</v>
      </c>
      <c r="M426" s="81">
        <v>46062.445069444453</v>
      </c>
      <c r="N426" s="81">
        <v>46065.441435185188</v>
      </c>
      <c r="O426" t="s">
        <v>58</v>
      </c>
      <c r="P426" t="s">
        <v>59</v>
      </c>
      <c r="Q426" t="s">
        <v>90</v>
      </c>
      <c r="R426" t="s">
        <v>60</v>
      </c>
      <c r="S426" t="s">
        <v>583</v>
      </c>
      <c r="U426" s="75">
        <v>188961</v>
      </c>
      <c r="V426" t="s">
        <v>2223</v>
      </c>
      <c r="W426" t="s">
        <v>2223</v>
      </c>
      <c r="X426" t="s">
        <v>62</v>
      </c>
      <c r="Y426" t="s">
        <v>63</v>
      </c>
      <c r="AA426" t="s">
        <v>64</v>
      </c>
      <c r="AB426">
        <v>71.849999999999994</v>
      </c>
      <c r="AC426">
        <v>64.75</v>
      </c>
      <c r="AD426">
        <v>7.1</v>
      </c>
      <c r="AE426">
        <v>0.75</v>
      </c>
      <c r="AF426">
        <v>0</v>
      </c>
      <c r="AG426">
        <v>6.35</v>
      </c>
      <c r="AH426">
        <v>6.35</v>
      </c>
      <c r="AI426">
        <v>6.0333329999999998</v>
      </c>
      <c r="AJ426">
        <v>0.31666699999999998</v>
      </c>
      <c r="AK426">
        <v>0</v>
      </c>
      <c r="AL426" s="76">
        <v>44918</v>
      </c>
      <c r="AM426" s="75">
        <v>1144</v>
      </c>
      <c r="AN426" t="s">
        <v>65</v>
      </c>
      <c r="AO426" t="s">
        <v>2224</v>
      </c>
      <c r="AP426" t="s">
        <v>67</v>
      </c>
      <c r="AQ426" t="s">
        <v>68</v>
      </c>
      <c r="AR426" t="s">
        <v>69</v>
      </c>
      <c r="AS426" s="78"/>
      <c r="AT426" s="82" t="s">
        <v>2037</v>
      </c>
      <c r="AU426" s="78">
        <v>2026</v>
      </c>
      <c r="AV426" s="78">
        <v>2</v>
      </c>
      <c r="AW426" s="78" t="s">
        <v>71</v>
      </c>
      <c r="AX426" s="78">
        <v>1</v>
      </c>
      <c r="AY426" s="78">
        <v>0</v>
      </c>
      <c r="BT426" s="2" t="s">
        <v>71</v>
      </c>
      <c r="BU426" s="2">
        <v>1</v>
      </c>
      <c r="BV426" s="2">
        <v>0</v>
      </c>
    </row>
    <row r="427" spans="1:74" ht="15" customHeight="1" x14ac:dyDescent="0.25">
      <c r="A427" s="75">
        <v>5819887</v>
      </c>
      <c r="B427" t="s">
        <v>2225</v>
      </c>
      <c r="C427" t="s">
        <v>2226</v>
      </c>
      <c r="D427" t="s">
        <v>527</v>
      </c>
      <c r="E427" t="s">
        <v>87</v>
      </c>
      <c r="F427" s="75">
        <v>90</v>
      </c>
      <c r="G427" s="75">
        <v>280007</v>
      </c>
      <c r="H427">
        <v>616.59</v>
      </c>
      <c r="I427" t="s">
        <v>266</v>
      </c>
      <c r="J427" s="75">
        <v>49495</v>
      </c>
      <c r="K427" t="s">
        <v>460</v>
      </c>
      <c r="L427" t="s">
        <v>461</v>
      </c>
      <c r="M427" s="81">
        <v>46062.535081018519</v>
      </c>
      <c r="N427" s="81">
        <v>46065.444988425923</v>
      </c>
      <c r="O427" t="s">
        <v>58</v>
      </c>
      <c r="P427" t="s">
        <v>59</v>
      </c>
      <c r="Q427" t="s">
        <v>90</v>
      </c>
      <c r="R427" t="s">
        <v>156</v>
      </c>
      <c r="S427" t="s">
        <v>2227</v>
      </c>
      <c r="U427" s="75">
        <v>189083</v>
      </c>
      <c r="V427" t="s">
        <v>2228</v>
      </c>
      <c r="W427" t="s">
        <v>2228</v>
      </c>
      <c r="X427" t="s">
        <v>62</v>
      </c>
      <c r="Y427" t="s">
        <v>63</v>
      </c>
      <c r="AA427" t="s">
        <v>81</v>
      </c>
      <c r="AB427">
        <v>69.783332999999999</v>
      </c>
      <c r="AC427">
        <v>65.650000000000006</v>
      </c>
      <c r="AD427">
        <v>4.1333330000000004</v>
      </c>
      <c r="AE427">
        <v>0.83333299999999999</v>
      </c>
      <c r="AF427">
        <v>0</v>
      </c>
      <c r="AG427">
        <v>3.3</v>
      </c>
      <c r="AH427">
        <v>3.3</v>
      </c>
      <c r="AI427">
        <v>3.2166670000000002</v>
      </c>
      <c r="AJ427">
        <v>8.3333000000000004E-2</v>
      </c>
      <c r="AK427">
        <v>0</v>
      </c>
      <c r="AL427" s="76">
        <v>44774</v>
      </c>
      <c r="AM427" s="75">
        <v>1288</v>
      </c>
      <c r="AN427" t="s">
        <v>65</v>
      </c>
      <c r="AO427" t="s">
        <v>551</v>
      </c>
      <c r="AP427" t="s">
        <v>67</v>
      </c>
      <c r="AQ427" t="s">
        <v>68</v>
      </c>
      <c r="AR427" t="s">
        <v>69</v>
      </c>
      <c r="AS427" s="79"/>
      <c r="AT427" s="82" t="s">
        <v>2037</v>
      </c>
      <c r="AU427" s="78">
        <v>2026</v>
      </c>
      <c r="AV427" s="78">
        <v>2</v>
      </c>
      <c r="AW427" s="78" t="s">
        <v>71</v>
      </c>
      <c r="AX427" s="78">
        <v>1</v>
      </c>
      <c r="AY427" s="78">
        <v>0</v>
      </c>
      <c r="BT427" s="3" t="s">
        <v>71</v>
      </c>
      <c r="BU427" s="3">
        <v>1</v>
      </c>
      <c r="BV427" s="3">
        <v>0</v>
      </c>
    </row>
    <row r="428" spans="1:74" ht="15" customHeight="1" x14ac:dyDescent="0.25">
      <c r="A428" s="75">
        <v>5819793</v>
      </c>
      <c r="B428" t="s">
        <v>2229</v>
      </c>
      <c r="C428" t="s">
        <v>2230</v>
      </c>
      <c r="D428" t="s">
        <v>527</v>
      </c>
      <c r="E428" t="s">
        <v>54</v>
      </c>
      <c r="F428" s="75">
        <v>1</v>
      </c>
      <c r="G428" s="75">
        <v>333399</v>
      </c>
      <c r="H428">
        <v>600</v>
      </c>
      <c r="I428" t="s">
        <v>141</v>
      </c>
      <c r="J428" s="75">
        <v>226111</v>
      </c>
      <c r="K428" t="s">
        <v>142</v>
      </c>
      <c r="L428" t="s">
        <v>143</v>
      </c>
      <c r="M428" s="81">
        <v>46062.49391203704</v>
      </c>
      <c r="N428" s="81">
        <v>46065.448321759257</v>
      </c>
      <c r="O428" t="s">
        <v>58</v>
      </c>
      <c r="P428" t="s">
        <v>59</v>
      </c>
      <c r="Q428" t="s">
        <v>130</v>
      </c>
      <c r="R428" t="s">
        <v>60</v>
      </c>
      <c r="S428" t="s">
        <v>583</v>
      </c>
      <c r="U428" s="75">
        <v>189379</v>
      </c>
      <c r="V428" t="s">
        <v>2231</v>
      </c>
      <c r="W428" t="s">
        <v>2232</v>
      </c>
      <c r="X428" t="s">
        <v>62</v>
      </c>
      <c r="Y428" t="s">
        <v>63</v>
      </c>
      <c r="AA428" t="s">
        <v>64</v>
      </c>
      <c r="AB428">
        <v>70.849998999999997</v>
      </c>
      <c r="AC428">
        <v>62.866666000000002</v>
      </c>
      <c r="AD428">
        <v>7.983333</v>
      </c>
      <c r="AE428">
        <v>0.15</v>
      </c>
      <c r="AF428">
        <v>0</v>
      </c>
      <c r="AG428">
        <v>7.8333329999999997</v>
      </c>
      <c r="AH428">
        <v>7.8333329999999997</v>
      </c>
      <c r="AI428">
        <v>7.55</v>
      </c>
      <c r="AJ428">
        <v>0.283333</v>
      </c>
      <c r="AK428">
        <v>0</v>
      </c>
      <c r="AL428" s="76">
        <v>45771.443495370368</v>
      </c>
      <c r="AM428" s="75">
        <v>291</v>
      </c>
      <c r="AN428" t="s">
        <v>65</v>
      </c>
      <c r="AO428" t="s">
        <v>147</v>
      </c>
      <c r="AP428" t="s">
        <v>67</v>
      </c>
      <c r="AQ428" t="s">
        <v>68</v>
      </c>
      <c r="AR428" t="s">
        <v>69</v>
      </c>
      <c r="AS428" s="78"/>
      <c r="AT428" s="82" t="s">
        <v>2037</v>
      </c>
      <c r="AU428" s="78">
        <v>2026</v>
      </c>
      <c r="AV428" s="78">
        <v>2</v>
      </c>
      <c r="AW428" s="78" t="s">
        <v>71</v>
      </c>
      <c r="AX428" s="78">
        <v>1</v>
      </c>
      <c r="AY428" s="78">
        <v>0</v>
      </c>
      <c r="BT428" s="2" t="s">
        <v>71</v>
      </c>
      <c r="BU428" s="2">
        <v>1</v>
      </c>
      <c r="BV428" s="2">
        <v>0</v>
      </c>
    </row>
    <row r="429" spans="1:74" ht="15" customHeight="1" x14ac:dyDescent="0.25">
      <c r="A429" s="75">
        <v>5820637</v>
      </c>
      <c r="B429" t="s">
        <v>2233</v>
      </c>
      <c r="C429" t="s">
        <v>2234</v>
      </c>
      <c r="D429" t="s">
        <v>527</v>
      </c>
      <c r="E429" t="s">
        <v>54</v>
      </c>
      <c r="F429" s="75">
        <v>1</v>
      </c>
      <c r="G429" s="75">
        <v>249009</v>
      </c>
      <c r="H429">
        <v>600</v>
      </c>
      <c r="I429" t="s">
        <v>114</v>
      </c>
      <c r="J429" s="75">
        <v>203325</v>
      </c>
      <c r="K429" t="s">
        <v>404</v>
      </c>
      <c r="L429" t="s">
        <v>405</v>
      </c>
      <c r="M429" s="81">
        <v>46062.738020833327</v>
      </c>
      <c r="N429" s="81">
        <v>46065.453090277777</v>
      </c>
      <c r="O429" t="s">
        <v>58</v>
      </c>
      <c r="P429" t="s">
        <v>59</v>
      </c>
      <c r="Q429" t="s">
        <v>130</v>
      </c>
      <c r="R429" t="s">
        <v>60</v>
      </c>
      <c r="S429" t="s">
        <v>2235</v>
      </c>
      <c r="U429" s="75">
        <v>189437</v>
      </c>
      <c r="V429" t="s">
        <v>2236</v>
      </c>
      <c r="W429" t="s">
        <v>2236</v>
      </c>
      <c r="X429" t="s">
        <v>79</v>
      </c>
      <c r="Y429" t="s">
        <v>110</v>
      </c>
      <c r="AA429" t="s">
        <v>81</v>
      </c>
      <c r="AB429">
        <v>65.099999999999994</v>
      </c>
      <c r="AC429">
        <v>63.35</v>
      </c>
      <c r="AD429">
        <v>1.75</v>
      </c>
      <c r="AE429">
        <v>0.25</v>
      </c>
      <c r="AF429">
        <v>0</v>
      </c>
      <c r="AG429">
        <v>1.5</v>
      </c>
      <c r="AH429">
        <v>1.5</v>
      </c>
      <c r="AI429">
        <v>1.066667</v>
      </c>
      <c r="AJ429">
        <v>0.43333300000000002</v>
      </c>
      <c r="AK429">
        <v>0</v>
      </c>
      <c r="AL429" s="76">
        <v>44568</v>
      </c>
      <c r="AM429" s="75">
        <v>1494</v>
      </c>
      <c r="AN429" t="s">
        <v>65</v>
      </c>
      <c r="AO429" t="s">
        <v>407</v>
      </c>
      <c r="AP429" t="s">
        <v>67</v>
      </c>
      <c r="AQ429" t="s">
        <v>83</v>
      </c>
      <c r="AR429" t="s">
        <v>69</v>
      </c>
      <c r="AS429" s="79"/>
      <c r="AT429" s="82" t="s">
        <v>2037</v>
      </c>
      <c r="AU429" s="78">
        <v>2026</v>
      </c>
      <c r="AV429" s="78">
        <v>2</v>
      </c>
      <c r="AW429" s="78" t="s">
        <v>84</v>
      </c>
      <c r="AX429" s="78">
        <v>1</v>
      </c>
      <c r="AY429" s="78">
        <v>0</v>
      </c>
      <c r="BT429" s="3" t="s">
        <v>84</v>
      </c>
      <c r="BU429" s="3">
        <v>1</v>
      </c>
      <c r="BV429" s="3">
        <v>0</v>
      </c>
    </row>
    <row r="430" spans="1:74" ht="15" customHeight="1" x14ac:dyDescent="0.25">
      <c r="A430" s="75">
        <v>5819751</v>
      </c>
      <c r="B430" t="s">
        <v>2237</v>
      </c>
      <c r="C430" t="s">
        <v>2238</v>
      </c>
      <c r="D430" t="s">
        <v>74</v>
      </c>
      <c r="E430" t="s">
        <v>126</v>
      </c>
      <c r="F430" s="75">
        <v>44</v>
      </c>
      <c r="G430" s="75">
        <v>345385</v>
      </c>
      <c r="H430">
        <v>250</v>
      </c>
      <c r="I430" t="s">
        <v>175</v>
      </c>
      <c r="J430" s="75">
        <v>133341</v>
      </c>
      <c r="K430" t="s">
        <v>176</v>
      </c>
      <c r="L430" t="s">
        <v>177</v>
      </c>
      <c r="M430" s="81">
        <v>46062.481539351851</v>
      </c>
      <c r="N430" s="81">
        <v>46065.470694444448</v>
      </c>
      <c r="O430" t="s">
        <v>58</v>
      </c>
      <c r="P430" t="s">
        <v>59</v>
      </c>
      <c r="Q430" t="s">
        <v>130</v>
      </c>
      <c r="R430" t="s">
        <v>60</v>
      </c>
      <c r="S430" t="s">
        <v>1268</v>
      </c>
      <c r="U430" s="75">
        <v>189375</v>
      </c>
      <c r="V430" t="s">
        <v>2239</v>
      </c>
      <c r="W430" t="s">
        <v>2240</v>
      </c>
      <c r="X430" t="s">
        <v>62</v>
      </c>
      <c r="Y430" t="s">
        <v>63</v>
      </c>
      <c r="AA430" t="s">
        <v>416</v>
      </c>
      <c r="AB430">
        <v>71.650001000000003</v>
      </c>
      <c r="AC430">
        <v>57.333333000000003</v>
      </c>
      <c r="AD430">
        <v>14.316668</v>
      </c>
      <c r="AE430">
        <v>0.36666700000000002</v>
      </c>
      <c r="AF430">
        <v>0</v>
      </c>
      <c r="AG430">
        <v>13.950001</v>
      </c>
      <c r="AH430">
        <v>13.950001</v>
      </c>
      <c r="AI430">
        <v>12.55</v>
      </c>
      <c r="AJ430">
        <v>1.4000010000000001</v>
      </c>
      <c r="AK430">
        <v>0</v>
      </c>
      <c r="AL430" s="76">
        <v>45947.506840277783</v>
      </c>
      <c r="AM430" s="75">
        <v>114</v>
      </c>
      <c r="AN430" t="s">
        <v>65</v>
      </c>
      <c r="AO430" t="s">
        <v>2241</v>
      </c>
      <c r="AP430" t="s">
        <v>67</v>
      </c>
      <c r="AQ430" t="s">
        <v>68</v>
      </c>
      <c r="AR430" t="s">
        <v>69</v>
      </c>
      <c r="AS430" s="78"/>
      <c r="AT430" s="82" t="s">
        <v>2037</v>
      </c>
      <c r="AU430" s="78">
        <v>2026</v>
      </c>
      <c r="AV430" s="78">
        <v>2</v>
      </c>
      <c r="AW430" s="78" t="s">
        <v>71</v>
      </c>
      <c r="AX430" s="78">
        <v>0</v>
      </c>
      <c r="AY430" s="78">
        <v>0</v>
      </c>
      <c r="BT430" s="2" t="s">
        <v>71</v>
      </c>
      <c r="BU430" s="2">
        <v>0</v>
      </c>
      <c r="BV430" s="2">
        <v>0</v>
      </c>
    </row>
    <row r="431" spans="1:74" ht="15" customHeight="1" x14ac:dyDescent="0.25">
      <c r="A431" s="75">
        <v>5819753</v>
      </c>
      <c r="B431" t="s">
        <v>2242</v>
      </c>
      <c r="C431" t="s">
        <v>2243</v>
      </c>
      <c r="D431" t="s">
        <v>74</v>
      </c>
      <c r="E431" t="s">
        <v>126</v>
      </c>
      <c r="F431" s="75">
        <v>12</v>
      </c>
      <c r="G431" s="75">
        <v>342751</v>
      </c>
      <c r="H431">
        <v>250</v>
      </c>
      <c r="I431" t="s">
        <v>175</v>
      </c>
      <c r="J431" s="75">
        <v>133341</v>
      </c>
      <c r="K431" t="s">
        <v>176</v>
      </c>
      <c r="L431" t="s">
        <v>177</v>
      </c>
      <c r="M431" s="81">
        <v>46062.481608796297</v>
      </c>
      <c r="N431" s="81">
        <v>46065.471712962957</v>
      </c>
      <c r="O431" t="s">
        <v>58</v>
      </c>
      <c r="P431" t="s">
        <v>59</v>
      </c>
      <c r="Q431" t="s">
        <v>130</v>
      </c>
      <c r="R431" t="s">
        <v>156</v>
      </c>
      <c r="S431" t="s">
        <v>1311</v>
      </c>
      <c r="U431" s="75">
        <v>189377</v>
      </c>
      <c r="V431" t="s">
        <v>2244</v>
      </c>
      <c r="W431" t="s">
        <v>2245</v>
      </c>
      <c r="X431" t="s">
        <v>62</v>
      </c>
      <c r="Y431" t="s">
        <v>63</v>
      </c>
      <c r="AA431" t="s">
        <v>101</v>
      </c>
      <c r="AB431">
        <v>71.7</v>
      </c>
      <c r="AC431">
        <v>62.3</v>
      </c>
      <c r="AD431">
        <v>9.4</v>
      </c>
      <c r="AE431">
        <v>0.3</v>
      </c>
      <c r="AF431">
        <v>0</v>
      </c>
      <c r="AG431">
        <v>9.1</v>
      </c>
      <c r="AH431">
        <v>9.1</v>
      </c>
      <c r="AI431">
        <v>8.75</v>
      </c>
      <c r="AJ431">
        <v>0.35</v>
      </c>
      <c r="AK431">
        <v>0</v>
      </c>
      <c r="AL431" s="76">
        <v>45982.484907407408</v>
      </c>
      <c r="AM431" s="75">
        <v>79</v>
      </c>
      <c r="AN431" t="s">
        <v>65</v>
      </c>
      <c r="AO431" t="s">
        <v>179</v>
      </c>
      <c r="AP431" t="s">
        <v>67</v>
      </c>
      <c r="AQ431" t="s">
        <v>68</v>
      </c>
      <c r="AR431" t="s">
        <v>69</v>
      </c>
      <c r="AS431" s="79"/>
      <c r="AT431" s="82" t="s">
        <v>2037</v>
      </c>
      <c r="AU431" s="78">
        <v>2026</v>
      </c>
      <c r="AV431" s="78">
        <v>2</v>
      </c>
      <c r="AW431" s="78" t="s">
        <v>71</v>
      </c>
      <c r="AX431" s="78">
        <v>0</v>
      </c>
      <c r="AY431" s="78">
        <v>0</v>
      </c>
      <c r="BT431" s="3" t="s">
        <v>71</v>
      </c>
      <c r="BU431" s="3">
        <v>0</v>
      </c>
      <c r="BV431" s="3">
        <v>0</v>
      </c>
    </row>
    <row r="432" spans="1:74" ht="15" customHeight="1" x14ac:dyDescent="0.25">
      <c r="A432" s="75">
        <v>5820489</v>
      </c>
      <c r="B432" t="s">
        <v>2246</v>
      </c>
      <c r="C432" t="s">
        <v>1079</v>
      </c>
      <c r="D432" t="s">
        <v>74</v>
      </c>
      <c r="E432" t="s">
        <v>87</v>
      </c>
      <c r="F432" s="75">
        <v>187</v>
      </c>
      <c r="G432" s="75">
        <v>285899</v>
      </c>
      <c r="H432">
        <v>398.82</v>
      </c>
      <c r="I432" t="s">
        <v>55</v>
      </c>
      <c r="J432" s="75">
        <v>216233</v>
      </c>
      <c r="K432" t="s">
        <v>88</v>
      </c>
      <c r="L432" t="s">
        <v>89</v>
      </c>
      <c r="M432" s="81">
        <v>46062.695</v>
      </c>
      <c r="N432" s="81">
        <v>46065.477303240739</v>
      </c>
      <c r="O432" t="s">
        <v>58</v>
      </c>
      <c r="P432" t="s">
        <v>59</v>
      </c>
      <c r="Q432" t="s">
        <v>90</v>
      </c>
      <c r="R432" t="s">
        <v>60</v>
      </c>
      <c r="S432" t="s">
        <v>583</v>
      </c>
      <c r="U432" s="75">
        <v>189385</v>
      </c>
      <c r="V432" t="s">
        <v>2247</v>
      </c>
      <c r="W432" t="s">
        <v>2247</v>
      </c>
      <c r="X432" t="s">
        <v>62</v>
      </c>
      <c r="Y432" t="s">
        <v>63</v>
      </c>
      <c r="AA432" t="s">
        <v>101</v>
      </c>
      <c r="AB432">
        <v>66.700001</v>
      </c>
      <c r="AC432">
        <v>56.883333999999998</v>
      </c>
      <c r="AD432">
        <v>9.8166670000000007</v>
      </c>
      <c r="AE432">
        <v>0.63333399999999995</v>
      </c>
      <c r="AF432">
        <v>0</v>
      </c>
      <c r="AG432">
        <v>9.1833329999999993</v>
      </c>
      <c r="AH432">
        <v>9.1833329999999993</v>
      </c>
      <c r="AI432">
        <v>7.8</v>
      </c>
      <c r="AJ432">
        <v>1.3833329999999999</v>
      </c>
      <c r="AK432">
        <v>0</v>
      </c>
      <c r="AL432" s="76">
        <v>44875</v>
      </c>
      <c r="AM432" s="75">
        <v>1187</v>
      </c>
      <c r="AN432" t="s">
        <v>65</v>
      </c>
      <c r="AO432" t="s">
        <v>1081</v>
      </c>
      <c r="AP432" t="s">
        <v>67</v>
      </c>
      <c r="AQ432" t="s">
        <v>68</v>
      </c>
      <c r="AR432" t="s">
        <v>69</v>
      </c>
      <c r="AS432" s="78"/>
      <c r="AT432" s="82" t="s">
        <v>2037</v>
      </c>
      <c r="AU432" s="78">
        <v>2026</v>
      </c>
      <c r="AV432" s="78">
        <v>2</v>
      </c>
      <c r="AW432" s="78" t="s">
        <v>71</v>
      </c>
      <c r="AX432" s="78">
        <v>0</v>
      </c>
      <c r="AY432" s="78">
        <v>0</v>
      </c>
      <c r="BT432" s="2" t="s">
        <v>71</v>
      </c>
      <c r="BU432" s="2">
        <v>0</v>
      </c>
      <c r="BV432" s="2">
        <v>0</v>
      </c>
    </row>
    <row r="433" spans="1:74" ht="15" customHeight="1" x14ac:dyDescent="0.25">
      <c r="A433" s="75">
        <v>5821373</v>
      </c>
      <c r="B433" t="s">
        <v>2248</v>
      </c>
      <c r="C433" t="s">
        <v>1424</v>
      </c>
      <c r="D433" t="s">
        <v>2249</v>
      </c>
      <c r="E433" t="s">
        <v>87</v>
      </c>
      <c r="F433" s="75">
        <v>25</v>
      </c>
      <c r="G433" s="75">
        <v>251437</v>
      </c>
      <c r="H433">
        <v>510</v>
      </c>
      <c r="I433" t="s">
        <v>114</v>
      </c>
      <c r="J433" s="75">
        <v>203645</v>
      </c>
      <c r="K433" t="s">
        <v>520</v>
      </c>
      <c r="L433" t="s">
        <v>521</v>
      </c>
      <c r="M433" s="81">
        <v>46063.42701388889</v>
      </c>
      <c r="N433" s="81">
        <v>46065.479745370372</v>
      </c>
      <c r="O433" t="s">
        <v>58</v>
      </c>
      <c r="P433" t="s">
        <v>59</v>
      </c>
      <c r="Q433" t="s">
        <v>77</v>
      </c>
      <c r="R433" t="s">
        <v>60</v>
      </c>
      <c r="S433" t="s">
        <v>583</v>
      </c>
      <c r="U433" s="75">
        <v>189843</v>
      </c>
      <c r="V433" t="s">
        <v>2250</v>
      </c>
      <c r="W433" t="s">
        <v>2251</v>
      </c>
      <c r="X433" t="s">
        <v>118</v>
      </c>
      <c r="Y433" t="s">
        <v>119</v>
      </c>
      <c r="AA433" t="s">
        <v>101</v>
      </c>
      <c r="AB433">
        <v>49.2</v>
      </c>
      <c r="AC433">
        <v>40.9</v>
      </c>
      <c r="AD433">
        <v>8.3000000000000007</v>
      </c>
      <c r="AE433">
        <v>0.11666700000000001</v>
      </c>
      <c r="AF433">
        <v>0</v>
      </c>
      <c r="AG433">
        <v>8.1833329999999993</v>
      </c>
      <c r="AH433">
        <v>8.1833329999999993</v>
      </c>
      <c r="AI433">
        <v>7.8333329999999997</v>
      </c>
      <c r="AJ433">
        <v>0.35</v>
      </c>
      <c r="AK433">
        <v>0</v>
      </c>
      <c r="AL433" s="76">
        <v>45076.754201388889</v>
      </c>
      <c r="AM433" s="75">
        <v>986</v>
      </c>
      <c r="AN433" t="s">
        <v>65</v>
      </c>
      <c r="AO433" t="s">
        <v>2252</v>
      </c>
      <c r="AP433" t="s">
        <v>67</v>
      </c>
      <c r="AQ433" t="s">
        <v>121</v>
      </c>
      <c r="AR433" t="s">
        <v>69</v>
      </c>
      <c r="AS433" s="79"/>
      <c r="AT433" s="82" t="s">
        <v>2037</v>
      </c>
      <c r="AU433" s="78">
        <v>2026</v>
      </c>
      <c r="AV433" s="78">
        <v>2</v>
      </c>
      <c r="AW433" s="78" t="s">
        <v>122</v>
      </c>
      <c r="AX433" s="78">
        <v>0</v>
      </c>
      <c r="AY433" s="78">
        <v>0</v>
      </c>
      <c r="BT433" s="3" t="s">
        <v>122</v>
      </c>
      <c r="BU433" s="3">
        <v>0</v>
      </c>
      <c r="BV433" s="3">
        <v>0</v>
      </c>
    </row>
    <row r="434" spans="1:74" ht="15" customHeight="1" x14ac:dyDescent="0.25">
      <c r="A434" s="75">
        <v>5821711</v>
      </c>
      <c r="B434" t="s">
        <v>2253</v>
      </c>
      <c r="C434" t="s">
        <v>2254</v>
      </c>
      <c r="D434" t="s">
        <v>2249</v>
      </c>
      <c r="E434" t="s">
        <v>87</v>
      </c>
      <c r="F434" s="75">
        <v>96</v>
      </c>
      <c r="G434" s="75">
        <v>275495</v>
      </c>
      <c r="H434">
        <v>368.17</v>
      </c>
      <c r="I434" t="s">
        <v>55</v>
      </c>
      <c r="J434" s="75">
        <v>218791</v>
      </c>
      <c r="K434" t="s">
        <v>312</v>
      </c>
      <c r="L434" t="s">
        <v>313</v>
      </c>
      <c r="M434" s="81">
        <v>46063.507407407407</v>
      </c>
      <c r="N434" s="81">
        <v>46065.491539351853</v>
      </c>
      <c r="O434" t="s">
        <v>58</v>
      </c>
      <c r="P434" t="s">
        <v>59</v>
      </c>
      <c r="Q434" t="s">
        <v>90</v>
      </c>
      <c r="R434" t="s">
        <v>131</v>
      </c>
      <c r="S434" t="s">
        <v>1273</v>
      </c>
      <c r="U434" s="75">
        <v>190033</v>
      </c>
      <c r="V434" t="s">
        <v>2255</v>
      </c>
      <c r="W434" t="s">
        <v>2255</v>
      </c>
      <c r="X434" t="s">
        <v>62</v>
      </c>
      <c r="Y434" t="s">
        <v>63</v>
      </c>
      <c r="AA434" t="s">
        <v>81</v>
      </c>
      <c r="AB434">
        <v>47.583333000000003</v>
      </c>
      <c r="AC434">
        <v>43.5</v>
      </c>
      <c r="AD434">
        <v>4.0833329999999997</v>
      </c>
      <c r="AE434">
        <v>1.55</v>
      </c>
      <c r="AF434">
        <v>0</v>
      </c>
      <c r="AG434">
        <v>2.5333329999999998</v>
      </c>
      <c r="AH434">
        <v>2.5333329999999998</v>
      </c>
      <c r="AI434">
        <v>2.1</v>
      </c>
      <c r="AJ434">
        <v>0.43333300000000002</v>
      </c>
      <c r="AK434">
        <v>0</v>
      </c>
      <c r="AL434" s="76">
        <v>44954.518703703703</v>
      </c>
      <c r="AM434" s="75">
        <v>1108</v>
      </c>
      <c r="AN434" t="s">
        <v>65</v>
      </c>
      <c r="AO434" t="s">
        <v>2256</v>
      </c>
      <c r="AP434" t="s">
        <v>67</v>
      </c>
      <c r="AQ434" t="s">
        <v>68</v>
      </c>
      <c r="AR434" t="s">
        <v>69</v>
      </c>
      <c r="AS434" s="78"/>
      <c r="AT434" s="82" t="s">
        <v>2037</v>
      </c>
      <c r="AU434" s="78">
        <v>2026</v>
      </c>
      <c r="AV434" s="78">
        <v>2</v>
      </c>
      <c r="AW434" s="78" t="s">
        <v>71</v>
      </c>
      <c r="AX434" s="78">
        <v>1</v>
      </c>
      <c r="AY434" s="78">
        <v>0</v>
      </c>
      <c r="BT434" s="2" t="s">
        <v>71</v>
      </c>
      <c r="BU434" s="2">
        <v>1</v>
      </c>
      <c r="BV434" s="2">
        <v>0</v>
      </c>
    </row>
    <row r="435" spans="1:74" ht="15" customHeight="1" x14ac:dyDescent="0.25">
      <c r="A435" s="75">
        <v>5820751</v>
      </c>
      <c r="B435" t="s">
        <v>2257</v>
      </c>
      <c r="C435" t="s">
        <v>2258</v>
      </c>
      <c r="D435" t="s">
        <v>2249</v>
      </c>
      <c r="E435" t="s">
        <v>87</v>
      </c>
      <c r="F435" s="75">
        <v>316</v>
      </c>
      <c r="G435" s="75">
        <v>286579</v>
      </c>
      <c r="H435">
        <v>364.96</v>
      </c>
      <c r="I435" t="s">
        <v>55</v>
      </c>
      <c r="J435" s="75">
        <v>218787</v>
      </c>
      <c r="K435" t="s">
        <v>96</v>
      </c>
      <c r="L435" t="s">
        <v>97</v>
      </c>
      <c r="M435" s="81">
        <v>46062.771886574083</v>
      </c>
      <c r="N435" s="81">
        <v>46065.515555555547</v>
      </c>
      <c r="O435" t="s">
        <v>58</v>
      </c>
      <c r="P435" t="s">
        <v>59</v>
      </c>
      <c r="Q435" t="s">
        <v>90</v>
      </c>
      <c r="R435" t="s">
        <v>60</v>
      </c>
      <c r="S435" t="s">
        <v>583</v>
      </c>
      <c r="U435" s="75">
        <v>189381</v>
      </c>
      <c r="V435" t="s">
        <v>2259</v>
      </c>
      <c r="W435" t="s">
        <v>2259</v>
      </c>
      <c r="X435" t="s">
        <v>62</v>
      </c>
      <c r="Y435" t="s">
        <v>63</v>
      </c>
      <c r="AA435" t="s">
        <v>101</v>
      </c>
      <c r="AB435">
        <v>65.800000999999995</v>
      </c>
      <c r="AC435">
        <v>57.3</v>
      </c>
      <c r="AD435">
        <v>8.5000009999999993</v>
      </c>
      <c r="AE435">
        <v>0.466667</v>
      </c>
      <c r="AF435">
        <v>0</v>
      </c>
      <c r="AG435">
        <v>8.033334</v>
      </c>
      <c r="AH435">
        <v>8.033334</v>
      </c>
      <c r="AI435">
        <v>7.4333340000000003</v>
      </c>
      <c r="AJ435">
        <v>0.6</v>
      </c>
      <c r="AK435">
        <v>0</v>
      </c>
      <c r="AL435" s="76">
        <v>44911</v>
      </c>
      <c r="AM435" s="75">
        <v>1151</v>
      </c>
      <c r="AN435" t="s">
        <v>65</v>
      </c>
      <c r="AO435" t="s">
        <v>2260</v>
      </c>
      <c r="AP435" t="s">
        <v>67</v>
      </c>
      <c r="AQ435" t="s">
        <v>68</v>
      </c>
      <c r="AR435" t="s">
        <v>69</v>
      </c>
      <c r="AS435" s="79"/>
      <c r="AT435" s="82" t="s">
        <v>2037</v>
      </c>
      <c r="AU435" s="78">
        <v>2026</v>
      </c>
      <c r="AV435" s="78">
        <v>2</v>
      </c>
      <c r="AW435" s="78" t="s">
        <v>71</v>
      </c>
      <c r="AX435" s="78">
        <v>0</v>
      </c>
      <c r="AY435" s="78">
        <v>0</v>
      </c>
      <c r="BT435" s="3" t="s">
        <v>71</v>
      </c>
      <c r="BU435" s="3">
        <v>0</v>
      </c>
      <c r="BV435" s="3">
        <v>0</v>
      </c>
    </row>
    <row r="436" spans="1:74" ht="15" customHeight="1" x14ac:dyDescent="0.25">
      <c r="A436" s="75">
        <v>5823547</v>
      </c>
      <c r="B436" t="s">
        <v>2261</v>
      </c>
      <c r="C436" t="s">
        <v>1766</v>
      </c>
      <c r="D436" t="s">
        <v>527</v>
      </c>
      <c r="E436" t="s">
        <v>87</v>
      </c>
      <c r="F436" s="75">
        <v>3</v>
      </c>
      <c r="G436" s="75">
        <v>279833</v>
      </c>
      <c r="H436">
        <v>114956.21</v>
      </c>
      <c r="I436" t="s">
        <v>242</v>
      </c>
      <c r="J436" s="75">
        <v>49495</v>
      </c>
      <c r="K436" t="s">
        <v>460</v>
      </c>
      <c r="L436" t="s">
        <v>461</v>
      </c>
      <c r="M436" s="81">
        <v>46064.40353009259</v>
      </c>
      <c r="N436" s="81">
        <v>46065.532731481479</v>
      </c>
      <c r="O436" t="s">
        <v>58</v>
      </c>
      <c r="P436" t="s">
        <v>59</v>
      </c>
      <c r="Q436" t="s">
        <v>90</v>
      </c>
      <c r="R436" t="s">
        <v>60</v>
      </c>
      <c r="S436" t="s">
        <v>583</v>
      </c>
      <c r="U436" s="75">
        <v>191259</v>
      </c>
      <c r="V436" t="s">
        <v>2262</v>
      </c>
      <c r="W436" t="s">
        <v>2263</v>
      </c>
      <c r="X436" t="s">
        <v>62</v>
      </c>
      <c r="Y436" t="s">
        <v>63</v>
      </c>
      <c r="AA436" t="s">
        <v>64</v>
      </c>
      <c r="AB436">
        <v>27.000001999999999</v>
      </c>
      <c r="AC436">
        <v>20.283334</v>
      </c>
      <c r="AD436">
        <v>6.7166680000000003</v>
      </c>
      <c r="AE436">
        <v>0.16666700000000001</v>
      </c>
      <c r="AF436">
        <v>0</v>
      </c>
      <c r="AG436">
        <v>6.550001</v>
      </c>
      <c r="AH436">
        <v>6.550001</v>
      </c>
      <c r="AI436">
        <v>6.05</v>
      </c>
      <c r="AJ436">
        <v>0.50000100000000003</v>
      </c>
      <c r="AK436">
        <v>0</v>
      </c>
      <c r="AL436" s="76">
        <v>44614</v>
      </c>
      <c r="AM436" s="75">
        <v>1450</v>
      </c>
      <c r="AN436" t="s">
        <v>65</v>
      </c>
      <c r="AO436" t="s">
        <v>1769</v>
      </c>
      <c r="AP436" t="s">
        <v>67</v>
      </c>
      <c r="AQ436" t="s">
        <v>68</v>
      </c>
      <c r="AR436" t="s">
        <v>69</v>
      </c>
      <c r="AS436" s="78"/>
      <c r="AT436" s="82" t="s">
        <v>2037</v>
      </c>
      <c r="AU436" s="78">
        <v>2026</v>
      </c>
      <c r="AV436" s="78">
        <v>2</v>
      </c>
      <c r="AW436" s="78" t="s">
        <v>71</v>
      </c>
      <c r="AX436" s="78">
        <v>1</v>
      </c>
      <c r="AY436" s="78">
        <v>0</v>
      </c>
      <c r="BT436" s="2" t="s">
        <v>71</v>
      </c>
      <c r="BU436" s="2">
        <v>1</v>
      </c>
      <c r="BV436" s="2">
        <v>0</v>
      </c>
    </row>
    <row r="437" spans="1:74" ht="15" customHeight="1" x14ac:dyDescent="0.25">
      <c r="A437" s="75">
        <v>5819809</v>
      </c>
      <c r="B437" t="s">
        <v>2264</v>
      </c>
      <c r="C437" t="s">
        <v>2265</v>
      </c>
      <c r="D437" t="s">
        <v>527</v>
      </c>
      <c r="E437" t="s">
        <v>54</v>
      </c>
      <c r="F437" s="75">
        <v>1</v>
      </c>
      <c r="G437" s="75">
        <v>349053</v>
      </c>
      <c r="H437">
        <v>649.9</v>
      </c>
      <c r="I437" t="s">
        <v>203</v>
      </c>
      <c r="J437" s="75">
        <v>229385</v>
      </c>
      <c r="K437" t="s">
        <v>2266</v>
      </c>
      <c r="L437" t="s">
        <v>2267</v>
      </c>
      <c r="M437" s="81">
        <v>46062.50309027778</v>
      </c>
      <c r="N437" s="81">
        <v>46065.560266203713</v>
      </c>
      <c r="O437" t="s">
        <v>58</v>
      </c>
      <c r="P437" t="s">
        <v>59</v>
      </c>
      <c r="Q437" t="s">
        <v>130</v>
      </c>
      <c r="R437" t="s">
        <v>144</v>
      </c>
      <c r="S437" t="s">
        <v>2121</v>
      </c>
      <c r="U437" s="75">
        <v>191625</v>
      </c>
      <c r="V437" t="s">
        <v>2268</v>
      </c>
      <c r="W437" t="s">
        <v>2268</v>
      </c>
      <c r="X437" t="s">
        <v>79</v>
      </c>
      <c r="Y437" t="s">
        <v>224</v>
      </c>
      <c r="AA437" t="s">
        <v>81</v>
      </c>
      <c r="AB437">
        <v>73.3</v>
      </c>
      <c r="AC437">
        <v>69.833332999999996</v>
      </c>
      <c r="AD437">
        <v>3.4666670000000002</v>
      </c>
      <c r="AE437">
        <v>0.55000000000000004</v>
      </c>
      <c r="AF437">
        <v>0</v>
      </c>
      <c r="AG437">
        <v>2.9166669999999999</v>
      </c>
      <c r="AH437">
        <v>2.9166669999999999</v>
      </c>
      <c r="AI437">
        <v>2.8</v>
      </c>
      <c r="AJ437">
        <v>0.11666700000000001</v>
      </c>
      <c r="AK437">
        <v>0</v>
      </c>
      <c r="AL437" s="76">
        <v>45980</v>
      </c>
      <c r="AM437" s="75">
        <v>82</v>
      </c>
      <c r="AN437" t="s">
        <v>65</v>
      </c>
      <c r="AO437" t="s">
        <v>2269</v>
      </c>
      <c r="AP437" t="s">
        <v>67</v>
      </c>
      <c r="AQ437" t="s">
        <v>83</v>
      </c>
      <c r="AR437" t="s">
        <v>69</v>
      </c>
      <c r="AS437" s="79"/>
      <c r="AT437" s="82" t="s">
        <v>2037</v>
      </c>
      <c r="AU437" s="78">
        <v>2026</v>
      </c>
      <c r="AV437" s="78">
        <v>2</v>
      </c>
      <c r="AW437" s="78" t="s">
        <v>226</v>
      </c>
      <c r="AX437" s="78">
        <v>1</v>
      </c>
      <c r="AY437" s="78">
        <v>0</v>
      </c>
      <c r="BT437" s="3" t="s">
        <v>226</v>
      </c>
      <c r="BU437" s="3">
        <v>1</v>
      </c>
      <c r="BV437" s="3">
        <v>0</v>
      </c>
    </row>
    <row r="438" spans="1:74" ht="15" customHeight="1" x14ac:dyDescent="0.25">
      <c r="A438" s="75">
        <v>5819533</v>
      </c>
      <c r="B438" t="s">
        <v>2270</v>
      </c>
      <c r="C438" t="s">
        <v>2271</v>
      </c>
      <c r="D438" t="s">
        <v>527</v>
      </c>
      <c r="E438" t="s">
        <v>54</v>
      </c>
      <c r="F438" s="75">
        <v>1</v>
      </c>
      <c r="G438" s="75">
        <v>256043</v>
      </c>
      <c r="H438">
        <v>799.9</v>
      </c>
      <c r="I438" t="s">
        <v>114</v>
      </c>
      <c r="J438" s="75">
        <v>204839</v>
      </c>
      <c r="K438" t="s">
        <v>2272</v>
      </c>
      <c r="L438" t="s">
        <v>2273</v>
      </c>
      <c r="M438" s="81">
        <v>46062.424490740741</v>
      </c>
      <c r="N438" s="81">
        <v>46065.562442129631</v>
      </c>
      <c r="O438" t="s">
        <v>58</v>
      </c>
      <c r="P438" t="s">
        <v>59</v>
      </c>
      <c r="Q438" t="s">
        <v>130</v>
      </c>
      <c r="R438" t="s">
        <v>156</v>
      </c>
      <c r="S438" t="s">
        <v>2227</v>
      </c>
      <c r="U438" s="75">
        <v>189411</v>
      </c>
      <c r="V438" t="s">
        <v>2274</v>
      </c>
      <c r="W438" t="s">
        <v>2275</v>
      </c>
      <c r="X438" t="s">
        <v>118</v>
      </c>
      <c r="Y438" t="s">
        <v>1606</v>
      </c>
      <c r="AA438" t="s">
        <v>101</v>
      </c>
      <c r="AB438">
        <v>75.166668000000001</v>
      </c>
      <c r="AC438">
        <v>63.433332999999998</v>
      </c>
      <c r="AD438">
        <v>11.733335</v>
      </c>
      <c r="AE438">
        <v>1.4166669999999999</v>
      </c>
      <c r="AF438">
        <v>0</v>
      </c>
      <c r="AG438">
        <v>10.316668</v>
      </c>
      <c r="AH438">
        <v>10.316668</v>
      </c>
      <c r="AI438">
        <v>8.016667</v>
      </c>
      <c r="AJ438">
        <v>2.300001</v>
      </c>
      <c r="AK438">
        <v>0</v>
      </c>
      <c r="AL438" s="76">
        <v>44917</v>
      </c>
      <c r="AM438" s="75">
        <v>1145</v>
      </c>
      <c r="AN438" t="s">
        <v>65</v>
      </c>
      <c r="AO438" t="s">
        <v>2276</v>
      </c>
      <c r="AP438" t="s">
        <v>67</v>
      </c>
      <c r="AQ438" t="s">
        <v>121</v>
      </c>
      <c r="AR438" t="s">
        <v>69</v>
      </c>
      <c r="AS438" s="78"/>
      <c r="AT438" s="82" t="s">
        <v>2037</v>
      </c>
      <c r="AU438" s="78">
        <v>2026</v>
      </c>
      <c r="AV438" s="78">
        <v>2</v>
      </c>
      <c r="AW438" s="78" t="s">
        <v>347</v>
      </c>
      <c r="AX438" s="78">
        <v>0</v>
      </c>
      <c r="AY438" s="78">
        <v>0</v>
      </c>
      <c r="BT438" s="2" t="s">
        <v>347</v>
      </c>
      <c r="BU438" s="2">
        <v>0</v>
      </c>
      <c r="BV438" s="2">
        <v>0</v>
      </c>
    </row>
    <row r="439" spans="1:74" ht="15" customHeight="1" x14ac:dyDescent="0.25">
      <c r="A439" s="75">
        <v>5822367</v>
      </c>
      <c r="B439" t="s">
        <v>2277</v>
      </c>
      <c r="C439" t="s">
        <v>2278</v>
      </c>
      <c r="D439" t="s">
        <v>527</v>
      </c>
      <c r="E439" t="s">
        <v>87</v>
      </c>
      <c r="F439" s="75">
        <v>43</v>
      </c>
      <c r="G439" s="75">
        <v>275273</v>
      </c>
      <c r="H439">
        <v>569.71</v>
      </c>
      <c r="I439" t="s">
        <v>55</v>
      </c>
      <c r="J439" s="75">
        <v>216233</v>
      </c>
      <c r="K439" t="s">
        <v>88</v>
      </c>
      <c r="L439" t="s">
        <v>89</v>
      </c>
      <c r="M439" s="81">
        <v>46063.67863425926</v>
      </c>
      <c r="N439" s="81">
        <v>46065.56517361111</v>
      </c>
      <c r="O439" t="s">
        <v>58</v>
      </c>
      <c r="P439" t="s">
        <v>59</v>
      </c>
      <c r="Q439" t="s">
        <v>130</v>
      </c>
      <c r="R439" t="s">
        <v>131</v>
      </c>
      <c r="S439" t="s">
        <v>1273</v>
      </c>
      <c r="U439" s="75">
        <v>190295</v>
      </c>
      <c r="V439" t="s">
        <v>2279</v>
      </c>
      <c r="W439" t="s">
        <v>2280</v>
      </c>
      <c r="X439" t="s">
        <v>62</v>
      </c>
      <c r="Y439" t="s">
        <v>63</v>
      </c>
      <c r="AA439" t="s">
        <v>81</v>
      </c>
      <c r="AB439">
        <v>45.233331999999997</v>
      </c>
      <c r="AC439">
        <v>44.166665999999999</v>
      </c>
      <c r="AD439">
        <v>1.0666659999999999</v>
      </c>
      <c r="AE439">
        <v>8.3333000000000004E-2</v>
      </c>
      <c r="AF439">
        <v>0</v>
      </c>
      <c r="AG439">
        <v>0.98333300000000001</v>
      </c>
      <c r="AH439">
        <v>0.98333300000000001</v>
      </c>
      <c r="AI439">
        <v>0.61666699999999997</v>
      </c>
      <c r="AJ439">
        <v>0.36666599999999999</v>
      </c>
      <c r="AK439">
        <v>0</v>
      </c>
      <c r="AL439" s="76">
        <v>44863</v>
      </c>
      <c r="AM439" s="75">
        <v>1200</v>
      </c>
      <c r="AN439" t="s">
        <v>65</v>
      </c>
      <c r="AO439" t="s">
        <v>2281</v>
      </c>
      <c r="AP439" t="s">
        <v>67</v>
      </c>
      <c r="AQ439" t="s">
        <v>68</v>
      </c>
      <c r="AR439" t="s">
        <v>69</v>
      </c>
      <c r="AS439" s="79"/>
      <c r="AT439" s="82" t="s">
        <v>2037</v>
      </c>
      <c r="AU439" s="78">
        <v>2026</v>
      </c>
      <c r="AV439" s="78">
        <v>2</v>
      </c>
      <c r="AW439" s="78" t="s">
        <v>71</v>
      </c>
      <c r="AX439" s="78">
        <v>1</v>
      </c>
      <c r="AY439" s="78">
        <v>0</v>
      </c>
      <c r="BT439" s="3" t="s">
        <v>71</v>
      </c>
      <c r="BU439" s="3">
        <v>1</v>
      </c>
      <c r="BV439" s="3">
        <v>0</v>
      </c>
    </row>
    <row r="440" spans="1:74" ht="15" customHeight="1" x14ac:dyDescent="0.25">
      <c r="A440" s="75">
        <v>5824419</v>
      </c>
      <c r="B440" t="s">
        <v>2282</v>
      </c>
      <c r="C440" t="s">
        <v>2283</v>
      </c>
      <c r="D440" t="s">
        <v>527</v>
      </c>
      <c r="E440" t="s">
        <v>105</v>
      </c>
      <c r="F440" s="75">
        <v>41</v>
      </c>
      <c r="G440" s="75">
        <v>187703</v>
      </c>
      <c r="H440">
        <v>573</v>
      </c>
      <c r="I440" t="s">
        <v>114</v>
      </c>
      <c r="J440" s="75">
        <v>202053</v>
      </c>
      <c r="K440" t="s">
        <v>1394</v>
      </c>
      <c r="L440" t="s">
        <v>1395</v>
      </c>
      <c r="M440" s="81">
        <v>46064.628946759258</v>
      </c>
      <c r="N440" s="81">
        <v>46065.590613425928</v>
      </c>
      <c r="O440" t="s">
        <v>58</v>
      </c>
      <c r="P440" t="s">
        <v>59</v>
      </c>
      <c r="Q440" t="s">
        <v>130</v>
      </c>
      <c r="R440" t="s">
        <v>131</v>
      </c>
      <c r="S440" t="s">
        <v>1316</v>
      </c>
      <c r="U440" s="75">
        <v>191079</v>
      </c>
      <c r="V440" t="s">
        <v>2284</v>
      </c>
      <c r="X440" t="s">
        <v>79</v>
      </c>
      <c r="Y440" t="s">
        <v>224</v>
      </c>
      <c r="AA440" t="s">
        <v>81</v>
      </c>
      <c r="AB440">
        <v>23.033334</v>
      </c>
      <c r="AC440">
        <v>20.516667000000002</v>
      </c>
      <c r="AD440">
        <v>2.516667</v>
      </c>
      <c r="AE440">
        <v>6.6667000000000004E-2</v>
      </c>
      <c r="AF440">
        <v>0</v>
      </c>
      <c r="AG440">
        <v>2.4500000000000002</v>
      </c>
      <c r="AH440">
        <v>2.4500000000000002</v>
      </c>
      <c r="AI440">
        <v>1.7</v>
      </c>
      <c r="AJ440">
        <v>0.75</v>
      </c>
      <c r="AK440">
        <v>0</v>
      </c>
      <c r="AL440" s="76">
        <v>43969.650578703702</v>
      </c>
      <c r="AM440" s="75">
        <v>2094</v>
      </c>
      <c r="AN440" t="s">
        <v>65</v>
      </c>
      <c r="AO440" t="s">
        <v>2285</v>
      </c>
      <c r="AP440" t="s">
        <v>67</v>
      </c>
      <c r="AQ440" t="s">
        <v>83</v>
      </c>
      <c r="AR440" t="s">
        <v>69</v>
      </c>
      <c r="AS440" s="78"/>
      <c r="AT440" s="82" t="s">
        <v>2037</v>
      </c>
      <c r="AU440" s="78">
        <v>2026</v>
      </c>
      <c r="AV440" s="78">
        <v>2</v>
      </c>
      <c r="AW440" s="78" t="s">
        <v>226</v>
      </c>
      <c r="AX440" s="78">
        <v>1</v>
      </c>
      <c r="AY440" s="78">
        <v>0</v>
      </c>
      <c r="BT440" s="2" t="s">
        <v>226</v>
      </c>
      <c r="BU440" s="2">
        <v>1</v>
      </c>
      <c r="BV440" s="2">
        <v>0</v>
      </c>
    </row>
    <row r="441" spans="1:74" ht="15" customHeight="1" x14ac:dyDescent="0.25">
      <c r="A441" s="75">
        <v>5821021</v>
      </c>
      <c r="B441" t="s">
        <v>2286</v>
      </c>
      <c r="C441" t="s">
        <v>2287</v>
      </c>
      <c r="D441" t="s">
        <v>2249</v>
      </c>
      <c r="E441" t="s">
        <v>54</v>
      </c>
      <c r="F441" s="75">
        <v>1</v>
      </c>
      <c r="G441" s="75">
        <v>303297</v>
      </c>
      <c r="H441">
        <v>949.9</v>
      </c>
      <c r="I441" t="s">
        <v>114</v>
      </c>
      <c r="J441" s="75">
        <v>219911</v>
      </c>
      <c r="K441" t="s">
        <v>2288</v>
      </c>
      <c r="L441" t="s">
        <v>2289</v>
      </c>
      <c r="M441" s="81">
        <v>46063.322638888887</v>
      </c>
      <c r="N441" s="81">
        <v>46065.599421296298</v>
      </c>
      <c r="O441" t="s">
        <v>58</v>
      </c>
      <c r="P441" t="s">
        <v>59</v>
      </c>
      <c r="Q441" t="s">
        <v>130</v>
      </c>
      <c r="R441" t="s">
        <v>60</v>
      </c>
      <c r="S441" t="s">
        <v>583</v>
      </c>
      <c r="U441" s="75">
        <v>189679</v>
      </c>
      <c r="V441" t="s">
        <v>2290</v>
      </c>
      <c r="W441" t="s">
        <v>2290</v>
      </c>
      <c r="X441" t="s">
        <v>62</v>
      </c>
      <c r="Y441" t="s">
        <v>63</v>
      </c>
      <c r="AA441" t="s">
        <v>64</v>
      </c>
      <c r="AB441">
        <v>54.6</v>
      </c>
      <c r="AC441">
        <v>46.516666999999998</v>
      </c>
      <c r="AD441">
        <v>8.0833329999999997</v>
      </c>
      <c r="AE441">
        <v>0.25</v>
      </c>
      <c r="AF441">
        <v>0</v>
      </c>
      <c r="AG441">
        <v>7.8333329999999997</v>
      </c>
      <c r="AH441">
        <v>7.8333329999999997</v>
      </c>
      <c r="AI441">
        <v>6.5</v>
      </c>
      <c r="AJ441">
        <v>1.3333330000000001</v>
      </c>
      <c r="AK441">
        <v>0</v>
      </c>
      <c r="AL441" s="76">
        <v>45450</v>
      </c>
      <c r="AM441" s="75">
        <v>613</v>
      </c>
      <c r="AN441" t="s">
        <v>65</v>
      </c>
      <c r="AO441" t="s">
        <v>2291</v>
      </c>
      <c r="AP441" t="s">
        <v>67</v>
      </c>
      <c r="AQ441" t="s">
        <v>68</v>
      </c>
      <c r="AR441" t="s">
        <v>69</v>
      </c>
      <c r="AS441" s="79"/>
      <c r="AT441" s="82" t="s">
        <v>2037</v>
      </c>
      <c r="AU441" s="78">
        <v>2026</v>
      </c>
      <c r="AV441" s="78">
        <v>2</v>
      </c>
      <c r="AW441" s="78" t="s">
        <v>71</v>
      </c>
      <c r="AX441" s="78">
        <v>1</v>
      </c>
      <c r="AY441" s="78">
        <v>0</v>
      </c>
      <c r="BT441" s="3" t="s">
        <v>71</v>
      </c>
      <c r="BU441" s="3">
        <v>1</v>
      </c>
      <c r="BV441" s="3">
        <v>0</v>
      </c>
    </row>
    <row r="442" spans="1:74" ht="15" customHeight="1" x14ac:dyDescent="0.25">
      <c r="A442" s="75">
        <v>5824727</v>
      </c>
      <c r="B442" t="s">
        <v>2292</v>
      </c>
      <c r="C442" t="s">
        <v>2074</v>
      </c>
      <c r="D442" t="s">
        <v>809</v>
      </c>
      <c r="E442" t="s">
        <v>54</v>
      </c>
      <c r="F442" s="75">
        <v>2</v>
      </c>
      <c r="G442" s="75">
        <v>293845</v>
      </c>
      <c r="H442">
        <v>681.4</v>
      </c>
      <c r="I442" t="s">
        <v>55</v>
      </c>
      <c r="J442" s="75">
        <v>218097</v>
      </c>
      <c r="K442" t="s">
        <v>2075</v>
      </c>
      <c r="L442" t="s">
        <v>2076</v>
      </c>
      <c r="M442" s="81">
        <v>46064.701932870368</v>
      </c>
      <c r="N442" s="81">
        <v>46065.700856481482</v>
      </c>
      <c r="P442" t="s">
        <v>59</v>
      </c>
      <c r="Q442" t="s">
        <v>90</v>
      </c>
      <c r="R442" t="s">
        <v>60</v>
      </c>
      <c r="S442" t="s">
        <v>583</v>
      </c>
      <c r="U442" s="75">
        <v>191267</v>
      </c>
      <c r="V442" t="s">
        <v>2293</v>
      </c>
      <c r="X442" t="s">
        <v>62</v>
      </c>
      <c r="Y442" t="s">
        <v>63</v>
      </c>
      <c r="AA442" t="s">
        <v>64</v>
      </c>
      <c r="AB442">
        <v>23.883333</v>
      </c>
      <c r="AC442">
        <v>16.850000000000001</v>
      </c>
      <c r="AD442">
        <v>7.0333329999999998</v>
      </c>
      <c r="AE442">
        <v>0.48333300000000001</v>
      </c>
      <c r="AF442">
        <v>0</v>
      </c>
      <c r="AG442">
        <v>6.55</v>
      </c>
      <c r="AH442">
        <v>6.55</v>
      </c>
      <c r="AI442">
        <v>5.75</v>
      </c>
      <c r="AJ442">
        <v>0.8</v>
      </c>
      <c r="AK442">
        <v>0</v>
      </c>
      <c r="AL442" s="76">
        <v>45183.661828703713</v>
      </c>
      <c r="AM442" s="75">
        <v>881</v>
      </c>
      <c r="AN442" t="s">
        <v>65</v>
      </c>
      <c r="AO442" t="s">
        <v>2079</v>
      </c>
      <c r="AP442" t="s">
        <v>67</v>
      </c>
      <c r="AQ442" t="s">
        <v>68</v>
      </c>
      <c r="AR442" t="s">
        <v>69</v>
      </c>
      <c r="AS442" s="78"/>
      <c r="AT442" s="82" t="s">
        <v>2037</v>
      </c>
      <c r="AU442" s="78">
        <v>2026</v>
      </c>
      <c r="AV442" s="78">
        <v>2</v>
      </c>
      <c r="AW442" s="78" t="s">
        <v>71</v>
      </c>
      <c r="AX442" s="78">
        <v>1</v>
      </c>
      <c r="AY442" s="78">
        <v>0</v>
      </c>
      <c r="BT442" s="2" t="s">
        <v>71</v>
      </c>
      <c r="BU442" s="2">
        <v>1</v>
      </c>
      <c r="BV442" s="2">
        <v>0</v>
      </c>
    </row>
    <row r="443" spans="1:74" ht="15" customHeight="1" x14ac:dyDescent="0.25">
      <c r="A443" s="75">
        <v>5826025</v>
      </c>
      <c r="B443" t="s">
        <v>2294</v>
      </c>
      <c r="C443" t="s">
        <v>2295</v>
      </c>
      <c r="D443" t="s">
        <v>527</v>
      </c>
      <c r="E443" t="s">
        <v>87</v>
      </c>
      <c r="F443" s="75">
        <v>55</v>
      </c>
      <c r="G443" s="75">
        <v>280233</v>
      </c>
      <c r="H443">
        <v>1308.47</v>
      </c>
      <c r="I443" t="s">
        <v>266</v>
      </c>
      <c r="J443" s="75">
        <v>201809</v>
      </c>
      <c r="K443" t="s">
        <v>505</v>
      </c>
      <c r="L443" t="s">
        <v>506</v>
      </c>
      <c r="M443" s="81">
        <v>46065.604930555557</v>
      </c>
      <c r="N443" s="81">
        <v>46066.354178240741</v>
      </c>
      <c r="O443" t="s">
        <v>58</v>
      </c>
      <c r="P443" t="s">
        <v>59</v>
      </c>
      <c r="Q443" t="s">
        <v>90</v>
      </c>
      <c r="R443" t="s">
        <v>99</v>
      </c>
      <c r="S443" t="s">
        <v>1244</v>
      </c>
      <c r="U443" s="75">
        <v>192003</v>
      </c>
      <c r="V443" t="s">
        <v>2296</v>
      </c>
      <c r="X443" t="s">
        <v>62</v>
      </c>
      <c r="Y443" t="s">
        <v>2297</v>
      </c>
      <c r="AA443" t="s">
        <v>81</v>
      </c>
      <c r="AB443">
        <v>17.933333000000001</v>
      </c>
      <c r="AC443">
        <v>16.8</v>
      </c>
      <c r="AD443">
        <v>1.1333329999999999</v>
      </c>
      <c r="AE443">
        <v>0.5</v>
      </c>
      <c r="AF443">
        <v>0</v>
      </c>
      <c r="AG443">
        <v>0.63333300000000003</v>
      </c>
      <c r="AH443">
        <v>0.63333300000000003</v>
      </c>
      <c r="AI443">
        <v>0</v>
      </c>
      <c r="AJ443">
        <v>0.63333300000000003</v>
      </c>
      <c r="AK443">
        <v>0</v>
      </c>
      <c r="AL443" s="76">
        <v>44405</v>
      </c>
      <c r="AM443" s="75">
        <v>1660</v>
      </c>
      <c r="AN443" t="s">
        <v>65</v>
      </c>
      <c r="AO443" t="s">
        <v>2298</v>
      </c>
      <c r="AP443" t="s">
        <v>67</v>
      </c>
      <c r="AQ443" t="s">
        <v>68</v>
      </c>
      <c r="AR443" t="s">
        <v>69</v>
      </c>
      <c r="AS443" s="79"/>
      <c r="AT443" s="82" t="s">
        <v>2037</v>
      </c>
      <c r="AU443" s="78">
        <v>2026</v>
      </c>
      <c r="AV443" s="78">
        <v>2</v>
      </c>
      <c r="AW443" s="78" t="s">
        <v>137</v>
      </c>
      <c r="AX443" s="78">
        <v>1</v>
      </c>
      <c r="AY443" s="78">
        <v>0</v>
      </c>
      <c r="BT443" s="3" t="s">
        <v>137</v>
      </c>
      <c r="BU443" s="3">
        <v>1</v>
      </c>
      <c r="BV443" s="3">
        <v>0</v>
      </c>
    </row>
    <row r="444" spans="1:74" ht="15" customHeight="1" x14ac:dyDescent="0.25">
      <c r="A444" s="75">
        <v>5820799</v>
      </c>
      <c r="B444" t="s">
        <v>2299</v>
      </c>
      <c r="C444" t="s">
        <v>2300</v>
      </c>
      <c r="D444" t="s">
        <v>150</v>
      </c>
      <c r="E444" t="s">
        <v>87</v>
      </c>
      <c r="F444" s="75">
        <v>545</v>
      </c>
      <c r="G444" s="75">
        <v>298909</v>
      </c>
      <c r="H444">
        <v>0.01</v>
      </c>
      <c r="I444" t="s">
        <v>1405</v>
      </c>
      <c r="J444" s="75">
        <v>216233</v>
      </c>
      <c r="K444" t="s">
        <v>88</v>
      </c>
      <c r="L444" t="s">
        <v>89</v>
      </c>
      <c r="M444" s="81">
        <v>46062.79310185185</v>
      </c>
      <c r="N444" s="81">
        <v>46066.385868055557</v>
      </c>
      <c r="O444" t="s">
        <v>58</v>
      </c>
      <c r="P444" t="s">
        <v>59</v>
      </c>
      <c r="Q444" t="s">
        <v>130</v>
      </c>
      <c r="R444" t="s">
        <v>99</v>
      </c>
      <c r="S444" t="s">
        <v>1244</v>
      </c>
      <c r="U444" s="75">
        <v>192095</v>
      </c>
      <c r="V444" t="s">
        <v>2301</v>
      </c>
      <c r="W444" t="s">
        <v>2302</v>
      </c>
      <c r="X444" t="s">
        <v>62</v>
      </c>
      <c r="Y444" t="s">
        <v>63</v>
      </c>
      <c r="AA444" t="s">
        <v>101</v>
      </c>
      <c r="AB444">
        <v>86.15</v>
      </c>
      <c r="AC444">
        <v>76.350001000000006</v>
      </c>
      <c r="AD444">
        <v>9.7999989999999997</v>
      </c>
      <c r="AE444">
        <v>3.3333000000000002E-2</v>
      </c>
      <c r="AF444">
        <v>0</v>
      </c>
      <c r="AG444">
        <v>9.7666660000000007</v>
      </c>
      <c r="AH444">
        <v>9.7666660000000007</v>
      </c>
      <c r="AI444">
        <v>8.0666659999999997</v>
      </c>
      <c r="AJ444">
        <v>1.7</v>
      </c>
      <c r="AK444">
        <v>0</v>
      </c>
      <c r="AL444" s="76">
        <v>45742.36855324074</v>
      </c>
      <c r="AM444" s="75">
        <v>320</v>
      </c>
      <c r="AN444" t="s">
        <v>65</v>
      </c>
      <c r="AO444" t="s">
        <v>2303</v>
      </c>
      <c r="AP444" t="s">
        <v>67</v>
      </c>
      <c r="AQ444" t="s">
        <v>68</v>
      </c>
      <c r="AR444" t="s">
        <v>69</v>
      </c>
      <c r="AS444" s="78"/>
      <c r="AT444" s="82" t="s">
        <v>2037</v>
      </c>
      <c r="AU444" s="78">
        <v>2026</v>
      </c>
      <c r="AV444" s="78">
        <v>2</v>
      </c>
      <c r="AW444" s="78" t="s">
        <v>71</v>
      </c>
      <c r="AX444" s="78">
        <v>0</v>
      </c>
      <c r="AY444" s="78">
        <v>0</v>
      </c>
      <c r="BT444" s="2" t="s">
        <v>71</v>
      </c>
      <c r="BU444" s="2">
        <v>0</v>
      </c>
      <c r="BV444" s="2">
        <v>0</v>
      </c>
    </row>
    <row r="445" spans="1:74" ht="15" customHeight="1" x14ac:dyDescent="0.25">
      <c r="A445" s="75">
        <v>5825439</v>
      </c>
      <c r="B445" t="s">
        <v>2304</v>
      </c>
      <c r="C445" t="s">
        <v>2305</v>
      </c>
      <c r="D445" t="s">
        <v>527</v>
      </c>
      <c r="E445" t="s">
        <v>87</v>
      </c>
      <c r="F445" s="75">
        <v>19</v>
      </c>
      <c r="G445" s="75">
        <v>280161</v>
      </c>
      <c r="H445">
        <v>926.83</v>
      </c>
      <c r="I445" t="s">
        <v>266</v>
      </c>
      <c r="J445" s="75">
        <v>201809</v>
      </c>
      <c r="K445" t="s">
        <v>505</v>
      </c>
      <c r="L445" t="s">
        <v>506</v>
      </c>
      <c r="M445" s="81">
        <v>46065.396296296298</v>
      </c>
      <c r="N445" s="81">
        <v>46066.392453703702</v>
      </c>
      <c r="O445" t="s">
        <v>58</v>
      </c>
      <c r="P445" t="s">
        <v>59</v>
      </c>
      <c r="Q445" t="s">
        <v>90</v>
      </c>
      <c r="R445" t="s">
        <v>144</v>
      </c>
      <c r="S445" t="s">
        <v>2121</v>
      </c>
      <c r="T445" t="s">
        <v>507</v>
      </c>
      <c r="U445" s="75">
        <v>192123</v>
      </c>
      <c r="V445" t="s">
        <v>2306</v>
      </c>
      <c r="X445" t="s">
        <v>62</v>
      </c>
      <c r="Y445" t="s">
        <v>1186</v>
      </c>
      <c r="AA445" t="s">
        <v>64</v>
      </c>
      <c r="AB445">
        <v>23.816666000000001</v>
      </c>
      <c r="AC445">
        <v>17.133333</v>
      </c>
      <c r="AD445">
        <v>6.6833330000000002</v>
      </c>
      <c r="AE445">
        <v>1.7833330000000001</v>
      </c>
      <c r="AF445">
        <v>0</v>
      </c>
      <c r="AG445">
        <v>4.9000000000000004</v>
      </c>
      <c r="AH445">
        <v>4.9000000000000004</v>
      </c>
      <c r="AI445">
        <v>3.5</v>
      </c>
      <c r="AJ445">
        <v>1.4</v>
      </c>
      <c r="AK445">
        <v>0</v>
      </c>
      <c r="AL445" s="76">
        <v>44357</v>
      </c>
      <c r="AM445" s="75">
        <v>1708</v>
      </c>
      <c r="AN445" t="s">
        <v>65</v>
      </c>
      <c r="AO445" t="s">
        <v>2307</v>
      </c>
      <c r="AP445" t="s">
        <v>67</v>
      </c>
      <c r="AQ445" t="s">
        <v>68</v>
      </c>
      <c r="AR445" t="s">
        <v>69</v>
      </c>
      <c r="AS445" s="79"/>
      <c r="AT445" s="82" t="s">
        <v>2037</v>
      </c>
      <c r="AU445" s="78">
        <v>2026</v>
      </c>
      <c r="AV445" s="78">
        <v>2</v>
      </c>
      <c r="AW445" s="78" t="s">
        <v>137</v>
      </c>
      <c r="AX445" s="78">
        <v>1</v>
      </c>
      <c r="AY445" s="78">
        <v>0</v>
      </c>
      <c r="BT445" s="3" t="s">
        <v>137</v>
      </c>
      <c r="BU445" s="3">
        <v>1</v>
      </c>
      <c r="BV445" s="3">
        <v>0</v>
      </c>
    </row>
    <row r="446" spans="1:74" ht="15" customHeight="1" x14ac:dyDescent="0.25">
      <c r="A446" s="75">
        <v>5824553</v>
      </c>
      <c r="B446" t="s">
        <v>2308</v>
      </c>
      <c r="C446" t="s">
        <v>2309</v>
      </c>
      <c r="D446" t="s">
        <v>282</v>
      </c>
      <c r="E446" t="s">
        <v>87</v>
      </c>
      <c r="F446" s="75">
        <v>531</v>
      </c>
      <c r="G446" s="75">
        <v>347277</v>
      </c>
      <c r="H446">
        <v>382.47</v>
      </c>
      <c r="I446" t="s">
        <v>175</v>
      </c>
      <c r="J446" s="75">
        <v>218791</v>
      </c>
      <c r="K446" t="s">
        <v>312</v>
      </c>
      <c r="L446" t="s">
        <v>313</v>
      </c>
      <c r="M446" s="81">
        <v>46064.655810185177</v>
      </c>
      <c r="N446" s="81">
        <v>46066.445613425924</v>
      </c>
      <c r="O446" t="s">
        <v>58</v>
      </c>
      <c r="P446" t="s">
        <v>59</v>
      </c>
      <c r="Q446" t="s">
        <v>130</v>
      </c>
      <c r="R446" t="s">
        <v>131</v>
      </c>
      <c r="S446" t="s">
        <v>1316</v>
      </c>
      <c r="U446" s="75">
        <v>191263</v>
      </c>
      <c r="V446" t="s">
        <v>2310</v>
      </c>
      <c r="W446" t="s">
        <v>2311</v>
      </c>
      <c r="X446" t="s">
        <v>62</v>
      </c>
      <c r="Y446" t="s">
        <v>63</v>
      </c>
      <c r="AA446" t="s">
        <v>64</v>
      </c>
      <c r="AB446">
        <v>42.866667</v>
      </c>
      <c r="AC446">
        <v>36.733333000000002</v>
      </c>
      <c r="AD446">
        <v>6.1333339999999996</v>
      </c>
      <c r="AE446">
        <v>1.266667</v>
      </c>
      <c r="AF446">
        <v>0</v>
      </c>
      <c r="AG446">
        <v>4.8666669999999996</v>
      </c>
      <c r="AH446">
        <v>4.8666669999999996</v>
      </c>
      <c r="AI446">
        <v>3.75</v>
      </c>
      <c r="AJ446">
        <v>1.1166670000000001</v>
      </c>
      <c r="AK446">
        <v>0</v>
      </c>
      <c r="AL446" s="76">
        <v>45945.738692129627</v>
      </c>
      <c r="AM446" s="75">
        <v>118</v>
      </c>
      <c r="AN446" t="s">
        <v>65</v>
      </c>
      <c r="AO446" t="s">
        <v>1261</v>
      </c>
      <c r="AP446" t="s">
        <v>67</v>
      </c>
      <c r="AQ446" t="s">
        <v>68</v>
      </c>
      <c r="AR446" t="s">
        <v>69</v>
      </c>
      <c r="AS446" s="78"/>
      <c r="AT446" s="82" t="s">
        <v>2037</v>
      </c>
      <c r="AU446" s="78">
        <v>2026</v>
      </c>
      <c r="AV446" s="78">
        <v>2</v>
      </c>
      <c r="AW446" s="78" t="s">
        <v>71</v>
      </c>
      <c r="AX446" s="78">
        <v>1</v>
      </c>
      <c r="AY446" s="78">
        <v>0</v>
      </c>
      <c r="BT446" s="2" t="s">
        <v>71</v>
      </c>
      <c r="BU446" s="2">
        <v>1</v>
      </c>
      <c r="BV446" s="2">
        <v>0</v>
      </c>
    </row>
    <row r="447" spans="1:74" ht="15" customHeight="1" x14ac:dyDescent="0.25">
      <c r="A447" s="75">
        <v>5817873</v>
      </c>
      <c r="B447" t="s">
        <v>2312</v>
      </c>
      <c r="C447" t="s">
        <v>2313</v>
      </c>
      <c r="D447" t="s">
        <v>1555</v>
      </c>
      <c r="E447" t="s">
        <v>105</v>
      </c>
      <c r="F447" s="75">
        <v>4</v>
      </c>
      <c r="G447" s="75">
        <v>50717</v>
      </c>
      <c r="H447">
        <v>3030.81</v>
      </c>
      <c r="I447" t="s">
        <v>55</v>
      </c>
      <c r="J447" s="75">
        <v>104849</v>
      </c>
      <c r="K447" t="s">
        <v>2314</v>
      </c>
      <c r="L447" t="s">
        <v>2315</v>
      </c>
      <c r="M447" s="81">
        <v>46060.750462962962</v>
      </c>
      <c r="N447" s="81">
        <v>46066.476122685177</v>
      </c>
      <c r="O447" t="s">
        <v>58</v>
      </c>
      <c r="P447" t="s">
        <v>59</v>
      </c>
      <c r="Q447" t="s">
        <v>90</v>
      </c>
      <c r="R447" t="s">
        <v>60</v>
      </c>
      <c r="S447" t="s">
        <v>583</v>
      </c>
      <c r="U447" s="75">
        <v>190621</v>
      </c>
      <c r="V447" t="s">
        <v>2316</v>
      </c>
      <c r="X447" t="s">
        <v>118</v>
      </c>
      <c r="Y447" t="s">
        <v>119</v>
      </c>
      <c r="AA447" t="s">
        <v>416</v>
      </c>
      <c r="AB447">
        <v>137.283334</v>
      </c>
      <c r="AC447">
        <v>113.016666</v>
      </c>
      <c r="AD447">
        <v>24.266667999999999</v>
      </c>
      <c r="AE447">
        <v>5.5666669999999998</v>
      </c>
      <c r="AF447">
        <v>0</v>
      </c>
      <c r="AG447">
        <v>18.700001</v>
      </c>
      <c r="AH447">
        <v>18.700001</v>
      </c>
      <c r="AI447">
        <v>17.416667</v>
      </c>
      <c r="AJ447">
        <v>1.283334</v>
      </c>
      <c r="AK447">
        <v>0</v>
      </c>
      <c r="AL447" s="76">
        <v>42523</v>
      </c>
      <c r="AM447" s="75">
        <v>3537</v>
      </c>
      <c r="AN447" t="s">
        <v>65</v>
      </c>
      <c r="AO447" t="s">
        <v>2317</v>
      </c>
      <c r="AP447" t="s">
        <v>67</v>
      </c>
      <c r="AQ447" t="s">
        <v>121</v>
      </c>
      <c r="AR447" t="s">
        <v>69</v>
      </c>
      <c r="AS447" s="79"/>
      <c r="AT447" s="82" t="s">
        <v>2037</v>
      </c>
      <c r="AU447" s="78">
        <v>2026</v>
      </c>
      <c r="AV447" s="78">
        <v>2</v>
      </c>
      <c r="AW447" s="78" t="s">
        <v>122</v>
      </c>
      <c r="AX447" s="78">
        <v>0</v>
      </c>
      <c r="AY447" s="78">
        <v>0</v>
      </c>
      <c r="BT447" s="3" t="s">
        <v>122</v>
      </c>
      <c r="BU447" s="3">
        <v>0</v>
      </c>
      <c r="BV447" s="3">
        <v>0</v>
      </c>
    </row>
    <row r="448" spans="1:74" ht="15" customHeight="1" x14ac:dyDescent="0.25">
      <c r="A448" s="75">
        <v>5824207</v>
      </c>
      <c r="B448" t="s">
        <v>2318</v>
      </c>
      <c r="C448" t="s">
        <v>1079</v>
      </c>
      <c r="D448" t="s">
        <v>2249</v>
      </c>
      <c r="E448" t="s">
        <v>87</v>
      </c>
      <c r="F448" s="75">
        <v>187</v>
      </c>
      <c r="G448" s="75">
        <v>285899</v>
      </c>
      <c r="H448">
        <v>398.82</v>
      </c>
      <c r="I448" t="s">
        <v>55</v>
      </c>
      <c r="J448" s="75">
        <v>216233</v>
      </c>
      <c r="K448" t="s">
        <v>88</v>
      </c>
      <c r="L448" t="s">
        <v>89</v>
      </c>
      <c r="M448" s="81">
        <v>46064.584097222221</v>
      </c>
      <c r="N448" s="81">
        <v>46066.512824074067</v>
      </c>
      <c r="O448" t="s">
        <v>58</v>
      </c>
      <c r="P448" t="s">
        <v>59</v>
      </c>
      <c r="Q448" t="s">
        <v>90</v>
      </c>
      <c r="R448" t="s">
        <v>60</v>
      </c>
      <c r="S448" t="s">
        <v>583</v>
      </c>
      <c r="U448" s="75">
        <v>191005</v>
      </c>
      <c r="V448" t="s">
        <v>2319</v>
      </c>
      <c r="W448" t="s">
        <v>2319</v>
      </c>
      <c r="X448" t="s">
        <v>62</v>
      </c>
      <c r="Y448" t="s">
        <v>63</v>
      </c>
      <c r="AA448" t="s">
        <v>81</v>
      </c>
      <c r="AB448">
        <v>46.233333000000002</v>
      </c>
      <c r="AC448">
        <v>42.5</v>
      </c>
      <c r="AD448">
        <v>3.733333</v>
      </c>
      <c r="AE448">
        <v>0.1</v>
      </c>
      <c r="AF448">
        <v>0</v>
      </c>
      <c r="AG448">
        <v>3.6333329999999999</v>
      </c>
      <c r="AH448">
        <v>3.6333329999999999</v>
      </c>
      <c r="AI448">
        <v>3.45</v>
      </c>
      <c r="AJ448">
        <v>0.183333</v>
      </c>
      <c r="AK448">
        <v>0</v>
      </c>
      <c r="AL448" s="76">
        <v>44875</v>
      </c>
      <c r="AM448" s="75">
        <v>1189</v>
      </c>
      <c r="AN448" t="s">
        <v>65</v>
      </c>
      <c r="AO448" t="s">
        <v>1081</v>
      </c>
      <c r="AP448" t="s">
        <v>67</v>
      </c>
      <c r="AQ448" t="s">
        <v>68</v>
      </c>
      <c r="AR448" t="s">
        <v>69</v>
      </c>
      <c r="AS448" s="78"/>
      <c r="AT448" s="82" t="s">
        <v>2037</v>
      </c>
      <c r="AU448" s="78">
        <v>2026</v>
      </c>
      <c r="AV448" s="78">
        <v>2</v>
      </c>
      <c r="AW448" s="78" t="s">
        <v>71</v>
      </c>
      <c r="AX448" s="78">
        <v>1</v>
      </c>
      <c r="AY448" s="78">
        <v>0</v>
      </c>
      <c r="BT448" s="2" t="s">
        <v>71</v>
      </c>
      <c r="BU448" s="2">
        <v>1</v>
      </c>
      <c r="BV448" s="2">
        <v>0</v>
      </c>
    </row>
    <row r="449" spans="1:74" ht="15" customHeight="1" x14ac:dyDescent="0.25">
      <c r="A449" s="75">
        <v>5822733</v>
      </c>
      <c r="B449" t="s">
        <v>2320</v>
      </c>
      <c r="C449" t="s">
        <v>2321</v>
      </c>
      <c r="D449" t="s">
        <v>527</v>
      </c>
      <c r="E449" t="s">
        <v>87</v>
      </c>
      <c r="F449" s="75">
        <v>398</v>
      </c>
      <c r="G449" s="75">
        <v>288005</v>
      </c>
      <c r="H449">
        <v>368.16</v>
      </c>
      <c r="I449" t="s">
        <v>55</v>
      </c>
      <c r="J449" s="75">
        <v>218791</v>
      </c>
      <c r="K449" t="s">
        <v>312</v>
      </c>
      <c r="L449" t="s">
        <v>313</v>
      </c>
      <c r="M449" s="81">
        <v>46063.805891203701</v>
      </c>
      <c r="N449" s="81">
        <v>46066.527002314811</v>
      </c>
      <c r="O449" t="s">
        <v>58</v>
      </c>
      <c r="P449" t="s">
        <v>59</v>
      </c>
      <c r="Q449" t="s">
        <v>90</v>
      </c>
      <c r="R449" t="s">
        <v>131</v>
      </c>
      <c r="S449" t="s">
        <v>1273</v>
      </c>
      <c r="U449" s="75">
        <v>190261</v>
      </c>
      <c r="V449" t="s">
        <v>2322</v>
      </c>
      <c r="W449" t="s">
        <v>2323</v>
      </c>
      <c r="X449" t="s">
        <v>62</v>
      </c>
      <c r="Y449" t="s">
        <v>63</v>
      </c>
      <c r="AA449" t="s">
        <v>81</v>
      </c>
      <c r="AB449">
        <v>65.249999000000003</v>
      </c>
      <c r="AC449">
        <v>59.333333000000003</v>
      </c>
      <c r="AD449">
        <v>5.9166660000000002</v>
      </c>
      <c r="AE449">
        <v>2.0166659999999998</v>
      </c>
      <c r="AF449">
        <v>0</v>
      </c>
      <c r="AG449">
        <v>3.9</v>
      </c>
      <c r="AH449">
        <v>3.9</v>
      </c>
      <c r="AI449">
        <v>3.016667</v>
      </c>
      <c r="AJ449">
        <v>0.88333300000000003</v>
      </c>
      <c r="AK449">
        <v>0</v>
      </c>
      <c r="AL449" s="76">
        <v>44929.959733796299</v>
      </c>
      <c r="AM449" s="75">
        <v>1133</v>
      </c>
      <c r="AN449" t="s">
        <v>65</v>
      </c>
      <c r="AO449" t="s">
        <v>2324</v>
      </c>
      <c r="AP449" t="s">
        <v>67</v>
      </c>
      <c r="AQ449" t="s">
        <v>68</v>
      </c>
      <c r="AR449" t="s">
        <v>69</v>
      </c>
      <c r="AS449" s="79"/>
      <c r="AT449" s="82" t="s">
        <v>2037</v>
      </c>
      <c r="AU449" s="78">
        <v>2026</v>
      </c>
      <c r="AV449" s="78">
        <v>2</v>
      </c>
      <c r="AW449" s="78" t="s">
        <v>71</v>
      </c>
      <c r="AX449" s="78">
        <v>1</v>
      </c>
      <c r="AY449" s="78">
        <v>0</v>
      </c>
      <c r="BT449" s="3" t="s">
        <v>71</v>
      </c>
      <c r="BU449" s="3">
        <v>1</v>
      </c>
      <c r="BV449" s="3">
        <v>0</v>
      </c>
    </row>
    <row r="450" spans="1:74" ht="15" customHeight="1" x14ac:dyDescent="0.25">
      <c r="A450" s="75">
        <v>5825213</v>
      </c>
      <c r="B450" t="s">
        <v>2325</v>
      </c>
      <c r="C450" t="s">
        <v>2326</v>
      </c>
      <c r="D450" t="s">
        <v>527</v>
      </c>
      <c r="E450" t="s">
        <v>105</v>
      </c>
      <c r="F450" s="75">
        <v>937</v>
      </c>
      <c r="G450" s="75">
        <v>328417</v>
      </c>
      <c r="H450">
        <v>0.01</v>
      </c>
      <c r="I450" t="s">
        <v>2327</v>
      </c>
      <c r="J450" s="75">
        <v>43367</v>
      </c>
      <c r="K450" t="s">
        <v>844</v>
      </c>
      <c r="L450" t="s">
        <v>2328</v>
      </c>
      <c r="M450" s="81">
        <v>46065.312962962962</v>
      </c>
      <c r="N450" s="81">
        <v>46066.533495370371</v>
      </c>
      <c r="O450" t="s">
        <v>58</v>
      </c>
      <c r="P450" t="s">
        <v>59</v>
      </c>
      <c r="Q450" t="s">
        <v>90</v>
      </c>
      <c r="R450" t="s">
        <v>156</v>
      </c>
      <c r="S450" t="s">
        <v>1320</v>
      </c>
      <c r="U450" s="75">
        <v>191429</v>
      </c>
      <c r="V450" t="s">
        <v>2329</v>
      </c>
      <c r="W450" t="s">
        <v>2329</v>
      </c>
      <c r="X450" t="s">
        <v>62</v>
      </c>
      <c r="Y450" t="s">
        <v>63</v>
      </c>
      <c r="AA450" t="s">
        <v>101</v>
      </c>
      <c r="AB450">
        <v>29.249998999999999</v>
      </c>
      <c r="AC450">
        <v>19.383333</v>
      </c>
      <c r="AD450">
        <v>9.8666660000000004</v>
      </c>
      <c r="AE450">
        <v>0.73333300000000001</v>
      </c>
      <c r="AF450">
        <v>0</v>
      </c>
      <c r="AG450">
        <v>9.1333330000000004</v>
      </c>
      <c r="AH450">
        <v>9.1333330000000004</v>
      </c>
      <c r="AI450">
        <v>8.85</v>
      </c>
      <c r="AJ450">
        <v>0.283333</v>
      </c>
      <c r="AK450">
        <v>0</v>
      </c>
      <c r="AL450" s="76">
        <v>45646.703009259261</v>
      </c>
      <c r="AM450" s="75">
        <v>418</v>
      </c>
      <c r="AN450" t="s">
        <v>65</v>
      </c>
      <c r="AO450" t="s">
        <v>2330</v>
      </c>
      <c r="AP450" t="s">
        <v>67</v>
      </c>
      <c r="AQ450" t="s">
        <v>68</v>
      </c>
      <c r="AR450" t="s">
        <v>69</v>
      </c>
      <c r="AS450" s="78"/>
      <c r="AT450" s="82" t="s">
        <v>2037</v>
      </c>
      <c r="AU450" s="78">
        <v>2026</v>
      </c>
      <c r="AV450" s="78">
        <v>2</v>
      </c>
      <c r="AW450" s="78" t="s">
        <v>71</v>
      </c>
      <c r="AX450" s="78">
        <v>0</v>
      </c>
      <c r="AY450" s="78">
        <v>0</v>
      </c>
      <c r="BT450" s="2" t="s">
        <v>71</v>
      </c>
      <c r="BU450" s="2">
        <v>0</v>
      </c>
      <c r="BV450" s="2">
        <v>0</v>
      </c>
    </row>
    <row r="451" spans="1:74" ht="15" customHeight="1" x14ac:dyDescent="0.25">
      <c r="A451" s="75">
        <v>5825857</v>
      </c>
      <c r="B451" t="s">
        <v>2331</v>
      </c>
      <c r="C451" t="s">
        <v>2332</v>
      </c>
      <c r="D451" t="s">
        <v>162</v>
      </c>
      <c r="E451" t="s">
        <v>87</v>
      </c>
      <c r="F451" s="75">
        <v>55</v>
      </c>
      <c r="G451" s="75">
        <v>280233</v>
      </c>
      <c r="H451">
        <v>1308.47</v>
      </c>
      <c r="I451" t="s">
        <v>266</v>
      </c>
      <c r="J451" s="75">
        <v>201809</v>
      </c>
      <c r="K451" t="s">
        <v>505</v>
      </c>
      <c r="L451" t="s">
        <v>506</v>
      </c>
      <c r="M451" s="81">
        <v>46065.528761574067</v>
      </c>
      <c r="N451" s="81">
        <v>46066.545914351853</v>
      </c>
      <c r="O451" t="s">
        <v>58</v>
      </c>
      <c r="P451" t="s">
        <v>59</v>
      </c>
      <c r="Q451" t="s">
        <v>77</v>
      </c>
      <c r="R451" t="s">
        <v>99</v>
      </c>
      <c r="S451" t="s">
        <v>1244</v>
      </c>
      <c r="U451" s="75">
        <v>191917</v>
      </c>
      <c r="V451" t="s">
        <v>2333</v>
      </c>
      <c r="X451" t="s">
        <v>62</v>
      </c>
      <c r="Y451" t="s">
        <v>2297</v>
      </c>
      <c r="AA451" t="s">
        <v>81</v>
      </c>
      <c r="AB451">
        <v>24.366667</v>
      </c>
      <c r="AC451">
        <v>21.266667000000002</v>
      </c>
      <c r="AD451">
        <v>3.1</v>
      </c>
      <c r="AE451">
        <v>0.15</v>
      </c>
      <c r="AF451">
        <v>0</v>
      </c>
      <c r="AG451">
        <v>2.95</v>
      </c>
      <c r="AH451">
        <v>2.95</v>
      </c>
      <c r="AI451">
        <v>1.75</v>
      </c>
      <c r="AJ451">
        <v>1.2</v>
      </c>
      <c r="AK451">
        <v>0</v>
      </c>
      <c r="AL451" s="76">
        <v>44405</v>
      </c>
      <c r="AM451" s="75">
        <v>1660</v>
      </c>
      <c r="AN451" t="s">
        <v>65</v>
      </c>
      <c r="AO451" t="s">
        <v>2298</v>
      </c>
      <c r="AP451" t="s">
        <v>67</v>
      </c>
      <c r="AQ451" t="s">
        <v>68</v>
      </c>
      <c r="AR451" t="s">
        <v>69</v>
      </c>
      <c r="AS451" s="79"/>
      <c r="AT451" s="82" t="s">
        <v>2037</v>
      </c>
      <c r="AU451" s="78">
        <v>2026</v>
      </c>
      <c r="AV451" s="78">
        <v>2</v>
      </c>
      <c r="AW451" s="78" t="s">
        <v>137</v>
      </c>
      <c r="AX451" s="78">
        <v>1</v>
      </c>
      <c r="AY451" s="78">
        <v>0</v>
      </c>
      <c r="BT451" s="3" t="s">
        <v>137</v>
      </c>
      <c r="BU451" s="3">
        <v>1</v>
      </c>
      <c r="BV451" s="3">
        <v>0</v>
      </c>
    </row>
    <row r="452" spans="1:74" ht="15" customHeight="1" x14ac:dyDescent="0.25">
      <c r="A452" s="75">
        <v>5824743</v>
      </c>
      <c r="B452" t="s">
        <v>2334</v>
      </c>
      <c r="C452" t="s">
        <v>2335</v>
      </c>
      <c r="D452" t="s">
        <v>527</v>
      </c>
      <c r="E452" t="s">
        <v>87</v>
      </c>
      <c r="F452" s="75">
        <v>875</v>
      </c>
      <c r="G452" s="75">
        <v>330863</v>
      </c>
      <c r="H452">
        <v>950</v>
      </c>
      <c r="I452" t="s">
        <v>141</v>
      </c>
      <c r="J452" s="75">
        <v>19913</v>
      </c>
      <c r="K452" t="s">
        <v>2336</v>
      </c>
      <c r="L452" t="s">
        <v>2337</v>
      </c>
      <c r="M452" s="81">
        <v>46064.715266203697</v>
      </c>
      <c r="N452" s="81">
        <v>46066.553217592591</v>
      </c>
      <c r="O452" t="s">
        <v>58</v>
      </c>
      <c r="P452" t="s">
        <v>59</v>
      </c>
      <c r="Q452" t="s">
        <v>130</v>
      </c>
      <c r="R452" t="s">
        <v>60</v>
      </c>
      <c r="S452" t="s">
        <v>1268</v>
      </c>
      <c r="U452" s="75">
        <v>191261</v>
      </c>
      <c r="V452" t="s">
        <v>2338</v>
      </c>
      <c r="W452" t="s">
        <v>2339</v>
      </c>
      <c r="X452" t="s">
        <v>62</v>
      </c>
      <c r="Y452" t="s">
        <v>63</v>
      </c>
      <c r="AA452" t="s">
        <v>101</v>
      </c>
      <c r="AB452">
        <v>44.033334000000004</v>
      </c>
      <c r="AC452">
        <v>34.049999999999997</v>
      </c>
      <c r="AD452">
        <v>9.9833339999999993</v>
      </c>
      <c r="AE452">
        <v>0.26666699999999999</v>
      </c>
      <c r="AF452">
        <v>0</v>
      </c>
      <c r="AG452">
        <v>9.7166669999999993</v>
      </c>
      <c r="AH452">
        <v>9.7166669999999993</v>
      </c>
      <c r="AI452">
        <v>9.4166670000000003</v>
      </c>
      <c r="AJ452">
        <v>0.3</v>
      </c>
      <c r="AK452">
        <v>0</v>
      </c>
      <c r="AL452" s="76">
        <v>45681</v>
      </c>
      <c r="AM452" s="75">
        <v>383</v>
      </c>
      <c r="AN452" t="s">
        <v>65</v>
      </c>
      <c r="AO452" t="s">
        <v>2340</v>
      </c>
      <c r="AP452" t="s">
        <v>67</v>
      </c>
      <c r="AQ452" t="s">
        <v>68</v>
      </c>
      <c r="AR452" t="s">
        <v>69</v>
      </c>
      <c r="AS452" s="78"/>
      <c r="AT452" s="82" t="s">
        <v>2037</v>
      </c>
      <c r="AU452" s="78">
        <v>2026</v>
      </c>
      <c r="AV452" s="78">
        <v>2</v>
      </c>
      <c r="AW452" s="78" t="s">
        <v>71</v>
      </c>
      <c r="AX452" s="78">
        <v>0</v>
      </c>
      <c r="AY452" s="78">
        <v>0</v>
      </c>
      <c r="BT452" s="2" t="s">
        <v>71</v>
      </c>
      <c r="BU452" s="2">
        <v>0</v>
      </c>
      <c r="BV452" s="2">
        <v>0</v>
      </c>
    </row>
    <row r="453" spans="1:74" ht="15" customHeight="1" x14ac:dyDescent="0.25">
      <c r="A453" s="75">
        <v>5824763</v>
      </c>
      <c r="B453" t="s">
        <v>2341</v>
      </c>
      <c r="C453" t="s">
        <v>2342</v>
      </c>
      <c r="D453" t="s">
        <v>162</v>
      </c>
      <c r="E453" t="s">
        <v>87</v>
      </c>
      <c r="F453" s="75">
        <v>236</v>
      </c>
      <c r="G453" s="75">
        <v>286313</v>
      </c>
      <c r="H453">
        <v>364.96</v>
      </c>
      <c r="I453" t="s">
        <v>55</v>
      </c>
      <c r="J453" s="75">
        <v>218787</v>
      </c>
      <c r="K453" t="s">
        <v>96</v>
      </c>
      <c r="L453" t="s">
        <v>97</v>
      </c>
      <c r="M453" s="81">
        <v>46064.722812499997</v>
      </c>
      <c r="N453" s="81">
        <v>46066.556817129633</v>
      </c>
      <c r="O453" t="s">
        <v>58</v>
      </c>
      <c r="P453" t="s">
        <v>59</v>
      </c>
      <c r="Q453" t="s">
        <v>90</v>
      </c>
      <c r="R453" t="s">
        <v>131</v>
      </c>
      <c r="S453" t="s">
        <v>1316</v>
      </c>
      <c r="U453" s="75">
        <v>191265</v>
      </c>
      <c r="V453" t="s">
        <v>2343</v>
      </c>
      <c r="W453" t="s">
        <v>2344</v>
      </c>
      <c r="X453" t="s">
        <v>62</v>
      </c>
      <c r="Y453" t="s">
        <v>63</v>
      </c>
      <c r="AA453" t="s">
        <v>81</v>
      </c>
      <c r="AB453">
        <v>43.95</v>
      </c>
      <c r="AC453">
        <v>41.966667000000001</v>
      </c>
      <c r="AD453">
        <v>1.983333</v>
      </c>
      <c r="AE453">
        <v>0.3</v>
      </c>
      <c r="AF453">
        <v>0</v>
      </c>
      <c r="AG453">
        <v>1.683333</v>
      </c>
      <c r="AH453">
        <v>1.683333</v>
      </c>
      <c r="AI453">
        <v>1.1499999999999999</v>
      </c>
      <c r="AJ453">
        <v>0.53333299999999995</v>
      </c>
      <c r="AK453">
        <v>0</v>
      </c>
      <c r="AL453" s="76">
        <v>44922</v>
      </c>
      <c r="AM453" s="75">
        <v>1142</v>
      </c>
      <c r="AN453" t="s">
        <v>65</v>
      </c>
      <c r="AO453" t="s">
        <v>2345</v>
      </c>
      <c r="AP453" t="s">
        <v>67</v>
      </c>
      <c r="AQ453" t="s">
        <v>68</v>
      </c>
      <c r="AR453" t="s">
        <v>69</v>
      </c>
      <c r="AS453" s="79"/>
      <c r="AT453" s="82" t="s">
        <v>2037</v>
      </c>
      <c r="AU453" s="78">
        <v>2026</v>
      </c>
      <c r="AV453" s="78">
        <v>2</v>
      </c>
      <c r="AW453" s="78" t="s">
        <v>71</v>
      </c>
      <c r="AX453" s="78">
        <v>1</v>
      </c>
      <c r="AY453" s="78">
        <v>0</v>
      </c>
      <c r="BT453" s="3" t="s">
        <v>71</v>
      </c>
      <c r="BU453" s="3">
        <v>1</v>
      </c>
      <c r="BV453" s="3">
        <v>0</v>
      </c>
    </row>
    <row r="454" spans="1:74" ht="15" customHeight="1" x14ac:dyDescent="0.25">
      <c r="A454" s="75">
        <v>5823747</v>
      </c>
      <c r="B454" t="s">
        <v>2346</v>
      </c>
      <c r="C454" t="s">
        <v>2347</v>
      </c>
      <c r="D454" t="s">
        <v>257</v>
      </c>
      <c r="E454" t="s">
        <v>54</v>
      </c>
      <c r="F454" s="75">
        <v>23</v>
      </c>
      <c r="G454" s="75">
        <v>350931</v>
      </c>
      <c r="H454">
        <v>350</v>
      </c>
      <c r="I454" t="s">
        <v>203</v>
      </c>
      <c r="J454" s="75">
        <v>64169</v>
      </c>
      <c r="K454" t="s">
        <v>1084</v>
      </c>
      <c r="L454" t="s">
        <v>1085</v>
      </c>
      <c r="M454" s="81">
        <v>46064.452511574083</v>
      </c>
      <c r="N454" s="81">
        <v>46066.577199074083</v>
      </c>
      <c r="O454" t="s">
        <v>58</v>
      </c>
      <c r="P454" t="s">
        <v>59</v>
      </c>
      <c r="R454" t="s">
        <v>156</v>
      </c>
      <c r="S454" t="s">
        <v>1682</v>
      </c>
      <c r="U454" s="75">
        <v>192093</v>
      </c>
      <c r="V454" t="s">
        <v>2348</v>
      </c>
      <c r="W454" t="s">
        <v>2349</v>
      </c>
      <c r="X454" t="s">
        <v>62</v>
      </c>
      <c r="Y454" t="s">
        <v>63</v>
      </c>
      <c r="AA454" t="s">
        <v>295</v>
      </c>
      <c r="AB454">
        <v>50.833334000000001</v>
      </c>
      <c r="AC454">
        <v>21.366668000000001</v>
      </c>
      <c r="AD454">
        <v>29.466666</v>
      </c>
      <c r="AE454">
        <v>0.1</v>
      </c>
      <c r="AF454">
        <v>0</v>
      </c>
      <c r="AG454">
        <v>29.366665999999999</v>
      </c>
      <c r="AH454">
        <v>29.366665999999999</v>
      </c>
      <c r="AI454">
        <v>27.466667000000001</v>
      </c>
      <c r="AJ454">
        <v>1.899999</v>
      </c>
      <c r="AK454">
        <v>0</v>
      </c>
      <c r="AL454" s="76">
        <v>46050.716064814813</v>
      </c>
      <c r="AM454" s="75">
        <v>13</v>
      </c>
      <c r="AN454" t="s">
        <v>1220</v>
      </c>
      <c r="AO454" t="s">
        <v>2350</v>
      </c>
      <c r="AP454" t="s">
        <v>67</v>
      </c>
      <c r="AQ454" t="s">
        <v>68</v>
      </c>
      <c r="AR454" t="s">
        <v>69</v>
      </c>
      <c r="AS454" s="78"/>
      <c r="AT454" s="82" t="s">
        <v>2037</v>
      </c>
      <c r="AU454" s="78">
        <v>2026</v>
      </c>
      <c r="AV454" s="78">
        <v>2</v>
      </c>
      <c r="AW454" s="78" t="s">
        <v>71</v>
      </c>
      <c r="AX454" s="78">
        <v>0</v>
      </c>
      <c r="AY454" s="78">
        <v>1</v>
      </c>
      <c r="BT454" s="2" t="s">
        <v>71</v>
      </c>
      <c r="BU454" s="2">
        <v>0</v>
      </c>
      <c r="BV454" s="2">
        <v>1</v>
      </c>
    </row>
    <row r="455" spans="1:74" ht="15" customHeight="1" x14ac:dyDescent="0.25">
      <c r="A455" s="75">
        <v>5825895</v>
      </c>
      <c r="B455" t="s">
        <v>2351</v>
      </c>
      <c r="C455" t="s">
        <v>1383</v>
      </c>
      <c r="D455" t="s">
        <v>527</v>
      </c>
      <c r="E455" t="s">
        <v>87</v>
      </c>
      <c r="F455" s="75">
        <v>195</v>
      </c>
      <c r="G455" s="75">
        <v>285939</v>
      </c>
      <c r="H455">
        <v>350</v>
      </c>
      <c r="I455" t="s">
        <v>55</v>
      </c>
      <c r="J455" s="75">
        <v>218787</v>
      </c>
      <c r="K455" t="s">
        <v>96</v>
      </c>
      <c r="L455" t="s">
        <v>97</v>
      </c>
      <c r="M455" s="81">
        <v>46065.556250000001</v>
      </c>
      <c r="N455" s="81">
        <v>46066.577499999999</v>
      </c>
      <c r="O455" t="s">
        <v>58</v>
      </c>
      <c r="P455" t="s">
        <v>59</v>
      </c>
      <c r="Q455" t="s">
        <v>90</v>
      </c>
      <c r="R455" t="s">
        <v>60</v>
      </c>
      <c r="S455" t="s">
        <v>583</v>
      </c>
      <c r="U455" s="75">
        <v>192101</v>
      </c>
      <c r="V455" t="s">
        <v>2352</v>
      </c>
      <c r="W455" t="s">
        <v>2353</v>
      </c>
      <c r="X455" t="s">
        <v>62</v>
      </c>
      <c r="Y455" t="s">
        <v>63</v>
      </c>
      <c r="AA455" t="s">
        <v>101</v>
      </c>
      <c r="AB455">
        <v>24.416665999999999</v>
      </c>
      <c r="AC455">
        <v>15.833333</v>
      </c>
      <c r="AD455">
        <v>8.5833329999999997</v>
      </c>
      <c r="AE455">
        <v>0.13333300000000001</v>
      </c>
      <c r="AF455">
        <v>0</v>
      </c>
      <c r="AG455">
        <v>8.4499999999999993</v>
      </c>
      <c r="AH455">
        <v>8.4499999999999993</v>
      </c>
      <c r="AI455">
        <v>7.7833329999999998</v>
      </c>
      <c r="AJ455">
        <v>0.66666700000000001</v>
      </c>
      <c r="AK455">
        <v>0</v>
      </c>
      <c r="AL455" s="76">
        <v>44901</v>
      </c>
      <c r="AM455" s="75">
        <v>1164</v>
      </c>
      <c r="AN455" t="s">
        <v>65</v>
      </c>
      <c r="AO455" t="s">
        <v>1385</v>
      </c>
      <c r="AP455" t="s">
        <v>67</v>
      </c>
      <c r="AQ455" t="s">
        <v>68</v>
      </c>
      <c r="AR455" t="s">
        <v>69</v>
      </c>
      <c r="AS455" s="79"/>
      <c r="AT455" s="82" t="s">
        <v>2037</v>
      </c>
      <c r="AU455" s="78">
        <v>2026</v>
      </c>
      <c r="AV455" s="78">
        <v>2</v>
      </c>
      <c r="AW455" s="78" t="s">
        <v>71</v>
      </c>
      <c r="AX455" s="78">
        <v>0</v>
      </c>
      <c r="AY455" s="78">
        <v>0</v>
      </c>
      <c r="BT455" s="3" t="s">
        <v>71</v>
      </c>
      <c r="BU455" s="3">
        <v>0</v>
      </c>
      <c r="BV455" s="3">
        <v>0</v>
      </c>
    </row>
    <row r="456" spans="1:74" ht="15" customHeight="1" x14ac:dyDescent="0.25">
      <c r="A456" s="75">
        <v>5826457</v>
      </c>
      <c r="B456" t="s">
        <v>2354</v>
      </c>
      <c r="C456" t="s">
        <v>889</v>
      </c>
      <c r="D456" t="s">
        <v>527</v>
      </c>
      <c r="E456" t="s">
        <v>87</v>
      </c>
      <c r="F456" s="75">
        <v>206</v>
      </c>
      <c r="G456" s="75">
        <v>286085</v>
      </c>
      <c r="H456">
        <v>364.95</v>
      </c>
      <c r="I456" t="s">
        <v>55</v>
      </c>
      <c r="J456" s="75">
        <v>218787</v>
      </c>
      <c r="K456" t="s">
        <v>96</v>
      </c>
      <c r="L456" t="s">
        <v>97</v>
      </c>
      <c r="M456" s="81">
        <v>46065.875451388893</v>
      </c>
      <c r="N456" s="81">
        <v>46066.58189814815</v>
      </c>
      <c r="O456" t="s">
        <v>58</v>
      </c>
      <c r="P456" t="s">
        <v>59</v>
      </c>
      <c r="Q456" t="s">
        <v>90</v>
      </c>
      <c r="R456" t="s">
        <v>60</v>
      </c>
      <c r="S456" t="s">
        <v>1268</v>
      </c>
      <c r="U456" s="75">
        <v>192103</v>
      </c>
      <c r="V456" t="s">
        <v>2355</v>
      </c>
      <c r="W456" t="s">
        <v>2355</v>
      </c>
      <c r="X456" t="s">
        <v>62</v>
      </c>
      <c r="Y456" t="s">
        <v>63</v>
      </c>
      <c r="AA456" t="s">
        <v>64</v>
      </c>
      <c r="AB456">
        <v>16.883334000000001</v>
      </c>
      <c r="AC456">
        <v>12.483333999999999</v>
      </c>
      <c r="AD456">
        <v>4.4000000000000004</v>
      </c>
      <c r="AE456">
        <v>0.25</v>
      </c>
      <c r="AF456">
        <v>0</v>
      </c>
      <c r="AG456">
        <v>4.1500000000000004</v>
      </c>
      <c r="AH456">
        <v>4.1500000000000004</v>
      </c>
      <c r="AI456">
        <v>3.6333329999999999</v>
      </c>
      <c r="AJ456">
        <v>0.51666699999999999</v>
      </c>
      <c r="AK456">
        <v>0</v>
      </c>
      <c r="AL456" s="76">
        <v>44870</v>
      </c>
      <c r="AM456" s="75">
        <v>1195</v>
      </c>
      <c r="AN456" t="s">
        <v>65</v>
      </c>
      <c r="AO456" t="s">
        <v>892</v>
      </c>
      <c r="AP456" t="s">
        <v>67</v>
      </c>
      <c r="AQ456" t="s">
        <v>68</v>
      </c>
      <c r="AR456" t="s">
        <v>69</v>
      </c>
      <c r="AS456" s="78"/>
      <c r="AT456" s="82" t="s">
        <v>2037</v>
      </c>
      <c r="AU456" s="78">
        <v>2026</v>
      </c>
      <c r="AV456" s="78">
        <v>2</v>
      </c>
      <c r="AW456" s="78" t="s">
        <v>71</v>
      </c>
      <c r="AX456" s="78">
        <v>1</v>
      </c>
      <c r="AY456" s="78">
        <v>0</v>
      </c>
      <c r="BT456" s="2" t="s">
        <v>71</v>
      </c>
      <c r="BU456" s="2">
        <v>1</v>
      </c>
      <c r="BV456" s="2">
        <v>0</v>
      </c>
    </row>
    <row r="457" spans="1:74" ht="15" customHeight="1" x14ac:dyDescent="0.25">
      <c r="A457" s="75">
        <v>5824617</v>
      </c>
      <c r="B457" t="s">
        <v>2356</v>
      </c>
      <c r="C457" t="s">
        <v>2357</v>
      </c>
      <c r="D457" t="s">
        <v>257</v>
      </c>
      <c r="E457" t="s">
        <v>87</v>
      </c>
      <c r="F457" s="75">
        <v>216</v>
      </c>
      <c r="G457" s="75">
        <v>286107</v>
      </c>
      <c r="H457">
        <v>364.96</v>
      </c>
      <c r="I457" t="s">
        <v>55</v>
      </c>
      <c r="J457" s="75">
        <v>218787</v>
      </c>
      <c r="K457" t="s">
        <v>96</v>
      </c>
      <c r="L457" t="s">
        <v>97</v>
      </c>
      <c r="M457" s="81">
        <v>46064.674201388887</v>
      </c>
      <c r="N457" s="81">
        <v>46066.607407407413</v>
      </c>
      <c r="O457" t="s">
        <v>58</v>
      </c>
      <c r="P457" t="s">
        <v>59</v>
      </c>
      <c r="Q457" t="s">
        <v>90</v>
      </c>
      <c r="R457" t="s">
        <v>60</v>
      </c>
      <c r="S457" t="s">
        <v>583</v>
      </c>
      <c r="U457" s="75">
        <v>191269</v>
      </c>
      <c r="V457" t="s">
        <v>2358</v>
      </c>
      <c r="W457" t="s">
        <v>2359</v>
      </c>
      <c r="X457" t="s">
        <v>62</v>
      </c>
      <c r="Y457" t="s">
        <v>63</v>
      </c>
      <c r="AA457" t="s">
        <v>416</v>
      </c>
      <c r="AB457">
        <v>46.3</v>
      </c>
      <c r="AC457">
        <v>32.783332999999999</v>
      </c>
      <c r="AD457">
        <v>13.516667</v>
      </c>
      <c r="AE457">
        <v>0.48333300000000001</v>
      </c>
      <c r="AF457">
        <v>0</v>
      </c>
      <c r="AG457">
        <v>13.033334</v>
      </c>
      <c r="AH457">
        <v>13.033334</v>
      </c>
      <c r="AI457">
        <v>12.566667000000001</v>
      </c>
      <c r="AJ457">
        <v>0.466667</v>
      </c>
      <c r="AK457">
        <v>0</v>
      </c>
      <c r="AL457" s="76">
        <v>44874</v>
      </c>
      <c r="AM457" s="75">
        <v>1190</v>
      </c>
      <c r="AN457" t="s">
        <v>65</v>
      </c>
      <c r="AO457" t="s">
        <v>2360</v>
      </c>
      <c r="AP457" t="s">
        <v>67</v>
      </c>
      <c r="AQ457" t="s">
        <v>68</v>
      </c>
      <c r="AR457" t="s">
        <v>69</v>
      </c>
      <c r="AS457" s="79"/>
      <c r="AT457" s="82" t="s">
        <v>2037</v>
      </c>
      <c r="AU457" s="78">
        <v>2026</v>
      </c>
      <c r="AV457" s="78">
        <v>2</v>
      </c>
      <c r="AW457" s="78" t="s">
        <v>71</v>
      </c>
      <c r="AX457" s="78">
        <v>0</v>
      </c>
      <c r="AY457" s="78">
        <v>0</v>
      </c>
      <c r="BT457" s="3" t="s">
        <v>71</v>
      </c>
      <c r="BU457" s="3">
        <v>0</v>
      </c>
      <c r="BV457" s="3">
        <v>0</v>
      </c>
    </row>
    <row r="458" spans="1:74" ht="15" customHeight="1" x14ac:dyDescent="0.25">
      <c r="A458" s="75">
        <v>5826581</v>
      </c>
      <c r="B458" t="s">
        <v>2361</v>
      </c>
      <c r="C458" t="s">
        <v>2362</v>
      </c>
      <c r="D458" t="s">
        <v>527</v>
      </c>
      <c r="E458" t="s">
        <v>87</v>
      </c>
      <c r="F458" s="75">
        <v>3</v>
      </c>
      <c r="G458" s="75">
        <v>338945</v>
      </c>
      <c r="H458">
        <v>750</v>
      </c>
      <c r="I458" t="s">
        <v>203</v>
      </c>
      <c r="J458" s="75">
        <v>119745</v>
      </c>
      <c r="K458" t="s">
        <v>1325</v>
      </c>
      <c r="L458" t="s">
        <v>2363</v>
      </c>
      <c r="M458" s="81">
        <v>46066.208194444444</v>
      </c>
      <c r="N458" s="81">
        <v>46066.614432870367</v>
      </c>
      <c r="O458" t="s">
        <v>58</v>
      </c>
      <c r="P458" t="s">
        <v>59</v>
      </c>
      <c r="Q458" t="s">
        <v>130</v>
      </c>
      <c r="R458" t="s">
        <v>60</v>
      </c>
      <c r="S458" t="s">
        <v>583</v>
      </c>
      <c r="U458" s="75">
        <v>192109</v>
      </c>
      <c r="V458" t="s">
        <v>2364</v>
      </c>
      <c r="W458" t="s">
        <v>2364</v>
      </c>
      <c r="X458" t="s">
        <v>392</v>
      </c>
      <c r="Y458" t="s">
        <v>393</v>
      </c>
      <c r="AA458" t="s">
        <v>64</v>
      </c>
      <c r="AB458">
        <v>9.6666659999999993</v>
      </c>
      <c r="AC458">
        <v>3.483333</v>
      </c>
      <c r="AD458">
        <v>6.1833330000000002</v>
      </c>
      <c r="AE458">
        <v>0.16666700000000001</v>
      </c>
      <c r="AF458">
        <v>0</v>
      </c>
      <c r="AG458">
        <v>6.0166659999999998</v>
      </c>
      <c r="AH458">
        <v>6.0166659999999998</v>
      </c>
      <c r="AI458">
        <v>5.4333330000000002</v>
      </c>
      <c r="AJ458">
        <v>0.58333299999999999</v>
      </c>
      <c r="AK458">
        <v>0</v>
      </c>
      <c r="AL458" s="76">
        <v>45806.419895833344</v>
      </c>
      <c r="AM458" s="75">
        <v>259</v>
      </c>
      <c r="AN458" t="s">
        <v>65</v>
      </c>
      <c r="AO458" t="s">
        <v>2365</v>
      </c>
      <c r="AP458" t="s">
        <v>67</v>
      </c>
      <c r="AQ458" t="s">
        <v>121</v>
      </c>
      <c r="AR458" t="s">
        <v>69</v>
      </c>
      <c r="AS458" s="78"/>
      <c r="AT458" s="82" t="s">
        <v>2037</v>
      </c>
      <c r="AU458" s="78">
        <v>2026</v>
      </c>
      <c r="AV458" s="78">
        <v>2</v>
      </c>
      <c r="AW458" s="78" t="s">
        <v>392</v>
      </c>
      <c r="AX458" s="78">
        <v>1</v>
      </c>
      <c r="AY458" s="78">
        <v>0</v>
      </c>
      <c r="BT458" s="2" t="s">
        <v>392</v>
      </c>
      <c r="BU458" s="2">
        <v>1</v>
      </c>
      <c r="BV458" s="2">
        <v>0</v>
      </c>
    </row>
    <row r="459" spans="1:74" ht="15" customHeight="1" x14ac:dyDescent="0.25">
      <c r="A459" s="75">
        <v>5826135</v>
      </c>
      <c r="B459" t="s">
        <v>2366</v>
      </c>
      <c r="C459" t="s">
        <v>2367</v>
      </c>
      <c r="D459" t="s">
        <v>527</v>
      </c>
      <c r="E459" t="s">
        <v>87</v>
      </c>
      <c r="F459" s="75">
        <v>2</v>
      </c>
      <c r="G459" s="75">
        <v>335871</v>
      </c>
      <c r="H459">
        <v>625</v>
      </c>
      <c r="I459" t="s">
        <v>1184</v>
      </c>
      <c r="J459" s="75">
        <v>227079</v>
      </c>
      <c r="K459" t="s">
        <v>2368</v>
      </c>
      <c r="L459" t="s">
        <v>2369</v>
      </c>
      <c r="M459" s="81">
        <v>46065.649826388893</v>
      </c>
      <c r="N459" s="81">
        <v>46066.614594907413</v>
      </c>
      <c r="O459" t="s">
        <v>58</v>
      </c>
      <c r="P459" t="s">
        <v>59</v>
      </c>
      <c r="Q459" t="s">
        <v>130</v>
      </c>
      <c r="R459" t="s">
        <v>60</v>
      </c>
      <c r="S459" t="s">
        <v>583</v>
      </c>
      <c r="U459" s="75">
        <v>192005</v>
      </c>
      <c r="V459" t="s">
        <v>2370</v>
      </c>
      <c r="W459" t="s">
        <v>2371</v>
      </c>
      <c r="X459" t="s">
        <v>62</v>
      </c>
      <c r="Y459" t="s">
        <v>271</v>
      </c>
      <c r="AA459" t="s">
        <v>64</v>
      </c>
      <c r="AB459">
        <v>23.116668000000001</v>
      </c>
      <c r="AC459">
        <v>15.9</v>
      </c>
      <c r="AD459">
        <v>7.2166680000000003</v>
      </c>
      <c r="AE459">
        <v>6.6667000000000004E-2</v>
      </c>
      <c r="AF459">
        <v>0</v>
      </c>
      <c r="AG459">
        <v>7.1500009999999996</v>
      </c>
      <c r="AH459">
        <v>7.1500009999999996</v>
      </c>
      <c r="AI459">
        <v>6.8333339999999998</v>
      </c>
      <c r="AJ459">
        <v>0.31666699999999998</v>
      </c>
      <c r="AK459">
        <v>0</v>
      </c>
      <c r="AL459" s="76"/>
      <c r="AM459" s="75"/>
      <c r="AN459" t="s">
        <v>135</v>
      </c>
      <c r="AO459" t="s">
        <v>2372</v>
      </c>
      <c r="AP459" t="s">
        <v>67</v>
      </c>
      <c r="AQ459" t="s">
        <v>68</v>
      </c>
      <c r="AR459" t="s">
        <v>69</v>
      </c>
      <c r="AS459" s="79"/>
      <c r="AT459" s="82" t="s">
        <v>2037</v>
      </c>
      <c r="AU459" s="78">
        <v>2026</v>
      </c>
      <c r="AV459" s="78">
        <v>2</v>
      </c>
      <c r="AW459" s="78" t="s">
        <v>137</v>
      </c>
      <c r="AX459" s="78">
        <v>1</v>
      </c>
      <c r="AY459" s="78">
        <v>0</v>
      </c>
      <c r="BT459" s="3" t="s">
        <v>137</v>
      </c>
      <c r="BU459" s="3">
        <v>1</v>
      </c>
      <c r="BV459" s="3">
        <v>0</v>
      </c>
    </row>
    <row r="460" spans="1:74" ht="15" customHeight="1" x14ac:dyDescent="0.25">
      <c r="A460" s="75">
        <v>5826711</v>
      </c>
      <c r="B460" t="s">
        <v>2373</v>
      </c>
      <c r="C460" t="s">
        <v>2374</v>
      </c>
      <c r="D460" t="s">
        <v>809</v>
      </c>
      <c r="E460" t="s">
        <v>126</v>
      </c>
      <c r="F460" s="75">
        <v>7</v>
      </c>
      <c r="G460" s="75">
        <v>252331</v>
      </c>
      <c r="H460">
        <v>0.01</v>
      </c>
      <c r="I460" t="s">
        <v>1405</v>
      </c>
      <c r="J460" s="75">
        <v>40815</v>
      </c>
      <c r="K460" t="s">
        <v>747</v>
      </c>
      <c r="L460" t="s">
        <v>748</v>
      </c>
      <c r="M460" s="81">
        <v>46066.347592592603</v>
      </c>
      <c r="N460" s="81">
        <v>46066.663460648153</v>
      </c>
      <c r="O460" t="s">
        <v>475</v>
      </c>
      <c r="P460" t="s">
        <v>59</v>
      </c>
      <c r="Q460" t="s">
        <v>130</v>
      </c>
      <c r="R460" t="s">
        <v>144</v>
      </c>
      <c r="S460" t="s">
        <v>1491</v>
      </c>
      <c r="T460" t="s">
        <v>342</v>
      </c>
      <c r="U460" s="75">
        <v>192231</v>
      </c>
      <c r="V460" t="s">
        <v>2375</v>
      </c>
      <c r="W460" t="s">
        <v>2375</v>
      </c>
      <c r="X460" t="s">
        <v>118</v>
      </c>
      <c r="Y460" t="s">
        <v>2376</v>
      </c>
      <c r="AA460" t="s">
        <v>81</v>
      </c>
      <c r="AB460">
        <v>7.533334</v>
      </c>
      <c r="AC460">
        <v>6.0833329999999997</v>
      </c>
      <c r="AD460">
        <v>1.4500010000000001</v>
      </c>
      <c r="AE460">
        <v>0.216667</v>
      </c>
      <c r="AF460">
        <v>0</v>
      </c>
      <c r="AG460">
        <v>1.2333339999999999</v>
      </c>
      <c r="AH460">
        <v>1.2333339999999999</v>
      </c>
      <c r="AI460">
        <v>1.1666669999999999</v>
      </c>
      <c r="AJ460">
        <v>6.6667000000000004E-2</v>
      </c>
      <c r="AK460">
        <v>0</v>
      </c>
      <c r="AL460" s="76">
        <v>44732.73474537037</v>
      </c>
      <c r="AM460" s="75">
        <v>1333</v>
      </c>
      <c r="AN460" t="s">
        <v>65</v>
      </c>
      <c r="AO460" t="s">
        <v>2377</v>
      </c>
      <c r="AP460" t="s">
        <v>67</v>
      </c>
      <c r="AQ460" t="s">
        <v>121</v>
      </c>
      <c r="AR460" t="s">
        <v>69</v>
      </c>
      <c r="AS460" s="78"/>
      <c r="AT460" s="82" t="s">
        <v>2037</v>
      </c>
      <c r="AU460" s="78">
        <v>2026</v>
      </c>
      <c r="AV460" s="78">
        <v>2</v>
      </c>
      <c r="AW460" s="78" t="s">
        <v>347</v>
      </c>
      <c r="AX460" s="78">
        <v>1</v>
      </c>
      <c r="AY460" s="78">
        <v>0</v>
      </c>
      <c r="BT460" s="2" t="s">
        <v>347</v>
      </c>
      <c r="BU460" s="2">
        <v>1</v>
      </c>
      <c r="BV460" s="2">
        <v>0</v>
      </c>
    </row>
    <row r="461" spans="1:74" ht="15" customHeight="1" x14ac:dyDescent="0.25">
      <c r="A461" s="75">
        <v>5825223</v>
      </c>
      <c r="B461" t="s">
        <v>2378</v>
      </c>
      <c r="C461" t="s">
        <v>290</v>
      </c>
      <c r="D461" t="s">
        <v>2379</v>
      </c>
      <c r="E461" t="s">
        <v>54</v>
      </c>
      <c r="F461" s="75">
        <v>546</v>
      </c>
      <c r="G461" s="75">
        <v>65165</v>
      </c>
      <c r="H461">
        <v>304.88</v>
      </c>
      <c r="I461" t="s">
        <v>114</v>
      </c>
      <c r="J461" s="75">
        <v>6421</v>
      </c>
      <c r="K461" t="s">
        <v>291</v>
      </c>
      <c r="L461" t="s">
        <v>292</v>
      </c>
      <c r="M461" s="81">
        <v>46065.326851851853</v>
      </c>
      <c r="N461" s="81">
        <v>46066.697418981479</v>
      </c>
      <c r="O461" t="s">
        <v>475</v>
      </c>
      <c r="P461" t="s">
        <v>59</v>
      </c>
      <c r="Q461" t="s">
        <v>90</v>
      </c>
      <c r="R461" t="s">
        <v>99</v>
      </c>
      <c r="S461" t="s">
        <v>1375</v>
      </c>
      <c r="U461" s="75">
        <v>192097</v>
      </c>
      <c r="V461" t="s">
        <v>2380</v>
      </c>
      <c r="W461" t="s">
        <v>2381</v>
      </c>
      <c r="X461" t="s">
        <v>62</v>
      </c>
      <c r="Y461" t="s">
        <v>63</v>
      </c>
      <c r="AA461" t="s">
        <v>101</v>
      </c>
      <c r="AB461">
        <v>32.85</v>
      </c>
      <c r="AC461">
        <v>24.116667</v>
      </c>
      <c r="AD461">
        <v>8.733333</v>
      </c>
      <c r="AE461">
        <v>0.66666599999999998</v>
      </c>
      <c r="AF461">
        <v>0</v>
      </c>
      <c r="AG461">
        <v>8.0666670000000007</v>
      </c>
      <c r="AH461">
        <v>8.0666670000000007</v>
      </c>
      <c r="AI461">
        <v>8.016667</v>
      </c>
      <c r="AJ461">
        <v>0.05</v>
      </c>
      <c r="AK461">
        <v>0</v>
      </c>
      <c r="AL461" s="76">
        <v>43088</v>
      </c>
      <c r="AM461" s="75">
        <v>2977</v>
      </c>
      <c r="AN461" t="s">
        <v>65</v>
      </c>
      <c r="AO461" t="s">
        <v>296</v>
      </c>
      <c r="AP461" t="s">
        <v>67</v>
      </c>
      <c r="AQ461" t="s">
        <v>68</v>
      </c>
      <c r="AR461" t="s">
        <v>69</v>
      </c>
      <c r="AS461" s="79"/>
      <c r="AT461" s="82" t="s">
        <v>2037</v>
      </c>
      <c r="AU461" s="78">
        <v>2026</v>
      </c>
      <c r="AV461" s="78">
        <v>2</v>
      </c>
      <c r="AW461" s="78" t="s">
        <v>71</v>
      </c>
      <c r="AX461" s="78">
        <v>0</v>
      </c>
      <c r="AY461" s="78">
        <v>0</v>
      </c>
      <c r="BT461" s="3" t="s">
        <v>71</v>
      </c>
      <c r="BU461" s="3">
        <v>0</v>
      </c>
      <c r="BV461" s="3">
        <v>0</v>
      </c>
    </row>
    <row r="462" spans="1:74" ht="15" customHeight="1" x14ac:dyDescent="0.25">
      <c r="A462" s="75">
        <v>5827739</v>
      </c>
      <c r="B462" t="s">
        <v>2382</v>
      </c>
      <c r="C462" t="s">
        <v>2383</v>
      </c>
      <c r="D462" t="s">
        <v>150</v>
      </c>
      <c r="E462" t="s">
        <v>87</v>
      </c>
      <c r="F462" s="75">
        <v>51</v>
      </c>
      <c r="G462" s="75">
        <v>275339</v>
      </c>
      <c r="H462">
        <v>398.82</v>
      </c>
      <c r="I462" t="s">
        <v>55</v>
      </c>
      <c r="J462" s="75">
        <v>216233</v>
      </c>
      <c r="K462" t="s">
        <v>88</v>
      </c>
      <c r="L462" t="s">
        <v>89</v>
      </c>
      <c r="M462" s="81">
        <v>46066.626296296286</v>
      </c>
      <c r="N462" s="81">
        <v>46067.5003125</v>
      </c>
      <c r="O462" t="s">
        <v>475</v>
      </c>
      <c r="P462" t="s">
        <v>59</v>
      </c>
      <c r="Q462" t="s">
        <v>90</v>
      </c>
      <c r="R462" t="s">
        <v>99</v>
      </c>
      <c r="S462" t="s">
        <v>1375</v>
      </c>
      <c r="U462" s="75">
        <v>192577</v>
      </c>
      <c r="V462" t="s">
        <v>2384</v>
      </c>
      <c r="X462" t="s">
        <v>62</v>
      </c>
      <c r="Y462" t="s">
        <v>63</v>
      </c>
      <c r="AA462" t="s">
        <v>64</v>
      </c>
      <c r="AB462">
        <v>20.949998999999998</v>
      </c>
      <c r="AC462">
        <v>15.133333</v>
      </c>
      <c r="AD462">
        <v>5.8166659999999997</v>
      </c>
      <c r="AE462">
        <v>1.3833329999999999</v>
      </c>
      <c r="AF462">
        <v>0</v>
      </c>
      <c r="AG462">
        <v>4.4333330000000002</v>
      </c>
      <c r="AH462">
        <v>4.4333330000000002</v>
      </c>
      <c r="AI462">
        <v>3.7</v>
      </c>
      <c r="AJ462">
        <v>0.73333300000000001</v>
      </c>
      <c r="AK462">
        <v>0</v>
      </c>
      <c r="AL462" s="76">
        <v>44844</v>
      </c>
      <c r="AM462" s="75">
        <v>1222</v>
      </c>
      <c r="AN462" t="s">
        <v>65</v>
      </c>
      <c r="AO462" t="s">
        <v>2385</v>
      </c>
      <c r="AP462" t="s">
        <v>67</v>
      </c>
      <c r="AQ462" t="s">
        <v>68</v>
      </c>
      <c r="AR462" t="s">
        <v>69</v>
      </c>
      <c r="AS462" s="78"/>
      <c r="AT462" s="82" t="s">
        <v>2037</v>
      </c>
      <c r="AU462" s="78">
        <v>2026</v>
      </c>
      <c r="AV462" s="78">
        <v>2</v>
      </c>
      <c r="AW462" s="78" t="s">
        <v>71</v>
      </c>
      <c r="AX462" s="78">
        <v>1</v>
      </c>
      <c r="AY462" s="78">
        <v>0</v>
      </c>
      <c r="BT462" s="2" t="s">
        <v>71</v>
      </c>
      <c r="BU462" s="2">
        <v>1</v>
      </c>
      <c r="BV462" s="2">
        <v>0</v>
      </c>
    </row>
    <row r="463" spans="1:74" ht="15" customHeight="1" x14ac:dyDescent="0.25">
      <c r="A463" s="75">
        <v>5826155</v>
      </c>
      <c r="B463" t="s">
        <v>2386</v>
      </c>
      <c r="C463" t="s">
        <v>2387</v>
      </c>
      <c r="D463" t="s">
        <v>150</v>
      </c>
      <c r="E463" t="s">
        <v>87</v>
      </c>
      <c r="F463" s="75">
        <v>212</v>
      </c>
      <c r="G463" s="75">
        <v>286103</v>
      </c>
      <c r="H463">
        <v>364.96</v>
      </c>
      <c r="I463" t="s">
        <v>55</v>
      </c>
      <c r="J463" s="75">
        <v>218787</v>
      </c>
      <c r="K463" t="s">
        <v>96</v>
      </c>
      <c r="L463" t="s">
        <v>97</v>
      </c>
      <c r="M463" s="81">
        <v>46065.65729166667</v>
      </c>
      <c r="N463" s="81">
        <v>46067.501354166663</v>
      </c>
      <c r="O463" t="s">
        <v>58</v>
      </c>
      <c r="P463" t="s">
        <v>59</v>
      </c>
      <c r="R463" t="s">
        <v>131</v>
      </c>
      <c r="S463" t="s">
        <v>1316</v>
      </c>
      <c r="T463" t="s">
        <v>2388</v>
      </c>
      <c r="U463" s="75">
        <v>192107</v>
      </c>
      <c r="V463" t="s">
        <v>2389</v>
      </c>
      <c r="W463" t="s">
        <v>2390</v>
      </c>
      <c r="X463" t="s">
        <v>62</v>
      </c>
      <c r="Y463" t="s">
        <v>63</v>
      </c>
      <c r="AA463" t="s">
        <v>64</v>
      </c>
      <c r="AB463">
        <v>44.2</v>
      </c>
      <c r="AC463">
        <v>37.066667000000002</v>
      </c>
      <c r="AD463">
        <v>7.1333330000000004</v>
      </c>
      <c r="AE463">
        <v>0.183333</v>
      </c>
      <c r="AF463">
        <v>0</v>
      </c>
      <c r="AG463">
        <v>6.95</v>
      </c>
      <c r="AH463">
        <v>6.95</v>
      </c>
      <c r="AI463">
        <v>6.8</v>
      </c>
      <c r="AJ463">
        <v>0.15</v>
      </c>
      <c r="AK463">
        <v>0</v>
      </c>
      <c r="AL463" s="76">
        <v>44876</v>
      </c>
      <c r="AM463" s="75">
        <v>1189</v>
      </c>
      <c r="AN463" t="s">
        <v>65</v>
      </c>
      <c r="AO463" t="s">
        <v>2391</v>
      </c>
      <c r="AP463" t="s">
        <v>67</v>
      </c>
      <c r="AQ463" t="s">
        <v>68</v>
      </c>
      <c r="AR463" t="s">
        <v>69</v>
      </c>
      <c r="AS463" s="79"/>
      <c r="AT463" s="82" t="s">
        <v>2037</v>
      </c>
      <c r="AU463" s="78">
        <v>2026</v>
      </c>
      <c r="AV463" s="78">
        <v>2</v>
      </c>
      <c r="AW463" s="78" t="s">
        <v>71</v>
      </c>
      <c r="AX463" s="78">
        <v>1</v>
      </c>
      <c r="AY463" s="78">
        <v>0</v>
      </c>
      <c r="BT463" s="3" t="s">
        <v>71</v>
      </c>
      <c r="BU463" s="3">
        <v>1</v>
      </c>
      <c r="BV463" s="3">
        <v>0</v>
      </c>
    </row>
    <row r="464" spans="1:74" ht="15" customHeight="1" x14ac:dyDescent="0.25">
      <c r="A464" s="75">
        <v>5825451</v>
      </c>
      <c r="B464" t="s">
        <v>2392</v>
      </c>
      <c r="C464" t="s">
        <v>1893</v>
      </c>
      <c r="D464" t="s">
        <v>282</v>
      </c>
      <c r="E464" t="s">
        <v>54</v>
      </c>
      <c r="F464" s="75">
        <v>70</v>
      </c>
      <c r="G464" s="75">
        <v>321997</v>
      </c>
      <c r="H464">
        <v>399</v>
      </c>
      <c r="I464" t="s">
        <v>114</v>
      </c>
      <c r="J464" s="75">
        <v>60121</v>
      </c>
      <c r="K464" t="s">
        <v>481</v>
      </c>
      <c r="L464" t="s">
        <v>482</v>
      </c>
      <c r="M464" s="81">
        <v>46065.400740740741</v>
      </c>
      <c r="N464" s="81">
        <v>46067.524305555547</v>
      </c>
      <c r="O464" t="s">
        <v>58</v>
      </c>
      <c r="P464" t="s">
        <v>59</v>
      </c>
      <c r="Q464" t="s">
        <v>77</v>
      </c>
      <c r="R464" t="s">
        <v>60</v>
      </c>
      <c r="S464" t="s">
        <v>583</v>
      </c>
      <c r="U464" s="75">
        <v>191649</v>
      </c>
      <c r="V464" t="s">
        <v>2393</v>
      </c>
      <c r="W464" t="s">
        <v>2393</v>
      </c>
      <c r="X464" t="s">
        <v>118</v>
      </c>
      <c r="Y464" t="s">
        <v>119</v>
      </c>
      <c r="AA464" t="s">
        <v>64</v>
      </c>
      <c r="AB464">
        <v>50.933334000000002</v>
      </c>
      <c r="AC464">
        <v>46.316667000000002</v>
      </c>
      <c r="AD464">
        <v>4.6166669999999996</v>
      </c>
      <c r="AE464">
        <v>0.16666600000000001</v>
      </c>
      <c r="AF464">
        <v>0</v>
      </c>
      <c r="AG464">
        <v>4.4500010000000003</v>
      </c>
      <c r="AH464">
        <v>4.4500010000000003</v>
      </c>
      <c r="AI464">
        <v>4.0833339999999998</v>
      </c>
      <c r="AJ464">
        <v>0.36666700000000002</v>
      </c>
      <c r="AK464">
        <v>0</v>
      </c>
      <c r="AL464" s="76">
        <v>45538</v>
      </c>
      <c r="AM464" s="75">
        <v>527</v>
      </c>
      <c r="AN464" t="s">
        <v>65</v>
      </c>
      <c r="AO464" t="s">
        <v>2394</v>
      </c>
      <c r="AP464" t="s">
        <v>67</v>
      </c>
      <c r="AQ464" t="s">
        <v>121</v>
      </c>
      <c r="AR464" t="s">
        <v>69</v>
      </c>
      <c r="AS464" s="78"/>
      <c r="AT464" s="82" t="s">
        <v>2037</v>
      </c>
      <c r="AU464" s="78">
        <v>2026</v>
      </c>
      <c r="AV464" s="78">
        <v>2</v>
      </c>
      <c r="AW464" s="78" t="s">
        <v>122</v>
      </c>
      <c r="AX464" s="78">
        <v>1</v>
      </c>
      <c r="AY464" s="78">
        <v>0</v>
      </c>
      <c r="BT464" s="2" t="s">
        <v>122</v>
      </c>
      <c r="BU464" s="2">
        <v>1</v>
      </c>
      <c r="BV464" s="2">
        <v>0</v>
      </c>
    </row>
    <row r="465" spans="1:74" ht="15" customHeight="1" x14ac:dyDescent="0.25">
      <c r="A465" s="75">
        <v>5828301</v>
      </c>
      <c r="B465" t="s">
        <v>2395</v>
      </c>
      <c r="C465" t="s">
        <v>2396</v>
      </c>
      <c r="D465" t="s">
        <v>956</v>
      </c>
      <c r="E465" t="s">
        <v>54</v>
      </c>
      <c r="F465" s="75">
        <v>247</v>
      </c>
      <c r="G465" s="75">
        <v>47575</v>
      </c>
      <c r="H465">
        <v>1650</v>
      </c>
      <c r="I465" t="s">
        <v>114</v>
      </c>
      <c r="J465" s="75">
        <v>70991</v>
      </c>
      <c r="K465" t="s">
        <v>2397</v>
      </c>
      <c r="L465" t="s">
        <v>2398</v>
      </c>
      <c r="M465" s="81">
        <v>46067.173946759263</v>
      </c>
      <c r="N465" s="81">
        <v>46067.635995370372</v>
      </c>
      <c r="O465" t="s">
        <v>58</v>
      </c>
      <c r="P465" t="s">
        <v>59</v>
      </c>
      <c r="Q465" t="s">
        <v>90</v>
      </c>
      <c r="R465" t="s">
        <v>2399</v>
      </c>
      <c r="S465" t="s">
        <v>1491</v>
      </c>
      <c r="U465" s="75">
        <v>192627</v>
      </c>
      <c r="V465" t="s">
        <v>2400</v>
      </c>
      <c r="W465" t="s">
        <v>2400</v>
      </c>
      <c r="X465" t="s">
        <v>79</v>
      </c>
      <c r="Y465" t="s">
        <v>224</v>
      </c>
      <c r="AA465" t="s">
        <v>64</v>
      </c>
      <c r="AB465">
        <v>11.016667</v>
      </c>
      <c r="AC465">
        <v>6.7333340000000002</v>
      </c>
      <c r="AD465">
        <v>4.2833329999999998</v>
      </c>
      <c r="AE465">
        <v>0.216667</v>
      </c>
      <c r="AF465">
        <v>0</v>
      </c>
      <c r="AG465">
        <v>4.0666659999999997</v>
      </c>
      <c r="AH465">
        <v>4.0666659999999997</v>
      </c>
      <c r="AI465">
        <v>3.1166659999999999</v>
      </c>
      <c r="AJ465">
        <v>0.95</v>
      </c>
      <c r="AK465">
        <v>0</v>
      </c>
      <c r="AL465" s="76">
        <v>42977</v>
      </c>
      <c r="AM465" s="75">
        <v>3090</v>
      </c>
      <c r="AN465" t="s">
        <v>65</v>
      </c>
      <c r="AO465" t="s">
        <v>2401</v>
      </c>
      <c r="AP465" t="s">
        <v>67</v>
      </c>
      <c r="AQ465" t="s">
        <v>83</v>
      </c>
      <c r="AR465" t="s">
        <v>69</v>
      </c>
      <c r="AS465" s="79"/>
      <c r="AT465" s="82" t="s">
        <v>2037</v>
      </c>
      <c r="AU465" s="78">
        <v>2026</v>
      </c>
      <c r="AV465" s="78">
        <v>2</v>
      </c>
      <c r="AW465" s="78" t="s">
        <v>226</v>
      </c>
      <c r="AX465" s="78">
        <v>1</v>
      </c>
      <c r="AY465" s="78">
        <v>0</v>
      </c>
      <c r="BT465" s="3" t="s">
        <v>226</v>
      </c>
      <c r="BU465" s="3">
        <v>1</v>
      </c>
      <c r="BV465" s="3">
        <v>0</v>
      </c>
    </row>
    <row r="466" spans="1:74" ht="15" customHeight="1" x14ac:dyDescent="0.25">
      <c r="A466" s="75">
        <v>5827369</v>
      </c>
      <c r="B466" t="s">
        <v>2402</v>
      </c>
      <c r="C466" t="s">
        <v>2403</v>
      </c>
      <c r="D466" t="s">
        <v>956</v>
      </c>
      <c r="E466" t="s">
        <v>126</v>
      </c>
      <c r="F466" s="75">
        <v>7</v>
      </c>
      <c r="G466" s="75">
        <v>330869</v>
      </c>
      <c r="H466">
        <v>5000</v>
      </c>
      <c r="I466" t="s">
        <v>2049</v>
      </c>
      <c r="J466" s="75">
        <v>219529</v>
      </c>
      <c r="K466" t="s">
        <v>2050</v>
      </c>
      <c r="L466" t="s">
        <v>2051</v>
      </c>
      <c r="M466" s="81">
        <v>46066.521481481483</v>
      </c>
      <c r="N466" s="81">
        <v>46067.684548611112</v>
      </c>
      <c r="O466" t="s">
        <v>58</v>
      </c>
      <c r="P466" t="s">
        <v>59</v>
      </c>
      <c r="Q466" t="s">
        <v>90</v>
      </c>
      <c r="R466" t="s">
        <v>99</v>
      </c>
      <c r="S466" t="s">
        <v>1244</v>
      </c>
      <c r="U466" s="75">
        <v>192609</v>
      </c>
      <c r="V466" t="s">
        <v>2404</v>
      </c>
      <c r="X466" t="s">
        <v>2053</v>
      </c>
      <c r="Y466" t="s">
        <v>2054</v>
      </c>
      <c r="AA466" t="s">
        <v>416</v>
      </c>
      <c r="AB466">
        <v>27.833333</v>
      </c>
      <c r="AC466">
        <v>12.95</v>
      </c>
      <c r="AD466">
        <v>14.883333</v>
      </c>
      <c r="AE466">
        <v>1</v>
      </c>
      <c r="AF466">
        <v>0</v>
      </c>
      <c r="AG466">
        <v>13.883333</v>
      </c>
      <c r="AH466">
        <v>13.883333</v>
      </c>
      <c r="AI466">
        <v>11.15</v>
      </c>
      <c r="AJ466">
        <v>2.733333</v>
      </c>
      <c r="AK466">
        <v>0</v>
      </c>
      <c r="AL466" s="76">
        <v>45671</v>
      </c>
      <c r="AM466" s="75">
        <v>395</v>
      </c>
      <c r="AN466" t="s">
        <v>65</v>
      </c>
      <c r="AO466" t="s">
        <v>2055</v>
      </c>
      <c r="AP466" t="s">
        <v>67</v>
      </c>
      <c r="AQ466" t="s">
        <v>121</v>
      </c>
      <c r="AR466" t="s">
        <v>69</v>
      </c>
      <c r="AS466" s="78"/>
      <c r="AT466" s="82" t="s">
        <v>2037</v>
      </c>
      <c r="AU466" s="78">
        <v>2026</v>
      </c>
      <c r="AV466" s="78">
        <v>2</v>
      </c>
      <c r="AW466" s="78" t="s">
        <v>2056</v>
      </c>
      <c r="AX466" s="78">
        <v>0</v>
      </c>
      <c r="AY466" s="78">
        <v>0</v>
      </c>
      <c r="BT466" s="2" t="s">
        <v>2056</v>
      </c>
      <c r="BU466" s="2">
        <v>0</v>
      </c>
      <c r="BV466" s="2">
        <v>0</v>
      </c>
    </row>
    <row r="467" spans="1:74" ht="15" customHeight="1" x14ac:dyDescent="0.25">
      <c r="A467" s="75">
        <v>5826449</v>
      </c>
      <c r="B467" t="s">
        <v>2405</v>
      </c>
      <c r="C467" t="s">
        <v>228</v>
      </c>
      <c r="D467" t="s">
        <v>527</v>
      </c>
      <c r="E467" t="s">
        <v>87</v>
      </c>
      <c r="F467" s="75">
        <v>1</v>
      </c>
      <c r="G467" s="75">
        <v>250779</v>
      </c>
      <c r="H467">
        <v>2000</v>
      </c>
      <c r="I467" t="s">
        <v>114</v>
      </c>
      <c r="J467" s="75">
        <v>203401</v>
      </c>
      <c r="K467" t="s">
        <v>229</v>
      </c>
      <c r="L467" t="s">
        <v>230</v>
      </c>
      <c r="M467" s="81">
        <v>46065.854502314818</v>
      </c>
      <c r="N467" s="81">
        <v>46068.380231481482</v>
      </c>
      <c r="O467" t="s">
        <v>58</v>
      </c>
      <c r="P467" t="s">
        <v>59</v>
      </c>
      <c r="Q467" t="s">
        <v>90</v>
      </c>
      <c r="R467" t="s">
        <v>156</v>
      </c>
      <c r="S467" t="s">
        <v>1320</v>
      </c>
      <c r="T467" t="s">
        <v>231</v>
      </c>
      <c r="U467" s="75">
        <v>192173</v>
      </c>
      <c r="V467" t="s">
        <v>2406</v>
      </c>
      <c r="W467" t="s">
        <v>2406</v>
      </c>
      <c r="X467" t="s">
        <v>62</v>
      </c>
      <c r="Y467" t="s">
        <v>233</v>
      </c>
      <c r="AA467" t="s">
        <v>64</v>
      </c>
      <c r="AB467">
        <v>60.583333000000003</v>
      </c>
      <c r="AC467">
        <v>42.3</v>
      </c>
      <c r="AD467">
        <v>18.283332999999999</v>
      </c>
      <c r="AE467">
        <v>11.416665999999999</v>
      </c>
      <c r="AF467">
        <v>0</v>
      </c>
      <c r="AG467">
        <v>6.8666669999999996</v>
      </c>
      <c r="AH467">
        <v>6.8666669999999996</v>
      </c>
      <c r="AI467">
        <v>6.6333339999999996</v>
      </c>
      <c r="AJ467">
        <v>0.23333300000000001</v>
      </c>
      <c r="AK467">
        <v>0</v>
      </c>
      <c r="AL467" s="76">
        <v>44650</v>
      </c>
      <c r="AM467" s="75">
        <v>1415</v>
      </c>
      <c r="AN467" t="s">
        <v>65</v>
      </c>
      <c r="AO467" t="s">
        <v>234</v>
      </c>
      <c r="AP467" t="s">
        <v>67</v>
      </c>
      <c r="AQ467" t="s">
        <v>68</v>
      </c>
      <c r="AR467" t="s">
        <v>69</v>
      </c>
      <c r="AS467" s="79"/>
      <c r="AT467" s="82" t="s">
        <v>2037</v>
      </c>
      <c r="AU467" s="78">
        <v>2026</v>
      </c>
      <c r="AV467" s="78">
        <v>2</v>
      </c>
      <c r="AW467" s="78" t="s">
        <v>137</v>
      </c>
      <c r="AX467" s="78">
        <v>1</v>
      </c>
      <c r="AY467" s="78">
        <v>0</v>
      </c>
      <c r="BT467" s="3" t="s">
        <v>137</v>
      </c>
      <c r="BU467" s="3">
        <v>1</v>
      </c>
      <c r="BV467" s="3">
        <v>0</v>
      </c>
    </row>
    <row r="468" spans="1:74" ht="15" customHeight="1" x14ac:dyDescent="0.25">
      <c r="A468" s="75">
        <v>5826589</v>
      </c>
      <c r="B468" t="s">
        <v>2407</v>
      </c>
      <c r="C468" t="s">
        <v>1793</v>
      </c>
      <c r="D468" t="s">
        <v>527</v>
      </c>
      <c r="E468" t="s">
        <v>87</v>
      </c>
      <c r="F468" s="75">
        <v>2</v>
      </c>
      <c r="G468" s="75">
        <v>280781</v>
      </c>
      <c r="H468">
        <v>6464.5</v>
      </c>
      <c r="I468" t="s">
        <v>242</v>
      </c>
      <c r="J468" s="75">
        <v>209013</v>
      </c>
      <c r="K468" t="s">
        <v>243</v>
      </c>
      <c r="L468" t="s">
        <v>244</v>
      </c>
      <c r="M468" s="81">
        <v>46066.222534722219</v>
      </c>
      <c r="N468" s="81">
        <v>46068.385868055557</v>
      </c>
      <c r="O468" t="s">
        <v>58</v>
      </c>
      <c r="P468" t="s">
        <v>59</v>
      </c>
      <c r="Q468" t="s">
        <v>90</v>
      </c>
      <c r="R468" t="s">
        <v>144</v>
      </c>
      <c r="S468" t="s">
        <v>1794</v>
      </c>
      <c r="U468" s="75">
        <v>192111</v>
      </c>
      <c r="V468" t="s">
        <v>2408</v>
      </c>
      <c r="W468" t="s">
        <v>2408</v>
      </c>
      <c r="X468" t="s">
        <v>79</v>
      </c>
      <c r="Y468" t="s">
        <v>110</v>
      </c>
      <c r="AA468" t="s">
        <v>101</v>
      </c>
      <c r="AB468">
        <v>51.883333</v>
      </c>
      <c r="AC468">
        <v>42.8</v>
      </c>
      <c r="AD468">
        <v>9.0833329999999997</v>
      </c>
      <c r="AE468">
        <v>0.35</v>
      </c>
      <c r="AF468">
        <v>0</v>
      </c>
      <c r="AG468">
        <v>8.733333</v>
      </c>
      <c r="AH468">
        <v>8.733333</v>
      </c>
      <c r="AI468">
        <v>8.1166669999999996</v>
      </c>
      <c r="AJ468">
        <v>0.61666600000000005</v>
      </c>
      <c r="AK468">
        <v>0</v>
      </c>
      <c r="AL468" s="76">
        <v>44834</v>
      </c>
      <c r="AM468" s="75">
        <v>1232</v>
      </c>
      <c r="AN468" t="s">
        <v>65</v>
      </c>
      <c r="AO468" t="s">
        <v>1796</v>
      </c>
      <c r="AP468" t="s">
        <v>67</v>
      </c>
      <c r="AQ468" t="s">
        <v>83</v>
      </c>
      <c r="AR468" t="s">
        <v>69</v>
      </c>
      <c r="AS468" s="78"/>
      <c r="AT468" s="82" t="s">
        <v>2037</v>
      </c>
      <c r="AU468" s="78">
        <v>2026</v>
      </c>
      <c r="AV468" s="78">
        <v>2</v>
      </c>
      <c r="AW468" s="78" t="s">
        <v>84</v>
      </c>
      <c r="AX468" s="78">
        <v>0</v>
      </c>
      <c r="AY468" s="78">
        <v>0</v>
      </c>
      <c r="BT468" s="2" t="s">
        <v>84</v>
      </c>
      <c r="BU468" s="2">
        <v>0</v>
      </c>
      <c r="BV468" s="2">
        <v>0</v>
      </c>
    </row>
    <row r="469" spans="1:74" ht="15" customHeight="1" x14ac:dyDescent="0.25">
      <c r="A469" s="75">
        <v>5826743</v>
      </c>
      <c r="B469" t="s">
        <v>2409</v>
      </c>
      <c r="C469" t="s">
        <v>2410</v>
      </c>
      <c r="D469" t="s">
        <v>527</v>
      </c>
      <c r="E469" t="s">
        <v>54</v>
      </c>
      <c r="F469" s="75">
        <v>1</v>
      </c>
      <c r="G469" s="75">
        <v>335749</v>
      </c>
      <c r="H469">
        <v>179.8</v>
      </c>
      <c r="I469" t="s">
        <v>127</v>
      </c>
      <c r="J469" s="75">
        <v>88921</v>
      </c>
      <c r="K469" t="s">
        <v>1177</v>
      </c>
      <c r="L469" t="s">
        <v>1178</v>
      </c>
      <c r="M469" s="81">
        <v>46066.363912037043</v>
      </c>
      <c r="N469" s="81">
        <v>46068.388784722221</v>
      </c>
      <c r="O469" t="s">
        <v>58</v>
      </c>
      <c r="P469" t="s">
        <v>59</v>
      </c>
      <c r="Q469" t="s">
        <v>130</v>
      </c>
      <c r="R469" t="s">
        <v>131</v>
      </c>
      <c r="S469" t="s">
        <v>1316</v>
      </c>
      <c r="U469" s="75">
        <v>192317</v>
      </c>
      <c r="V469" t="s">
        <v>2411</v>
      </c>
      <c r="W469" t="s">
        <v>2411</v>
      </c>
      <c r="X469" t="s">
        <v>62</v>
      </c>
      <c r="Y469" t="s">
        <v>233</v>
      </c>
      <c r="AA469" t="s">
        <v>64</v>
      </c>
      <c r="AB469">
        <v>48.500000999999997</v>
      </c>
      <c r="AC469">
        <v>40.666666999999997</v>
      </c>
      <c r="AD469">
        <v>7.8333339999999998</v>
      </c>
      <c r="AE469">
        <v>1.05</v>
      </c>
      <c r="AF469">
        <v>0</v>
      </c>
      <c r="AG469">
        <v>6.783334</v>
      </c>
      <c r="AH469">
        <v>6.783334</v>
      </c>
      <c r="AI469">
        <v>6.516667</v>
      </c>
      <c r="AJ469">
        <v>0.26666699999999999</v>
      </c>
      <c r="AK469">
        <v>0</v>
      </c>
      <c r="AL469" s="76">
        <v>45342</v>
      </c>
      <c r="AM469" s="75">
        <v>724</v>
      </c>
      <c r="AN469" t="s">
        <v>65</v>
      </c>
      <c r="AO469" t="s">
        <v>1181</v>
      </c>
      <c r="AP469" t="s">
        <v>67</v>
      </c>
      <c r="AQ469" t="s">
        <v>68</v>
      </c>
      <c r="AR469" t="s">
        <v>69</v>
      </c>
      <c r="AS469" s="79"/>
      <c r="AT469" s="82" t="s">
        <v>2037</v>
      </c>
      <c r="AU469" s="78">
        <v>2026</v>
      </c>
      <c r="AV469" s="78">
        <v>2</v>
      </c>
      <c r="AW469" s="78" t="s">
        <v>137</v>
      </c>
      <c r="AX469" s="78">
        <v>1</v>
      </c>
      <c r="AY469" s="78">
        <v>0</v>
      </c>
      <c r="BT469" s="3" t="s">
        <v>137</v>
      </c>
      <c r="BU469" s="3">
        <v>1</v>
      </c>
      <c r="BV469" s="3">
        <v>0</v>
      </c>
    </row>
    <row r="470" spans="1:74" ht="15" customHeight="1" x14ac:dyDescent="0.25">
      <c r="A470" s="75">
        <v>5827145</v>
      </c>
      <c r="B470" t="s">
        <v>2412</v>
      </c>
      <c r="C470" t="s">
        <v>2413</v>
      </c>
      <c r="D470" t="s">
        <v>527</v>
      </c>
      <c r="E470" t="s">
        <v>87</v>
      </c>
      <c r="F470" s="75">
        <v>674</v>
      </c>
      <c r="G470" s="75">
        <v>253289</v>
      </c>
      <c r="H470">
        <v>1900</v>
      </c>
      <c r="I470" t="s">
        <v>114</v>
      </c>
      <c r="J470" s="75">
        <v>19917</v>
      </c>
      <c r="K470" t="s">
        <v>1325</v>
      </c>
      <c r="L470" t="s">
        <v>1326</v>
      </c>
      <c r="M470" s="81">
        <v>46066.459756944438</v>
      </c>
      <c r="N470" s="81">
        <v>46068.394918981481</v>
      </c>
      <c r="O470" t="s">
        <v>58</v>
      </c>
      <c r="P470" t="s">
        <v>59</v>
      </c>
      <c r="Q470" t="s">
        <v>130</v>
      </c>
      <c r="R470" t="s">
        <v>144</v>
      </c>
      <c r="S470" t="s">
        <v>2121</v>
      </c>
      <c r="U470" s="75">
        <v>192411</v>
      </c>
      <c r="V470" t="s">
        <v>2414</v>
      </c>
      <c r="X470" t="s">
        <v>79</v>
      </c>
      <c r="Y470" t="s">
        <v>2415</v>
      </c>
      <c r="AA470" t="s">
        <v>64</v>
      </c>
      <c r="AB470">
        <v>46.4</v>
      </c>
      <c r="AC470">
        <v>40.783332999999999</v>
      </c>
      <c r="AD470">
        <v>5.6166669999999996</v>
      </c>
      <c r="AE470">
        <v>0.25</v>
      </c>
      <c r="AF470">
        <v>0</v>
      </c>
      <c r="AG470">
        <v>5.3666669999999996</v>
      </c>
      <c r="AH470">
        <v>5.3666669999999996</v>
      </c>
      <c r="AI470">
        <v>4.25</v>
      </c>
      <c r="AJ470">
        <v>1.1166670000000001</v>
      </c>
      <c r="AK470">
        <v>0</v>
      </c>
      <c r="AL470" s="76">
        <v>44881.712453703702</v>
      </c>
      <c r="AM470" s="75">
        <v>1184</v>
      </c>
      <c r="AN470" t="s">
        <v>65</v>
      </c>
      <c r="AO470" t="s">
        <v>2416</v>
      </c>
      <c r="AP470" t="s">
        <v>67</v>
      </c>
      <c r="AQ470" t="s">
        <v>83</v>
      </c>
      <c r="AR470" t="s">
        <v>69</v>
      </c>
      <c r="AS470" s="78"/>
      <c r="AT470" s="82" t="s">
        <v>2037</v>
      </c>
      <c r="AU470" s="78">
        <v>2026</v>
      </c>
      <c r="AV470" s="78">
        <v>2</v>
      </c>
      <c r="AW470" s="78" t="s">
        <v>84</v>
      </c>
      <c r="AX470" s="78">
        <v>1</v>
      </c>
      <c r="AY470" s="78">
        <v>0</v>
      </c>
      <c r="BT470" s="2" t="s">
        <v>84</v>
      </c>
      <c r="BU470" s="2">
        <v>1</v>
      </c>
      <c r="BV470" s="2">
        <v>0</v>
      </c>
    </row>
    <row r="471" spans="1:74" ht="15" customHeight="1" x14ac:dyDescent="0.25">
      <c r="A471" s="75">
        <v>5825495</v>
      </c>
      <c r="B471" t="s">
        <v>2417</v>
      </c>
      <c r="C471" t="s">
        <v>2418</v>
      </c>
      <c r="D471" t="s">
        <v>257</v>
      </c>
      <c r="E471" t="s">
        <v>54</v>
      </c>
      <c r="F471" s="75">
        <v>7</v>
      </c>
      <c r="G471" s="75">
        <v>53523</v>
      </c>
      <c r="H471">
        <v>371.35</v>
      </c>
      <c r="I471" t="s">
        <v>114</v>
      </c>
      <c r="J471" s="75">
        <v>56169</v>
      </c>
      <c r="K471" t="s">
        <v>275</v>
      </c>
      <c r="L471" t="s">
        <v>299</v>
      </c>
      <c r="M471" s="81">
        <v>46065.414872685193</v>
      </c>
      <c r="N471" s="81">
        <v>46068.46802083333</v>
      </c>
      <c r="O471" t="s">
        <v>475</v>
      </c>
      <c r="P471" t="s">
        <v>59</v>
      </c>
      <c r="Q471" t="s">
        <v>130</v>
      </c>
      <c r="R471" t="s">
        <v>99</v>
      </c>
      <c r="S471" t="s">
        <v>1244</v>
      </c>
      <c r="U471" s="75">
        <v>192099</v>
      </c>
      <c r="V471" t="s">
        <v>2419</v>
      </c>
      <c r="X471" t="s">
        <v>62</v>
      </c>
      <c r="Y471" t="s">
        <v>63</v>
      </c>
      <c r="AA471" t="s">
        <v>64</v>
      </c>
      <c r="AB471">
        <v>73.2</v>
      </c>
      <c r="AC471">
        <v>65.283332999999999</v>
      </c>
      <c r="AD471">
        <v>7.9166670000000003</v>
      </c>
      <c r="AE471">
        <v>0.11666700000000001</v>
      </c>
      <c r="AF471">
        <v>0</v>
      </c>
      <c r="AG471">
        <v>7.8</v>
      </c>
      <c r="AH471">
        <v>7.8</v>
      </c>
      <c r="AI471">
        <v>7.1833330000000002</v>
      </c>
      <c r="AJ471">
        <v>0.61666699999999997</v>
      </c>
      <c r="AK471">
        <v>0</v>
      </c>
      <c r="AL471" s="76">
        <v>42843</v>
      </c>
      <c r="AM471" s="75">
        <v>3222</v>
      </c>
      <c r="AN471" t="s">
        <v>65</v>
      </c>
      <c r="AO471" t="s">
        <v>302</v>
      </c>
      <c r="AP471" t="s">
        <v>67</v>
      </c>
      <c r="AQ471" t="s">
        <v>68</v>
      </c>
      <c r="AR471" t="s">
        <v>69</v>
      </c>
      <c r="AS471" s="79"/>
      <c r="AT471" s="82" t="s">
        <v>2037</v>
      </c>
      <c r="AU471" s="78">
        <v>2026</v>
      </c>
      <c r="AV471" s="78">
        <v>2</v>
      </c>
      <c r="AW471" s="78" t="s">
        <v>71</v>
      </c>
      <c r="AX471" s="78">
        <v>1</v>
      </c>
      <c r="AY471" s="78">
        <v>0</v>
      </c>
      <c r="BT471" s="3" t="s">
        <v>71</v>
      </c>
      <c r="BU471" s="3">
        <v>1</v>
      </c>
      <c r="BV471" s="3">
        <v>0</v>
      </c>
    </row>
    <row r="472" spans="1:74" ht="15" customHeight="1" x14ac:dyDescent="0.25">
      <c r="A472" s="75">
        <v>5826971</v>
      </c>
      <c r="B472" t="s">
        <v>2420</v>
      </c>
      <c r="C472" t="s">
        <v>2421</v>
      </c>
      <c r="D472" t="s">
        <v>257</v>
      </c>
      <c r="E472" t="s">
        <v>105</v>
      </c>
      <c r="F472" s="75">
        <v>970</v>
      </c>
      <c r="G472" s="75">
        <v>278809</v>
      </c>
      <c r="H472">
        <v>613.79999999999995</v>
      </c>
      <c r="I472" t="s">
        <v>266</v>
      </c>
      <c r="J472" s="75">
        <v>48887</v>
      </c>
      <c r="K472" t="s">
        <v>164</v>
      </c>
      <c r="L472" t="s">
        <v>165</v>
      </c>
      <c r="M472" s="81">
        <v>46066.421655092592</v>
      </c>
      <c r="N472" s="81">
        <v>46068.568854166668</v>
      </c>
      <c r="O472" t="s">
        <v>58</v>
      </c>
      <c r="P472" t="s">
        <v>59</v>
      </c>
      <c r="Q472" t="s">
        <v>77</v>
      </c>
      <c r="R472" t="s">
        <v>60</v>
      </c>
      <c r="S472" t="s">
        <v>583</v>
      </c>
      <c r="U472" s="75">
        <v>192323</v>
      </c>
      <c r="V472" t="s">
        <v>2422</v>
      </c>
      <c r="X472" t="s">
        <v>79</v>
      </c>
      <c r="Y472" t="s">
        <v>224</v>
      </c>
      <c r="AA472" t="s">
        <v>64</v>
      </c>
      <c r="AB472">
        <v>51.483333999999999</v>
      </c>
      <c r="AC472">
        <v>45.916666999999997</v>
      </c>
      <c r="AD472">
        <v>5.5666669999999998</v>
      </c>
      <c r="AE472">
        <v>8.3333000000000004E-2</v>
      </c>
      <c r="AF472">
        <v>0</v>
      </c>
      <c r="AG472">
        <v>5.4833340000000002</v>
      </c>
      <c r="AH472">
        <v>5.4833340000000002</v>
      </c>
      <c r="AI472">
        <v>5.4166670000000003</v>
      </c>
      <c r="AJ472">
        <v>6.6667000000000004E-2</v>
      </c>
      <c r="AK472">
        <v>0</v>
      </c>
      <c r="AL472" s="76">
        <v>44441</v>
      </c>
      <c r="AM472" s="75">
        <v>1625</v>
      </c>
      <c r="AN472" t="s">
        <v>65</v>
      </c>
      <c r="AO472" t="s">
        <v>2423</v>
      </c>
      <c r="AP472" t="s">
        <v>67</v>
      </c>
      <c r="AQ472" t="s">
        <v>83</v>
      </c>
      <c r="AR472" t="s">
        <v>69</v>
      </c>
      <c r="AS472" s="78"/>
      <c r="AT472" s="82" t="s">
        <v>2037</v>
      </c>
      <c r="AU472" s="78">
        <v>2026</v>
      </c>
      <c r="AV472" s="78">
        <v>2</v>
      </c>
      <c r="AW472" s="78" t="s">
        <v>226</v>
      </c>
      <c r="AX472" s="78">
        <v>1</v>
      </c>
      <c r="AY472" s="78">
        <v>0</v>
      </c>
      <c r="BT472" s="2" t="s">
        <v>226</v>
      </c>
      <c r="BU472" s="2">
        <v>1</v>
      </c>
      <c r="BV472" s="2">
        <v>0</v>
      </c>
    </row>
    <row r="473" spans="1:74" ht="15" customHeight="1" x14ac:dyDescent="0.25">
      <c r="A473" s="75">
        <v>5826713</v>
      </c>
      <c r="B473" t="s">
        <v>2424</v>
      </c>
      <c r="C473" t="s">
        <v>2425</v>
      </c>
      <c r="D473" t="s">
        <v>257</v>
      </c>
      <c r="E473" t="s">
        <v>54</v>
      </c>
      <c r="F473" s="75">
        <v>17</v>
      </c>
      <c r="G473" s="75">
        <v>300001</v>
      </c>
      <c r="H473">
        <v>640</v>
      </c>
      <c r="I473" t="s">
        <v>55</v>
      </c>
      <c r="J473" s="75">
        <v>202197</v>
      </c>
      <c r="K473" t="s">
        <v>305</v>
      </c>
      <c r="L473" t="s">
        <v>306</v>
      </c>
      <c r="M473" s="81">
        <v>46066.347627314812</v>
      </c>
      <c r="N473" s="81">
        <v>46068.593576388892</v>
      </c>
      <c r="O473" t="s">
        <v>58</v>
      </c>
      <c r="P473" t="s">
        <v>59</v>
      </c>
      <c r="Q473" t="s">
        <v>90</v>
      </c>
      <c r="R473" t="s">
        <v>131</v>
      </c>
      <c r="S473" t="s">
        <v>1273</v>
      </c>
      <c r="T473" t="s">
        <v>970</v>
      </c>
      <c r="U473" s="75">
        <v>192565</v>
      </c>
      <c r="V473" t="s">
        <v>2426</v>
      </c>
      <c r="W473" t="s">
        <v>2427</v>
      </c>
      <c r="X473" t="s">
        <v>79</v>
      </c>
      <c r="Y473" t="s">
        <v>224</v>
      </c>
      <c r="AA473" t="s">
        <v>64</v>
      </c>
      <c r="AB473">
        <v>53.766666999999998</v>
      </c>
      <c r="AC473">
        <v>44.883333</v>
      </c>
      <c r="AD473">
        <v>8.8833339999999996</v>
      </c>
      <c r="AE473">
        <v>3.6666669999999999</v>
      </c>
      <c r="AF473">
        <v>0</v>
      </c>
      <c r="AG473">
        <v>5.2166670000000002</v>
      </c>
      <c r="AH473">
        <v>5.2166670000000002</v>
      </c>
      <c r="AI473">
        <v>3.1166670000000001</v>
      </c>
      <c r="AJ473">
        <v>2.1</v>
      </c>
      <c r="AK473">
        <v>0</v>
      </c>
      <c r="AL473" s="76">
        <v>45316</v>
      </c>
      <c r="AM473" s="75">
        <v>750</v>
      </c>
      <c r="AN473" t="s">
        <v>65</v>
      </c>
      <c r="AO473" t="s">
        <v>2428</v>
      </c>
      <c r="AP473" t="s">
        <v>67</v>
      </c>
      <c r="AQ473" t="s">
        <v>83</v>
      </c>
      <c r="AR473" t="s">
        <v>69</v>
      </c>
      <c r="AS473" s="79"/>
      <c r="AT473" s="82" t="s">
        <v>2037</v>
      </c>
      <c r="AU473" s="78">
        <v>2026</v>
      </c>
      <c r="AV473" s="78">
        <v>2</v>
      </c>
      <c r="AW473" s="78" t="s">
        <v>226</v>
      </c>
      <c r="AX473" s="78">
        <v>1</v>
      </c>
      <c r="AY473" s="78">
        <v>0</v>
      </c>
      <c r="BT473" s="3" t="s">
        <v>226</v>
      </c>
      <c r="BU473" s="3">
        <v>1</v>
      </c>
      <c r="BV473" s="3">
        <v>0</v>
      </c>
    </row>
    <row r="474" spans="1:74" ht="15" customHeight="1" x14ac:dyDescent="0.25">
      <c r="A474" s="75">
        <v>5828189</v>
      </c>
      <c r="B474" t="s">
        <v>2429</v>
      </c>
      <c r="C474" t="s">
        <v>2430</v>
      </c>
      <c r="D474" t="s">
        <v>809</v>
      </c>
      <c r="E474" t="s">
        <v>54</v>
      </c>
      <c r="F474" s="75">
        <v>880</v>
      </c>
      <c r="G474" s="75">
        <v>350381</v>
      </c>
      <c r="H474">
        <v>250</v>
      </c>
      <c r="I474" t="s">
        <v>141</v>
      </c>
      <c r="J474" s="75">
        <v>218497</v>
      </c>
      <c r="K474" t="s">
        <v>56</v>
      </c>
      <c r="L474" t="s">
        <v>57</v>
      </c>
      <c r="M474" s="81">
        <v>46066.868460648147</v>
      </c>
      <c r="N474" s="81">
        <v>46068.618923611109</v>
      </c>
      <c r="O474" t="s">
        <v>58</v>
      </c>
      <c r="P474" t="s">
        <v>59</v>
      </c>
      <c r="Q474" t="s">
        <v>130</v>
      </c>
      <c r="R474" t="s">
        <v>60</v>
      </c>
      <c r="S474" t="s">
        <v>583</v>
      </c>
      <c r="U474" s="75">
        <v>192607</v>
      </c>
      <c r="V474" t="s">
        <v>2431</v>
      </c>
      <c r="W474" t="s">
        <v>2431</v>
      </c>
      <c r="X474" t="s">
        <v>62</v>
      </c>
      <c r="Y474" t="s">
        <v>63</v>
      </c>
      <c r="AA474" t="s">
        <v>64</v>
      </c>
      <c r="AB474">
        <v>41.916665999999999</v>
      </c>
      <c r="AC474">
        <v>37.549999999999997</v>
      </c>
      <c r="AD474">
        <v>4.3666660000000004</v>
      </c>
      <c r="AE474">
        <v>0.13333300000000001</v>
      </c>
      <c r="AF474">
        <v>0</v>
      </c>
      <c r="AG474">
        <v>4.233333</v>
      </c>
      <c r="AH474">
        <v>4.233333</v>
      </c>
      <c r="AI474">
        <v>3.716666</v>
      </c>
      <c r="AJ474">
        <v>0.51666699999999999</v>
      </c>
      <c r="AK474">
        <v>0</v>
      </c>
      <c r="AL474" s="76">
        <v>46015</v>
      </c>
      <c r="AM474" s="75">
        <v>51</v>
      </c>
      <c r="AN474" t="s">
        <v>65</v>
      </c>
      <c r="AO474" t="s">
        <v>2432</v>
      </c>
      <c r="AP474" t="s">
        <v>67</v>
      </c>
      <c r="AQ474" t="s">
        <v>68</v>
      </c>
      <c r="AR474" t="s">
        <v>69</v>
      </c>
      <c r="AS474" s="78"/>
      <c r="AT474" s="82" t="s">
        <v>2037</v>
      </c>
      <c r="AU474" s="78">
        <v>2026</v>
      </c>
      <c r="AV474" s="78">
        <v>2</v>
      </c>
      <c r="AW474" s="78" t="s">
        <v>71</v>
      </c>
      <c r="AX474" s="78">
        <v>1</v>
      </c>
      <c r="AY474" s="78">
        <v>0</v>
      </c>
      <c r="BT474" s="2" t="s">
        <v>71</v>
      </c>
      <c r="BU474" s="2">
        <v>1</v>
      </c>
      <c r="BV474" s="2">
        <v>0</v>
      </c>
    </row>
    <row r="475" spans="1:74" ht="15" customHeight="1" x14ac:dyDescent="0.25">
      <c r="A475" s="75">
        <v>5829359</v>
      </c>
      <c r="B475" t="s">
        <v>2433</v>
      </c>
      <c r="C475" t="s">
        <v>2434</v>
      </c>
      <c r="D475" t="s">
        <v>257</v>
      </c>
      <c r="E475" t="s">
        <v>54</v>
      </c>
      <c r="F475" s="75">
        <v>889</v>
      </c>
      <c r="G475" s="75">
        <v>343959</v>
      </c>
      <c r="H475">
        <v>800</v>
      </c>
      <c r="I475" t="s">
        <v>175</v>
      </c>
      <c r="J475" s="75">
        <v>219553</v>
      </c>
      <c r="K475" t="s">
        <v>1962</v>
      </c>
      <c r="L475" t="s">
        <v>1963</v>
      </c>
      <c r="M475" s="81">
        <v>46069.410150462973</v>
      </c>
      <c r="N475" s="81">
        <v>46069.55678240741</v>
      </c>
      <c r="O475" t="s">
        <v>391</v>
      </c>
      <c r="P475" t="s">
        <v>59</v>
      </c>
      <c r="Q475" t="s">
        <v>90</v>
      </c>
      <c r="R475" t="s">
        <v>131</v>
      </c>
      <c r="S475" t="s">
        <v>1695</v>
      </c>
      <c r="U475" s="75">
        <v>193049</v>
      </c>
      <c r="V475" t="s">
        <v>2435</v>
      </c>
      <c r="W475" t="s">
        <v>2435</v>
      </c>
      <c r="X475" t="s">
        <v>118</v>
      </c>
      <c r="Y475" t="s">
        <v>1678</v>
      </c>
      <c r="AA475" t="s">
        <v>81</v>
      </c>
      <c r="AB475">
        <v>3.45</v>
      </c>
      <c r="AC475">
        <v>0.8</v>
      </c>
      <c r="AD475">
        <v>2.65</v>
      </c>
      <c r="AE475">
        <v>0.56666700000000003</v>
      </c>
      <c r="AF475">
        <v>0</v>
      </c>
      <c r="AG475">
        <v>2.0833330000000001</v>
      </c>
      <c r="AH475">
        <v>2.0833330000000001</v>
      </c>
      <c r="AI475">
        <v>1.7666660000000001</v>
      </c>
      <c r="AJ475">
        <v>0.31666699999999998</v>
      </c>
      <c r="AK475">
        <v>0</v>
      </c>
      <c r="AL475" s="76">
        <v>45910</v>
      </c>
      <c r="AM475" s="75">
        <v>159</v>
      </c>
      <c r="AN475" t="s">
        <v>65</v>
      </c>
      <c r="AO475" t="s">
        <v>2436</v>
      </c>
      <c r="AP475" t="s">
        <v>67</v>
      </c>
      <c r="AQ475" t="s">
        <v>121</v>
      </c>
      <c r="AR475" t="s">
        <v>69</v>
      </c>
      <c r="AS475" s="79"/>
      <c r="AT475" s="82" t="s">
        <v>2437</v>
      </c>
      <c r="AU475" s="78">
        <v>2026</v>
      </c>
      <c r="AV475" s="78">
        <v>2</v>
      </c>
      <c r="AW475" s="78" t="s">
        <v>347</v>
      </c>
      <c r="AX475" s="78">
        <v>1</v>
      </c>
      <c r="AY475" s="78">
        <v>0</v>
      </c>
      <c r="BT475" s="3" t="s">
        <v>347</v>
      </c>
      <c r="BU475" s="3">
        <v>1</v>
      </c>
      <c r="BV475" s="3">
        <v>0</v>
      </c>
    </row>
    <row r="476" spans="1:74" ht="15" customHeight="1" x14ac:dyDescent="0.25">
      <c r="A476" s="75">
        <v>5821731</v>
      </c>
      <c r="B476" t="s">
        <v>2438</v>
      </c>
      <c r="C476" t="s">
        <v>2439</v>
      </c>
      <c r="D476" t="s">
        <v>809</v>
      </c>
      <c r="E476" t="s">
        <v>105</v>
      </c>
      <c r="F476" s="75">
        <v>667</v>
      </c>
      <c r="G476" s="75">
        <v>301179</v>
      </c>
      <c r="H476">
        <v>109.9</v>
      </c>
      <c r="I476" t="s">
        <v>195</v>
      </c>
      <c r="J476" s="75">
        <v>202053</v>
      </c>
      <c r="K476" t="s">
        <v>1394</v>
      </c>
      <c r="L476" t="s">
        <v>1395</v>
      </c>
      <c r="M476" s="81">
        <v>46063.515196759261</v>
      </c>
      <c r="N476" s="81">
        <v>46069.558900462973</v>
      </c>
      <c r="O476" t="s">
        <v>58</v>
      </c>
      <c r="P476" t="s">
        <v>59</v>
      </c>
      <c r="Q476" t="s">
        <v>130</v>
      </c>
      <c r="R476" t="s">
        <v>60</v>
      </c>
      <c r="S476" t="s">
        <v>583</v>
      </c>
      <c r="U476" s="75">
        <v>191287</v>
      </c>
      <c r="V476" t="s">
        <v>2440</v>
      </c>
      <c r="W476" t="s">
        <v>2441</v>
      </c>
      <c r="X476" t="s">
        <v>79</v>
      </c>
      <c r="Y476" t="s">
        <v>80</v>
      </c>
      <c r="AA476" t="s">
        <v>295</v>
      </c>
      <c r="AB476">
        <v>144.933333</v>
      </c>
      <c r="AC476">
        <v>111</v>
      </c>
      <c r="AD476">
        <v>33.933332999999998</v>
      </c>
      <c r="AE476">
        <v>1.2</v>
      </c>
      <c r="AF476">
        <v>0</v>
      </c>
      <c r="AG476">
        <v>32.733333000000002</v>
      </c>
      <c r="AH476">
        <v>32.733333000000002</v>
      </c>
      <c r="AI476">
        <v>31.25</v>
      </c>
      <c r="AJ476">
        <v>1.483333</v>
      </c>
      <c r="AK476">
        <v>0</v>
      </c>
      <c r="AL476" s="76">
        <v>45547.884710648148</v>
      </c>
      <c r="AM476" s="75">
        <v>515</v>
      </c>
      <c r="AN476" t="s">
        <v>65</v>
      </c>
      <c r="AO476" t="s">
        <v>2442</v>
      </c>
      <c r="AP476" t="s">
        <v>67</v>
      </c>
      <c r="AQ476" t="s">
        <v>83</v>
      </c>
      <c r="AR476" t="s">
        <v>69</v>
      </c>
      <c r="AS476" s="78"/>
      <c r="AT476" s="82" t="s">
        <v>2437</v>
      </c>
      <c r="AU476" s="78">
        <v>2026</v>
      </c>
      <c r="AV476" s="78">
        <v>2</v>
      </c>
      <c r="AW476" s="78" t="s">
        <v>84</v>
      </c>
      <c r="AX476" s="78">
        <v>0</v>
      </c>
      <c r="AY476" s="78">
        <v>1</v>
      </c>
      <c r="BT476" s="2" t="s">
        <v>84</v>
      </c>
      <c r="BU476" s="2">
        <v>0</v>
      </c>
      <c r="BV476" s="2">
        <v>1</v>
      </c>
    </row>
    <row r="477" spans="1:74" ht="15" customHeight="1" x14ac:dyDescent="0.25">
      <c r="A477" s="75">
        <v>5811703</v>
      </c>
      <c r="B477" t="s">
        <v>2443</v>
      </c>
      <c r="C477" t="s">
        <v>2444</v>
      </c>
      <c r="D477" t="s">
        <v>53</v>
      </c>
      <c r="E477" t="s">
        <v>54</v>
      </c>
      <c r="F477" s="75">
        <v>1</v>
      </c>
      <c r="G477" s="75">
        <v>283815</v>
      </c>
      <c r="H477">
        <v>850</v>
      </c>
      <c r="I477" t="s">
        <v>242</v>
      </c>
      <c r="J477" s="75">
        <v>55277</v>
      </c>
      <c r="K477" t="s">
        <v>2445</v>
      </c>
      <c r="L477" t="s">
        <v>2446</v>
      </c>
      <c r="M477" s="81">
        <v>46056.689803240741</v>
      </c>
      <c r="N477" s="81">
        <v>46069.713912037027</v>
      </c>
      <c r="O477" t="s">
        <v>58</v>
      </c>
      <c r="P477" t="s">
        <v>59</v>
      </c>
      <c r="Q477" t="s">
        <v>130</v>
      </c>
      <c r="R477" t="s">
        <v>60</v>
      </c>
      <c r="S477" t="s">
        <v>583</v>
      </c>
      <c r="U477" s="75">
        <v>192737</v>
      </c>
      <c r="V477" t="s">
        <v>2447</v>
      </c>
      <c r="W477" t="s">
        <v>2448</v>
      </c>
      <c r="X477" t="s">
        <v>118</v>
      </c>
      <c r="Y477" t="s">
        <v>119</v>
      </c>
      <c r="AA477" t="s">
        <v>101</v>
      </c>
      <c r="AB477">
        <v>312.38333299999999</v>
      </c>
      <c r="AC477">
        <v>302.41666500000002</v>
      </c>
      <c r="AD477">
        <v>9.9666680000000003</v>
      </c>
      <c r="AE477">
        <v>1.4833339999999999</v>
      </c>
      <c r="AF477">
        <v>0</v>
      </c>
      <c r="AG477">
        <v>8.4833339999999993</v>
      </c>
      <c r="AH477">
        <v>8.4833339999999993</v>
      </c>
      <c r="AI477">
        <v>4.3</v>
      </c>
      <c r="AJ477">
        <v>4.1833340000000003</v>
      </c>
      <c r="AK477">
        <v>0</v>
      </c>
      <c r="AL477" s="76">
        <v>44835.324282407397</v>
      </c>
      <c r="AM477" s="75">
        <v>1221</v>
      </c>
      <c r="AN477" t="s">
        <v>65</v>
      </c>
      <c r="AO477" t="s">
        <v>2449</v>
      </c>
      <c r="AP477" t="s">
        <v>67</v>
      </c>
      <c r="AQ477" t="s">
        <v>121</v>
      </c>
      <c r="AR477" t="s">
        <v>69</v>
      </c>
      <c r="AS477" s="79"/>
      <c r="AT477" s="82" t="s">
        <v>2437</v>
      </c>
      <c r="AU477" s="78">
        <v>2026</v>
      </c>
      <c r="AV477" s="78">
        <v>2</v>
      </c>
      <c r="AW477" s="78" t="s">
        <v>122</v>
      </c>
      <c r="AX477" s="78">
        <v>0</v>
      </c>
      <c r="AY477" s="78">
        <v>0</v>
      </c>
      <c r="BT477" s="3" t="s">
        <v>122</v>
      </c>
      <c r="BU477" s="3">
        <v>0</v>
      </c>
      <c r="BV477" s="3">
        <v>0</v>
      </c>
    </row>
    <row r="478" spans="1:74" ht="15" customHeight="1" x14ac:dyDescent="0.25">
      <c r="A478" s="75">
        <v>5829027</v>
      </c>
      <c r="B478" t="s">
        <v>2450</v>
      </c>
      <c r="C478" t="s">
        <v>2451</v>
      </c>
      <c r="D478" t="s">
        <v>527</v>
      </c>
      <c r="E478" t="s">
        <v>126</v>
      </c>
      <c r="F478" s="75">
        <v>7</v>
      </c>
      <c r="G478" s="75">
        <v>343535</v>
      </c>
      <c r="H478">
        <v>190</v>
      </c>
      <c r="I478" t="s">
        <v>141</v>
      </c>
      <c r="J478" s="75">
        <v>218051</v>
      </c>
      <c r="K478" t="s">
        <v>802</v>
      </c>
      <c r="L478" t="s">
        <v>803</v>
      </c>
      <c r="M478" s="81">
        <v>46068.62190972222</v>
      </c>
      <c r="N478" s="81">
        <v>46071.286249999997</v>
      </c>
      <c r="O478" t="s">
        <v>391</v>
      </c>
      <c r="P478" t="s">
        <v>59</v>
      </c>
      <c r="Q478" t="s">
        <v>77</v>
      </c>
      <c r="R478" t="s">
        <v>131</v>
      </c>
      <c r="S478" t="s">
        <v>1316</v>
      </c>
      <c r="U478" s="75">
        <v>192863</v>
      </c>
      <c r="V478" t="s">
        <v>2452</v>
      </c>
      <c r="W478" t="s">
        <v>2452</v>
      </c>
      <c r="X478" t="s">
        <v>62</v>
      </c>
      <c r="Y478" t="s">
        <v>63</v>
      </c>
      <c r="AA478" t="s">
        <v>101</v>
      </c>
      <c r="AB478">
        <v>63.866667</v>
      </c>
      <c r="AC478">
        <v>55.05</v>
      </c>
      <c r="AD478">
        <v>8.8166670000000007</v>
      </c>
      <c r="AE478">
        <v>0.1</v>
      </c>
      <c r="AF478">
        <v>0</v>
      </c>
      <c r="AG478">
        <v>8.7166669999999993</v>
      </c>
      <c r="AH478">
        <v>8.7166669999999993</v>
      </c>
      <c r="AI478">
        <v>6.8666669999999996</v>
      </c>
      <c r="AJ478">
        <v>1.85</v>
      </c>
      <c r="AK478">
        <v>0</v>
      </c>
      <c r="AL478" s="76">
        <v>45882</v>
      </c>
      <c r="AM478" s="75">
        <v>186</v>
      </c>
      <c r="AN478" t="s">
        <v>65</v>
      </c>
      <c r="AO478" t="s">
        <v>806</v>
      </c>
      <c r="AP478" t="s">
        <v>67</v>
      </c>
      <c r="AQ478" t="s">
        <v>68</v>
      </c>
      <c r="AR478" t="s">
        <v>69</v>
      </c>
      <c r="AS478" s="78"/>
      <c r="AT478" s="82" t="s">
        <v>2437</v>
      </c>
      <c r="AU478" s="78">
        <v>2026</v>
      </c>
      <c r="AV478" s="78">
        <v>2</v>
      </c>
      <c r="AW478" s="78" t="s">
        <v>71</v>
      </c>
      <c r="AX478" s="78">
        <v>0</v>
      </c>
      <c r="AY478" s="78">
        <v>0</v>
      </c>
      <c r="BT478" s="2" t="s">
        <v>71</v>
      </c>
      <c r="BU478" s="2">
        <v>0</v>
      </c>
      <c r="BV478" s="2">
        <v>0</v>
      </c>
    </row>
    <row r="479" spans="1:74" ht="15" customHeight="1" x14ac:dyDescent="0.25">
      <c r="A479" s="75">
        <v>5828561</v>
      </c>
      <c r="B479" t="s">
        <v>2453</v>
      </c>
      <c r="C479" t="s">
        <v>2454</v>
      </c>
      <c r="D479" t="s">
        <v>527</v>
      </c>
      <c r="E479" t="s">
        <v>87</v>
      </c>
      <c r="F479" s="75">
        <v>1</v>
      </c>
      <c r="G479" s="75">
        <v>280805</v>
      </c>
      <c r="H479">
        <v>4560</v>
      </c>
      <c r="I479" t="s">
        <v>242</v>
      </c>
      <c r="J479" s="75">
        <v>52957</v>
      </c>
      <c r="K479" t="s">
        <v>575</v>
      </c>
      <c r="L479" t="s">
        <v>576</v>
      </c>
      <c r="M479" s="81">
        <v>46067.548900462964</v>
      </c>
      <c r="N479" s="81">
        <v>46071.331458333327</v>
      </c>
      <c r="O479" t="s">
        <v>58</v>
      </c>
      <c r="P479" t="s">
        <v>59</v>
      </c>
      <c r="Q479" t="s">
        <v>90</v>
      </c>
      <c r="R479" t="s">
        <v>99</v>
      </c>
      <c r="S479" t="s">
        <v>1244</v>
      </c>
      <c r="T479" t="s">
        <v>342</v>
      </c>
      <c r="U479" s="75">
        <v>192747</v>
      </c>
      <c r="V479" t="s">
        <v>2455</v>
      </c>
      <c r="X479" t="s">
        <v>118</v>
      </c>
      <c r="Y479" t="s">
        <v>119</v>
      </c>
      <c r="AA479" t="s">
        <v>81</v>
      </c>
      <c r="AB479">
        <v>90.683334000000002</v>
      </c>
      <c r="AC479">
        <v>87.45</v>
      </c>
      <c r="AD479">
        <v>3.2333340000000002</v>
      </c>
      <c r="AE479">
        <v>0.33333400000000002</v>
      </c>
      <c r="AF479">
        <v>0</v>
      </c>
      <c r="AG479">
        <v>2.9</v>
      </c>
      <c r="AH479">
        <v>2.9</v>
      </c>
      <c r="AI479">
        <v>2.6833330000000002</v>
      </c>
      <c r="AJ479">
        <v>0.216667</v>
      </c>
      <c r="AK479">
        <v>0</v>
      </c>
      <c r="AL479" s="76">
        <v>44834.667523148149</v>
      </c>
      <c r="AM479" s="75">
        <v>1232</v>
      </c>
      <c r="AN479" t="s">
        <v>65</v>
      </c>
      <c r="AO479" t="s">
        <v>2456</v>
      </c>
      <c r="AP479" t="s">
        <v>67</v>
      </c>
      <c r="AQ479" t="s">
        <v>121</v>
      </c>
      <c r="AR479" t="s">
        <v>69</v>
      </c>
      <c r="AS479" s="79"/>
      <c r="AT479" s="82" t="s">
        <v>2437</v>
      </c>
      <c r="AU479" s="78">
        <v>2026</v>
      </c>
      <c r="AV479" s="78">
        <v>2</v>
      </c>
      <c r="AW479" s="78" t="s">
        <v>122</v>
      </c>
      <c r="AX479" s="78">
        <v>1</v>
      </c>
      <c r="AY479" s="78">
        <v>0</v>
      </c>
      <c r="BT479" s="3" t="s">
        <v>122</v>
      </c>
      <c r="BU479" s="3">
        <v>1</v>
      </c>
      <c r="BV479" s="3">
        <v>0</v>
      </c>
    </row>
    <row r="480" spans="1:74" ht="15" customHeight="1" x14ac:dyDescent="0.25">
      <c r="A480" s="75">
        <v>5829729</v>
      </c>
      <c r="B480" t="s">
        <v>2457</v>
      </c>
      <c r="C480" t="s">
        <v>2458</v>
      </c>
      <c r="D480" t="s">
        <v>150</v>
      </c>
      <c r="E480" t="s">
        <v>87</v>
      </c>
      <c r="F480" s="75">
        <v>886</v>
      </c>
      <c r="G480" s="75">
        <v>341917</v>
      </c>
      <c r="H480">
        <v>600</v>
      </c>
      <c r="I480" t="s">
        <v>114</v>
      </c>
      <c r="J480" s="75">
        <v>19913</v>
      </c>
      <c r="K480" t="s">
        <v>2336</v>
      </c>
      <c r="L480" t="s">
        <v>2337</v>
      </c>
      <c r="M480" s="81">
        <v>46069.790601851862</v>
      </c>
      <c r="N480" s="81">
        <v>46071.350925925923</v>
      </c>
      <c r="O480" t="s">
        <v>58</v>
      </c>
      <c r="P480" t="s">
        <v>59</v>
      </c>
      <c r="Q480" t="s">
        <v>905</v>
      </c>
      <c r="R480" t="s">
        <v>99</v>
      </c>
      <c r="S480" t="s">
        <v>1244</v>
      </c>
      <c r="U480" s="75">
        <v>193271</v>
      </c>
      <c r="V480" t="s">
        <v>2459</v>
      </c>
      <c r="X480" t="s">
        <v>62</v>
      </c>
      <c r="Y480" t="s">
        <v>134</v>
      </c>
      <c r="AA480" t="s">
        <v>81</v>
      </c>
      <c r="AB480">
        <v>37.383333999999998</v>
      </c>
      <c r="AC480">
        <v>31.916667</v>
      </c>
      <c r="AD480">
        <v>5.4666670000000002</v>
      </c>
      <c r="AE480">
        <v>4.6500000000000004</v>
      </c>
      <c r="AF480">
        <v>0</v>
      </c>
      <c r="AG480">
        <v>0.81666700000000003</v>
      </c>
      <c r="AH480">
        <v>0.81666700000000003</v>
      </c>
      <c r="AI480">
        <v>0</v>
      </c>
      <c r="AJ480">
        <v>0.81666700000000003</v>
      </c>
      <c r="AK480">
        <v>0</v>
      </c>
      <c r="AL480" s="76">
        <v>45930.729317129633</v>
      </c>
      <c r="AM480" s="75">
        <v>139</v>
      </c>
      <c r="AN480" t="s">
        <v>65</v>
      </c>
      <c r="AO480" t="s">
        <v>2460</v>
      </c>
      <c r="AP480" t="s">
        <v>67</v>
      </c>
      <c r="AQ480" t="s">
        <v>68</v>
      </c>
      <c r="AR480" t="s">
        <v>69</v>
      </c>
      <c r="AS480" s="78"/>
      <c r="AT480" s="82" t="s">
        <v>2437</v>
      </c>
      <c r="AU480" s="78">
        <v>2026</v>
      </c>
      <c r="AV480" s="78">
        <v>2</v>
      </c>
      <c r="AW480" s="78" t="s">
        <v>137</v>
      </c>
      <c r="AX480" s="78">
        <v>1</v>
      </c>
      <c r="AY480" s="78">
        <v>0</v>
      </c>
      <c r="BT480" s="2" t="s">
        <v>137</v>
      </c>
      <c r="BU480" s="2">
        <v>1</v>
      </c>
      <c r="BV480" s="2">
        <v>0</v>
      </c>
    </row>
    <row r="481" spans="1:74" ht="15" customHeight="1" x14ac:dyDescent="0.25">
      <c r="A481" s="75">
        <v>5815591</v>
      </c>
      <c r="B481" t="s">
        <v>2461</v>
      </c>
      <c r="C481" t="s">
        <v>2462</v>
      </c>
      <c r="D481" t="s">
        <v>527</v>
      </c>
      <c r="E481" t="s">
        <v>87</v>
      </c>
      <c r="F481" s="75">
        <v>871</v>
      </c>
      <c r="G481" s="75">
        <v>322241</v>
      </c>
      <c r="H481">
        <v>899.9</v>
      </c>
      <c r="I481" t="s">
        <v>114</v>
      </c>
      <c r="J481" s="75">
        <v>19913</v>
      </c>
      <c r="K481" t="s">
        <v>2336</v>
      </c>
      <c r="L481" t="s">
        <v>2337</v>
      </c>
      <c r="M481" s="81">
        <v>46059.065034722233</v>
      </c>
      <c r="N481" s="81">
        <v>46071.524942129632</v>
      </c>
      <c r="O481" t="s">
        <v>58</v>
      </c>
      <c r="P481" t="s">
        <v>59</v>
      </c>
      <c r="Q481" t="s">
        <v>130</v>
      </c>
      <c r="R481" t="s">
        <v>60</v>
      </c>
      <c r="S481" t="s">
        <v>583</v>
      </c>
      <c r="U481" s="75">
        <v>193573</v>
      </c>
      <c r="V481" t="s">
        <v>2463</v>
      </c>
      <c r="X481" t="s">
        <v>62</v>
      </c>
      <c r="Y481" t="s">
        <v>2297</v>
      </c>
      <c r="Z481" t="s">
        <v>2464</v>
      </c>
      <c r="AA481" t="s">
        <v>295</v>
      </c>
      <c r="AB481">
        <v>298.70000099999999</v>
      </c>
      <c r="AC481">
        <v>119.36666700000001</v>
      </c>
      <c r="AD481">
        <v>179.33333400000001</v>
      </c>
      <c r="AE481">
        <v>146.35</v>
      </c>
      <c r="AF481">
        <v>145.98333299999999</v>
      </c>
      <c r="AG481">
        <v>32.983333999999999</v>
      </c>
      <c r="AH481">
        <v>178.966667</v>
      </c>
      <c r="AI481">
        <v>31.833333</v>
      </c>
      <c r="AJ481">
        <v>1.1500010000000001</v>
      </c>
      <c r="AK481">
        <v>0</v>
      </c>
      <c r="AL481" s="76">
        <v>45504.596215277779</v>
      </c>
      <c r="AM481" s="75">
        <v>554</v>
      </c>
      <c r="AN481" t="s">
        <v>65</v>
      </c>
      <c r="AO481" t="s">
        <v>2465</v>
      </c>
      <c r="AP481" t="s">
        <v>67</v>
      </c>
      <c r="AQ481" t="s">
        <v>68</v>
      </c>
      <c r="AR481" t="s">
        <v>69</v>
      </c>
      <c r="AS481" s="79"/>
      <c r="AT481" s="82" t="s">
        <v>2437</v>
      </c>
      <c r="AU481" s="78">
        <v>2026</v>
      </c>
      <c r="AV481" s="78">
        <v>2</v>
      </c>
      <c r="AW481" s="78" t="s">
        <v>137</v>
      </c>
      <c r="AX481" s="78">
        <v>0</v>
      </c>
      <c r="AY481" s="78">
        <v>1</v>
      </c>
      <c r="BT481" s="3" t="s">
        <v>137</v>
      </c>
      <c r="BU481" s="3">
        <v>0</v>
      </c>
      <c r="BV481" s="3">
        <v>1</v>
      </c>
    </row>
    <row r="482" spans="1:74" ht="15" customHeight="1" x14ac:dyDescent="0.25">
      <c r="A482" s="75">
        <v>5830879</v>
      </c>
      <c r="B482" t="s">
        <v>2466</v>
      </c>
      <c r="C482" t="s">
        <v>857</v>
      </c>
      <c r="D482" t="s">
        <v>150</v>
      </c>
      <c r="E482" t="s">
        <v>87</v>
      </c>
      <c r="F482" s="75">
        <v>404</v>
      </c>
      <c r="G482" s="75">
        <v>288509</v>
      </c>
      <c r="H482">
        <v>740.61</v>
      </c>
      <c r="I482" t="s">
        <v>55</v>
      </c>
      <c r="J482" s="75">
        <v>216233</v>
      </c>
      <c r="K482" t="s">
        <v>88</v>
      </c>
      <c r="L482" t="s">
        <v>89</v>
      </c>
      <c r="M482" s="81">
        <v>46071.340729166674</v>
      </c>
      <c r="N482" s="81">
        <v>46072.408252314817</v>
      </c>
      <c r="O482" t="s">
        <v>58</v>
      </c>
      <c r="P482" t="s">
        <v>59</v>
      </c>
      <c r="Q482" t="s">
        <v>90</v>
      </c>
      <c r="R482" t="s">
        <v>99</v>
      </c>
      <c r="S482" t="s">
        <v>1375</v>
      </c>
      <c r="U482" s="75">
        <v>193695</v>
      </c>
      <c r="V482" t="s">
        <v>2467</v>
      </c>
      <c r="X482" t="s">
        <v>62</v>
      </c>
      <c r="Y482" t="s">
        <v>63</v>
      </c>
      <c r="AA482" t="s">
        <v>81</v>
      </c>
      <c r="AB482">
        <v>25.550001000000002</v>
      </c>
      <c r="AC482">
        <v>23.533334</v>
      </c>
      <c r="AD482">
        <v>2.016667</v>
      </c>
      <c r="AE482">
        <v>0.216667</v>
      </c>
      <c r="AF482">
        <v>0</v>
      </c>
      <c r="AG482">
        <v>1.8</v>
      </c>
      <c r="AH482">
        <v>1.8</v>
      </c>
      <c r="AI482">
        <v>1.6</v>
      </c>
      <c r="AJ482">
        <v>0.2</v>
      </c>
      <c r="AK482">
        <v>0</v>
      </c>
      <c r="AL482" s="76">
        <v>44952</v>
      </c>
      <c r="AM482" s="75">
        <v>1119</v>
      </c>
      <c r="AN482" t="s">
        <v>65</v>
      </c>
      <c r="AO482" t="s">
        <v>860</v>
      </c>
      <c r="AP482" t="s">
        <v>67</v>
      </c>
      <c r="AQ482" t="s">
        <v>68</v>
      </c>
      <c r="AR482" t="s">
        <v>69</v>
      </c>
      <c r="AS482" s="78"/>
      <c r="AT482" s="82" t="s">
        <v>2437</v>
      </c>
      <c r="AU482" s="78">
        <v>2026</v>
      </c>
      <c r="AV482" s="78">
        <v>2</v>
      </c>
      <c r="AW482" s="78" t="s">
        <v>71</v>
      </c>
      <c r="AX482" s="78">
        <v>1</v>
      </c>
      <c r="AY482" s="78">
        <v>0</v>
      </c>
      <c r="BT482" s="2" t="s">
        <v>71</v>
      </c>
      <c r="BU482" s="2">
        <v>1</v>
      </c>
      <c r="BV482" s="2">
        <v>0</v>
      </c>
    </row>
    <row r="483" spans="1:74" ht="15" customHeight="1" x14ac:dyDescent="0.25">
      <c r="A483" s="75">
        <v>5832417</v>
      </c>
      <c r="B483" t="s">
        <v>2468</v>
      </c>
      <c r="C483" t="s">
        <v>1793</v>
      </c>
      <c r="D483" t="s">
        <v>527</v>
      </c>
      <c r="E483" t="s">
        <v>87</v>
      </c>
      <c r="F483" s="75">
        <v>2</v>
      </c>
      <c r="G483" s="75">
        <v>280781</v>
      </c>
      <c r="H483">
        <v>6464.5</v>
      </c>
      <c r="I483" t="s">
        <v>242</v>
      </c>
      <c r="J483" s="75">
        <v>209013</v>
      </c>
      <c r="K483" t="s">
        <v>243</v>
      </c>
      <c r="L483" t="s">
        <v>244</v>
      </c>
      <c r="M483" s="81">
        <v>46072.326643518521</v>
      </c>
      <c r="N483" s="81">
        <v>46072.428680555553</v>
      </c>
      <c r="O483" t="s">
        <v>269</v>
      </c>
      <c r="P483" t="s">
        <v>59</v>
      </c>
      <c r="Q483" t="s">
        <v>90</v>
      </c>
      <c r="R483" t="s">
        <v>99</v>
      </c>
      <c r="S483" t="s">
        <v>1244</v>
      </c>
      <c r="U483" s="75">
        <v>194451</v>
      </c>
      <c r="V483" t="s">
        <v>2469</v>
      </c>
      <c r="W483" t="s">
        <v>2469</v>
      </c>
      <c r="X483" t="s">
        <v>79</v>
      </c>
      <c r="Y483" t="s">
        <v>110</v>
      </c>
      <c r="AA483" t="s">
        <v>81</v>
      </c>
      <c r="AB483">
        <v>2.4</v>
      </c>
      <c r="AC483">
        <v>1.0833330000000001</v>
      </c>
      <c r="AD483">
        <v>1.316667</v>
      </c>
      <c r="AE483">
        <v>0.35</v>
      </c>
      <c r="AF483">
        <v>0</v>
      </c>
      <c r="AG483">
        <v>0.96666700000000005</v>
      </c>
      <c r="AH483">
        <v>0.96666700000000005</v>
      </c>
      <c r="AI483">
        <v>0.95</v>
      </c>
      <c r="AJ483">
        <v>1.6667000000000001E-2</v>
      </c>
      <c r="AK483">
        <v>0</v>
      </c>
      <c r="AL483" s="76">
        <v>44834</v>
      </c>
      <c r="AM483" s="75">
        <v>1238</v>
      </c>
      <c r="AN483" t="s">
        <v>65</v>
      </c>
      <c r="AO483" t="s">
        <v>1796</v>
      </c>
      <c r="AP483" t="s">
        <v>67</v>
      </c>
      <c r="AQ483" t="s">
        <v>83</v>
      </c>
      <c r="AR483" t="s">
        <v>69</v>
      </c>
      <c r="AS483" s="79"/>
      <c r="AT483" s="82" t="s">
        <v>2437</v>
      </c>
      <c r="AU483" s="78">
        <v>2026</v>
      </c>
      <c r="AV483" s="78">
        <v>2</v>
      </c>
      <c r="AW483" s="78" t="s">
        <v>84</v>
      </c>
      <c r="AX483" s="78">
        <v>1</v>
      </c>
      <c r="AY483" s="78">
        <v>0</v>
      </c>
      <c r="BT483" s="3" t="s">
        <v>84</v>
      </c>
      <c r="BU483" s="3">
        <v>1</v>
      </c>
      <c r="BV483" s="3">
        <v>0</v>
      </c>
    </row>
    <row r="484" spans="1:74" ht="15" customHeight="1" x14ac:dyDescent="0.25">
      <c r="A484" s="75">
        <v>5831925</v>
      </c>
      <c r="B484" t="s">
        <v>2470</v>
      </c>
      <c r="C484" t="s">
        <v>2471</v>
      </c>
      <c r="D484" t="s">
        <v>956</v>
      </c>
      <c r="E484" t="s">
        <v>105</v>
      </c>
      <c r="F484" s="75">
        <v>930</v>
      </c>
      <c r="G484" s="75">
        <v>328359</v>
      </c>
      <c r="H484">
        <v>600</v>
      </c>
      <c r="I484" t="s">
        <v>175</v>
      </c>
      <c r="J484" s="75">
        <v>83605</v>
      </c>
      <c r="K484" t="s">
        <v>844</v>
      </c>
      <c r="L484" t="s">
        <v>845</v>
      </c>
      <c r="M484" s="81">
        <v>46071.687893518523</v>
      </c>
      <c r="N484" s="81">
        <v>46072.428819444453</v>
      </c>
      <c r="O484" t="s">
        <v>58</v>
      </c>
      <c r="P484" t="s">
        <v>59</v>
      </c>
      <c r="Q484" t="s">
        <v>90</v>
      </c>
      <c r="R484" t="s">
        <v>99</v>
      </c>
      <c r="S484" t="s">
        <v>1244</v>
      </c>
      <c r="U484" s="75">
        <v>194315</v>
      </c>
      <c r="V484" t="s">
        <v>2472</v>
      </c>
      <c r="W484" t="s">
        <v>2472</v>
      </c>
      <c r="X484" t="s">
        <v>62</v>
      </c>
      <c r="Y484" t="s">
        <v>1380</v>
      </c>
      <c r="AA484" t="s">
        <v>64</v>
      </c>
      <c r="AB484">
        <v>17.716667000000001</v>
      </c>
      <c r="AC484">
        <v>11.183334</v>
      </c>
      <c r="AD484">
        <v>6.5333329999999998</v>
      </c>
      <c r="AE484">
        <v>1.5333330000000001</v>
      </c>
      <c r="AF484">
        <v>0</v>
      </c>
      <c r="AG484">
        <v>5</v>
      </c>
      <c r="AH484">
        <v>5</v>
      </c>
      <c r="AI484">
        <v>3.8333330000000001</v>
      </c>
      <c r="AJ484">
        <v>1.1666669999999999</v>
      </c>
      <c r="AK484">
        <v>0</v>
      </c>
      <c r="AL484" s="76">
        <v>45777.749374999999</v>
      </c>
      <c r="AM484" s="75">
        <v>293</v>
      </c>
      <c r="AN484" t="s">
        <v>65</v>
      </c>
      <c r="AO484" t="s">
        <v>1381</v>
      </c>
      <c r="AP484" t="s">
        <v>67</v>
      </c>
      <c r="AQ484" t="s">
        <v>68</v>
      </c>
      <c r="AR484" t="s">
        <v>69</v>
      </c>
      <c r="AS484" s="78"/>
      <c r="AT484" s="82" t="s">
        <v>2437</v>
      </c>
      <c r="AU484" s="78">
        <v>2026</v>
      </c>
      <c r="AV484" s="78">
        <v>2</v>
      </c>
      <c r="AW484" s="78" t="s">
        <v>137</v>
      </c>
      <c r="AX484" s="78">
        <v>1</v>
      </c>
      <c r="AY484" s="78">
        <v>0</v>
      </c>
      <c r="BT484" s="2" t="s">
        <v>137</v>
      </c>
      <c r="BU484" s="2">
        <v>1</v>
      </c>
      <c r="BV484" s="2">
        <v>0</v>
      </c>
    </row>
    <row r="485" spans="1:74" ht="15" customHeight="1" x14ac:dyDescent="0.25">
      <c r="A485" s="75">
        <v>5829103</v>
      </c>
      <c r="B485" t="s">
        <v>2473</v>
      </c>
      <c r="C485" t="s">
        <v>311</v>
      </c>
      <c r="D485" t="s">
        <v>182</v>
      </c>
      <c r="E485" t="s">
        <v>87</v>
      </c>
      <c r="F485" s="75">
        <v>114</v>
      </c>
      <c r="G485" s="75">
        <v>285557</v>
      </c>
      <c r="H485">
        <v>368.16</v>
      </c>
      <c r="I485" t="s">
        <v>55</v>
      </c>
      <c r="J485" s="75">
        <v>218791</v>
      </c>
      <c r="K485" t="s">
        <v>312</v>
      </c>
      <c r="L485" t="s">
        <v>313</v>
      </c>
      <c r="M485" s="81">
        <v>46068.826724537037</v>
      </c>
      <c r="N485" s="81">
        <v>46072.443784722222</v>
      </c>
      <c r="O485" t="s">
        <v>554</v>
      </c>
      <c r="P485" t="s">
        <v>59</v>
      </c>
      <c r="Q485" t="s">
        <v>98</v>
      </c>
      <c r="R485" t="s">
        <v>99</v>
      </c>
      <c r="S485" t="s">
        <v>1244</v>
      </c>
      <c r="U485" s="75">
        <v>194375</v>
      </c>
      <c r="V485" t="s">
        <v>2474</v>
      </c>
      <c r="X485" t="s">
        <v>62</v>
      </c>
      <c r="Y485" t="s">
        <v>63</v>
      </c>
      <c r="AA485" t="s">
        <v>81</v>
      </c>
      <c r="AB485">
        <v>86.716666000000004</v>
      </c>
      <c r="AC485">
        <v>83.45</v>
      </c>
      <c r="AD485">
        <v>3.2666659999999998</v>
      </c>
      <c r="AE485">
        <v>0.23333300000000001</v>
      </c>
      <c r="AF485">
        <v>0</v>
      </c>
      <c r="AG485">
        <v>3.0333329999999998</v>
      </c>
      <c r="AH485">
        <v>3.0333329999999998</v>
      </c>
      <c r="AI485">
        <v>2.8666659999999999</v>
      </c>
      <c r="AJ485">
        <v>0.16666700000000001</v>
      </c>
      <c r="AK485">
        <v>0</v>
      </c>
      <c r="AL485" s="76">
        <v>44874.648275462961</v>
      </c>
      <c r="AM485" s="75">
        <v>1194</v>
      </c>
      <c r="AN485" t="s">
        <v>65</v>
      </c>
      <c r="AO485" t="s">
        <v>316</v>
      </c>
      <c r="AP485" t="s">
        <v>67</v>
      </c>
      <c r="AQ485" t="s">
        <v>68</v>
      </c>
      <c r="AR485" t="s">
        <v>69</v>
      </c>
      <c r="AS485" s="79"/>
      <c r="AT485" s="82" t="s">
        <v>2437</v>
      </c>
      <c r="AU485" s="78">
        <v>2026</v>
      </c>
      <c r="AV485" s="78">
        <v>2</v>
      </c>
      <c r="AW485" s="78" t="s">
        <v>71</v>
      </c>
      <c r="AX485" s="78">
        <v>1</v>
      </c>
      <c r="AY485" s="78">
        <v>0</v>
      </c>
      <c r="BT485" s="3" t="s">
        <v>71</v>
      </c>
      <c r="BU485" s="3">
        <v>1</v>
      </c>
      <c r="BV485" s="3">
        <v>0</v>
      </c>
    </row>
    <row r="486" spans="1:74" ht="15" customHeight="1" x14ac:dyDescent="0.25">
      <c r="A486" s="75">
        <v>5830881</v>
      </c>
      <c r="B486" t="s">
        <v>2475</v>
      </c>
      <c r="C486" t="s">
        <v>688</v>
      </c>
      <c r="D486" t="s">
        <v>182</v>
      </c>
      <c r="E486" t="s">
        <v>87</v>
      </c>
      <c r="F486" s="75">
        <v>579</v>
      </c>
      <c r="G486" s="75">
        <v>325841</v>
      </c>
      <c r="H486">
        <v>382.47</v>
      </c>
      <c r="I486" t="s">
        <v>55</v>
      </c>
      <c r="J486" s="75">
        <v>216233</v>
      </c>
      <c r="K486" t="s">
        <v>88</v>
      </c>
      <c r="L486" t="s">
        <v>89</v>
      </c>
      <c r="M486" s="81">
        <v>46071.340752314813</v>
      </c>
      <c r="N486" s="81">
        <v>46072.446944444448</v>
      </c>
      <c r="O486" t="s">
        <v>277</v>
      </c>
      <c r="P486" t="s">
        <v>59</v>
      </c>
      <c r="Q486" t="s">
        <v>90</v>
      </c>
      <c r="R486" t="s">
        <v>99</v>
      </c>
      <c r="S486" t="s">
        <v>1244</v>
      </c>
      <c r="U486" s="75">
        <v>194385</v>
      </c>
      <c r="V486" t="s">
        <v>2476</v>
      </c>
      <c r="X486" t="s">
        <v>62</v>
      </c>
      <c r="Y486" t="s">
        <v>63</v>
      </c>
      <c r="AA486" t="s">
        <v>81</v>
      </c>
      <c r="AB486">
        <v>26.516667999999999</v>
      </c>
      <c r="AC486">
        <v>23.533332999999999</v>
      </c>
      <c r="AD486">
        <v>2.9833349999999998</v>
      </c>
      <c r="AE486">
        <v>0.23333400000000001</v>
      </c>
      <c r="AF486">
        <v>0</v>
      </c>
      <c r="AG486">
        <v>2.7500010000000001</v>
      </c>
      <c r="AH486">
        <v>2.7500010000000001</v>
      </c>
      <c r="AI486">
        <v>2.0666669999999998</v>
      </c>
      <c r="AJ486">
        <v>0.683334</v>
      </c>
      <c r="AK486">
        <v>0</v>
      </c>
      <c r="AL486" s="76">
        <v>45561</v>
      </c>
      <c r="AM486" s="75">
        <v>510</v>
      </c>
      <c r="AN486" t="s">
        <v>65</v>
      </c>
      <c r="AO486" t="s">
        <v>691</v>
      </c>
      <c r="AP486" t="s">
        <v>67</v>
      </c>
      <c r="AQ486" t="s">
        <v>68</v>
      </c>
      <c r="AR486" t="s">
        <v>69</v>
      </c>
      <c r="AS486" s="78"/>
      <c r="AT486" s="82" t="s">
        <v>2437</v>
      </c>
      <c r="AU486" s="78">
        <v>2026</v>
      </c>
      <c r="AV486" s="78">
        <v>2</v>
      </c>
      <c r="AW486" s="78" t="s">
        <v>71</v>
      </c>
      <c r="AX486" s="78">
        <v>1</v>
      </c>
      <c r="AY486" s="78">
        <v>0</v>
      </c>
      <c r="BT486" s="2" t="s">
        <v>71</v>
      </c>
      <c r="BU486" s="2">
        <v>1</v>
      </c>
      <c r="BV486" s="2">
        <v>0</v>
      </c>
    </row>
    <row r="487" spans="1:74" ht="15" customHeight="1" x14ac:dyDescent="0.25">
      <c r="A487" s="75">
        <v>5830883</v>
      </c>
      <c r="B487" t="s">
        <v>2477</v>
      </c>
      <c r="C487" t="s">
        <v>2478</v>
      </c>
      <c r="D487" t="s">
        <v>182</v>
      </c>
      <c r="E487" t="s">
        <v>87</v>
      </c>
      <c r="F487" s="75">
        <v>185</v>
      </c>
      <c r="G487" s="75">
        <v>285893</v>
      </c>
      <c r="H487">
        <v>398.82</v>
      </c>
      <c r="I487" t="s">
        <v>55</v>
      </c>
      <c r="J487" s="75">
        <v>216233</v>
      </c>
      <c r="K487" t="s">
        <v>88</v>
      </c>
      <c r="L487" t="s">
        <v>89</v>
      </c>
      <c r="M487" s="81">
        <v>46071.340763888889</v>
      </c>
      <c r="N487" s="81">
        <v>46072.449548611112</v>
      </c>
      <c r="O487" t="s">
        <v>277</v>
      </c>
      <c r="P487" t="s">
        <v>59</v>
      </c>
      <c r="Q487" t="s">
        <v>90</v>
      </c>
      <c r="R487" t="s">
        <v>99</v>
      </c>
      <c r="S487" t="s">
        <v>1244</v>
      </c>
      <c r="U487" s="75">
        <v>194387</v>
      </c>
      <c r="V487" t="s">
        <v>2479</v>
      </c>
      <c r="X487" t="s">
        <v>62</v>
      </c>
      <c r="Y487" t="s">
        <v>63</v>
      </c>
      <c r="AA487" t="s">
        <v>81</v>
      </c>
      <c r="AB487">
        <v>26.583333</v>
      </c>
      <c r="AC487">
        <v>23.383333</v>
      </c>
      <c r="AD487">
        <v>3.2</v>
      </c>
      <c r="AE487">
        <v>0.41666700000000001</v>
      </c>
      <c r="AF487">
        <v>0</v>
      </c>
      <c r="AG487">
        <v>2.7833329999999998</v>
      </c>
      <c r="AH487">
        <v>2.7833329999999998</v>
      </c>
      <c r="AI487">
        <v>2.1166670000000001</v>
      </c>
      <c r="AJ487">
        <v>0.66666599999999998</v>
      </c>
      <c r="AK487">
        <v>0</v>
      </c>
      <c r="AL487" s="76">
        <v>44879</v>
      </c>
      <c r="AM487" s="75">
        <v>1192</v>
      </c>
      <c r="AN487" t="s">
        <v>65</v>
      </c>
      <c r="AO487" t="s">
        <v>2480</v>
      </c>
      <c r="AP487" t="s">
        <v>67</v>
      </c>
      <c r="AQ487" t="s">
        <v>68</v>
      </c>
      <c r="AR487" t="s">
        <v>69</v>
      </c>
      <c r="AS487" s="79"/>
      <c r="AT487" s="82" t="s">
        <v>2437</v>
      </c>
      <c r="AU487" s="78">
        <v>2026</v>
      </c>
      <c r="AV487" s="78">
        <v>2</v>
      </c>
      <c r="AW487" s="78" t="s">
        <v>71</v>
      </c>
      <c r="AX487" s="78">
        <v>1</v>
      </c>
      <c r="AY487" s="78">
        <v>0</v>
      </c>
      <c r="BT487" s="3" t="s">
        <v>71</v>
      </c>
      <c r="BU487" s="3">
        <v>1</v>
      </c>
      <c r="BV487" s="3">
        <v>0</v>
      </c>
    </row>
    <row r="488" spans="1:74" ht="15" customHeight="1" x14ac:dyDescent="0.25">
      <c r="A488" s="75">
        <v>5830877</v>
      </c>
      <c r="B488" t="s">
        <v>2481</v>
      </c>
      <c r="C488" t="s">
        <v>2482</v>
      </c>
      <c r="D488" t="s">
        <v>182</v>
      </c>
      <c r="E488" t="s">
        <v>87</v>
      </c>
      <c r="F488" s="75">
        <v>202</v>
      </c>
      <c r="G488" s="75">
        <v>286003</v>
      </c>
      <c r="H488">
        <v>398.82</v>
      </c>
      <c r="I488" t="s">
        <v>55</v>
      </c>
      <c r="J488" s="75">
        <v>216233</v>
      </c>
      <c r="K488" t="s">
        <v>88</v>
      </c>
      <c r="L488" t="s">
        <v>89</v>
      </c>
      <c r="M488" s="81">
        <v>46071.34070601852</v>
      </c>
      <c r="N488" s="81">
        <v>46072.452696759261</v>
      </c>
      <c r="O488" t="s">
        <v>277</v>
      </c>
      <c r="P488" t="s">
        <v>59</v>
      </c>
      <c r="Q488" t="s">
        <v>90</v>
      </c>
      <c r="R488" t="s">
        <v>99</v>
      </c>
      <c r="S488" t="s">
        <v>1244</v>
      </c>
      <c r="U488" s="75">
        <v>194383</v>
      </c>
      <c r="V488" t="s">
        <v>2483</v>
      </c>
      <c r="X488" t="s">
        <v>62</v>
      </c>
      <c r="Y488" t="s">
        <v>63</v>
      </c>
      <c r="AA488" t="s">
        <v>81</v>
      </c>
      <c r="AB488">
        <v>26.583333</v>
      </c>
      <c r="AC488">
        <v>23.466667000000001</v>
      </c>
      <c r="AD488">
        <v>3.1166659999999999</v>
      </c>
      <c r="AE488">
        <v>0.283333</v>
      </c>
      <c r="AF488">
        <v>0</v>
      </c>
      <c r="AG488">
        <v>2.8333330000000001</v>
      </c>
      <c r="AH488">
        <v>2.8333330000000001</v>
      </c>
      <c r="AI488">
        <v>2.3833329999999999</v>
      </c>
      <c r="AJ488">
        <v>0.45</v>
      </c>
      <c r="AK488">
        <v>0</v>
      </c>
      <c r="AL488" s="76">
        <v>44966</v>
      </c>
      <c r="AM488" s="75">
        <v>1105</v>
      </c>
      <c r="AN488" t="s">
        <v>65</v>
      </c>
      <c r="AO488" t="s">
        <v>2484</v>
      </c>
      <c r="AP488" t="s">
        <v>67</v>
      </c>
      <c r="AQ488" t="s">
        <v>68</v>
      </c>
      <c r="AR488" t="s">
        <v>69</v>
      </c>
      <c r="AS488" s="78"/>
      <c r="AT488" s="82" t="s">
        <v>2437</v>
      </c>
      <c r="AU488" s="78">
        <v>2026</v>
      </c>
      <c r="AV488" s="78">
        <v>2</v>
      </c>
      <c r="AW488" s="78" t="s">
        <v>71</v>
      </c>
      <c r="AX488" s="78">
        <v>1</v>
      </c>
      <c r="AY488" s="78">
        <v>0</v>
      </c>
      <c r="BT488" s="2" t="s">
        <v>71</v>
      </c>
      <c r="BU488" s="2">
        <v>1</v>
      </c>
      <c r="BV488" s="2">
        <v>0</v>
      </c>
    </row>
    <row r="489" spans="1:74" ht="15" customHeight="1" x14ac:dyDescent="0.25">
      <c r="A489" s="75">
        <v>5829227</v>
      </c>
      <c r="B489" t="s">
        <v>2485</v>
      </c>
      <c r="C489" t="s">
        <v>2486</v>
      </c>
      <c r="D489" t="s">
        <v>527</v>
      </c>
      <c r="E489" t="s">
        <v>105</v>
      </c>
      <c r="F489" s="75">
        <v>605</v>
      </c>
      <c r="G489" s="75">
        <v>342857</v>
      </c>
      <c r="H489">
        <v>225</v>
      </c>
      <c r="I489" t="s">
        <v>163</v>
      </c>
      <c r="J489" s="75">
        <v>48887</v>
      </c>
      <c r="K489" t="s">
        <v>164</v>
      </c>
      <c r="L489" t="s">
        <v>165</v>
      </c>
      <c r="M489" s="81">
        <v>46069.303356481483</v>
      </c>
      <c r="N489" s="81">
        <v>46072.581504629627</v>
      </c>
      <c r="O489" t="s">
        <v>58</v>
      </c>
      <c r="P489" t="s">
        <v>59</v>
      </c>
      <c r="Q489" t="s">
        <v>77</v>
      </c>
      <c r="R489" t="s">
        <v>60</v>
      </c>
      <c r="S489" t="s">
        <v>583</v>
      </c>
      <c r="U489" s="75">
        <v>194353</v>
      </c>
      <c r="V489" t="s">
        <v>2487</v>
      </c>
      <c r="W489" t="s">
        <v>2488</v>
      </c>
      <c r="X489" t="s">
        <v>62</v>
      </c>
      <c r="Y489" t="s">
        <v>63</v>
      </c>
      <c r="AA489" t="s">
        <v>416</v>
      </c>
      <c r="AB489">
        <v>78.566666999999995</v>
      </c>
      <c r="AC489">
        <v>62.416665999999999</v>
      </c>
      <c r="AD489">
        <v>16.150001</v>
      </c>
      <c r="AE489">
        <v>8.3334000000000005E-2</v>
      </c>
      <c r="AF489">
        <v>0</v>
      </c>
      <c r="AG489">
        <v>16.066666999999999</v>
      </c>
      <c r="AH489">
        <v>16.066666999999999</v>
      </c>
      <c r="AI489">
        <v>15.316667000000001</v>
      </c>
      <c r="AJ489">
        <v>0.75</v>
      </c>
      <c r="AK489">
        <v>0</v>
      </c>
      <c r="AL489" s="76">
        <v>45888</v>
      </c>
      <c r="AM489" s="75">
        <v>181</v>
      </c>
      <c r="AN489" t="s">
        <v>65</v>
      </c>
      <c r="AO489" t="s">
        <v>2489</v>
      </c>
      <c r="AP489" t="s">
        <v>67</v>
      </c>
      <c r="AQ489" t="s">
        <v>68</v>
      </c>
      <c r="AR489" t="s">
        <v>69</v>
      </c>
      <c r="AS489" s="79"/>
      <c r="AT489" s="82" t="s">
        <v>2437</v>
      </c>
      <c r="AU489" s="78">
        <v>2026</v>
      </c>
      <c r="AV489" s="78">
        <v>2</v>
      </c>
      <c r="AW489" s="78" t="s">
        <v>71</v>
      </c>
      <c r="AX489" s="78">
        <v>0</v>
      </c>
      <c r="AY489" s="78">
        <v>0</v>
      </c>
      <c r="BT489" s="3" t="s">
        <v>71</v>
      </c>
      <c r="BU489" s="3">
        <v>0</v>
      </c>
      <c r="BV489" s="3">
        <v>0</v>
      </c>
    </row>
    <row r="490" spans="1:74" ht="15" customHeight="1" x14ac:dyDescent="0.25">
      <c r="A490" s="75">
        <v>5831633</v>
      </c>
      <c r="B490" t="s">
        <v>2490</v>
      </c>
      <c r="C490" t="s">
        <v>2491</v>
      </c>
      <c r="D490" t="s">
        <v>527</v>
      </c>
      <c r="E490" t="s">
        <v>54</v>
      </c>
      <c r="F490" s="75">
        <v>3</v>
      </c>
      <c r="G490" s="75">
        <v>292843</v>
      </c>
      <c r="H490">
        <v>995.89</v>
      </c>
      <c r="I490" t="s">
        <v>55</v>
      </c>
      <c r="J490" s="75">
        <v>21243</v>
      </c>
      <c r="K490" t="s">
        <v>283</v>
      </c>
      <c r="L490" t="s">
        <v>284</v>
      </c>
      <c r="M490" s="81">
        <v>46071.612939814811</v>
      </c>
      <c r="N490" s="81">
        <v>46072.599108796298</v>
      </c>
      <c r="O490" t="s">
        <v>58</v>
      </c>
      <c r="P490" t="s">
        <v>59</v>
      </c>
      <c r="R490" t="s">
        <v>60</v>
      </c>
      <c r="S490" t="s">
        <v>1543</v>
      </c>
      <c r="U490" s="75">
        <v>194231</v>
      </c>
      <c r="V490" t="s">
        <v>2492</v>
      </c>
      <c r="W490" t="s">
        <v>2492</v>
      </c>
      <c r="X490" t="s">
        <v>62</v>
      </c>
      <c r="Y490" t="s">
        <v>287</v>
      </c>
      <c r="AA490" t="s">
        <v>64</v>
      </c>
      <c r="AB490">
        <v>23.583331999999999</v>
      </c>
      <c r="AC490">
        <v>15.616666</v>
      </c>
      <c r="AD490">
        <v>7.966666</v>
      </c>
      <c r="AE490">
        <v>8.3333000000000004E-2</v>
      </c>
      <c r="AF490">
        <v>0</v>
      </c>
      <c r="AG490">
        <v>7.8833330000000004</v>
      </c>
      <c r="AH490">
        <v>7.8833330000000004</v>
      </c>
      <c r="AI490">
        <v>7.3</v>
      </c>
      <c r="AJ490">
        <v>0.58333299999999999</v>
      </c>
      <c r="AK490">
        <v>0</v>
      </c>
      <c r="AL490" s="76">
        <v>45281.609467592592</v>
      </c>
      <c r="AM490" s="75">
        <v>790</v>
      </c>
      <c r="AN490" t="s">
        <v>65</v>
      </c>
      <c r="AO490" t="s">
        <v>288</v>
      </c>
      <c r="AP490" t="s">
        <v>67</v>
      </c>
      <c r="AQ490" t="s">
        <v>68</v>
      </c>
      <c r="AR490" t="s">
        <v>69</v>
      </c>
      <c r="AS490" s="78"/>
      <c r="AT490" s="82" t="s">
        <v>2437</v>
      </c>
      <c r="AU490" s="78">
        <v>2026</v>
      </c>
      <c r="AV490" s="78">
        <v>2</v>
      </c>
      <c r="AW490" s="78" t="s">
        <v>137</v>
      </c>
      <c r="AX490" s="78">
        <v>1</v>
      </c>
      <c r="AY490" s="78">
        <v>0</v>
      </c>
      <c r="BT490" s="2" t="s">
        <v>137</v>
      </c>
      <c r="BU490" s="2">
        <v>1</v>
      </c>
      <c r="BV490" s="2">
        <v>0</v>
      </c>
    </row>
    <row r="491" spans="1:74" ht="15" customHeight="1" x14ac:dyDescent="0.25">
      <c r="A491" s="75">
        <v>5832135</v>
      </c>
      <c r="B491" t="s">
        <v>2493</v>
      </c>
      <c r="C491" t="s">
        <v>1133</v>
      </c>
      <c r="D491" t="s">
        <v>1052</v>
      </c>
      <c r="E491" t="s">
        <v>54</v>
      </c>
      <c r="F491" s="75">
        <v>6</v>
      </c>
      <c r="G491" s="75">
        <v>295417</v>
      </c>
      <c r="H491">
        <v>200</v>
      </c>
      <c r="I491" t="s">
        <v>55</v>
      </c>
      <c r="J491" s="75">
        <v>218297</v>
      </c>
      <c r="K491" t="s">
        <v>258</v>
      </c>
      <c r="L491" t="s">
        <v>259</v>
      </c>
      <c r="M491" s="81">
        <v>46071.781631944446</v>
      </c>
      <c r="N491" s="81">
        <v>46072.758067129631</v>
      </c>
      <c r="O491" t="s">
        <v>58</v>
      </c>
      <c r="P491" t="s">
        <v>59</v>
      </c>
      <c r="Q491" t="s">
        <v>77</v>
      </c>
      <c r="R491" t="s">
        <v>60</v>
      </c>
      <c r="S491" t="s">
        <v>1268</v>
      </c>
      <c r="U491" s="75">
        <v>194331</v>
      </c>
      <c r="V491" t="s">
        <v>2494</v>
      </c>
      <c r="W491" t="s">
        <v>2494</v>
      </c>
      <c r="X491" t="s">
        <v>62</v>
      </c>
      <c r="Y491" t="s">
        <v>63</v>
      </c>
      <c r="AA491" t="s">
        <v>101</v>
      </c>
      <c r="AB491">
        <v>23.383333</v>
      </c>
      <c r="AC491">
        <v>12.65</v>
      </c>
      <c r="AD491">
        <v>10.733333</v>
      </c>
      <c r="AE491">
        <v>0.5</v>
      </c>
      <c r="AF491">
        <v>0</v>
      </c>
      <c r="AG491">
        <v>10.233333</v>
      </c>
      <c r="AH491">
        <v>10.233333</v>
      </c>
      <c r="AI491">
        <v>9.65</v>
      </c>
      <c r="AJ491">
        <v>0.58333299999999999</v>
      </c>
      <c r="AK491">
        <v>0</v>
      </c>
      <c r="AL491" s="76">
        <v>45287.721863425933</v>
      </c>
      <c r="AM491" s="75">
        <v>784</v>
      </c>
      <c r="AN491" t="s">
        <v>65</v>
      </c>
      <c r="AO491" t="s">
        <v>1190</v>
      </c>
      <c r="AP491" t="s">
        <v>67</v>
      </c>
      <c r="AQ491" t="s">
        <v>68</v>
      </c>
      <c r="AR491" t="s">
        <v>69</v>
      </c>
      <c r="AS491" s="79"/>
      <c r="AT491" s="82" t="s">
        <v>2437</v>
      </c>
      <c r="AU491" s="78">
        <v>2026</v>
      </c>
      <c r="AV491" s="78">
        <v>2</v>
      </c>
      <c r="AW491" s="78" t="s">
        <v>71</v>
      </c>
      <c r="AX491" s="78">
        <v>0</v>
      </c>
      <c r="AY491" s="78">
        <v>0</v>
      </c>
      <c r="BT491" s="3" t="s">
        <v>71</v>
      </c>
      <c r="BU491" s="3">
        <v>0</v>
      </c>
      <c r="BV491" s="3">
        <v>0</v>
      </c>
    </row>
    <row r="492" spans="1:74" ht="15" customHeight="1" x14ac:dyDescent="0.25">
      <c r="A492" s="75">
        <v>5830055</v>
      </c>
      <c r="B492" t="s">
        <v>2495</v>
      </c>
      <c r="C492" t="s">
        <v>2496</v>
      </c>
      <c r="D492" t="s">
        <v>53</v>
      </c>
      <c r="E492" t="s">
        <v>54</v>
      </c>
      <c r="F492" s="75">
        <v>1</v>
      </c>
      <c r="G492" s="75">
        <v>298751</v>
      </c>
      <c r="H492">
        <v>314.39</v>
      </c>
      <c r="I492" t="s">
        <v>114</v>
      </c>
      <c r="J492" s="75">
        <v>218805</v>
      </c>
      <c r="K492" t="s">
        <v>356</v>
      </c>
      <c r="L492" t="s">
        <v>357</v>
      </c>
      <c r="M492" s="81">
        <v>46070.447569444441</v>
      </c>
      <c r="N492" s="81">
        <v>46072.822858796288</v>
      </c>
      <c r="O492" t="s">
        <v>58</v>
      </c>
      <c r="P492" t="s">
        <v>59</v>
      </c>
      <c r="R492" t="s">
        <v>60</v>
      </c>
      <c r="S492" t="s">
        <v>583</v>
      </c>
      <c r="U492" s="75">
        <v>195283</v>
      </c>
      <c r="V492" t="s">
        <v>2497</v>
      </c>
      <c r="W492" t="s">
        <v>2498</v>
      </c>
      <c r="X492" t="s">
        <v>62</v>
      </c>
      <c r="Y492" t="s">
        <v>63</v>
      </c>
      <c r="AA492" t="s">
        <v>64</v>
      </c>
      <c r="AB492">
        <v>56.916665999999999</v>
      </c>
      <c r="AC492">
        <v>50.883333</v>
      </c>
      <c r="AD492">
        <v>6.0333329999999998</v>
      </c>
      <c r="AE492">
        <v>0.41666700000000001</v>
      </c>
      <c r="AF492">
        <v>0</v>
      </c>
      <c r="AG492">
        <v>5.6166660000000004</v>
      </c>
      <c r="AH492">
        <v>5.6166660000000004</v>
      </c>
      <c r="AI492">
        <v>5.05</v>
      </c>
      <c r="AJ492">
        <v>0.566666</v>
      </c>
      <c r="AK492">
        <v>0</v>
      </c>
      <c r="AL492" s="76">
        <v>45288.671597222223</v>
      </c>
      <c r="AM492" s="75">
        <v>781</v>
      </c>
      <c r="AN492" t="s">
        <v>65</v>
      </c>
      <c r="AO492" t="s">
        <v>360</v>
      </c>
      <c r="AP492" t="s">
        <v>67</v>
      </c>
      <c r="AQ492" t="s">
        <v>68</v>
      </c>
      <c r="AR492" t="s">
        <v>69</v>
      </c>
      <c r="AS492" s="78"/>
      <c r="AT492" s="82" t="s">
        <v>2437</v>
      </c>
      <c r="AU492" s="78">
        <v>2026</v>
      </c>
      <c r="AV492" s="78">
        <v>2</v>
      </c>
      <c r="AW492" s="78" t="s">
        <v>71</v>
      </c>
      <c r="AX492" s="78">
        <v>1</v>
      </c>
      <c r="AY492" s="78">
        <v>0</v>
      </c>
      <c r="BT492" s="2" t="s">
        <v>71</v>
      </c>
      <c r="BU492" s="2">
        <v>1</v>
      </c>
      <c r="BV492" s="2">
        <v>0</v>
      </c>
    </row>
    <row r="493" spans="1:74" ht="15" customHeight="1" x14ac:dyDescent="0.25">
      <c r="A493" s="75">
        <v>5827913</v>
      </c>
      <c r="B493" t="s">
        <v>2499</v>
      </c>
      <c r="C493" t="s">
        <v>2500</v>
      </c>
      <c r="D493" t="s">
        <v>182</v>
      </c>
      <c r="E493" t="s">
        <v>105</v>
      </c>
      <c r="F493" s="75">
        <v>962</v>
      </c>
      <c r="G493" s="75">
        <v>278793</v>
      </c>
      <c r="H493">
        <v>1025.04</v>
      </c>
      <c r="I493" t="s">
        <v>266</v>
      </c>
      <c r="J493" s="75">
        <v>48887</v>
      </c>
      <c r="K493" t="s">
        <v>164</v>
      </c>
      <c r="L493" t="s">
        <v>165</v>
      </c>
      <c r="M493" s="81">
        <v>46066.654826388891</v>
      </c>
      <c r="N493" s="81">
        <v>46073.406851851847</v>
      </c>
      <c r="O493" t="s">
        <v>58</v>
      </c>
      <c r="P493" t="s">
        <v>59</v>
      </c>
      <c r="Q493" t="s">
        <v>77</v>
      </c>
      <c r="R493" t="s">
        <v>60</v>
      </c>
      <c r="S493" t="s">
        <v>583</v>
      </c>
      <c r="T493" t="s">
        <v>507</v>
      </c>
      <c r="U493" s="75">
        <v>193587</v>
      </c>
      <c r="V493" t="s">
        <v>2501</v>
      </c>
      <c r="W493" t="s">
        <v>2502</v>
      </c>
      <c r="X493" t="s">
        <v>62</v>
      </c>
      <c r="Y493" t="s">
        <v>63</v>
      </c>
      <c r="AA493" t="s">
        <v>64</v>
      </c>
      <c r="AB493">
        <v>161.94999899999999</v>
      </c>
      <c r="AC493">
        <v>156.15</v>
      </c>
      <c r="AD493">
        <v>5.7999989999999997</v>
      </c>
      <c r="AE493">
        <v>0.11666700000000001</v>
      </c>
      <c r="AF493">
        <v>0</v>
      </c>
      <c r="AG493">
        <v>5.6833320000000001</v>
      </c>
      <c r="AH493">
        <v>5.6833320000000001</v>
      </c>
      <c r="AI493">
        <v>5.449999</v>
      </c>
      <c r="AJ493">
        <v>0.23333300000000001</v>
      </c>
      <c r="AK493">
        <v>0</v>
      </c>
      <c r="AL493" s="76">
        <v>44441</v>
      </c>
      <c r="AM493" s="75">
        <v>1625</v>
      </c>
      <c r="AN493" t="s">
        <v>65</v>
      </c>
      <c r="AO493" t="s">
        <v>2503</v>
      </c>
      <c r="AP493" t="s">
        <v>67</v>
      </c>
      <c r="AQ493" t="s">
        <v>68</v>
      </c>
      <c r="AR493" t="s">
        <v>69</v>
      </c>
      <c r="AS493" s="79"/>
      <c r="AT493" s="82" t="s">
        <v>2437</v>
      </c>
      <c r="AU493" s="78">
        <v>2026</v>
      </c>
      <c r="AV493" s="78">
        <v>2</v>
      </c>
      <c r="AW493" s="78" t="s">
        <v>71</v>
      </c>
      <c r="AX493" s="78">
        <v>1</v>
      </c>
      <c r="AY493" s="78">
        <v>0</v>
      </c>
      <c r="BT493" s="3" t="s">
        <v>71</v>
      </c>
      <c r="BU493" s="3">
        <v>1</v>
      </c>
      <c r="BV493" s="3">
        <v>0</v>
      </c>
    </row>
    <row r="494" spans="1:74" ht="15" customHeight="1" x14ac:dyDescent="0.25">
      <c r="A494" s="75">
        <v>5827065</v>
      </c>
      <c r="B494" t="s">
        <v>2504</v>
      </c>
      <c r="C494" t="s">
        <v>2505</v>
      </c>
      <c r="D494" t="s">
        <v>527</v>
      </c>
      <c r="E494" t="s">
        <v>87</v>
      </c>
      <c r="F494" s="75">
        <v>466</v>
      </c>
      <c r="G494" s="75">
        <v>301863</v>
      </c>
      <c r="H494">
        <v>940.56</v>
      </c>
      <c r="I494" t="s">
        <v>55</v>
      </c>
      <c r="J494" s="75">
        <v>49495</v>
      </c>
      <c r="K494" t="s">
        <v>460</v>
      </c>
      <c r="L494" t="s">
        <v>461</v>
      </c>
      <c r="M494" s="81">
        <v>46066.444953703707</v>
      </c>
      <c r="N494" s="81">
        <v>46073.438206018523</v>
      </c>
      <c r="P494" t="s">
        <v>59</v>
      </c>
      <c r="Q494" t="s">
        <v>90</v>
      </c>
      <c r="R494" t="s">
        <v>99</v>
      </c>
      <c r="S494" t="s">
        <v>1244</v>
      </c>
      <c r="U494" s="75">
        <v>192425</v>
      </c>
      <c r="V494" t="s">
        <v>2506</v>
      </c>
      <c r="X494" t="s">
        <v>62</v>
      </c>
      <c r="Y494" t="s">
        <v>2297</v>
      </c>
      <c r="AA494" t="s">
        <v>81</v>
      </c>
      <c r="AB494">
        <v>167.783334</v>
      </c>
      <c r="AC494">
        <v>162.65</v>
      </c>
      <c r="AD494">
        <v>5.1333339999999996</v>
      </c>
      <c r="AE494">
        <v>2.016667</v>
      </c>
      <c r="AF494">
        <v>0</v>
      </c>
      <c r="AG494">
        <v>3.1166670000000001</v>
      </c>
      <c r="AH494">
        <v>3.1166670000000001</v>
      </c>
      <c r="AI494">
        <v>2.016667</v>
      </c>
      <c r="AJ494">
        <v>1.1000000000000001</v>
      </c>
      <c r="AK494">
        <v>0</v>
      </c>
      <c r="AL494" s="76">
        <v>45387.650567129633</v>
      </c>
      <c r="AM494" s="75">
        <v>678</v>
      </c>
      <c r="AN494" t="s">
        <v>65</v>
      </c>
      <c r="AO494" t="s">
        <v>2507</v>
      </c>
      <c r="AP494" t="s">
        <v>67</v>
      </c>
      <c r="AQ494" t="s">
        <v>68</v>
      </c>
      <c r="AR494" t="s">
        <v>69</v>
      </c>
      <c r="AS494" s="78"/>
      <c r="AT494" s="82" t="s">
        <v>2437</v>
      </c>
      <c r="AU494" s="78">
        <v>2026</v>
      </c>
      <c r="AV494" s="78">
        <v>2</v>
      </c>
      <c r="AW494" s="78" t="s">
        <v>137</v>
      </c>
      <c r="AX494" s="78">
        <v>1</v>
      </c>
      <c r="AY494" s="78">
        <v>0</v>
      </c>
      <c r="BT494" s="2" t="s">
        <v>137</v>
      </c>
      <c r="BU494" s="2">
        <v>1</v>
      </c>
      <c r="BV494" s="2">
        <v>0</v>
      </c>
    </row>
    <row r="495" spans="1:74" ht="15" customHeight="1" x14ac:dyDescent="0.25">
      <c r="A495" s="75">
        <v>5829585</v>
      </c>
      <c r="B495" t="s">
        <v>2508</v>
      </c>
      <c r="C495" t="s">
        <v>2509</v>
      </c>
      <c r="D495" t="s">
        <v>182</v>
      </c>
      <c r="E495" t="s">
        <v>87</v>
      </c>
      <c r="F495" s="75">
        <v>411</v>
      </c>
      <c r="G495" s="75">
        <v>289221</v>
      </c>
      <c r="H495">
        <v>382.47</v>
      </c>
      <c r="I495" t="s">
        <v>55</v>
      </c>
      <c r="J495" s="75">
        <v>216233</v>
      </c>
      <c r="K495" t="s">
        <v>88</v>
      </c>
      <c r="L495" t="s">
        <v>89</v>
      </c>
      <c r="M495" s="81">
        <v>46069.639386574083</v>
      </c>
      <c r="N495" s="81">
        <v>46073.438773148147</v>
      </c>
      <c r="O495" t="s">
        <v>58</v>
      </c>
      <c r="P495" t="s">
        <v>59</v>
      </c>
      <c r="Q495" t="s">
        <v>90</v>
      </c>
      <c r="R495" t="s">
        <v>99</v>
      </c>
      <c r="S495" t="s">
        <v>1244</v>
      </c>
      <c r="U495" s="75">
        <v>195445</v>
      </c>
      <c r="V495" t="s">
        <v>2510</v>
      </c>
      <c r="W495" t="s">
        <v>2511</v>
      </c>
      <c r="X495" t="s">
        <v>62</v>
      </c>
      <c r="Y495" t="s">
        <v>63</v>
      </c>
      <c r="AA495" t="s">
        <v>101</v>
      </c>
      <c r="AB495">
        <v>91.1</v>
      </c>
      <c r="AC495">
        <v>80.566666999999995</v>
      </c>
      <c r="AD495">
        <v>10.533333000000001</v>
      </c>
      <c r="AE495">
        <v>0.11666700000000001</v>
      </c>
      <c r="AF495">
        <v>0</v>
      </c>
      <c r="AG495">
        <v>10.416665999999999</v>
      </c>
      <c r="AH495">
        <v>10.416665999999999</v>
      </c>
      <c r="AI495">
        <v>9.5</v>
      </c>
      <c r="AJ495">
        <v>0.91666599999999998</v>
      </c>
      <c r="AK495">
        <v>0</v>
      </c>
      <c r="AL495" s="76">
        <v>44994</v>
      </c>
      <c r="AM495" s="75">
        <v>1075</v>
      </c>
      <c r="AN495" t="s">
        <v>65</v>
      </c>
      <c r="AO495" t="s">
        <v>2512</v>
      </c>
      <c r="AP495" t="s">
        <v>67</v>
      </c>
      <c r="AQ495" t="s">
        <v>68</v>
      </c>
      <c r="AR495" t="s">
        <v>69</v>
      </c>
      <c r="AS495" s="79"/>
      <c r="AT495" s="82" t="s">
        <v>2437</v>
      </c>
      <c r="AU495" s="78">
        <v>2026</v>
      </c>
      <c r="AV495" s="78">
        <v>2</v>
      </c>
      <c r="AW495" s="78" t="s">
        <v>71</v>
      </c>
      <c r="AX495" s="78">
        <v>0</v>
      </c>
      <c r="AY495" s="78">
        <v>0</v>
      </c>
      <c r="BT495" s="3" t="s">
        <v>71</v>
      </c>
      <c r="BU495" s="3">
        <v>0</v>
      </c>
      <c r="BV495" s="3">
        <v>0</v>
      </c>
    </row>
    <row r="496" spans="1:74" ht="15" customHeight="1" x14ac:dyDescent="0.25">
      <c r="A496" s="75">
        <v>5829589</v>
      </c>
      <c r="B496" t="s">
        <v>2513</v>
      </c>
      <c r="C496" t="s">
        <v>2514</v>
      </c>
      <c r="D496" t="s">
        <v>182</v>
      </c>
      <c r="E496" t="s">
        <v>87</v>
      </c>
      <c r="F496" s="75">
        <v>121</v>
      </c>
      <c r="G496" s="75">
        <v>285579</v>
      </c>
      <c r="H496">
        <v>368.16</v>
      </c>
      <c r="I496" t="s">
        <v>55</v>
      </c>
      <c r="J496" s="75">
        <v>218791</v>
      </c>
      <c r="K496" t="s">
        <v>312</v>
      </c>
      <c r="L496" t="s">
        <v>313</v>
      </c>
      <c r="M496" s="81">
        <v>46069.639421296299</v>
      </c>
      <c r="N496" s="81">
        <v>46073.441284722219</v>
      </c>
      <c r="O496" t="s">
        <v>58</v>
      </c>
      <c r="P496" t="s">
        <v>59</v>
      </c>
      <c r="Q496" t="s">
        <v>90</v>
      </c>
      <c r="R496" t="s">
        <v>60</v>
      </c>
      <c r="S496" t="s">
        <v>583</v>
      </c>
      <c r="U496" s="75">
        <v>193229</v>
      </c>
      <c r="V496" t="s">
        <v>2515</v>
      </c>
      <c r="W496" t="s">
        <v>2515</v>
      </c>
      <c r="X496" t="s">
        <v>62</v>
      </c>
      <c r="Y496" t="s">
        <v>63</v>
      </c>
      <c r="AA496" t="s">
        <v>101</v>
      </c>
      <c r="AB496">
        <v>91.199997999999994</v>
      </c>
      <c r="AC496">
        <v>80.149998999999994</v>
      </c>
      <c r="AD496">
        <v>11.049999</v>
      </c>
      <c r="AE496">
        <v>0.25</v>
      </c>
      <c r="AF496">
        <v>0</v>
      </c>
      <c r="AG496">
        <v>10.799999</v>
      </c>
      <c r="AH496">
        <v>10.799999</v>
      </c>
      <c r="AI496">
        <v>10.516666000000001</v>
      </c>
      <c r="AJ496">
        <v>0.283333</v>
      </c>
      <c r="AK496">
        <v>0</v>
      </c>
      <c r="AL496" s="76">
        <v>44866.383796296293</v>
      </c>
      <c r="AM496" s="75">
        <v>1203</v>
      </c>
      <c r="AN496" t="s">
        <v>65</v>
      </c>
      <c r="AO496" t="s">
        <v>2516</v>
      </c>
      <c r="AP496" t="s">
        <v>67</v>
      </c>
      <c r="AQ496" t="s">
        <v>68</v>
      </c>
      <c r="AR496" t="s">
        <v>69</v>
      </c>
      <c r="AS496" s="78"/>
      <c r="AT496" s="82" t="s">
        <v>2437</v>
      </c>
      <c r="AU496" s="78">
        <v>2026</v>
      </c>
      <c r="AV496" s="78">
        <v>2</v>
      </c>
      <c r="AW496" s="78" t="s">
        <v>71</v>
      </c>
      <c r="AX496" s="78">
        <v>0</v>
      </c>
      <c r="AY496" s="78">
        <v>0</v>
      </c>
      <c r="BT496" s="2" t="s">
        <v>71</v>
      </c>
      <c r="BU496" s="2">
        <v>0</v>
      </c>
      <c r="BV496" s="2">
        <v>0</v>
      </c>
    </row>
    <row r="497" spans="1:74" ht="15" customHeight="1" x14ac:dyDescent="0.25">
      <c r="A497" s="75">
        <v>5830099</v>
      </c>
      <c r="B497" t="s">
        <v>2517</v>
      </c>
      <c r="C497" t="s">
        <v>2518</v>
      </c>
      <c r="D497" t="s">
        <v>182</v>
      </c>
      <c r="E497" t="s">
        <v>105</v>
      </c>
      <c r="F497" s="75">
        <v>63</v>
      </c>
      <c r="G497" s="75">
        <v>301113</v>
      </c>
      <c r="H497">
        <v>109.9</v>
      </c>
      <c r="I497" t="s">
        <v>195</v>
      </c>
      <c r="J497" s="75">
        <v>214913</v>
      </c>
      <c r="K497" t="s">
        <v>1057</v>
      </c>
      <c r="L497" t="s">
        <v>1058</v>
      </c>
      <c r="M497" s="81">
        <v>46070.497627314813</v>
      </c>
      <c r="N497" s="81">
        <v>46073.442476851851</v>
      </c>
      <c r="O497" t="s">
        <v>58</v>
      </c>
      <c r="P497" t="s">
        <v>59</v>
      </c>
      <c r="Q497" t="s">
        <v>130</v>
      </c>
      <c r="R497" t="s">
        <v>60</v>
      </c>
      <c r="S497" t="s">
        <v>583</v>
      </c>
      <c r="U497" s="75">
        <v>193883</v>
      </c>
      <c r="V497" t="s">
        <v>2519</v>
      </c>
      <c r="W497" t="s">
        <v>2520</v>
      </c>
      <c r="X497" t="s">
        <v>62</v>
      </c>
      <c r="Y497" t="s">
        <v>63</v>
      </c>
      <c r="AA497" t="s">
        <v>416</v>
      </c>
      <c r="AB497">
        <v>70.633334000000005</v>
      </c>
      <c r="AC497">
        <v>58.350000999999999</v>
      </c>
      <c r="AD497">
        <v>12.283333000000001</v>
      </c>
      <c r="AE497">
        <v>0.1</v>
      </c>
      <c r="AF497">
        <v>0</v>
      </c>
      <c r="AG497">
        <v>12.183332999999999</v>
      </c>
      <c r="AH497">
        <v>12.183332999999999</v>
      </c>
      <c r="AI497">
        <v>11.916665999999999</v>
      </c>
      <c r="AJ497">
        <v>0.26666699999999999</v>
      </c>
      <c r="AK497">
        <v>0</v>
      </c>
      <c r="AL497" s="76">
        <v>45527.921076388891</v>
      </c>
      <c r="AM497" s="75">
        <v>542</v>
      </c>
      <c r="AN497" t="s">
        <v>65</v>
      </c>
      <c r="AO497" t="s">
        <v>2521</v>
      </c>
      <c r="AP497" t="s">
        <v>67</v>
      </c>
      <c r="AQ497" t="s">
        <v>68</v>
      </c>
      <c r="AR497" t="s">
        <v>69</v>
      </c>
      <c r="AS497" s="79"/>
      <c r="AT497" s="82" t="s">
        <v>2437</v>
      </c>
      <c r="AU497" s="78">
        <v>2026</v>
      </c>
      <c r="AV497" s="78">
        <v>2</v>
      </c>
      <c r="AW497" s="78" t="s">
        <v>71</v>
      </c>
      <c r="AX497" s="78">
        <v>0</v>
      </c>
      <c r="AY497" s="78">
        <v>0</v>
      </c>
      <c r="BT497" s="3" t="s">
        <v>71</v>
      </c>
      <c r="BU497" s="3">
        <v>0</v>
      </c>
      <c r="BV497" s="3">
        <v>0</v>
      </c>
    </row>
    <row r="498" spans="1:74" ht="15" customHeight="1" x14ac:dyDescent="0.25">
      <c r="A498" s="75">
        <v>5830213</v>
      </c>
      <c r="B498" t="s">
        <v>2522</v>
      </c>
      <c r="C498" t="s">
        <v>2523</v>
      </c>
      <c r="D498" t="s">
        <v>182</v>
      </c>
      <c r="E498" t="s">
        <v>87</v>
      </c>
      <c r="F498" s="75">
        <v>305</v>
      </c>
      <c r="G498" s="75">
        <v>287673</v>
      </c>
      <c r="H498">
        <v>154.15</v>
      </c>
      <c r="I498" t="s">
        <v>853</v>
      </c>
      <c r="J498" s="75">
        <v>49495</v>
      </c>
      <c r="K498" t="s">
        <v>460</v>
      </c>
      <c r="L498" t="s">
        <v>461</v>
      </c>
      <c r="M498" s="81">
        <v>46070.597488425927</v>
      </c>
      <c r="N498" s="81">
        <v>46073.445150462961</v>
      </c>
      <c r="O498" t="s">
        <v>58</v>
      </c>
      <c r="P498" t="s">
        <v>59</v>
      </c>
      <c r="Q498" t="s">
        <v>90</v>
      </c>
      <c r="R498" t="s">
        <v>99</v>
      </c>
      <c r="S498" t="s">
        <v>1244</v>
      </c>
      <c r="U498" s="75"/>
      <c r="X498" t="s">
        <v>62</v>
      </c>
      <c r="Y498" t="s">
        <v>1049</v>
      </c>
      <c r="AA498" t="s">
        <v>81</v>
      </c>
      <c r="AB498">
        <v>68.299999</v>
      </c>
      <c r="AC498">
        <v>68.150000000000006</v>
      </c>
      <c r="AD498">
        <v>0.14999899999999999</v>
      </c>
      <c r="AE498">
        <v>0.11666600000000001</v>
      </c>
      <c r="AF498">
        <v>0</v>
      </c>
      <c r="AG498">
        <v>3.3333000000000002E-2</v>
      </c>
      <c r="AH498">
        <v>3.3333000000000002E-2</v>
      </c>
      <c r="AI498">
        <v>0</v>
      </c>
      <c r="AJ498">
        <v>3.3333000000000002E-2</v>
      </c>
      <c r="AK498">
        <v>0</v>
      </c>
      <c r="AL498" s="76">
        <v>45448.3908912037</v>
      </c>
      <c r="AM498" s="75">
        <v>622</v>
      </c>
      <c r="AN498" t="s">
        <v>65</v>
      </c>
      <c r="AO498" t="s">
        <v>1642</v>
      </c>
      <c r="AP498" t="s">
        <v>67</v>
      </c>
      <c r="AQ498" t="s">
        <v>68</v>
      </c>
      <c r="AR498" t="s">
        <v>69</v>
      </c>
      <c r="AS498" s="78"/>
      <c r="AT498" s="82" t="s">
        <v>2437</v>
      </c>
      <c r="AU498" s="78">
        <v>2026</v>
      </c>
      <c r="AV498" s="78">
        <v>2</v>
      </c>
      <c r="AW498" s="78" t="s">
        <v>137</v>
      </c>
      <c r="AX498" s="78">
        <v>1</v>
      </c>
      <c r="AY498" s="78">
        <v>0</v>
      </c>
      <c r="BT498" s="2" t="s">
        <v>137</v>
      </c>
      <c r="BU498" s="2">
        <v>1</v>
      </c>
      <c r="BV498" s="2">
        <v>0</v>
      </c>
    </row>
    <row r="499" spans="1:74" ht="15" customHeight="1" x14ac:dyDescent="0.25">
      <c r="A499" s="75">
        <v>5831585</v>
      </c>
      <c r="B499" t="s">
        <v>2524</v>
      </c>
      <c r="C499" t="s">
        <v>2525</v>
      </c>
      <c r="D499" t="s">
        <v>182</v>
      </c>
      <c r="E499" t="s">
        <v>54</v>
      </c>
      <c r="F499" s="75">
        <v>1</v>
      </c>
      <c r="G499" s="75">
        <v>290153</v>
      </c>
      <c r="H499">
        <v>1572.45</v>
      </c>
      <c r="I499" t="s">
        <v>114</v>
      </c>
      <c r="J499" s="75">
        <v>217507</v>
      </c>
      <c r="K499" t="s">
        <v>588</v>
      </c>
      <c r="L499" t="s">
        <v>589</v>
      </c>
      <c r="M499" s="81">
        <v>46071.598009259258</v>
      </c>
      <c r="N499" s="81">
        <v>46073.454444444447</v>
      </c>
      <c r="O499" t="s">
        <v>58</v>
      </c>
      <c r="P499" t="s">
        <v>59</v>
      </c>
      <c r="Q499" t="s">
        <v>130</v>
      </c>
      <c r="R499" t="s">
        <v>99</v>
      </c>
      <c r="S499" t="s">
        <v>1244</v>
      </c>
      <c r="U499" s="75">
        <v>194209</v>
      </c>
      <c r="V499" t="s">
        <v>2526</v>
      </c>
      <c r="W499" t="s">
        <v>2526</v>
      </c>
      <c r="X499" t="s">
        <v>62</v>
      </c>
      <c r="Y499" t="s">
        <v>63</v>
      </c>
      <c r="AA499" t="s">
        <v>81</v>
      </c>
      <c r="AB499">
        <v>44.500000999999997</v>
      </c>
      <c r="AC499">
        <v>41.766666999999998</v>
      </c>
      <c r="AD499">
        <v>2.7333340000000002</v>
      </c>
      <c r="AE499">
        <v>0.2</v>
      </c>
      <c r="AF499">
        <v>0</v>
      </c>
      <c r="AG499">
        <v>2.533334</v>
      </c>
      <c r="AH499">
        <v>2.533334</v>
      </c>
      <c r="AI499">
        <v>2.3666670000000001</v>
      </c>
      <c r="AJ499">
        <v>0.16666700000000001</v>
      </c>
      <c r="AK499">
        <v>0</v>
      </c>
      <c r="AL499" s="76">
        <v>45045</v>
      </c>
      <c r="AM499" s="75">
        <v>1026</v>
      </c>
      <c r="AN499" t="s">
        <v>65</v>
      </c>
      <c r="AO499" t="s">
        <v>593</v>
      </c>
      <c r="AP499" t="s">
        <v>67</v>
      </c>
      <c r="AQ499" t="s">
        <v>68</v>
      </c>
      <c r="AR499" t="s">
        <v>69</v>
      </c>
      <c r="AS499" s="79"/>
      <c r="AT499" s="82" t="s">
        <v>2437</v>
      </c>
      <c r="AU499" s="78">
        <v>2026</v>
      </c>
      <c r="AV499" s="78">
        <v>2</v>
      </c>
      <c r="AW499" s="78" t="s">
        <v>71</v>
      </c>
      <c r="AX499" s="78">
        <v>1</v>
      </c>
      <c r="AY499" s="78">
        <v>0</v>
      </c>
      <c r="BT499" s="3" t="s">
        <v>71</v>
      </c>
      <c r="BU499" s="3">
        <v>1</v>
      </c>
      <c r="BV499" s="3">
        <v>0</v>
      </c>
    </row>
    <row r="500" spans="1:74" ht="15" customHeight="1" x14ac:dyDescent="0.25">
      <c r="A500" s="75">
        <v>5832137</v>
      </c>
      <c r="B500" t="s">
        <v>2527</v>
      </c>
      <c r="C500" t="s">
        <v>2528</v>
      </c>
      <c r="D500" t="s">
        <v>182</v>
      </c>
      <c r="E500" t="s">
        <v>87</v>
      </c>
      <c r="F500" s="75">
        <v>94</v>
      </c>
      <c r="G500" s="75">
        <v>279819</v>
      </c>
      <c r="H500">
        <v>2633.75</v>
      </c>
      <c r="I500" t="s">
        <v>266</v>
      </c>
      <c r="J500" s="75">
        <v>149307</v>
      </c>
      <c r="K500" t="s">
        <v>350</v>
      </c>
      <c r="L500" t="s">
        <v>351</v>
      </c>
      <c r="M500" s="81">
        <v>46071.785011574073</v>
      </c>
      <c r="N500" s="81">
        <v>46073.456284722219</v>
      </c>
      <c r="O500" t="s">
        <v>58</v>
      </c>
      <c r="P500" t="s">
        <v>59</v>
      </c>
      <c r="Q500" t="s">
        <v>90</v>
      </c>
      <c r="R500" t="s">
        <v>144</v>
      </c>
      <c r="S500" t="s">
        <v>2121</v>
      </c>
      <c r="U500" s="75">
        <v>194339</v>
      </c>
      <c r="V500" t="s">
        <v>2529</v>
      </c>
      <c r="X500" t="s">
        <v>62</v>
      </c>
      <c r="Y500" t="s">
        <v>271</v>
      </c>
      <c r="AA500" t="s">
        <v>81</v>
      </c>
      <c r="AB500">
        <v>40.050001000000002</v>
      </c>
      <c r="AC500">
        <v>37.766666999999998</v>
      </c>
      <c r="AD500">
        <v>2.283334</v>
      </c>
      <c r="AE500">
        <v>1.1833340000000001</v>
      </c>
      <c r="AF500">
        <v>0</v>
      </c>
      <c r="AG500">
        <v>1.1000000000000001</v>
      </c>
      <c r="AH500">
        <v>1.1000000000000001</v>
      </c>
      <c r="AI500">
        <v>0</v>
      </c>
      <c r="AJ500">
        <v>1.1000000000000001</v>
      </c>
      <c r="AK500">
        <v>0</v>
      </c>
      <c r="AL500" s="76">
        <v>44795</v>
      </c>
      <c r="AM500" s="75">
        <v>1276</v>
      </c>
      <c r="AN500" t="s">
        <v>65</v>
      </c>
      <c r="AO500" t="s">
        <v>2530</v>
      </c>
      <c r="AP500" t="s">
        <v>67</v>
      </c>
      <c r="AQ500" t="s">
        <v>68</v>
      </c>
      <c r="AR500" t="s">
        <v>69</v>
      </c>
      <c r="AS500" s="78"/>
      <c r="AT500" s="82" t="s">
        <v>2437</v>
      </c>
      <c r="AU500" s="78">
        <v>2026</v>
      </c>
      <c r="AV500" s="78">
        <v>2</v>
      </c>
      <c r="AW500" s="78" t="s">
        <v>137</v>
      </c>
      <c r="AX500" s="78">
        <v>1</v>
      </c>
      <c r="AY500" s="78">
        <v>0</v>
      </c>
      <c r="BT500" s="2" t="s">
        <v>137</v>
      </c>
      <c r="BU500" s="2">
        <v>1</v>
      </c>
      <c r="BV500" s="2">
        <v>0</v>
      </c>
    </row>
    <row r="501" spans="1:74" ht="15" customHeight="1" x14ac:dyDescent="0.25">
      <c r="A501" s="75">
        <v>5834059</v>
      </c>
      <c r="B501" t="s">
        <v>2531</v>
      </c>
      <c r="C501" t="s">
        <v>1626</v>
      </c>
      <c r="D501" t="s">
        <v>1388</v>
      </c>
      <c r="E501" t="s">
        <v>87</v>
      </c>
      <c r="F501" s="75">
        <v>617</v>
      </c>
      <c r="G501" s="75">
        <v>345763</v>
      </c>
      <c r="H501">
        <v>398.82</v>
      </c>
      <c r="I501" t="s">
        <v>175</v>
      </c>
      <c r="J501" s="75">
        <v>216233</v>
      </c>
      <c r="K501" t="s">
        <v>88</v>
      </c>
      <c r="L501" t="s">
        <v>89</v>
      </c>
      <c r="M501" s="81">
        <v>46072.750740740739</v>
      </c>
      <c r="N501" s="81">
        <v>46073.457488425927</v>
      </c>
      <c r="O501" t="s">
        <v>58</v>
      </c>
      <c r="P501" t="s">
        <v>59</v>
      </c>
      <c r="Q501" t="s">
        <v>90</v>
      </c>
      <c r="R501" t="s">
        <v>60</v>
      </c>
      <c r="S501" t="s">
        <v>583</v>
      </c>
      <c r="U501" s="75">
        <v>195367</v>
      </c>
      <c r="V501" t="s">
        <v>2532</v>
      </c>
      <c r="W501" t="s">
        <v>2532</v>
      </c>
      <c r="X501" t="s">
        <v>62</v>
      </c>
      <c r="Y501" t="s">
        <v>63</v>
      </c>
      <c r="AA501" t="s">
        <v>81</v>
      </c>
      <c r="AB501">
        <v>16.899999999999999</v>
      </c>
      <c r="AC501">
        <v>15.7</v>
      </c>
      <c r="AD501">
        <v>1.2</v>
      </c>
      <c r="AE501">
        <v>0.9</v>
      </c>
      <c r="AF501">
        <v>0</v>
      </c>
      <c r="AG501">
        <v>0.3</v>
      </c>
      <c r="AH501">
        <v>0.3</v>
      </c>
      <c r="AI501">
        <v>0</v>
      </c>
      <c r="AJ501">
        <v>0.3</v>
      </c>
      <c r="AK501">
        <v>0</v>
      </c>
      <c r="AL501" s="76">
        <v>45944</v>
      </c>
      <c r="AM501" s="75">
        <v>128</v>
      </c>
      <c r="AN501" t="s">
        <v>65</v>
      </c>
      <c r="AO501" t="s">
        <v>1629</v>
      </c>
      <c r="AP501" t="s">
        <v>67</v>
      </c>
      <c r="AQ501" t="s">
        <v>68</v>
      </c>
      <c r="AR501" t="s">
        <v>69</v>
      </c>
      <c r="AS501" s="79"/>
      <c r="AT501" s="82" t="s">
        <v>2437</v>
      </c>
      <c r="AU501" s="78">
        <v>2026</v>
      </c>
      <c r="AV501" s="78">
        <v>2</v>
      </c>
      <c r="AW501" s="78" t="s">
        <v>71</v>
      </c>
      <c r="AX501" s="78">
        <v>1</v>
      </c>
      <c r="AY501" s="78">
        <v>0</v>
      </c>
      <c r="BT501" s="3" t="s">
        <v>71</v>
      </c>
      <c r="BU501" s="3">
        <v>1</v>
      </c>
      <c r="BV501" s="3">
        <v>0</v>
      </c>
    </row>
    <row r="502" spans="1:74" ht="15" customHeight="1" x14ac:dyDescent="0.25">
      <c r="A502" s="75">
        <v>5831649</v>
      </c>
      <c r="B502" t="s">
        <v>2533</v>
      </c>
      <c r="C502" t="s">
        <v>2534</v>
      </c>
      <c r="D502" t="s">
        <v>1388</v>
      </c>
      <c r="E502" t="s">
        <v>87</v>
      </c>
      <c r="F502" s="75">
        <v>545</v>
      </c>
      <c r="G502" s="75">
        <v>298909</v>
      </c>
      <c r="H502">
        <v>0.01</v>
      </c>
      <c r="I502" t="s">
        <v>1405</v>
      </c>
      <c r="J502" s="75">
        <v>216233</v>
      </c>
      <c r="K502" t="s">
        <v>88</v>
      </c>
      <c r="L502" t="s">
        <v>89</v>
      </c>
      <c r="M502" s="81">
        <v>46071.618460648147</v>
      </c>
      <c r="N502" s="81">
        <v>46073.45925925926</v>
      </c>
      <c r="O502" t="s">
        <v>58</v>
      </c>
      <c r="P502" t="s">
        <v>59</v>
      </c>
      <c r="Q502" t="s">
        <v>90</v>
      </c>
      <c r="R502" t="s">
        <v>60</v>
      </c>
      <c r="S502" t="s">
        <v>583</v>
      </c>
      <c r="U502" s="75">
        <v>194393</v>
      </c>
      <c r="V502" t="s">
        <v>2535</v>
      </c>
      <c r="W502" t="s">
        <v>2536</v>
      </c>
      <c r="X502" t="s">
        <v>62</v>
      </c>
      <c r="Y502" t="s">
        <v>63</v>
      </c>
      <c r="AA502" t="s">
        <v>416</v>
      </c>
      <c r="AB502">
        <v>44.066665999999998</v>
      </c>
      <c r="AC502">
        <v>28.883333</v>
      </c>
      <c r="AD502">
        <v>15.183332999999999</v>
      </c>
      <c r="AE502">
        <v>0.33333400000000002</v>
      </c>
      <c r="AF502">
        <v>0</v>
      </c>
      <c r="AG502">
        <v>14.849999</v>
      </c>
      <c r="AH502">
        <v>14.849999</v>
      </c>
      <c r="AI502">
        <v>13.733333</v>
      </c>
      <c r="AJ502">
        <v>1.1166659999999999</v>
      </c>
      <c r="AK502">
        <v>0</v>
      </c>
      <c r="AL502" s="76">
        <v>45742.36855324074</v>
      </c>
      <c r="AM502" s="75">
        <v>329</v>
      </c>
      <c r="AN502" t="s">
        <v>65</v>
      </c>
      <c r="AO502" t="s">
        <v>2303</v>
      </c>
      <c r="AP502" t="s">
        <v>67</v>
      </c>
      <c r="AQ502" t="s">
        <v>68</v>
      </c>
      <c r="AR502" t="s">
        <v>69</v>
      </c>
      <c r="AS502" s="78"/>
      <c r="AT502" s="82" t="s">
        <v>2437</v>
      </c>
      <c r="AU502" s="78">
        <v>2026</v>
      </c>
      <c r="AV502" s="78">
        <v>2</v>
      </c>
      <c r="AW502" s="78" t="s">
        <v>71</v>
      </c>
      <c r="AX502" s="78">
        <v>0</v>
      </c>
      <c r="AY502" s="78">
        <v>0</v>
      </c>
      <c r="BT502" s="2" t="s">
        <v>71</v>
      </c>
      <c r="BU502" s="2">
        <v>0</v>
      </c>
      <c r="BV502" s="2">
        <v>0</v>
      </c>
    </row>
    <row r="503" spans="1:74" ht="15" customHeight="1" x14ac:dyDescent="0.25">
      <c r="A503" s="75">
        <v>5833631</v>
      </c>
      <c r="B503" t="s">
        <v>2537</v>
      </c>
      <c r="C503" t="s">
        <v>1369</v>
      </c>
      <c r="D503" t="s">
        <v>1388</v>
      </c>
      <c r="E503" t="s">
        <v>87</v>
      </c>
      <c r="F503" s="75">
        <v>154</v>
      </c>
      <c r="G503" s="75">
        <v>285763</v>
      </c>
      <c r="H503">
        <v>368.16</v>
      </c>
      <c r="I503" t="s">
        <v>55</v>
      </c>
      <c r="J503" s="75">
        <v>218791</v>
      </c>
      <c r="K503" t="s">
        <v>312</v>
      </c>
      <c r="L503" t="s">
        <v>313</v>
      </c>
      <c r="M503" s="81">
        <v>46072.690011574072</v>
      </c>
      <c r="N503" s="81">
        <v>46073.461215277777</v>
      </c>
      <c r="O503" t="s">
        <v>58</v>
      </c>
      <c r="P503" t="s">
        <v>59</v>
      </c>
      <c r="Q503" t="s">
        <v>90</v>
      </c>
      <c r="R503" t="s">
        <v>99</v>
      </c>
      <c r="S503" t="s">
        <v>1244</v>
      </c>
      <c r="U503" s="75">
        <v>195323</v>
      </c>
      <c r="V503" t="s">
        <v>2538</v>
      </c>
      <c r="W503" t="s">
        <v>2538</v>
      </c>
      <c r="X503" t="s">
        <v>62</v>
      </c>
      <c r="Y503" t="s">
        <v>63</v>
      </c>
      <c r="AA503" t="s">
        <v>81</v>
      </c>
      <c r="AB503">
        <v>18.433333999999999</v>
      </c>
      <c r="AC503">
        <v>16.350000000000001</v>
      </c>
      <c r="AD503">
        <v>2.0833339999999998</v>
      </c>
      <c r="AE503">
        <v>0.5</v>
      </c>
      <c r="AF503">
        <v>0</v>
      </c>
      <c r="AG503">
        <v>1.583334</v>
      </c>
      <c r="AH503">
        <v>1.583334</v>
      </c>
      <c r="AI503">
        <v>0.26666699999999999</v>
      </c>
      <c r="AJ503">
        <v>1.316667</v>
      </c>
      <c r="AK503">
        <v>0</v>
      </c>
      <c r="AL503" s="76">
        <v>44876.671053240738</v>
      </c>
      <c r="AM503" s="75">
        <v>1196</v>
      </c>
      <c r="AN503" t="s">
        <v>65</v>
      </c>
      <c r="AO503" t="s">
        <v>1372</v>
      </c>
      <c r="AP503" t="s">
        <v>67</v>
      </c>
      <c r="AQ503" t="s">
        <v>68</v>
      </c>
      <c r="AR503" t="s">
        <v>69</v>
      </c>
      <c r="AS503" s="79"/>
      <c r="AT503" s="82" t="s">
        <v>2437</v>
      </c>
      <c r="AU503" s="78">
        <v>2026</v>
      </c>
      <c r="AV503" s="78">
        <v>2</v>
      </c>
      <c r="AW503" s="78" t="s">
        <v>71</v>
      </c>
      <c r="AX503" s="78">
        <v>1</v>
      </c>
      <c r="AY503" s="78">
        <v>0</v>
      </c>
      <c r="BT503" s="3" t="s">
        <v>71</v>
      </c>
      <c r="BU503" s="3">
        <v>1</v>
      </c>
      <c r="BV503" s="3">
        <v>0</v>
      </c>
    </row>
    <row r="504" spans="1:74" ht="15" customHeight="1" x14ac:dyDescent="0.25">
      <c r="A504" s="75">
        <v>5834233</v>
      </c>
      <c r="B504" t="s">
        <v>2539</v>
      </c>
      <c r="C504" t="s">
        <v>2540</v>
      </c>
      <c r="D504" t="s">
        <v>809</v>
      </c>
      <c r="E504" t="s">
        <v>105</v>
      </c>
      <c r="F504" s="75">
        <v>4</v>
      </c>
      <c r="G504" s="75">
        <v>344181</v>
      </c>
      <c r="H504">
        <v>500</v>
      </c>
      <c r="I504" t="s">
        <v>175</v>
      </c>
      <c r="J504" s="75">
        <v>226481</v>
      </c>
      <c r="K504" t="s">
        <v>2541</v>
      </c>
      <c r="L504" t="s">
        <v>2542</v>
      </c>
      <c r="M504" s="81">
        <v>46072.990555555552</v>
      </c>
      <c r="N504" s="81">
        <v>46073.505069444444</v>
      </c>
      <c r="O504" t="s">
        <v>391</v>
      </c>
      <c r="P504" t="s">
        <v>59</v>
      </c>
      <c r="Q504" t="s">
        <v>341</v>
      </c>
      <c r="R504" t="s">
        <v>60</v>
      </c>
      <c r="S504" t="s">
        <v>583</v>
      </c>
      <c r="U504" s="75">
        <v>195415</v>
      </c>
      <c r="V504" t="s">
        <v>2543</v>
      </c>
      <c r="W504" t="s">
        <v>2543</v>
      </c>
      <c r="X504" t="s">
        <v>79</v>
      </c>
      <c r="Y504" t="s">
        <v>224</v>
      </c>
      <c r="AA504" t="s">
        <v>81</v>
      </c>
      <c r="AB504">
        <v>12.283333000000001</v>
      </c>
      <c r="AC504">
        <v>9.1</v>
      </c>
      <c r="AD504">
        <v>3.1833330000000002</v>
      </c>
      <c r="AE504">
        <v>0.183333</v>
      </c>
      <c r="AF504">
        <v>0</v>
      </c>
      <c r="AG504">
        <v>3</v>
      </c>
      <c r="AH504">
        <v>3</v>
      </c>
      <c r="AI504">
        <v>2.9333339999999999</v>
      </c>
      <c r="AJ504">
        <v>6.6666000000000003E-2</v>
      </c>
      <c r="AK504">
        <v>0</v>
      </c>
      <c r="AL504" s="76">
        <v>46044.380104166667</v>
      </c>
      <c r="AM504" s="75">
        <v>28</v>
      </c>
      <c r="AN504" t="s">
        <v>65</v>
      </c>
      <c r="AO504" t="s">
        <v>2544</v>
      </c>
      <c r="AP504" t="s">
        <v>67</v>
      </c>
      <c r="AQ504" t="s">
        <v>83</v>
      </c>
      <c r="AR504" t="s">
        <v>69</v>
      </c>
      <c r="AS504" s="78"/>
      <c r="AT504" s="82" t="s">
        <v>2437</v>
      </c>
      <c r="AU504" s="78">
        <v>2026</v>
      </c>
      <c r="AV504" s="78">
        <v>2</v>
      </c>
      <c r="AW504" s="78" t="s">
        <v>226</v>
      </c>
      <c r="AX504" s="78">
        <v>1</v>
      </c>
      <c r="AY504" s="78">
        <v>0</v>
      </c>
      <c r="BT504" s="2" t="s">
        <v>226</v>
      </c>
      <c r="BU504" s="2">
        <v>1</v>
      </c>
      <c r="BV504" s="2">
        <v>0</v>
      </c>
    </row>
    <row r="505" spans="1:74" ht="15" customHeight="1" x14ac:dyDescent="0.25">
      <c r="A505" s="75">
        <v>5833919</v>
      </c>
      <c r="B505" t="s">
        <v>2545</v>
      </c>
      <c r="C505" t="s">
        <v>1577</v>
      </c>
      <c r="D505" t="s">
        <v>527</v>
      </c>
      <c r="E505" t="s">
        <v>87</v>
      </c>
      <c r="F505" s="75">
        <v>300</v>
      </c>
      <c r="G505" s="75">
        <v>285733</v>
      </c>
      <c r="H505">
        <v>616.59</v>
      </c>
      <c r="I505" t="s">
        <v>266</v>
      </c>
      <c r="J505" s="75">
        <v>49495</v>
      </c>
      <c r="K505" t="s">
        <v>460</v>
      </c>
      <c r="L505" t="s">
        <v>461</v>
      </c>
      <c r="M505" s="81">
        <v>46072.702037037037</v>
      </c>
      <c r="N505" s="81">
        <v>46073.53670138889</v>
      </c>
      <c r="O505" t="s">
        <v>58</v>
      </c>
      <c r="P505" t="s">
        <v>59</v>
      </c>
      <c r="Q505" t="s">
        <v>90</v>
      </c>
      <c r="R505" t="s">
        <v>156</v>
      </c>
      <c r="S505" t="s">
        <v>1311</v>
      </c>
      <c r="U505" s="75">
        <v>195321</v>
      </c>
      <c r="V505" t="s">
        <v>2546</v>
      </c>
      <c r="W505" t="s">
        <v>2546</v>
      </c>
      <c r="X505" t="s">
        <v>62</v>
      </c>
      <c r="Y505" t="s">
        <v>1049</v>
      </c>
      <c r="AA505" t="s">
        <v>64</v>
      </c>
      <c r="AB505">
        <v>19.966666</v>
      </c>
      <c r="AC505">
        <v>14.516666000000001</v>
      </c>
      <c r="AD505">
        <v>5.45</v>
      </c>
      <c r="AE505">
        <v>0.5</v>
      </c>
      <c r="AF505">
        <v>0</v>
      </c>
      <c r="AG505">
        <v>4.95</v>
      </c>
      <c r="AH505">
        <v>4.95</v>
      </c>
      <c r="AI505">
        <v>4.3833330000000004</v>
      </c>
      <c r="AJ505">
        <v>0.56666700000000003</v>
      </c>
      <c r="AK505">
        <v>0</v>
      </c>
      <c r="AL505" s="76">
        <v>44862.600069444437</v>
      </c>
      <c r="AM505" s="75">
        <v>1210</v>
      </c>
      <c r="AN505" t="s">
        <v>65</v>
      </c>
      <c r="AO505" t="s">
        <v>1050</v>
      </c>
      <c r="AP505" t="s">
        <v>67</v>
      </c>
      <c r="AQ505" t="s">
        <v>68</v>
      </c>
      <c r="AR505" t="s">
        <v>69</v>
      </c>
      <c r="AS505" s="79"/>
      <c r="AT505" s="82" t="s">
        <v>2437</v>
      </c>
      <c r="AU505" s="78">
        <v>2026</v>
      </c>
      <c r="AV505" s="78">
        <v>2</v>
      </c>
      <c r="AW505" s="78" t="s">
        <v>137</v>
      </c>
      <c r="AX505" s="78">
        <v>1</v>
      </c>
      <c r="AY505" s="78">
        <v>0</v>
      </c>
      <c r="BT505" s="3" t="s">
        <v>137</v>
      </c>
      <c r="BU505" s="3">
        <v>1</v>
      </c>
      <c r="BV505" s="3">
        <v>0</v>
      </c>
    </row>
    <row r="506" spans="1:74" ht="15" customHeight="1" x14ac:dyDescent="0.25">
      <c r="A506" s="75">
        <v>5832903</v>
      </c>
      <c r="B506" t="s">
        <v>2547</v>
      </c>
      <c r="C506" t="s">
        <v>2548</v>
      </c>
      <c r="D506" t="s">
        <v>527</v>
      </c>
      <c r="E506" t="s">
        <v>54</v>
      </c>
      <c r="F506" s="75">
        <v>41</v>
      </c>
      <c r="G506" s="75">
        <v>277737</v>
      </c>
      <c r="H506">
        <v>367.96</v>
      </c>
      <c r="I506" t="s">
        <v>242</v>
      </c>
      <c r="J506" s="75">
        <v>212603</v>
      </c>
      <c r="K506" t="s">
        <v>538</v>
      </c>
      <c r="L506" t="s">
        <v>539</v>
      </c>
      <c r="M506" s="81">
        <v>46072.444791666669</v>
      </c>
      <c r="N506" s="81">
        <v>46073.542581018519</v>
      </c>
      <c r="O506" t="s">
        <v>58</v>
      </c>
      <c r="P506" t="s">
        <v>59</v>
      </c>
      <c r="Q506" t="s">
        <v>90</v>
      </c>
      <c r="R506" t="s">
        <v>60</v>
      </c>
      <c r="S506" t="s">
        <v>583</v>
      </c>
      <c r="T506" t="s">
        <v>1041</v>
      </c>
      <c r="U506" s="75">
        <v>195473</v>
      </c>
      <c r="V506" t="s">
        <v>2549</v>
      </c>
      <c r="W506" t="s">
        <v>2549</v>
      </c>
      <c r="X506" t="s">
        <v>62</v>
      </c>
      <c r="Y506" t="s">
        <v>1043</v>
      </c>
      <c r="AA506" t="s">
        <v>416</v>
      </c>
      <c r="AB506">
        <v>26.283332999999999</v>
      </c>
      <c r="AC506">
        <v>13.55</v>
      </c>
      <c r="AD506">
        <v>12.733333</v>
      </c>
      <c r="AE506">
        <v>0.11666700000000001</v>
      </c>
      <c r="AF506">
        <v>0</v>
      </c>
      <c r="AG506">
        <v>12.616666</v>
      </c>
      <c r="AH506">
        <v>12.616666</v>
      </c>
      <c r="AI506">
        <v>11.316666</v>
      </c>
      <c r="AJ506">
        <v>1.3</v>
      </c>
      <c r="AK506">
        <v>0</v>
      </c>
      <c r="AL506" s="76">
        <v>43963</v>
      </c>
      <c r="AM506" s="75">
        <v>2109</v>
      </c>
      <c r="AN506" t="s">
        <v>65</v>
      </c>
      <c r="AO506" t="s">
        <v>2550</v>
      </c>
      <c r="AP506" t="s">
        <v>67</v>
      </c>
      <c r="AQ506" t="s">
        <v>68</v>
      </c>
      <c r="AR506" t="s">
        <v>69</v>
      </c>
      <c r="AS506" s="78"/>
      <c r="AT506" s="82" t="s">
        <v>2437</v>
      </c>
      <c r="AU506" s="78">
        <v>2026</v>
      </c>
      <c r="AV506" s="78">
        <v>2</v>
      </c>
      <c r="AW506" s="78" t="s">
        <v>137</v>
      </c>
      <c r="AX506" s="78">
        <v>0</v>
      </c>
      <c r="AY506" s="78">
        <v>0</v>
      </c>
      <c r="BT506" s="2" t="s">
        <v>137</v>
      </c>
      <c r="BU506" s="2">
        <v>0</v>
      </c>
      <c r="BV506" s="2">
        <v>0</v>
      </c>
    </row>
    <row r="507" spans="1:74" ht="15" customHeight="1" x14ac:dyDescent="0.25">
      <c r="A507" s="75">
        <v>5828551</v>
      </c>
      <c r="B507" t="s">
        <v>2551</v>
      </c>
      <c r="C507" t="s">
        <v>2552</v>
      </c>
      <c r="D507" t="s">
        <v>527</v>
      </c>
      <c r="E507" t="s">
        <v>87</v>
      </c>
      <c r="F507" s="75">
        <v>58</v>
      </c>
      <c r="G507" s="75">
        <v>275357</v>
      </c>
      <c r="H507">
        <v>364.95</v>
      </c>
      <c r="I507" t="s">
        <v>55</v>
      </c>
      <c r="J507" s="75">
        <v>218787</v>
      </c>
      <c r="K507" t="s">
        <v>96</v>
      </c>
      <c r="L507" t="s">
        <v>97</v>
      </c>
      <c r="M507" s="81">
        <v>46067.535046296303</v>
      </c>
      <c r="N507" s="81">
        <v>46073.569814814808</v>
      </c>
      <c r="O507" t="s">
        <v>58</v>
      </c>
      <c r="P507" t="s">
        <v>59</v>
      </c>
      <c r="Q507" t="s">
        <v>90</v>
      </c>
      <c r="R507" t="s">
        <v>131</v>
      </c>
      <c r="S507" t="s">
        <v>1273</v>
      </c>
      <c r="U507" s="75">
        <v>194373</v>
      </c>
      <c r="V507" t="s">
        <v>2553</v>
      </c>
      <c r="W507" t="s">
        <v>2554</v>
      </c>
      <c r="X507" t="s">
        <v>62</v>
      </c>
      <c r="Y507" t="s">
        <v>63</v>
      </c>
      <c r="AA507" t="s">
        <v>416</v>
      </c>
      <c r="AB507">
        <v>144.76666700000001</v>
      </c>
      <c r="AC507">
        <v>129.433334</v>
      </c>
      <c r="AD507">
        <v>15.333333</v>
      </c>
      <c r="AE507">
        <v>8.3333000000000004E-2</v>
      </c>
      <c r="AF507">
        <v>0</v>
      </c>
      <c r="AG507">
        <v>15.25</v>
      </c>
      <c r="AH507">
        <v>15.25</v>
      </c>
      <c r="AI507">
        <v>14.683332999999999</v>
      </c>
      <c r="AJ507">
        <v>0.56666700000000003</v>
      </c>
      <c r="AK507">
        <v>0</v>
      </c>
      <c r="AL507" s="76">
        <v>44866</v>
      </c>
      <c r="AM507" s="75">
        <v>1201</v>
      </c>
      <c r="AN507" t="s">
        <v>65</v>
      </c>
      <c r="AO507" t="s">
        <v>2555</v>
      </c>
      <c r="AP507" t="s">
        <v>67</v>
      </c>
      <c r="AQ507" t="s">
        <v>68</v>
      </c>
      <c r="AR507" t="s">
        <v>69</v>
      </c>
      <c r="AS507" s="79"/>
      <c r="AT507" s="82" t="s">
        <v>2437</v>
      </c>
      <c r="AU507" s="78">
        <v>2026</v>
      </c>
      <c r="AV507" s="78">
        <v>2</v>
      </c>
      <c r="AW507" s="78" t="s">
        <v>71</v>
      </c>
      <c r="AX507" s="78">
        <v>0</v>
      </c>
      <c r="AY507" s="78">
        <v>0</v>
      </c>
      <c r="BT507" s="3" t="s">
        <v>71</v>
      </c>
      <c r="BU507" s="3">
        <v>0</v>
      </c>
      <c r="BV507" s="3">
        <v>0</v>
      </c>
    </row>
    <row r="508" spans="1:74" ht="15" customHeight="1" x14ac:dyDescent="0.25">
      <c r="A508" s="75">
        <v>5830567</v>
      </c>
      <c r="B508" t="s">
        <v>2556</v>
      </c>
      <c r="C508" t="s">
        <v>2557</v>
      </c>
      <c r="D508" t="s">
        <v>2379</v>
      </c>
      <c r="E508" t="s">
        <v>87</v>
      </c>
      <c r="F508" s="75">
        <v>73</v>
      </c>
      <c r="G508" s="75">
        <v>279973</v>
      </c>
      <c r="H508">
        <v>616.59</v>
      </c>
      <c r="I508" t="s">
        <v>266</v>
      </c>
      <c r="J508" s="75">
        <v>49495</v>
      </c>
      <c r="K508" t="s">
        <v>460</v>
      </c>
      <c r="L508" t="s">
        <v>461</v>
      </c>
      <c r="M508" s="81">
        <v>46071.069710648153</v>
      </c>
      <c r="N508" s="81">
        <v>46073.586284722223</v>
      </c>
      <c r="O508" t="s">
        <v>58</v>
      </c>
      <c r="P508" t="s">
        <v>59</v>
      </c>
      <c r="Q508" t="s">
        <v>90</v>
      </c>
      <c r="R508" t="s">
        <v>60</v>
      </c>
      <c r="S508" t="s">
        <v>583</v>
      </c>
      <c r="U508" s="75">
        <v>193569</v>
      </c>
      <c r="V508" t="s">
        <v>2558</v>
      </c>
      <c r="W508" t="s">
        <v>2558</v>
      </c>
      <c r="X508" t="s">
        <v>62</v>
      </c>
      <c r="Y508" t="s">
        <v>63</v>
      </c>
      <c r="AA508" t="s">
        <v>64</v>
      </c>
      <c r="AB508">
        <v>60.333334999999998</v>
      </c>
      <c r="AC508">
        <v>53.15</v>
      </c>
      <c r="AD508">
        <v>7.1833349999999996</v>
      </c>
      <c r="AE508">
        <v>1.533334</v>
      </c>
      <c r="AF508">
        <v>0</v>
      </c>
      <c r="AG508">
        <v>5.6500009999999996</v>
      </c>
      <c r="AH508">
        <v>5.6500009999999996</v>
      </c>
      <c r="AI508">
        <v>4.7333340000000002</v>
      </c>
      <c r="AJ508">
        <v>0.91666700000000001</v>
      </c>
      <c r="AK508">
        <v>0</v>
      </c>
      <c r="AL508" s="76">
        <v>44764</v>
      </c>
      <c r="AM508" s="75">
        <v>1307</v>
      </c>
      <c r="AN508" t="s">
        <v>65</v>
      </c>
      <c r="AO508" t="s">
        <v>2559</v>
      </c>
      <c r="AP508" t="s">
        <v>67</v>
      </c>
      <c r="AQ508" t="s">
        <v>68</v>
      </c>
      <c r="AR508" t="s">
        <v>69</v>
      </c>
      <c r="AS508" s="78"/>
      <c r="AT508" s="82" t="s">
        <v>2437</v>
      </c>
      <c r="AU508" s="78">
        <v>2026</v>
      </c>
      <c r="AV508" s="78">
        <v>2</v>
      </c>
      <c r="AW508" s="78" t="s">
        <v>71</v>
      </c>
      <c r="AX508" s="78">
        <v>1</v>
      </c>
      <c r="AY508" s="78">
        <v>0</v>
      </c>
      <c r="BT508" s="2" t="s">
        <v>71</v>
      </c>
      <c r="BU508" s="2">
        <v>1</v>
      </c>
      <c r="BV508" s="2">
        <v>0</v>
      </c>
    </row>
    <row r="509" spans="1:74" ht="15" customHeight="1" x14ac:dyDescent="0.25">
      <c r="A509" s="75">
        <v>5830395</v>
      </c>
      <c r="B509" t="s">
        <v>2560</v>
      </c>
      <c r="C509" t="s">
        <v>2561</v>
      </c>
      <c r="D509" t="s">
        <v>2379</v>
      </c>
      <c r="E509" t="s">
        <v>87</v>
      </c>
      <c r="F509" s="75">
        <v>407</v>
      </c>
      <c r="G509" s="75">
        <v>288709</v>
      </c>
      <c r="H509">
        <v>569.71</v>
      </c>
      <c r="I509" t="s">
        <v>55</v>
      </c>
      <c r="J509" s="75">
        <v>216233</v>
      </c>
      <c r="K509" t="s">
        <v>88</v>
      </c>
      <c r="L509" t="s">
        <v>89</v>
      </c>
      <c r="M509" s="81">
        <v>46070.816469907397</v>
      </c>
      <c r="N509" s="81">
        <v>46073.599606481483</v>
      </c>
      <c r="O509" t="s">
        <v>58</v>
      </c>
      <c r="P509" t="s">
        <v>59</v>
      </c>
      <c r="Q509" t="s">
        <v>2562</v>
      </c>
      <c r="R509" t="s">
        <v>156</v>
      </c>
      <c r="S509" t="s">
        <v>1320</v>
      </c>
      <c r="U509" s="75">
        <v>193547</v>
      </c>
      <c r="V509" t="s">
        <v>2563</v>
      </c>
      <c r="X509" t="s">
        <v>62</v>
      </c>
      <c r="Y509" t="s">
        <v>63</v>
      </c>
      <c r="AA509" t="s">
        <v>64</v>
      </c>
      <c r="AB509">
        <v>66.699999000000005</v>
      </c>
      <c r="AC509">
        <v>59.033332000000001</v>
      </c>
      <c r="AD509">
        <v>7.6666670000000003</v>
      </c>
      <c r="AE509">
        <v>0.3</v>
      </c>
      <c r="AF509">
        <v>0</v>
      </c>
      <c r="AG509">
        <v>7.3666669999999996</v>
      </c>
      <c r="AH509">
        <v>7.3666669999999996</v>
      </c>
      <c r="AI509">
        <v>2.9</v>
      </c>
      <c r="AJ509">
        <v>4.4666670000000002</v>
      </c>
      <c r="AK509">
        <v>0</v>
      </c>
      <c r="AL509" s="76">
        <v>44978</v>
      </c>
      <c r="AM509" s="75">
        <v>1092</v>
      </c>
      <c r="AN509" t="s">
        <v>65</v>
      </c>
      <c r="AO509" t="s">
        <v>2564</v>
      </c>
      <c r="AP509" t="s">
        <v>67</v>
      </c>
      <c r="AQ509" t="s">
        <v>68</v>
      </c>
      <c r="AR509" t="s">
        <v>69</v>
      </c>
      <c r="AS509" s="79"/>
      <c r="AT509" s="82" t="s">
        <v>2437</v>
      </c>
      <c r="AU509" s="78">
        <v>2026</v>
      </c>
      <c r="AV509" s="78">
        <v>2</v>
      </c>
      <c r="AW509" s="78" t="s">
        <v>71</v>
      </c>
      <c r="AX509" s="78">
        <v>1</v>
      </c>
      <c r="AY509" s="78">
        <v>0</v>
      </c>
      <c r="BT509" s="3" t="s">
        <v>71</v>
      </c>
      <c r="BU509" s="3">
        <v>1</v>
      </c>
      <c r="BV509" s="3">
        <v>0</v>
      </c>
    </row>
    <row r="510" spans="1:74" ht="15" customHeight="1" x14ac:dyDescent="0.25">
      <c r="A510" s="75">
        <v>5831561</v>
      </c>
      <c r="B510" t="s">
        <v>2565</v>
      </c>
      <c r="C510" t="s">
        <v>1893</v>
      </c>
      <c r="D510" t="s">
        <v>956</v>
      </c>
      <c r="E510" t="s">
        <v>54</v>
      </c>
      <c r="F510" s="75">
        <v>30</v>
      </c>
      <c r="G510" s="75">
        <v>248165</v>
      </c>
      <c r="H510">
        <v>399</v>
      </c>
      <c r="I510" t="s">
        <v>2566</v>
      </c>
      <c r="J510" s="75">
        <v>60121</v>
      </c>
      <c r="K510" t="s">
        <v>481</v>
      </c>
      <c r="L510" t="s">
        <v>482</v>
      </c>
      <c r="M510" s="81">
        <v>46071.588055555563</v>
      </c>
      <c r="N510" s="81">
        <v>46073.6016087963</v>
      </c>
      <c r="O510" t="s">
        <v>58</v>
      </c>
      <c r="P510" t="s">
        <v>59</v>
      </c>
      <c r="Q510" t="s">
        <v>77</v>
      </c>
      <c r="R510" t="s">
        <v>156</v>
      </c>
      <c r="S510" t="s">
        <v>1682</v>
      </c>
      <c r="U510" s="75">
        <v>195453</v>
      </c>
      <c r="V510" t="s">
        <v>2567</v>
      </c>
      <c r="W510" t="s">
        <v>2568</v>
      </c>
      <c r="X510" t="s">
        <v>62</v>
      </c>
      <c r="Y510" t="s">
        <v>63</v>
      </c>
      <c r="AA510" t="s">
        <v>416</v>
      </c>
      <c r="AB510">
        <v>48.216667000000001</v>
      </c>
      <c r="AC510">
        <v>27.316666999999999</v>
      </c>
      <c r="AD510">
        <v>20.9</v>
      </c>
      <c r="AE510">
        <v>0.1</v>
      </c>
      <c r="AF510">
        <v>0</v>
      </c>
      <c r="AG510">
        <v>20.8</v>
      </c>
      <c r="AH510">
        <v>20.8</v>
      </c>
      <c r="AI510">
        <v>18.566666000000001</v>
      </c>
      <c r="AJ510">
        <v>2.2333340000000002</v>
      </c>
      <c r="AK510">
        <v>0</v>
      </c>
      <c r="AL510" s="76">
        <v>44529</v>
      </c>
      <c r="AM510" s="75">
        <v>1542</v>
      </c>
      <c r="AN510" t="s">
        <v>65</v>
      </c>
      <c r="AO510" t="s">
        <v>2569</v>
      </c>
      <c r="AP510" t="s">
        <v>67</v>
      </c>
      <c r="AQ510" t="s">
        <v>68</v>
      </c>
      <c r="AR510" t="s">
        <v>69</v>
      </c>
      <c r="AS510" s="78"/>
      <c r="AT510" s="82" t="s">
        <v>2437</v>
      </c>
      <c r="AU510" s="78">
        <v>2026</v>
      </c>
      <c r="AV510" s="78">
        <v>2</v>
      </c>
      <c r="AW510" s="78" t="s">
        <v>71</v>
      </c>
      <c r="AX510" s="78">
        <v>0</v>
      </c>
      <c r="AY510" s="78">
        <v>0</v>
      </c>
      <c r="BT510" s="2" t="s">
        <v>71</v>
      </c>
      <c r="BU510" s="2">
        <v>0</v>
      </c>
      <c r="BV510" s="2">
        <v>0</v>
      </c>
    </row>
    <row r="511" spans="1:74" ht="15" customHeight="1" x14ac:dyDescent="0.25">
      <c r="A511" s="75">
        <v>5819287</v>
      </c>
      <c r="B511" t="s">
        <v>2570</v>
      </c>
      <c r="C511" t="s">
        <v>2571</v>
      </c>
      <c r="D511" t="s">
        <v>150</v>
      </c>
      <c r="E511" t="s">
        <v>126</v>
      </c>
      <c r="F511" s="75">
        <v>6</v>
      </c>
      <c r="G511" s="75">
        <v>94309</v>
      </c>
      <c r="H511">
        <v>0</v>
      </c>
      <c r="I511" t="s">
        <v>1405</v>
      </c>
      <c r="J511" s="75">
        <v>19489</v>
      </c>
      <c r="K511" t="s">
        <v>935</v>
      </c>
      <c r="L511" t="s">
        <v>936</v>
      </c>
      <c r="M511" s="81">
        <v>46062.375520833331</v>
      </c>
      <c r="N511" s="81">
        <v>46073.610300925917</v>
      </c>
      <c r="O511" t="s">
        <v>58</v>
      </c>
      <c r="P511" t="s">
        <v>59</v>
      </c>
      <c r="Q511" t="s">
        <v>90</v>
      </c>
      <c r="R511" t="s">
        <v>99</v>
      </c>
      <c r="S511" t="s">
        <v>1375</v>
      </c>
      <c r="U511" s="75">
        <v>191825</v>
      </c>
      <c r="V511" t="s">
        <v>2572</v>
      </c>
      <c r="X511" t="s">
        <v>79</v>
      </c>
      <c r="Y511" t="s">
        <v>224</v>
      </c>
      <c r="AA511" t="s">
        <v>64</v>
      </c>
      <c r="AB511">
        <v>269.566667</v>
      </c>
      <c r="AC511">
        <v>264.316666</v>
      </c>
      <c r="AD511">
        <v>5.2500010000000001</v>
      </c>
      <c r="AE511">
        <v>1.1000000000000001</v>
      </c>
      <c r="AF511">
        <v>0</v>
      </c>
      <c r="AG511">
        <v>4.1500009999999996</v>
      </c>
      <c r="AH511">
        <v>4.1500009999999996</v>
      </c>
      <c r="AI511">
        <v>2.7166670000000002</v>
      </c>
      <c r="AJ511">
        <v>1.4333340000000001</v>
      </c>
      <c r="AK511">
        <v>0</v>
      </c>
      <c r="AL511" s="76">
        <v>43437.6096875</v>
      </c>
      <c r="AM511" s="75">
        <v>2624</v>
      </c>
      <c r="AN511" t="s">
        <v>65</v>
      </c>
      <c r="AO511" t="s">
        <v>1407</v>
      </c>
      <c r="AP511" t="s">
        <v>67</v>
      </c>
      <c r="AQ511" t="s">
        <v>83</v>
      </c>
      <c r="AR511" t="s">
        <v>69</v>
      </c>
      <c r="AS511" s="79"/>
      <c r="AT511" s="82" t="s">
        <v>2437</v>
      </c>
      <c r="AU511" s="78">
        <v>2026</v>
      </c>
      <c r="AV511" s="78">
        <v>2</v>
      </c>
      <c r="AW511" s="78" t="s">
        <v>226</v>
      </c>
      <c r="AX511" s="78">
        <v>1</v>
      </c>
      <c r="AY511" s="78">
        <v>0</v>
      </c>
      <c r="BT511" s="3" t="s">
        <v>226</v>
      </c>
      <c r="BU511" s="3">
        <v>1</v>
      </c>
      <c r="BV511" s="3">
        <v>0</v>
      </c>
    </row>
    <row r="512" spans="1:74" ht="15" customHeight="1" x14ac:dyDescent="0.25">
      <c r="A512" s="75">
        <v>5829851</v>
      </c>
      <c r="B512" t="s">
        <v>2573</v>
      </c>
      <c r="C512" t="s">
        <v>2574</v>
      </c>
      <c r="D512" t="s">
        <v>150</v>
      </c>
      <c r="E512" t="s">
        <v>87</v>
      </c>
      <c r="F512" s="75">
        <v>247</v>
      </c>
      <c r="G512" s="75">
        <v>286335</v>
      </c>
      <c r="H512">
        <v>364.96</v>
      </c>
      <c r="I512" t="s">
        <v>55</v>
      </c>
      <c r="J512" s="75">
        <v>218787</v>
      </c>
      <c r="K512" t="s">
        <v>96</v>
      </c>
      <c r="L512" t="s">
        <v>97</v>
      </c>
      <c r="M512" s="81">
        <v>46070.083703703713</v>
      </c>
      <c r="N512" s="81">
        <v>46073.635069444441</v>
      </c>
      <c r="O512" t="s">
        <v>58</v>
      </c>
      <c r="P512" t="s">
        <v>59</v>
      </c>
      <c r="Q512" t="s">
        <v>90</v>
      </c>
      <c r="R512" t="s">
        <v>131</v>
      </c>
      <c r="S512" t="s">
        <v>1695</v>
      </c>
      <c r="U512" s="75">
        <v>193267</v>
      </c>
      <c r="V512" t="s">
        <v>2575</v>
      </c>
      <c r="W512" t="s">
        <v>2575</v>
      </c>
      <c r="X512" t="s">
        <v>62</v>
      </c>
      <c r="Y512" t="s">
        <v>63</v>
      </c>
      <c r="AA512" t="s">
        <v>416</v>
      </c>
      <c r="AB512">
        <v>85.149998999999994</v>
      </c>
      <c r="AC512">
        <v>70.266666000000001</v>
      </c>
      <c r="AD512">
        <v>14.883333</v>
      </c>
      <c r="AE512">
        <v>1.7166669999999999</v>
      </c>
      <c r="AF512">
        <v>0</v>
      </c>
      <c r="AG512">
        <v>13.166665999999999</v>
      </c>
      <c r="AH512">
        <v>13.166665999999999</v>
      </c>
      <c r="AI512">
        <v>12.266666000000001</v>
      </c>
      <c r="AJ512">
        <v>0.9</v>
      </c>
      <c r="AK512">
        <v>0</v>
      </c>
      <c r="AL512" s="76">
        <v>44882</v>
      </c>
      <c r="AM512" s="75">
        <v>1188</v>
      </c>
      <c r="AN512" t="s">
        <v>65</v>
      </c>
      <c r="AO512" t="s">
        <v>2576</v>
      </c>
      <c r="AP512" t="s">
        <v>67</v>
      </c>
      <c r="AQ512" t="s">
        <v>68</v>
      </c>
      <c r="AR512" t="s">
        <v>69</v>
      </c>
      <c r="AS512" s="78"/>
      <c r="AT512" s="82" t="s">
        <v>2437</v>
      </c>
      <c r="AU512" s="78">
        <v>2026</v>
      </c>
      <c r="AV512" s="78">
        <v>2</v>
      </c>
      <c r="AW512" s="78" t="s">
        <v>71</v>
      </c>
      <c r="AX512" s="78">
        <v>0</v>
      </c>
      <c r="AY512" s="78">
        <v>0</v>
      </c>
      <c r="BT512" s="2" t="s">
        <v>71</v>
      </c>
      <c r="BU512" s="2">
        <v>0</v>
      </c>
      <c r="BV512" s="2">
        <v>0</v>
      </c>
    </row>
    <row r="513" spans="1:74" ht="15" customHeight="1" x14ac:dyDescent="0.25">
      <c r="A513" s="75">
        <v>5829749</v>
      </c>
      <c r="B513" t="s">
        <v>2577</v>
      </c>
      <c r="C513" t="s">
        <v>2578</v>
      </c>
      <c r="D513" t="s">
        <v>956</v>
      </c>
      <c r="E513" t="s">
        <v>87</v>
      </c>
      <c r="F513" s="75">
        <v>175</v>
      </c>
      <c r="G513" s="75">
        <v>285853</v>
      </c>
      <c r="H513">
        <v>364.95</v>
      </c>
      <c r="I513" t="s">
        <v>55</v>
      </c>
      <c r="J513" s="75">
        <v>218787</v>
      </c>
      <c r="K513" t="s">
        <v>96</v>
      </c>
      <c r="L513" t="s">
        <v>97</v>
      </c>
      <c r="M513" s="81">
        <v>46069.812893518523</v>
      </c>
      <c r="N513" s="81">
        <v>46073.658807870372</v>
      </c>
      <c r="O513" t="s">
        <v>58</v>
      </c>
      <c r="P513" t="s">
        <v>59</v>
      </c>
      <c r="Q513" t="s">
        <v>90</v>
      </c>
      <c r="R513" t="s">
        <v>131</v>
      </c>
      <c r="S513" t="s">
        <v>1273</v>
      </c>
      <c r="U513" s="75">
        <v>195449</v>
      </c>
      <c r="V513" t="s">
        <v>2579</v>
      </c>
      <c r="W513" t="s">
        <v>2580</v>
      </c>
      <c r="X513" t="s">
        <v>62</v>
      </c>
      <c r="Y513" t="s">
        <v>63</v>
      </c>
      <c r="AA513" t="s">
        <v>416</v>
      </c>
      <c r="AB513">
        <v>92.183334000000002</v>
      </c>
      <c r="AC513">
        <v>78.566666999999995</v>
      </c>
      <c r="AD513">
        <v>13.616667</v>
      </c>
      <c r="AE513">
        <v>0.2</v>
      </c>
      <c r="AF513">
        <v>0</v>
      </c>
      <c r="AG513">
        <v>13.416667</v>
      </c>
      <c r="AH513">
        <v>13.416667</v>
      </c>
      <c r="AI513">
        <v>11.266667</v>
      </c>
      <c r="AJ513">
        <v>2.15</v>
      </c>
      <c r="AK513">
        <v>0</v>
      </c>
      <c r="AL513" s="76">
        <v>44914</v>
      </c>
      <c r="AM513" s="75">
        <v>1155</v>
      </c>
      <c r="AN513" t="s">
        <v>65</v>
      </c>
      <c r="AO513" t="s">
        <v>2581</v>
      </c>
      <c r="AP513" t="s">
        <v>67</v>
      </c>
      <c r="AQ513" t="s">
        <v>68</v>
      </c>
      <c r="AR513" t="s">
        <v>69</v>
      </c>
      <c r="AS513" s="79"/>
      <c r="AT513" s="82" t="s">
        <v>2437</v>
      </c>
      <c r="AU513" s="78">
        <v>2026</v>
      </c>
      <c r="AV513" s="78">
        <v>2</v>
      </c>
      <c r="AW513" s="78" t="s">
        <v>71</v>
      </c>
      <c r="AX513" s="78">
        <v>0</v>
      </c>
      <c r="AY513" s="78">
        <v>0</v>
      </c>
      <c r="BT513" s="3" t="s">
        <v>71</v>
      </c>
      <c r="BU513" s="3">
        <v>0</v>
      </c>
      <c r="BV513" s="3">
        <v>0</v>
      </c>
    </row>
    <row r="514" spans="1:74" ht="15" customHeight="1" x14ac:dyDescent="0.25">
      <c r="A514" s="75">
        <v>5831645</v>
      </c>
      <c r="B514" t="s">
        <v>2582</v>
      </c>
      <c r="C514" t="s">
        <v>2583</v>
      </c>
      <c r="D514" t="s">
        <v>956</v>
      </c>
      <c r="E514" t="s">
        <v>54</v>
      </c>
      <c r="F514" s="75">
        <v>4</v>
      </c>
      <c r="G514" s="75">
        <v>277663</v>
      </c>
      <c r="H514">
        <v>367.96</v>
      </c>
      <c r="I514" t="s">
        <v>242</v>
      </c>
      <c r="J514" s="75">
        <v>212603</v>
      </c>
      <c r="K514" t="s">
        <v>538</v>
      </c>
      <c r="L514" t="s">
        <v>539</v>
      </c>
      <c r="M514" s="81">
        <v>46071.618402777778</v>
      </c>
      <c r="N514" s="81">
        <v>46073.666030092587</v>
      </c>
      <c r="O514" t="s">
        <v>58</v>
      </c>
      <c r="P514" t="s">
        <v>59</v>
      </c>
      <c r="Q514" t="s">
        <v>90</v>
      </c>
      <c r="R514" t="s">
        <v>131</v>
      </c>
      <c r="S514" t="s">
        <v>1273</v>
      </c>
      <c r="T514" t="s">
        <v>507</v>
      </c>
      <c r="U514" s="75">
        <v>194225</v>
      </c>
      <c r="V514" t="s">
        <v>2584</v>
      </c>
      <c r="W514" t="s">
        <v>2584</v>
      </c>
      <c r="X514" t="s">
        <v>62</v>
      </c>
      <c r="Y514" t="s">
        <v>63</v>
      </c>
      <c r="AA514" t="s">
        <v>101</v>
      </c>
      <c r="AB514">
        <v>49.05</v>
      </c>
      <c r="AC514">
        <v>37.566667000000002</v>
      </c>
      <c r="AD514">
        <v>11.483333</v>
      </c>
      <c r="AE514">
        <v>0.25</v>
      </c>
      <c r="AF514">
        <v>0</v>
      </c>
      <c r="AG514">
        <v>11.233333</v>
      </c>
      <c r="AH514">
        <v>11.233333</v>
      </c>
      <c r="AI514">
        <v>11.05</v>
      </c>
      <c r="AJ514">
        <v>0.183333</v>
      </c>
      <c r="AK514">
        <v>0</v>
      </c>
      <c r="AL514" s="76">
        <v>43963</v>
      </c>
      <c r="AM514" s="75">
        <v>2108</v>
      </c>
      <c r="AN514" t="s">
        <v>65</v>
      </c>
      <c r="AO514" t="s">
        <v>2585</v>
      </c>
      <c r="AP514" t="s">
        <v>67</v>
      </c>
      <c r="AQ514" t="s">
        <v>68</v>
      </c>
      <c r="AR514" t="s">
        <v>69</v>
      </c>
      <c r="AS514" s="78"/>
      <c r="AT514" s="82" t="s">
        <v>2437</v>
      </c>
      <c r="AU514" s="78">
        <v>2026</v>
      </c>
      <c r="AV514" s="78">
        <v>2</v>
      </c>
      <c r="AW514" s="78" t="s">
        <v>71</v>
      </c>
      <c r="AX514" s="78">
        <v>0</v>
      </c>
      <c r="AY514" s="78">
        <v>0</v>
      </c>
      <c r="BT514" s="2" t="s">
        <v>71</v>
      </c>
      <c r="BU514" s="2">
        <v>0</v>
      </c>
      <c r="BV514" s="2">
        <v>0</v>
      </c>
    </row>
    <row r="515" spans="1:74" ht="15" customHeight="1" x14ac:dyDescent="0.25">
      <c r="A515" s="75">
        <v>5829527</v>
      </c>
      <c r="B515" t="s">
        <v>2586</v>
      </c>
      <c r="C515" t="s">
        <v>2587</v>
      </c>
      <c r="D515" t="s">
        <v>2379</v>
      </c>
      <c r="E515" t="s">
        <v>87</v>
      </c>
      <c r="F515" s="75">
        <v>242</v>
      </c>
      <c r="G515" s="75">
        <v>286325</v>
      </c>
      <c r="H515">
        <v>364.96</v>
      </c>
      <c r="I515" t="s">
        <v>55</v>
      </c>
      <c r="J515" s="75">
        <v>218787</v>
      </c>
      <c r="K515" t="s">
        <v>96</v>
      </c>
      <c r="L515" t="s">
        <v>97</v>
      </c>
      <c r="M515" s="81">
        <v>46069.576770833337</v>
      </c>
      <c r="N515" s="81">
        <v>46073.718935185178</v>
      </c>
      <c r="O515" t="s">
        <v>58</v>
      </c>
      <c r="P515" t="s">
        <v>59</v>
      </c>
      <c r="Q515" t="s">
        <v>90</v>
      </c>
      <c r="R515" t="s">
        <v>156</v>
      </c>
      <c r="S515" t="s">
        <v>1320</v>
      </c>
      <c r="U515" s="75">
        <v>195443</v>
      </c>
      <c r="V515" t="s">
        <v>2588</v>
      </c>
      <c r="W515" t="s">
        <v>2589</v>
      </c>
      <c r="X515" t="s">
        <v>62</v>
      </c>
      <c r="Y515" t="s">
        <v>63</v>
      </c>
      <c r="AA515" t="s">
        <v>101</v>
      </c>
      <c r="AB515">
        <v>99.333333999999994</v>
      </c>
      <c r="AC515">
        <v>88.966667000000001</v>
      </c>
      <c r="AD515">
        <v>10.366667</v>
      </c>
      <c r="AE515">
        <v>0.26666699999999999</v>
      </c>
      <c r="AF515">
        <v>0</v>
      </c>
      <c r="AG515">
        <v>10.1</v>
      </c>
      <c r="AH515">
        <v>10.1</v>
      </c>
      <c r="AI515">
        <v>9.35</v>
      </c>
      <c r="AJ515">
        <v>0.75</v>
      </c>
      <c r="AK515">
        <v>0</v>
      </c>
      <c r="AL515" s="76">
        <v>44882</v>
      </c>
      <c r="AM515" s="75">
        <v>1187</v>
      </c>
      <c r="AN515" t="s">
        <v>65</v>
      </c>
      <c r="AO515" t="s">
        <v>2590</v>
      </c>
      <c r="AP515" t="s">
        <v>67</v>
      </c>
      <c r="AQ515" t="s">
        <v>68</v>
      </c>
      <c r="AR515" t="s">
        <v>69</v>
      </c>
      <c r="AS515" s="79"/>
      <c r="AT515" s="82" t="s">
        <v>2437</v>
      </c>
      <c r="AU515" s="78">
        <v>2026</v>
      </c>
      <c r="AV515" s="78">
        <v>2</v>
      </c>
      <c r="AW515" s="78" t="s">
        <v>71</v>
      </c>
      <c r="AX515" s="78">
        <v>0</v>
      </c>
      <c r="AY515" s="78">
        <v>0</v>
      </c>
      <c r="BT515" s="3" t="s">
        <v>71</v>
      </c>
      <c r="BU515" s="3">
        <v>0</v>
      </c>
      <c r="BV515" s="3">
        <v>0</v>
      </c>
    </row>
    <row r="516" spans="1:74" ht="15" customHeight="1" x14ac:dyDescent="0.25">
      <c r="A516" s="75">
        <v>5834815</v>
      </c>
      <c r="B516" t="s">
        <v>2591</v>
      </c>
      <c r="C516" t="s">
        <v>2592</v>
      </c>
      <c r="D516" t="s">
        <v>53</v>
      </c>
      <c r="E516" t="s">
        <v>87</v>
      </c>
      <c r="F516" s="75">
        <v>825</v>
      </c>
      <c r="G516" s="75">
        <v>345209</v>
      </c>
      <c r="H516">
        <v>334.78</v>
      </c>
      <c r="I516" t="s">
        <v>141</v>
      </c>
      <c r="J516" s="75">
        <v>6971</v>
      </c>
      <c r="K516" t="s">
        <v>369</v>
      </c>
      <c r="L516" t="s">
        <v>370</v>
      </c>
      <c r="M516" s="81">
        <v>46073.399502314824</v>
      </c>
      <c r="N516" s="81">
        <v>46073.822060185194</v>
      </c>
      <c r="P516" t="s">
        <v>59</v>
      </c>
      <c r="Q516" t="s">
        <v>905</v>
      </c>
      <c r="R516" t="s">
        <v>144</v>
      </c>
      <c r="S516" t="s">
        <v>1491</v>
      </c>
      <c r="U516" s="75">
        <v>195821</v>
      </c>
      <c r="V516" t="s">
        <v>2593</v>
      </c>
      <c r="W516" t="s">
        <v>2594</v>
      </c>
      <c r="X516" t="s">
        <v>79</v>
      </c>
      <c r="Y516" t="s">
        <v>224</v>
      </c>
      <c r="AA516" t="s">
        <v>81</v>
      </c>
      <c r="AB516">
        <v>10.1</v>
      </c>
      <c r="AC516">
        <v>7.3666669999999996</v>
      </c>
      <c r="AD516">
        <v>2.733333</v>
      </c>
      <c r="AE516">
        <v>0.16666700000000001</v>
      </c>
      <c r="AF516">
        <v>0</v>
      </c>
      <c r="AG516">
        <v>2.5666660000000001</v>
      </c>
      <c r="AH516">
        <v>2.5666660000000001</v>
      </c>
      <c r="AI516">
        <v>2.4333330000000002</v>
      </c>
      <c r="AJ516">
        <v>0.13333300000000001</v>
      </c>
      <c r="AK516">
        <v>0</v>
      </c>
      <c r="AL516" s="76">
        <v>46149</v>
      </c>
      <c r="AM516" s="75">
        <v>-75</v>
      </c>
      <c r="AN516" t="s">
        <v>1436</v>
      </c>
      <c r="AO516" t="s">
        <v>1437</v>
      </c>
      <c r="AP516" t="s">
        <v>67</v>
      </c>
      <c r="AQ516" t="s">
        <v>83</v>
      </c>
      <c r="AR516" t="s">
        <v>69</v>
      </c>
      <c r="AS516" s="78"/>
      <c r="AT516" s="82" t="s">
        <v>2437</v>
      </c>
      <c r="AU516" s="78">
        <v>2026</v>
      </c>
      <c r="AV516" s="78">
        <v>2</v>
      </c>
      <c r="AW516" s="78" t="s">
        <v>226</v>
      </c>
      <c r="AX516" s="78">
        <v>1</v>
      </c>
      <c r="AY516" s="78">
        <v>0</v>
      </c>
      <c r="BT516" s="2" t="s">
        <v>226</v>
      </c>
      <c r="BU516" s="2">
        <v>1</v>
      </c>
      <c r="BV516" s="2">
        <v>0</v>
      </c>
    </row>
    <row r="517" spans="1:74" ht="15" customHeight="1" x14ac:dyDescent="0.25">
      <c r="A517" s="75">
        <v>5835627</v>
      </c>
      <c r="B517" t="s">
        <v>2595</v>
      </c>
      <c r="C517" t="s">
        <v>2596</v>
      </c>
      <c r="D517" t="s">
        <v>182</v>
      </c>
      <c r="E517" t="s">
        <v>54</v>
      </c>
      <c r="F517" s="75">
        <v>25</v>
      </c>
      <c r="G517" s="75">
        <v>335859</v>
      </c>
      <c r="H517">
        <v>99.9</v>
      </c>
      <c r="I517" t="s">
        <v>163</v>
      </c>
      <c r="J517" s="75">
        <v>88921</v>
      </c>
      <c r="K517" t="s">
        <v>1177</v>
      </c>
      <c r="L517" t="s">
        <v>1178</v>
      </c>
      <c r="M517" s="81">
        <v>46073.598437499997</v>
      </c>
      <c r="N517" s="81">
        <v>46074.396620370368</v>
      </c>
      <c r="O517" t="s">
        <v>269</v>
      </c>
      <c r="P517" t="s">
        <v>59</v>
      </c>
      <c r="Q517" t="s">
        <v>130</v>
      </c>
      <c r="R517" t="s">
        <v>156</v>
      </c>
      <c r="S517" t="s">
        <v>1682</v>
      </c>
      <c r="U517" s="75">
        <v>196189</v>
      </c>
      <c r="V517" t="s">
        <v>2597</v>
      </c>
      <c r="W517" t="s">
        <v>2597</v>
      </c>
      <c r="X517" t="s">
        <v>62</v>
      </c>
      <c r="Y517" t="s">
        <v>2598</v>
      </c>
      <c r="AA517" t="s">
        <v>64</v>
      </c>
      <c r="AB517">
        <v>19.083335000000002</v>
      </c>
      <c r="AC517">
        <v>13.066667000000001</v>
      </c>
      <c r="AD517">
        <v>6.0166680000000001</v>
      </c>
      <c r="AE517">
        <v>0.83333400000000002</v>
      </c>
      <c r="AF517">
        <v>0</v>
      </c>
      <c r="AG517">
        <v>5.1833340000000003</v>
      </c>
      <c r="AH517">
        <v>5.1833340000000003</v>
      </c>
      <c r="AI517">
        <v>4.3666669999999996</v>
      </c>
      <c r="AJ517">
        <v>0.81666700000000003</v>
      </c>
      <c r="AK517">
        <v>0</v>
      </c>
      <c r="AL517" s="76"/>
      <c r="AM517" s="75"/>
      <c r="AN517" t="s">
        <v>135</v>
      </c>
      <c r="AO517" t="s">
        <v>2599</v>
      </c>
      <c r="AP517" t="s">
        <v>67</v>
      </c>
      <c r="AQ517" t="s">
        <v>68</v>
      </c>
      <c r="AR517" t="s">
        <v>69</v>
      </c>
      <c r="AS517" s="79"/>
      <c r="AT517" s="82" t="s">
        <v>2437</v>
      </c>
      <c r="AU517" s="78">
        <v>2026</v>
      </c>
      <c r="AV517" s="78">
        <v>2</v>
      </c>
      <c r="AW517" s="78" t="s">
        <v>137</v>
      </c>
      <c r="AX517" s="78">
        <v>1</v>
      </c>
      <c r="AY517" s="78">
        <v>0</v>
      </c>
      <c r="BT517" s="3" t="s">
        <v>137</v>
      </c>
      <c r="BU517" s="3">
        <v>1</v>
      </c>
      <c r="BV517" s="3">
        <v>0</v>
      </c>
    </row>
    <row r="518" spans="1:74" ht="15" customHeight="1" x14ac:dyDescent="0.25">
      <c r="A518" s="75">
        <v>5832533</v>
      </c>
      <c r="B518" t="s">
        <v>2600</v>
      </c>
      <c r="C518" t="s">
        <v>2601</v>
      </c>
      <c r="D518" t="s">
        <v>2602</v>
      </c>
      <c r="E518" t="s">
        <v>105</v>
      </c>
      <c r="F518" s="75">
        <v>120</v>
      </c>
      <c r="G518" s="75">
        <v>336391</v>
      </c>
      <c r="H518">
        <v>211.26</v>
      </c>
      <c r="I518" t="s">
        <v>203</v>
      </c>
      <c r="J518" s="75">
        <v>104819</v>
      </c>
      <c r="K518" t="s">
        <v>994</v>
      </c>
      <c r="L518" t="s">
        <v>2603</v>
      </c>
      <c r="M518" s="81">
        <v>46072.36146990741</v>
      </c>
      <c r="N518" s="81">
        <v>46074.765520833331</v>
      </c>
      <c r="O518" t="s">
        <v>58</v>
      </c>
      <c r="P518" t="s">
        <v>59</v>
      </c>
      <c r="Q518" t="s">
        <v>90</v>
      </c>
      <c r="R518" t="s">
        <v>60</v>
      </c>
      <c r="S518" t="s">
        <v>583</v>
      </c>
      <c r="U518" s="75">
        <v>194639</v>
      </c>
      <c r="V518" t="s">
        <v>2604</v>
      </c>
      <c r="W518" t="s">
        <v>2604</v>
      </c>
      <c r="X518" t="s">
        <v>79</v>
      </c>
      <c r="Y518" t="s">
        <v>224</v>
      </c>
      <c r="AA518" t="s">
        <v>81</v>
      </c>
      <c r="AB518">
        <v>57.616667</v>
      </c>
      <c r="AC518">
        <v>55.133333999999998</v>
      </c>
      <c r="AD518">
        <v>2.483333</v>
      </c>
      <c r="AE518">
        <v>0.13333400000000001</v>
      </c>
      <c r="AF518">
        <v>0</v>
      </c>
      <c r="AG518">
        <v>2.3499989999999999</v>
      </c>
      <c r="AH518">
        <v>2.3499989999999999</v>
      </c>
      <c r="AI518">
        <v>2.216666</v>
      </c>
      <c r="AJ518">
        <v>0.13333300000000001</v>
      </c>
      <c r="AK518">
        <v>0</v>
      </c>
      <c r="AL518" s="76">
        <v>45790</v>
      </c>
      <c r="AM518" s="75">
        <v>282</v>
      </c>
      <c r="AN518" t="s">
        <v>65</v>
      </c>
      <c r="AO518" t="s">
        <v>2605</v>
      </c>
      <c r="AP518" t="s">
        <v>67</v>
      </c>
      <c r="AQ518" t="s">
        <v>83</v>
      </c>
      <c r="AR518" t="s">
        <v>69</v>
      </c>
      <c r="AS518" s="78"/>
      <c r="AT518" s="82" t="s">
        <v>2437</v>
      </c>
      <c r="AU518" s="78">
        <v>2026</v>
      </c>
      <c r="AV518" s="78">
        <v>2</v>
      </c>
      <c r="AW518" s="78" t="s">
        <v>226</v>
      </c>
      <c r="AX518" s="78">
        <v>1</v>
      </c>
      <c r="AY518" s="78">
        <v>0</v>
      </c>
      <c r="BT518" s="2" t="s">
        <v>226</v>
      </c>
      <c r="BU518" s="2">
        <v>1</v>
      </c>
      <c r="BV518" s="2">
        <v>0</v>
      </c>
    </row>
    <row r="519" spans="1:74" ht="15" customHeight="1" x14ac:dyDescent="0.25">
      <c r="A519" s="75">
        <v>5833113</v>
      </c>
      <c r="B519" t="s">
        <v>2606</v>
      </c>
      <c r="C519" t="s">
        <v>2607</v>
      </c>
      <c r="D519" t="s">
        <v>2602</v>
      </c>
      <c r="E519" t="s">
        <v>87</v>
      </c>
      <c r="F519" s="75">
        <v>1611</v>
      </c>
      <c r="G519" s="75">
        <v>349703</v>
      </c>
      <c r="H519">
        <v>334.78</v>
      </c>
      <c r="I519" t="s">
        <v>163</v>
      </c>
      <c r="J519" s="75">
        <v>6971</v>
      </c>
      <c r="K519" t="s">
        <v>369</v>
      </c>
      <c r="L519" t="s">
        <v>370</v>
      </c>
      <c r="M519" s="81">
        <v>46072.495439814818</v>
      </c>
      <c r="N519" s="81">
        <v>46074.776307870372</v>
      </c>
      <c r="O519" t="s">
        <v>58</v>
      </c>
      <c r="P519" t="s">
        <v>59</v>
      </c>
      <c r="Q519" t="s">
        <v>905</v>
      </c>
      <c r="R519" t="s">
        <v>60</v>
      </c>
      <c r="S519" t="s">
        <v>583</v>
      </c>
      <c r="U519" s="75">
        <v>195247</v>
      </c>
      <c r="V519" t="s">
        <v>2608</v>
      </c>
      <c r="W519" t="s">
        <v>2608</v>
      </c>
      <c r="X519" t="s">
        <v>79</v>
      </c>
      <c r="Y519" t="s">
        <v>224</v>
      </c>
      <c r="AA519" t="s">
        <v>64</v>
      </c>
      <c r="AB519">
        <v>54.666666999999997</v>
      </c>
      <c r="AC519">
        <v>48.766666000000001</v>
      </c>
      <c r="AD519">
        <v>5.9000009999999996</v>
      </c>
      <c r="AE519">
        <v>0.11666700000000001</v>
      </c>
      <c r="AF519">
        <v>0</v>
      </c>
      <c r="AG519">
        <v>5.783334</v>
      </c>
      <c r="AH519">
        <v>5.783334</v>
      </c>
      <c r="AI519">
        <v>5.283334</v>
      </c>
      <c r="AJ519">
        <v>0.5</v>
      </c>
      <c r="AK519">
        <v>0</v>
      </c>
      <c r="AL519" s="76">
        <v>46149.725092592591</v>
      </c>
      <c r="AM519" s="75">
        <v>-77</v>
      </c>
      <c r="AN519" t="s">
        <v>1436</v>
      </c>
      <c r="AO519" t="s">
        <v>2609</v>
      </c>
      <c r="AP519" t="s">
        <v>67</v>
      </c>
      <c r="AQ519" t="s">
        <v>83</v>
      </c>
      <c r="AR519" t="s">
        <v>69</v>
      </c>
      <c r="AS519" s="79"/>
      <c r="AT519" s="82" t="s">
        <v>2437</v>
      </c>
      <c r="AU519" s="78">
        <v>2026</v>
      </c>
      <c r="AV519" s="78">
        <v>2</v>
      </c>
      <c r="AW519" s="78" t="s">
        <v>226</v>
      </c>
      <c r="AX519" s="78">
        <v>1</v>
      </c>
      <c r="AY519" s="78">
        <v>0</v>
      </c>
      <c r="BT519" s="3" t="s">
        <v>226</v>
      </c>
      <c r="BU519" s="3">
        <v>1</v>
      </c>
      <c r="BV519" s="3">
        <v>0</v>
      </c>
    </row>
    <row r="520" spans="1:74" ht="15" customHeight="1" x14ac:dyDescent="0.25">
      <c r="A520" s="75">
        <v>5833243</v>
      </c>
      <c r="B520" t="s">
        <v>2610</v>
      </c>
      <c r="C520" t="s">
        <v>2611</v>
      </c>
      <c r="D520" t="s">
        <v>527</v>
      </c>
      <c r="E520" t="s">
        <v>87</v>
      </c>
      <c r="F520" s="75">
        <v>860</v>
      </c>
      <c r="G520" s="75">
        <v>290565</v>
      </c>
      <c r="H520">
        <v>910</v>
      </c>
      <c r="I520" t="s">
        <v>195</v>
      </c>
      <c r="J520" s="75">
        <v>19921</v>
      </c>
      <c r="K520" t="s">
        <v>1325</v>
      </c>
      <c r="L520" t="s">
        <v>2612</v>
      </c>
      <c r="M520" s="81">
        <v>46072.568912037037</v>
      </c>
      <c r="N520" s="81">
        <v>46075.320104166669</v>
      </c>
      <c r="O520" t="s">
        <v>58</v>
      </c>
      <c r="P520" t="s">
        <v>59</v>
      </c>
      <c r="R520" t="s">
        <v>60</v>
      </c>
      <c r="S520" t="s">
        <v>583</v>
      </c>
      <c r="U520" s="75">
        <v>195487</v>
      </c>
      <c r="V520" t="s">
        <v>2613</v>
      </c>
      <c r="W520" t="s">
        <v>2613</v>
      </c>
      <c r="X520" t="s">
        <v>118</v>
      </c>
      <c r="Y520" t="s">
        <v>2614</v>
      </c>
      <c r="AA520" t="s">
        <v>101</v>
      </c>
      <c r="AB520">
        <v>65.933334000000002</v>
      </c>
      <c r="AC520">
        <v>56.916666999999997</v>
      </c>
      <c r="AD520">
        <v>9.016667</v>
      </c>
      <c r="AE520">
        <v>0.283333</v>
      </c>
      <c r="AF520">
        <v>0</v>
      </c>
      <c r="AG520">
        <v>8.7333339999999993</v>
      </c>
      <c r="AH520">
        <v>8.7333339999999993</v>
      </c>
      <c r="AI520">
        <v>8.2000010000000003</v>
      </c>
      <c r="AJ520">
        <v>0.53333299999999995</v>
      </c>
      <c r="AK520">
        <v>0</v>
      </c>
      <c r="AL520" s="76">
        <v>45104.61990740741</v>
      </c>
      <c r="AM520" s="75">
        <v>967</v>
      </c>
      <c r="AN520" t="s">
        <v>65</v>
      </c>
      <c r="AO520" t="s">
        <v>2615</v>
      </c>
      <c r="AP520" t="s">
        <v>67</v>
      </c>
      <c r="AQ520" t="s">
        <v>121</v>
      </c>
      <c r="AR520" t="s">
        <v>69</v>
      </c>
      <c r="AS520" s="78"/>
      <c r="AT520" s="82" t="s">
        <v>2437</v>
      </c>
      <c r="AU520" s="78">
        <v>2026</v>
      </c>
      <c r="AV520" s="78">
        <v>2</v>
      </c>
      <c r="AW520" s="78" t="s">
        <v>347</v>
      </c>
      <c r="AX520" s="78">
        <v>0</v>
      </c>
      <c r="AY520" s="78">
        <v>0</v>
      </c>
      <c r="BT520" s="2" t="s">
        <v>347</v>
      </c>
      <c r="BU520" s="2">
        <v>0</v>
      </c>
      <c r="BV520" s="2">
        <v>0</v>
      </c>
    </row>
    <row r="521" spans="1:74" ht="15" customHeight="1" x14ac:dyDescent="0.25">
      <c r="A521" s="75">
        <v>5834011</v>
      </c>
      <c r="B521" t="s">
        <v>2616</v>
      </c>
      <c r="C521" t="s">
        <v>2617</v>
      </c>
      <c r="D521" t="s">
        <v>527</v>
      </c>
      <c r="E521" t="s">
        <v>87</v>
      </c>
      <c r="F521" s="75">
        <v>62</v>
      </c>
      <c r="G521" s="75">
        <v>280125</v>
      </c>
      <c r="H521">
        <v>623.5</v>
      </c>
      <c r="I521" t="s">
        <v>266</v>
      </c>
      <c r="J521" s="75">
        <v>203659</v>
      </c>
      <c r="K521" t="s">
        <v>1090</v>
      </c>
      <c r="L521" t="s">
        <v>1091</v>
      </c>
      <c r="M521" s="81">
        <v>46072.736388888887</v>
      </c>
      <c r="N521" s="81">
        <v>46075.322627314818</v>
      </c>
      <c r="O521" t="s">
        <v>58</v>
      </c>
      <c r="P521" t="s">
        <v>59</v>
      </c>
      <c r="Q521" t="s">
        <v>90</v>
      </c>
      <c r="R521" t="s">
        <v>156</v>
      </c>
      <c r="S521" t="s">
        <v>1311</v>
      </c>
      <c r="U521" s="75">
        <v>195531</v>
      </c>
      <c r="V521" t="s">
        <v>2618</v>
      </c>
      <c r="W521" t="s">
        <v>2618</v>
      </c>
      <c r="X521" t="s">
        <v>62</v>
      </c>
      <c r="Y521" t="s">
        <v>1049</v>
      </c>
      <c r="AA521" t="s">
        <v>64</v>
      </c>
      <c r="AB521">
        <v>61.999999000000003</v>
      </c>
      <c r="AC521">
        <v>54.983333000000002</v>
      </c>
      <c r="AD521">
        <v>7.0166659999999998</v>
      </c>
      <c r="AE521">
        <v>0.43333300000000002</v>
      </c>
      <c r="AF521">
        <v>0</v>
      </c>
      <c r="AG521">
        <v>6.5833329999999997</v>
      </c>
      <c r="AH521">
        <v>6.5833329999999997</v>
      </c>
      <c r="AI521">
        <v>6.5</v>
      </c>
      <c r="AJ521">
        <v>8.3333000000000004E-2</v>
      </c>
      <c r="AK521">
        <v>0</v>
      </c>
      <c r="AL521" s="76">
        <v>44804</v>
      </c>
      <c r="AM521" s="75">
        <v>1268</v>
      </c>
      <c r="AN521" t="s">
        <v>65</v>
      </c>
      <c r="AO521" t="s">
        <v>2619</v>
      </c>
      <c r="AP521" t="s">
        <v>67</v>
      </c>
      <c r="AQ521" t="s">
        <v>68</v>
      </c>
      <c r="AR521" t="s">
        <v>69</v>
      </c>
      <c r="AS521" s="79"/>
      <c r="AT521" s="82" t="s">
        <v>2437</v>
      </c>
      <c r="AU521" s="78">
        <v>2026</v>
      </c>
      <c r="AV521" s="78">
        <v>2</v>
      </c>
      <c r="AW521" s="78" t="s">
        <v>137</v>
      </c>
      <c r="AX521" s="78">
        <v>1</v>
      </c>
      <c r="AY521" s="78">
        <v>0</v>
      </c>
      <c r="BT521" s="3" t="s">
        <v>137</v>
      </c>
      <c r="BU521" s="3">
        <v>1</v>
      </c>
      <c r="BV521" s="3">
        <v>0</v>
      </c>
    </row>
    <row r="522" spans="1:74" ht="15" customHeight="1" x14ac:dyDescent="0.25">
      <c r="A522" s="75">
        <v>5835037</v>
      </c>
      <c r="B522" t="s">
        <v>2620</v>
      </c>
      <c r="C522" t="s">
        <v>2621</v>
      </c>
      <c r="D522" t="s">
        <v>527</v>
      </c>
      <c r="E522" t="s">
        <v>105</v>
      </c>
      <c r="F522" s="75">
        <v>217</v>
      </c>
      <c r="G522" s="75">
        <v>303281</v>
      </c>
      <c r="H522">
        <v>1500.8</v>
      </c>
      <c r="I522" t="s">
        <v>55</v>
      </c>
      <c r="J522" s="75">
        <v>71001</v>
      </c>
      <c r="K522" t="s">
        <v>1193</v>
      </c>
      <c r="L522" t="s">
        <v>1194</v>
      </c>
      <c r="M522" s="81">
        <v>46073.437835648147</v>
      </c>
      <c r="N522" s="81">
        <v>46075.329305555562</v>
      </c>
      <c r="O522" t="s">
        <v>58</v>
      </c>
      <c r="P522" t="s">
        <v>59</v>
      </c>
      <c r="Q522" t="s">
        <v>90</v>
      </c>
      <c r="R522" t="s">
        <v>144</v>
      </c>
      <c r="S522" t="s">
        <v>1901</v>
      </c>
      <c r="U522" s="75">
        <v>196111</v>
      </c>
      <c r="V522" t="s">
        <v>2622</v>
      </c>
      <c r="W522" t="s">
        <v>2622</v>
      </c>
      <c r="X522" t="s">
        <v>118</v>
      </c>
      <c r="Y522" t="s">
        <v>119</v>
      </c>
      <c r="AA522" t="s">
        <v>64</v>
      </c>
      <c r="AB522">
        <v>45.283334000000004</v>
      </c>
      <c r="AC522">
        <v>38.316665999999998</v>
      </c>
      <c r="AD522">
        <v>6.9666680000000003</v>
      </c>
      <c r="AE522">
        <v>1.350001</v>
      </c>
      <c r="AF522">
        <v>0</v>
      </c>
      <c r="AG522">
        <v>5.6166669999999996</v>
      </c>
      <c r="AH522">
        <v>5.6166669999999996</v>
      </c>
      <c r="AI522">
        <v>5.5</v>
      </c>
      <c r="AJ522">
        <v>0.11666700000000001</v>
      </c>
      <c r="AK522">
        <v>0</v>
      </c>
      <c r="AL522" s="76">
        <v>45583</v>
      </c>
      <c r="AM522" s="75">
        <v>490</v>
      </c>
      <c r="AN522" t="s">
        <v>65</v>
      </c>
      <c r="AO522" t="s">
        <v>2623</v>
      </c>
      <c r="AP522" t="s">
        <v>67</v>
      </c>
      <c r="AQ522" t="s">
        <v>121</v>
      </c>
      <c r="AR522" t="s">
        <v>69</v>
      </c>
      <c r="AS522" s="78"/>
      <c r="AT522" s="82" t="s">
        <v>2437</v>
      </c>
      <c r="AU522" s="78">
        <v>2026</v>
      </c>
      <c r="AV522" s="78">
        <v>2</v>
      </c>
      <c r="AW522" s="78" t="s">
        <v>122</v>
      </c>
      <c r="AX522" s="78">
        <v>1</v>
      </c>
      <c r="AY522" s="78">
        <v>0</v>
      </c>
      <c r="BT522" s="2" t="s">
        <v>122</v>
      </c>
      <c r="BU522" s="2">
        <v>1</v>
      </c>
      <c r="BV522" s="2">
        <v>0</v>
      </c>
    </row>
    <row r="523" spans="1:74" ht="15" customHeight="1" x14ac:dyDescent="0.25">
      <c r="A523" s="75">
        <v>5834893</v>
      </c>
      <c r="B523" t="s">
        <v>2624</v>
      </c>
      <c r="C523" t="s">
        <v>2625</v>
      </c>
      <c r="D523" t="s">
        <v>527</v>
      </c>
      <c r="E523" t="s">
        <v>54</v>
      </c>
      <c r="F523" s="75">
        <v>2</v>
      </c>
      <c r="G523" s="75">
        <v>266187</v>
      </c>
      <c r="H523">
        <v>179.7</v>
      </c>
      <c r="I523" t="s">
        <v>242</v>
      </c>
      <c r="J523" s="75">
        <v>211857</v>
      </c>
      <c r="K523" t="s">
        <v>2626</v>
      </c>
      <c r="L523" t="s">
        <v>2627</v>
      </c>
      <c r="M523" s="81">
        <v>46073.410960648151</v>
      </c>
      <c r="N523" s="81">
        <v>46075.330057870371</v>
      </c>
      <c r="O523" t="s">
        <v>58</v>
      </c>
      <c r="P523" t="s">
        <v>59</v>
      </c>
      <c r="Q523" t="s">
        <v>77</v>
      </c>
      <c r="R523" t="s">
        <v>131</v>
      </c>
      <c r="S523" t="s">
        <v>1316</v>
      </c>
      <c r="T523" t="s">
        <v>507</v>
      </c>
      <c r="U523" s="75">
        <v>195969</v>
      </c>
      <c r="V523" t="s">
        <v>2628</v>
      </c>
      <c r="W523" t="s">
        <v>2628</v>
      </c>
      <c r="X523" t="s">
        <v>62</v>
      </c>
      <c r="Y523" t="s">
        <v>2629</v>
      </c>
      <c r="AA523" t="s">
        <v>101</v>
      </c>
      <c r="AB523">
        <v>46.016668000000003</v>
      </c>
      <c r="AC523">
        <v>37.666666999999997</v>
      </c>
      <c r="AD523">
        <v>8.3500010000000007</v>
      </c>
      <c r="AE523">
        <v>0.11666700000000001</v>
      </c>
      <c r="AF523">
        <v>0</v>
      </c>
      <c r="AG523">
        <v>8.2333339999999993</v>
      </c>
      <c r="AH523">
        <v>8.2333339999999993</v>
      </c>
      <c r="AI523">
        <v>6.516667</v>
      </c>
      <c r="AJ523">
        <v>1.7166669999999999</v>
      </c>
      <c r="AK523">
        <v>0</v>
      </c>
      <c r="AL523" s="76">
        <v>36526</v>
      </c>
      <c r="AM523" s="75">
        <v>9547</v>
      </c>
      <c r="AN523" t="s">
        <v>65</v>
      </c>
      <c r="AO523" t="s">
        <v>2630</v>
      </c>
      <c r="AP523" t="s">
        <v>67</v>
      </c>
      <c r="AQ523" t="s">
        <v>68</v>
      </c>
      <c r="AR523" t="s">
        <v>69</v>
      </c>
      <c r="AS523" s="79"/>
      <c r="AT523" s="82" t="s">
        <v>2437</v>
      </c>
      <c r="AU523" s="78">
        <v>2026</v>
      </c>
      <c r="AV523" s="78">
        <v>2</v>
      </c>
      <c r="AW523" s="78" t="s">
        <v>71</v>
      </c>
      <c r="AX523" s="78">
        <v>0</v>
      </c>
      <c r="AY523" s="78">
        <v>0</v>
      </c>
      <c r="BT523" s="3" t="s">
        <v>71</v>
      </c>
      <c r="BU523" s="3">
        <v>0</v>
      </c>
      <c r="BV523" s="3">
        <v>0</v>
      </c>
    </row>
    <row r="524" spans="1:74" ht="15" customHeight="1" x14ac:dyDescent="0.25">
      <c r="A524" s="75">
        <v>5829535</v>
      </c>
      <c r="B524" t="s">
        <v>2631</v>
      </c>
      <c r="C524" t="s">
        <v>2632</v>
      </c>
      <c r="D524" t="s">
        <v>527</v>
      </c>
      <c r="E524" t="s">
        <v>87</v>
      </c>
      <c r="F524" s="75">
        <v>37</v>
      </c>
      <c r="G524" s="75">
        <v>295811</v>
      </c>
      <c r="H524">
        <v>1785</v>
      </c>
      <c r="I524" t="s">
        <v>114</v>
      </c>
      <c r="J524" s="75">
        <v>202555</v>
      </c>
      <c r="K524" t="s">
        <v>2216</v>
      </c>
      <c r="L524" t="s">
        <v>2217</v>
      </c>
      <c r="M524" s="81">
        <v>46069.590543981481</v>
      </c>
      <c r="N524" s="81">
        <v>46075.361284722218</v>
      </c>
      <c r="O524" t="s">
        <v>58</v>
      </c>
      <c r="P524" t="s">
        <v>59</v>
      </c>
      <c r="Q524" t="s">
        <v>90</v>
      </c>
      <c r="R524" t="s">
        <v>60</v>
      </c>
      <c r="S524" t="s">
        <v>583</v>
      </c>
      <c r="U524" s="75">
        <v>193213</v>
      </c>
      <c r="V524" t="s">
        <v>2633</v>
      </c>
      <c r="W524" t="s">
        <v>2633</v>
      </c>
      <c r="X524" t="s">
        <v>62</v>
      </c>
      <c r="Y524" t="s">
        <v>63</v>
      </c>
      <c r="AA524" t="s">
        <v>101</v>
      </c>
      <c r="AB524">
        <v>138.383332</v>
      </c>
      <c r="AC524">
        <v>127.116666</v>
      </c>
      <c r="AD524">
        <v>11.266666000000001</v>
      </c>
      <c r="AE524">
        <v>0.23333300000000001</v>
      </c>
      <c r="AF524">
        <v>0</v>
      </c>
      <c r="AG524">
        <v>11.033333000000001</v>
      </c>
      <c r="AH524">
        <v>11.033333000000001</v>
      </c>
      <c r="AI524">
        <v>10.183332999999999</v>
      </c>
      <c r="AJ524">
        <v>0.85</v>
      </c>
      <c r="AK524">
        <v>0</v>
      </c>
      <c r="AL524" s="76">
        <v>45351</v>
      </c>
      <c r="AM524" s="75">
        <v>718</v>
      </c>
      <c r="AN524" t="s">
        <v>65</v>
      </c>
      <c r="AO524" t="s">
        <v>2634</v>
      </c>
      <c r="AP524" t="s">
        <v>67</v>
      </c>
      <c r="AQ524" t="s">
        <v>68</v>
      </c>
      <c r="AR524" t="s">
        <v>69</v>
      </c>
      <c r="AS524" s="78"/>
      <c r="AT524" s="82" t="s">
        <v>2437</v>
      </c>
      <c r="AU524" s="78">
        <v>2026</v>
      </c>
      <c r="AV524" s="78">
        <v>2</v>
      </c>
      <c r="AW524" s="78" t="s">
        <v>71</v>
      </c>
      <c r="AX524" s="78">
        <v>0</v>
      </c>
      <c r="AY524" s="78">
        <v>0</v>
      </c>
      <c r="BT524" s="2" t="s">
        <v>71</v>
      </c>
      <c r="BU524" s="2">
        <v>0</v>
      </c>
      <c r="BV524" s="2">
        <v>0</v>
      </c>
    </row>
    <row r="525" spans="1:74" ht="15" customHeight="1" x14ac:dyDescent="0.25">
      <c r="A525" s="75">
        <v>5834727</v>
      </c>
      <c r="B525" t="s">
        <v>2635</v>
      </c>
      <c r="C525" t="s">
        <v>2636</v>
      </c>
      <c r="D525" t="s">
        <v>527</v>
      </c>
      <c r="E525" t="s">
        <v>54</v>
      </c>
      <c r="F525" s="75">
        <v>19</v>
      </c>
      <c r="G525" s="75">
        <v>333075</v>
      </c>
      <c r="H525">
        <v>250</v>
      </c>
      <c r="I525" t="s">
        <v>141</v>
      </c>
      <c r="J525" s="75">
        <v>88921</v>
      </c>
      <c r="K525" t="s">
        <v>1177</v>
      </c>
      <c r="L525" t="s">
        <v>1178</v>
      </c>
      <c r="M525" s="81">
        <v>46073.38689814815</v>
      </c>
      <c r="N525" s="81">
        <v>46075.375277777777</v>
      </c>
      <c r="O525" t="s">
        <v>58</v>
      </c>
      <c r="P525" t="s">
        <v>59</v>
      </c>
      <c r="Q525" t="s">
        <v>130</v>
      </c>
      <c r="R525" t="s">
        <v>144</v>
      </c>
      <c r="S525" t="s">
        <v>1901</v>
      </c>
      <c r="U525" s="75">
        <v>195765</v>
      </c>
      <c r="V525" t="s">
        <v>2637</v>
      </c>
      <c r="W525" t="s">
        <v>2637</v>
      </c>
      <c r="X525" t="s">
        <v>62</v>
      </c>
      <c r="Y525" t="s">
        <v>63</v>
      </c>
      <c r="AA525" t="s">
        <v>101</v>
      </c>
      <c r="AB525">
        <v>47.666668000000001</v>
      </c>
      <c r="AC525">
        <v>39.416666999999997</v>
      </c>
      <c r="AD525">
        <v>8.2500009999999993</v>
      </c>
      <c r="AE525">
        <v>0.13333400000000001</v>
      </c>
      <c r="AF525">
        <v>0</v>
      </c>
      <c r="AG525">
        <v>8.1166669999999996</v>
      </c>
      <c r="AH525">
        <v>8.1166669999999996</v>
      </c>
      <c r="AI525">
        <v>8.0666670000000007</v>
      </c>
      <c r="AJ525">
        <v>0.05</v>
      </c>
      <c r="AK525">
        <v>0</v>
      </c>
      <c r="AL525" s="76">
        <v>45785.472048611111</v>
      </c>
      <c r="AM525" s="75">
        <v>287</v>
      </c>
      <c r="AN525" t="s">
        <v>65</v>
      </c>
      <c r="AO525" t="s">
        <v>2638</v>
      </c>
      <c r="AP525" t="s">
        <v>67</v>
      </c>
      <c r="AQ525" t="s">
        <v>68</v>
      </c>
      <c r="AR525" t="s">
        <v>69</v>
      </c>
      <c r="AS525" s="79"/>
      <c r="AT525" s="82" t="s">
        <v>2437</v>
      </c>
      <c r="AU525" s="78">
        <v>2026</v>
      </c>
      <c r="AV525" s="78">
        <v>2</v>
      </c>
      <c r="AW525" s="78" t="s">
        <v>71</v>
      </c>
      <c r="AX525" s="78">
        <v>0</v>
      </c>
      <c r="AY525" s="78">
        <v>0</v>
      </c>
      <c r="BT525" s="3" t="s">
        <v>71</v>
      </c>
      <c r="BU525" s="3">
        <v>0</v>
      </c>
      <c r="BV525" s="3">
        <v>0</v>
      </c>
    </row>
    <row r="526" spans="1:74" ht="15" customHeight="1" x14ac:dyDescent="0.25">
      <c r="A526" s="75">
        <v>5829239</v>
      </c>
      <c r="B526" t="s">
        <v>2639</v>
      </c>
      <c r="C526" t="s">
        <v>2640</v>
      </c>
      <c r="D526" t="s">
        <v>2379</v>
      </c>
      <c r="E526" t="s">
        <v>87</v>
      </c>
      <c r="F526" s="75">
        <v>152</v>
      </c>
      <c r="G526" s="75">
        <v>112929</v>
      </c>
      <c r="H526">
        <v>1033.7</v>
      </c>
      <c r="I526" t="s">
        <v>368</v>
      </c>
      <c r="J526" s="75">
        <v>6971</v>
      </c>
      <c r="K526" t="s">
        <v>369</v>
      </c>
      <c r="L526" t="s">
        <v>370</v>
      </c>
      <c r="M526" s="81">
        <v>46069.329143518517</v>
      </c>
      <c r="N526" s="81">
        <v>46075.589930555558</v>
      </c>
      <c r="O526" t="s">
        <v>58</v>
      </c>
      <c r="P526" t="s">
        <v>59</v>
      </c>
      <c r="Q526" t="s">
        <v>130</v>
      </c>
      <c r="R526" t="s">
        <v>156</v>
      </c>
      <c r="S526" t="s">
        <v>1320</v>
      </c>
      <c r="T526" t="s">
        <v>2641</v>
      </c>
      <c r="U526" s="75">
        <v>195451</v>
      </c>
      <c r="V526" t="s">
        <v>2642</v>
      </c>
      <c r="W526" t="s">
        <v>2643</v>
      </c>
      <c r="X526" t="s">
        <v>62</v>
      </c>
      <c r="Y526" t="s">
        <v>541</v>
      </c>
      <c r="AA526" t="s">
        <v>81</v>
      </c>
      <c r="AB526">
        <v>150.15</v>
      </c>
      <c r="AC526">
        <v>145.23333299999999</v>
      </c>
      <c r="AD526">
        <v>4.9166670000000003</v>
      </c>
      <c r="AE526">
        <v>3.966666</v>
      </c>
      <c r="AF526">
        <v>0</v>
      </c>
      <c r="AG526">
        <v>0.95000099999999998</v>
      </c>
      <c r="AH526">
        <v>0.95000099999999998</v>
      </c>
      <c r="AI526">
        <v>0.36666700000000002</v>
      </c>
      <c r="AJ526">
        <v>0.58333400000000002</v>
      </c>
      <c r="AK526">
        <v>0</v>
      </c>
      <c r="AL526" s="76">
        <v>43621</v>
      </c>
      <c r="AM526" s="75">
        <v>2448</v>
      </c>
      <c r="AN526" t="s">
        <v>65</v>
      </c>
      <c r="AO526" t="s">
        <v>2644</v>
      </c>
      <c r="AP526" t="s">
        <v>67</v>
      </c>
      <c r="AQ526" t="s">
        <v>68</v>
      </c>
      <c r="AR526" t="s">
        <v>69</v>
      </c>
      <c r="AS526" s="78"/>
      <c r="AT526" s="82" t="s">
        <v>2437</v>
      </c>
      <c r="AU526" s="78">
        <v>2026</v>
      </c>
      <c r="AV526" s="78">
        <v>2</v>
      </c>
      <c r="AW526" s="78" t="s">
        <v>137</v>
      </c>
      <c r="AX526" s="78">
        <v>1</v>
      </c>
      <c r="AY526" s="78">
        <v>0</v>
      </c>
      <c r="BT526" s="2" t="s">
        <v>137</v>
      </c>
      <c r="BU526" s="2">
        <v>1</v>
      </c>
      <c r="BV526" s="2">
        <v>0</v>
      </c>
    </row>
    <row r="527" spans="1:74" ht="15" customHeight="1" x14ac:dyDescent="0.25">
      <c r="A527" s="75">
        <v>5836731</v>
      </c>
      <c r="B527" t="s">
        <v>2645</v>
      </c>
      <c r="C527" t="s">
        <v>2646</v>
      </c>
      <c r="D527" t="s">
        <v>527</v>
      </c>
      <c r="E527" t="s">
        <v>87</v>
      </c>
      <c r="F527" s="75">
        <v>828</v>
      </c>
      <c r="G527" s="75">
        <v>345219</v>
      </c>
      <c r="H527">
        <v>334.78</v>
      </c>
      <c r="I527" t="s">
        <v>141</v>
      </c>
      <c r="J527" s="75">
        <v>6971</v>
      </c>
      <c r="K527" t="s">
        <v>369</v>
      </c>
      <c r="L527" t="s">
        <v>370</v>
      </c>
      <c r="M527" s="81">
        <v>46074.437858796293</v>
      </c>
      <c r="N527" s="81">
        <v>46076.359293981477</v>
      </c>
      <c r="P527" t="s">
        <v>59</v>
      </c>
      <c r="Q527" t="s">
        <v>90</v>
      </c>
      <c r="R527" t="s">
        <v>156</v>
      </c>
      <c r="S527" t="s">
        <v>1320</v>
      </c>
      <c r="U527" s="75">
        <v>196409</v>
      </c>
      <c r="V527" t="s">
        <v>2647</v>
      </c>
      <c r="W527" t="s">
        <v>2648</v>
      </c>
      <c r="X527" t="s">
        <v>79</v>
      </c>
      <c r="Y527" t="s">
        <v>224</v>
      </c>
      <c r="AA527" t="s">
        <v>81</v>
      </c>
      <c r="AB527">
        <v>46.066665999999998</v>
      </c>
      <c r="AC527">
        <v>43.383333</v>
      </c>
      <c r="AD527">
        <v>2.6833330000000002</v>
      </c>
      <c r="AE527">
        <v>1.3666670000000001</v>
      </c>
      <c r="AF527">
        <v>0</v>
      </c>
      <c r="AG527">
        <v>1.3166659999999999</v>
      </c>
      <c r="AH527">
        <v>1.3166659999999999</v>
      </c>
      <c r="AI527">
        <v>3.3333000000000002E-2</v>
      </c>
      <c r="AJ527">
        <v>1.2833330000000001</v>
      </c>
      <c r="AK527">
        <v>0</v>
      </c>
      <c r="AL527" s="76">
        <v>46149</v>
      </c>
      <c r="AM527" s="75">
        <v>-74</v>
      </c>
      <c r="AN527" t="s">
        <v>1436</v>
      </c>
      <c r="AO527" t="s">
        <v>2649</v>
      </c>
      <c r="AP527" t="s">
        <v>67</v>
      </c>
      <c r="AQ527" t="s">
        <v>83</v>
      </c>
      <c r="AR527" t="s">
        <v>69</v>
      </c>
      <c r="AS527" s="79"/>
      <c r="AT527" s="82" t="s">
        <v>2650</v>
      </c>
      <c r="AU527" s="78">
        <v>2026</v>
      </c>
      <c r="AV527" s="78">
        <v>2</v>
      </c>
      <c r="AW527" s="78" t="s">
        <v>226</v>
      </c>
      <c r="AX527" s="78">
        <v>1</v>
      </c>
      <c r="AY527" s="78">
        <v>0</v>
      </c>
      <c r="BT527" s="3" t="s">
        <v>226</v>
      </c>
      <c r="BU527" s="3">
        <v>1</v>
      </c>
      <c r="BV527" s="3">
        <v>0</v>
      </c>
    </row>
    <row r="528" spans="1:74" ht="15" customHeight="1" x14ac:dyDescent="0.25">
      <c r="A528" s="75">
        <v>5832119</v>
      </c>
      <c r="B528" t="s">
        <v>2651</v>
      </c>
      <c r="C528" t="s">
        <v>2652</v>
      </c>
      <c r="D528" t="s">
        <v>1388</v>
      </c>
      <c r="E528" t="s">
        <v>105</v>
      </c>
      <c r="F528" s="75">
        <v>906</v>
      </c>
      <c r="G528" s="75">
        <v>278681</v>
      </c>
      <c r="H528">
        <v>613.79999999999995</v>
      </c>
      <c r="I528" t="s">
        <v>266</v>
      </c>
      <c r="J528" s="75">
        <v>48887</v>
      </c>
      <c r="K528" t="s">
        <v>164</v>
      </c>
      <c r="L528" t="s">
        <v>165</v>
      </c>
      <c r="M528" s="81">
        <v>46071.764872685177</v>
      </c>
      <c r="N528" s="81">
        <v>46076.42423611111</v>
      </c>
      <c r="O528" t="s">
        <v>58</v>
      </c>
      <c r="P528" t="s">
        <v>59</v>
      </c>
      <c r="Q528" t="s">
        <v>130</v>
      </c>
      <c r="R528" t="s">
        <v>60</v>
      </c>
      <c r="S528" t="s">
        <v>583</v>
      </c>
      <c r="U528" s="75">
        <v>195307</v>
      </c>
      <c r="V528" t="s">
        <v>2653</v>
      </c>
      <c r="W528" t="s">
        <v>2654</v>
      </c>
      <c r="X528" t="s">
        <v>62</v>
      </c>
      <c r="Y528" t="s">
        <v>63</v>
      </c>
      <c r="AA528" t="s">
        <v>101</v>
      </c>
      <c r="AB528">
        <v>111.716668</v>
      </c>
      <c r="AC528">
        <v>102.250001</v>
      </c>
      <c r="AD528">
        <v>9.4666669999999993</v>
      </c>
      <c r="AE528">
        <v>0.66666700000000001</v>
      </c>
      <c r="AF528">
        <v>0</v>
      </c>
      <c r="AG528">
        <v>8.8000000000000007</v>
      </c>
      <c r="AH528">
        <v>8.8000000000000007</v>
      </c>
      <c r="AI528">
        <v>7.95</v>
      </c>
      <c r="AJ528">
        <v>0.85</v>
      </c>
      <c r="AK528">
        <v>0</v>
      </c>
      <c r="AL528" s="76">
        <v>44441</v>
      </c>
      <c r="AM528" s="75">
        <v>1630</v>
      </c>
      <c r="AN528" t="s">
        <v>65</v>
      </c>
      <c r="AO528" t="s">
        <v>2655</v>
      </c>
      <c r="AP528" t="s">
        <v>67</v>
      </c>
      <c r="AQ528" t="s">
        <v>68</v>
      </c>
      <c r="AR528" t="s">
        <v>69</v>
      </c>
      <c r="AS528" s="78"/>
      <c r="AT528" s="82" t="s">
        <v>2650</v>
      </c>
      <c r="AU528" s="78">
        <v>2026</v>
      </c>
      <c r="AV528" s="78">
        <v>2</v>
      </c>
      <c r="AW528" s="78" t="s">
        <v>71</v>
      </c>
      <c r="AX528" s="78">
        <v>0</v>
      </c>
      <c r="AY528" s="78">
        <v>0</v>
      </c>
      <c r="BT528" s="2" t="s">
        <v>71</v>
      </c>
      <c r="BU528" s="2">
        <v>0</v>
      </c>
      <c r="BV528" s="2">
        <v>0</v>
      </c>
    </row>
    <row r="529" spans="1:74" ht="15" customHeight="1" x14ac:dyDescent="0.25">
      <c r="A529" s="75">
        <v>5832809</v>
      </c>
      <c r="B529" t="s">
        <v>2656</v>
      </c>
      <c r="C529" t="s">
        <v>2657</v>
      </c>
      <c r="D529" t="s">
        <v>1388</v>
      </c>
      <c r="E529" t="s">
        <v>105</v>
      </c>
      <c r="F529" s="75">
        <v>638</v>
      </c>
      <c r="G529" s="75">
        <v>342937</v>
      </c>
      <c r="H529">
        <v>225</v>
      </c>
      <c r="I529" t="s">
        <v>163</v>
      </c>
      <c r="J529" s="75">
        <v>48887</v>
      </c>
      <c r="K529" t="s">
        <v>164</v>
      </c>
      <c r="L529" t="s">
        <v>165</v>
      </c>
      <c r="M529" s="81">
        <v>46072.426226851851</v>
      </c>
      <c r="N529" s="81">
        <v>46076.427523148152</v>
      </c>
      <c r="O529" t="s">
        <v>58</v>
      </c>
      <c r="P529" t="s">
        <v>59</v>
      </c>
      <c r="Q529" t="s">
        <v>130</v>
      </c>
      <c r="R529" t="s">
        <v>156</v>
      </c>
      <c r="S529" t="s">
        <v>1311</v>
      </c>
      <c r="U529" s="75">
        <v>195465</v>
      </c>
      <c r="V529" t="s">
        <v>2658</v>
      </c>
      <c r="W529" t="s">
        <v>2658</v>
      </c>
      <c r="X529" t="s">
        <v>62</v>
      </c>
      <c r="Y529" t="s">
        <v>63</v>
      </c>
      <c r="AA529" t="s">
        <v>101</v>
      </c>
      <c r="AB529">
        <v>95.949999000000005</v>
      </c>
      <c r="AC529">
        <v>85.766666000000001</v>
      </c>
      <c r="AD529">
        <v>10.183332999999999</v>
      </c>
      <c r="AE529">
        <v>0.65</v>
      </c>
      <c r="AF529">
        <v>0</v>
      </c>
      <c r="AG529">
        <v>9.5333330000000007</v>
      </c>
      <c r="AH529">
        <v>9.5333330000000007</v>
      </c>
      <c r="AI529">
        <v>7.05</v>
      </c>
      <c r="AJ529">
        <v>2.483333</v>
      </c>
      <c r="AK529">
        <v>0</v>
      </c>
      <c r="AL529" s="76">
        <v>45855</v>
      </c>
      <c r="AM529" s="75">
        <v>217</v>
      </c>
      <c r="AN529" t="s">
        <v>65</v>
      </c>
      <c r="AO529" t="s">
        <v>168</v>
      </c>
      <c r="AP529" t="s">
        <v>67</v>
      </c>
      <c r="AQ529" t="s">
        <v>68</v>
      </c>
      <c r="AR529" t="s">
        <v>69</v>
      </c>
      <c r="AS529" s="79"/>
      <c r="AT529" s="82" t="s">
        <v>2650</v>
      </c>
      <c r="AU529" s="78">
        <v>2026</v>
      </c>
      <c r="AV529" s="78">
        <v>2</v>
      </c>
      <c r="AW529" s="78" t="s">
        <v>71</v>
      </c>
      <c r="AX529" s="78">
        <v>0</v>
      </c>
      <c r="AY529" s="78">
        <v>0</v>
      </c>
      <c r="BT529" s="3" t="s">
        <v>71</v>
      </c>
      <c r="BU529" s="3">
        <v>0</v>
      </c>
      <c r="BV529" s="3">
        <v>0</v>
      </c>
    </row>
    <row r="530" spans="1:74" ht="15" customHeight="1" x14ac:dyDescent="0.25">
      <c r="A530" s="75">
        <v>5834569</v>
      </c>
      <c r="B530" t="s">
        <v>2659</v>
      </c>
      <c r="C530" t="s">
        <v>2660</v>
      </c>
      <c r="D530" t="s">
        <v>527</v>
      </c>
      <c r="E530" t="s">
        <v>54</v>
      </c>
      <c r="F530" s="75">
        <v>1</v>
      </c>
      <c r="G530" s="75">
        <v>350439</v>
      </c>
      <c r="H530">
        <v>3599.9</v>
      </c>
      <c r="I530" t="s">
        <v>141</v>
      </c>
      <c r="J530" s="75">
        <v>227681</v>
      </c>
      <c r="K530" t="s">
        <v>2153</v>
      </c>
      <c r="L530" t="s">
        <v>2154</v>
      </c>
      <c r="M530" s="81">
        <v>46073.358749999999</v>
      </c>
      <c r="N530" s="81">
        <v>46076.439791666657</v>
      </c>
      <c r="O530" t="s">
        <v>58</v>
      </c>
      <c r="P530" t="s">
        <v>59</v>
      </c>
      <c r="Q530" t="s">
        <v>905</v>
      </c>
      <c r="R530" t="s">
        <v>156</v>
      </c>
      <c r="S530" t="s">
        <v>1320</v>
      </c>
      <c r="U530" s="75">
        <v>195635</v>
      </c>
      <c r="V530" t="s">
        <v>2661</v>
      </c>
      <c r="W530" t="s">
        <v>2661</v>
      </c>
      <c r="X530" t="s">
        <v>62</v>
      </c>
      <c r="Y530" t="s">
        <v>63</v>
      </c>
      <c r="AA530" t="s">
        <v>101</v>
      </c>
      <c r="AB530">
        <v>73.883332999999993</v>
      </c>
      <c r="AC530">
        <v>65.8</v>
      </c>
      <c r="AD530">
        <v>8.0833329999999997</v>
      </c>
      <c r="AE530">
        <v>3.3333000000000002E-2</v>
      </c>
      <c r="AF530">
        <v>0</v>
      </c>
      <c r="AG530">
        <v>8.0500000000000007</v>
      </c>
      <c r="AH530">
        <v>8.0500000000000007</v>
      </c>
      <c r="AI530">
        <v>7.9333330000000002</v>
      </c>
      <c r="AJ530">
        <v>0.11666700000000001</v>
      </c>
      <c r="AK530">
        <v>0</v>
      </c>
      <c r="AL530" s="76">
        <v>46052.598796296297</v>
      </c>
      <c r="AM530" s="75">
        <v>20</v>
      </c>
      <c r="AN530" t="s">
        <v>65</v>
      </c>
      <c r="AO530" t="s">
        <v>2158</v>
      </c>
      <c r="AP530" t="s">
        <v>67</v>
      </c>
      <c r="AQ530" t="s">
        <v>68</v>
      </c>
      <c r="AR530" t="s">
        <v>69</v>
      </c>
      <c r="AS530" s="78"/>
      <c r="AT530" s="82" t="s">
        <v>2650</v>
      </c>
      <c r="AU530" s="78">
        <v>2026</v>
      </c>
      <c r="AV530" s="78">
        <v>2</v>
      </c>
      <c r="AW530" s="78" t="s">
        <v>71</v>
      </c>
      <c r="AX530" s="78">
        <v>0</v>
      </c>
      <c r="AY530" s="78">
        <v>0</v>
      </c>
      <c r="BT530" s="2" t="s">
        <v>71</v>
      </c>
      <c r="BU530" s="2">
        <v>0</v>
      </c>
      <c r="BV530" s="2">
        <v>0</v>
      </c>
    </row>
    <row r="531" spans="1:74" ht="15" customHeight="1" x14ac:dyDescent="0.25">
      <c r="A531" s="75">
        <v>5834199</v>
      </c>
      <c r="B531" t="s">
        <v>2662</v>
      </c>
      <c r="C531" t="s">
        <v>2663</v>
      </c>
      <c r="D531" t="s">
        <v>1555</v>
      </c>
      <c r="E531" t="s">
        <v>126</v>
      </c>
      <c r="F531" s="75">
        <v>11</v>
      </c>
      <c r="G531" s="75">
        <v>301625</v>
      </c>
      <c r="H531">
        <v>1800</v>
      </c>
      <c r="I531" t="s">
        <v>114</v>
      </c>
      <c r="J531" s="75">
        <v>19489</v>
      </c>
      <c r="K531" t="s">
        <v>935</v>
      </c>
      <c r="L531" t="s">
        <v>936</v>
      </c>
      <c r="M531" s="81">
        <v>46072.895451388889</v>
      </c>
      <c r="N531" s="81">
        <v>46076.489745370367</v>
      </c>
      <c r="O531" t="s">
        <v>58</v>
      </c>
      <c r="P531" t="s">
        <v>59</v>
      </c>
      <c r="Q531" t="s">
        <v>130</v>
      </c>
      <c r="R531" t="s">
        <v>60</v>
      </c>
      <c r="S531" t="s">
        <v>583</v>
      </c>
      <c r="U531" s="75">
        <v>195413</v>
      </c>
      <c r="V531" t="s">
        <v>2664</v>
      </c>
      <c r="W531" t="s">
        <v>2665</v>
      </c>
      <c r="X531" t="s">
        <v>62</v>
      </c>
      <c r="Y531" t="s">
        <v>271</v>
      </c>
      <c r="AA531" t="s">
        <v>416</v>
      </c>
      <c r="AB531">
        <v>86.2</v>
      </c>
      <c r="AC531">
        <v>69.166666000000006</v>
      </c>
      <c r="AD531">
        <v>17.033334</v>
      </c>
      <c r="AE531">
        <v>0.86666699999999997</v>
      </c>
      <c r="AF531">
        <v>0</v>
      </c>
      <c r="AG531">
        <v>16.166667</v>
      </c>
      <c r="AH531">
        <v>16.166667</v>
      </c>
      <c r="AI531">
        <v>15.916667</v>
      </c>
      <c r="AJ531">
        <v>0.25</v>
      </c>
      <c r="AK531">
        <v>0</v>
      </c>
      <c r="AL531" s="76">
        <v>45443</v>
      </c>
      <c r="AM531" s="75">
        <v>629</v>
      </c>
      <c r="AN531" t="s">
        <v>65</v>
      </c>
      <c r="AO531" t="s">
        <v>1760</v>
      </c>
      <c r="AP531" t="s">
        <v>67</v>
      </c>
      <c r="AQ531" t="s">
        <v>68</v>
      </c>
      <c r="AR531" t="s">
        <v>69</v>
      </c>
      <c r="AS531" s="79"/>
      <c r="AT531" s="82" t="s">
        <v>2650</v>
      </c>
      <c r="AU531" s="78">
        <v>2026</v>
      </c>
      <c r="AV531" s="78">
        <v>2</v>
      </c>
      <c r="AW531" s="78" t="s">
        <v>137</v>
      </c>
      <c r="AX531" s="78">
        <v>0</v>
      </c>
      <c r="AY531" s="78">
        <v>0</v>
      </c>
      <c r="BT531" s="3" t="s">
        <v>137</v>
      </c>
      <c r="BU531" s="3">
        <v>0</v>
      </c>
      <c r="BV531" s="3">
        <v>0</v>
      </c>
    </row>
    <row r="532" spans="1:74" ht="15" customHeight="1" x14ac:dyDescent="0.25">
      <c r="A532" s="75">
        <v>5837255</v>
      </c>
      <c r="B532" t="s">
        <v>2666</v>
      </c>
      <c r="C532" t="s">
        <v>2667</v>
      </c>
      <c r="D532" t="s">
        <v>1388</v>
      </c>
      <c r="E532" t="s">
        <v>105</v>
      </c>
      <c r="F532" s="75">
        <v>613</v>
      </c>
      <c r="G532" s="75">
        <v>342875</v>
      </c>
      <c r="H532">
        <v>225</v>
      </c>
      <c r="I532" t="s">
        <v>163</v>
      </c>
      <c r="J532" s="75">
        <v>48887</v>
      </c>
      <c r="K532" t="s">
        <v>164</v>
      </c>
      <c r="L532" t="s">
        <v>165</v>
      </c>
      <c r="M532" s="81">
        <v>46075.277291666673</v>
      </c>
      <c r="N532" s="81">
        <v>46076.547013888892</v>
      </c>
      <c r="O532" t="s">
        <v>58</v>
      </c>
      <c r="P532" t="s">
        <v>59</v>
      </c>
      <c r="Q532" t="s">
        <v>130</v>
      </c>
      <c r="R532" t="s">
        <v>60</v>
      </c>
      <c r="S532" t="s">
        <v>583</v>
      </c>
      <c r="U532" s="75">
        <v>196689</v>
      </c>
      <c r="V532" t="s">
        <v>2668</v>
      </c>
      <c r="W532" t="s">
        <v>2668</v>
      </c>
      <c r="X532" t="s">
        <v>62</v>
      </c>
      <c r="Y532" t="s">
        <v>2598</v>
      </c>
      <c r="AA532" t="s">
        <v>81</v>
      </c>
      <c r="AB532">
        <v>30.416667</v>
      </c>
      <c r="AC532">
        <v>26.2</v>
      </c>
      <c r="AD532">
        <v>4.2166670000000002</v>
      </c>
      <c r="AE532">
        <v>2.9333330000000002</v>
      </c>
      <c r="AF532">
        <v>0</v>
      </c>
      <c r="AG532">
        <v>1.283334</v>
      </c>
      <c r="AH532">
        <v>1.283334</v>
      </c>
      <c r="AI532">
        <v>0.96666700000000005</v>
      </c>
      <c r="AJ532">
        <v>0.31666699999999998</v>
      </c>
      <c r="AK532">
        <v>0</v>
      </c>
      <c r="AL532" s="76">
        <v>45863</v>
      </c>
      <c r="AM532" s="75">
        <v>212</v>
      </c>
      <c r="AN532" t="s">
        <v>65</v>
      </c>
      <c r="AO532" t="s">
        <v>2669</v>
      </c>
      <c r="AP532" t="s">
        <v>67</v>
      </c>
      <c r="AQ532" t="s">
        <v>68</v>
      </c>
      <c r="AR532" t="s">
        <v>69</v>
      </c>
      <c r="AS532" s="78"/>
      <c r="AT532" s="82" t="s">
        <v>2650</v>
      </c>
      <c r="AU532" s="78">
        <v>2026</v>
      </c>
      <c r="AV532" s="78">
        <v>2</v>
      </c>
      <c r="AW532" s="78" t="s">
        <v>137</v>
      </c>
      <c r="AX532" s="78">
        <v>1</v>
      </c>
      <c r="AY532" s="78">
        <v>0</v>
      </c>
      <c r="BT532" s="2" t="s">
        <v>137</v>
      </c>
      <c r="BU532" s="2">
        <v>1</v>
      </c>
      <c r="BV532" s="2">
        <v>0</v>
      </c>
    </row>
    <row r="533" spans="1:74" ht="15" customHeight="1" x14ac:dyDescent="0.25">
      <c r="A533" s="75">
        <v>5833687</v>
      </c>
      <c r="B533" t="s">
        <v>2670</v>
      </c>
      <c r="C533" t="s">
        <v>764</v>
      </c>
      <c r="D533" t="s">
        <v>1388</v>
      </c>
      <c r="E533" t="s">
        <v>87</v>
      </c>
      <c r="F533" s="75">
        <v>340</v>
      </c>
      <c r="G533" s="75">
        <v>286689</v>
      </c>
      <c r="H533">
        <v>364.96</v>
      </c>
      <c r="I533" t="s">
        <v>55</v>
      </c>
      <c r="J533" s="75">
        <v>218787</v>
      </c>
      <c r="K533" t="s">
        <v>96</v>
      </c>
      <c r="L533" t="s">
        <v>97</v>
      </c>
      <c r="M533" s="81">
        <v>46072.690682870372</v>
      </c>
      <c r="N533" s="81">
        <v>46076.589178240742</v>
      </c>
      <c r="O533" t="s">
        <v>58</v>
      </c>
      <c r="P533" t="s">
        <v>59</v>
      </c>
      <c r="Q533" t="s">
        <v>90</v>
      </c>
      <c r="R533" t="s">
        <v>131</v>
      </c>
      <c r="S533" t="s">
        <v>1273</v>
      </c>
      <c r="U533" s="75">
        <v>195371</v>
      </c>
      <c r="V533" t="s">
        <v>2671</v>
      </c>
      <c r="W533" t="s">
        <v>2671</v>
      </c>
      <c r="X533" t="s">
        <v>62</v>
      </c>
      <c r="Y533" t="s">
        <v>63</v>
      </c>
      <c r="AA533" t="s">
        <v>64</v>
      </c>
      <c r="AB533">
        <v>93.516667999999996</v>
      </c>
      <c r="AC533">
        <v>83.683334000000002</v>
      </c>
      <c r="AD533">
        <v>9.8333340000000007</v>
      </c>
      <c r="AE533">
        <v>2.4666670000000002</v>
      </c>
      <c r="AF533">
        <v>0</v>
      </c>
      <c r="AG533">
        <v>7.3666669999999996</v>
      </c>
      <c r="AH533">
        <v>7.3666669999999996</v>
      </c>
      <c r="AI533">
        <v>6.3333329999999997</v>
      </c>
      <c r="AJ533">
        <v>1.033334</v>
      </c>
      <c r="AK533">
        <v>0</v>
      </c>
      <c r="AL533" s="76">
        <v>44914</v>
      </c>
      <c r="AM533" s="75">
        <v>1158</v>
      </c>
      <c r="AN533" t="s">
        <v>65</v>
      </c>
      <c r="AO533" t="s">
        <v>766</v>
      </c>
      <c r="AP533" t="s">
        <v>67</v>
      </c>
      <c r="AQ533" t="s">
        <v>68</v>
      </c>
      <c r="AR533" t="s">
        <v>69</v>
      </c>
      <c r="AS533" s="79"/>
      <c r="AT533" s="82" t="s">
        <v>2650</v>
      </c>
      <c r="AU533" s="78">
        <v>2026</v>
      </c>
      <c r="AV533" s="78">
        <v>2</v>
      </c>
      <c r="AW533" s="78" t="s">
        <v>71</v>
      </c>
      <c r="AX533" s="78">
        <v>1</v>
      </c>
      <c r="AY533" s="78">
        <v>0</v>
      </c>
      <c r="BT533" s="3" t="s">
        <v>71</v>
      </c>
      <c r="BU533" s="3">
        <v>1</v>
      </c>
      <c r="BV533" s="3">
        <v>0</v>
      </c>
    </row>
    <row r="534" spans="1:74" ht="15" customHeight="1" x14ac:dyDescent="0.25">
      <c r="A534" s="75">
        <v>5833695</v>
      </c>
      <c r="B534" t="s">
        <v>2672</v>
      </c>
      <c r="C534" t="s">
        <v>2673</v>
      </c>
      <c r="D534" t="s">
        <v>1388</v>
      </c>
      <c r="E534" t="s">
        <v>87</v>
      </c>
      <c r="F534" s="75">
        <v>495</v>
      </c>
      <c r="G534" s="75">
        <v>290887</v>
      </c>
      <c r="H534">
        <v>350</v>
      </c>
      <c r="I534" t="s">
        <v>55</v>
      </c>
      <c r="J534" s="75">
        <v>218787</v>
      </c>
      <c r="K534" t="s">
        <v>96</v>
      </c>
      <c r="L534" t="s">
        <v>97</v>
      </c>
      <c r="M534" s="81">
        <v>46072.690810185188</v>
      </c>
      <c r="N534" s="81">
        <v>46076.59611111111</v>
      </c>
      <c r="O534" t="s">
        <v>58</v>
      </c>
      <c r="P534" t="s">
        <v>59</v>
      </c>
      <c r="Q534" t="s">
        <v>90</v>
      </c>
      <c r="R534" t="s">
        <v>60</v>
      </c>
      <c r="S534" t="s">
        <v>583</v>
      </c>
      <c r="U534" s="75">
        <v>195329</v>
      </c>
      <c r="V534" t="s">
        <v>2674</v>
      </c>
      <c r="W534" t="s">
        <v>2674</v>
      </c>
      <c r="X534" t="s">
        <v>62</v>
      </c>
      <c r="Y534" t="s">
        <v>63</v>
      </c>
      <c r="AA534" t="s">
        <v>416</v>
      </c>
      <c r="AB534">
        <v>93.683333000000005</v>
      </c>
      <c r="AC534">
        <v>80.083332999999996</v>
      </c>
      <c r="AD534">
        <v>13.6</v>
      </c>
      <c r="AE534">
        <v>1.3666670000000001</v>
      </c>
      <c r="AF534">
        <v>0</v>
      </c>
      <c r="AG534">
        <v>12.233333</v>
      </c>
      <c r="AH534">
        <v>12.233333</v>
      </c>
      <c r="AI534">
        <v>11.333333</v>
      </c>
      <c r="AJ534">
        <v>0.9</v>
      </c>
      <c r="AK534">
        <v>0</v>
      </c>
      <c r="AL534" s="76">
        <v>45090.364965277768</v>
      </c>
      <c r="AM534" s="75">
        <v>982</v>
      </c>
      <c r="AN534" t="s">
        <v>65</v>
      </c>
      <c r="AO534" t="s">
        <v>2675</v>
      </c>
      <c r="AP534" t="s">
        <v>67</v>
      </c>
      <c r="AQ534" t="s">
        <v>68</v>
      </c>
      <c r="AR534" t="s">
        <v>69</v>
      </c>
      <c r="AS534" s="78"/>
      <c r="AT534" s="82" t="s">
        <v>2650</v>
      </c>
      <c r="AU534" s="78">
        <v>2026</v>
      </c>
      <c r="AV534" s="78">
        <v>2</v>
      </c>
      <c r="AW534" s="78" t="s">
        <v>71</v>
      </c>
      <c r="AX534" s="78">
        <v>0</v>
      </c>
      <c r="AY534" s="78">
        <v>0</v>
      </c>
      <c r="BT534" s="2" t="s">
        <v>71</v>
      </c>
      <c r="BU534" s="2">
        <v>0</v>
      </c>
      <c r="BV534" s="2">
        <v>0</v>
      </c>
    </row>
    <row r="535" spans="1:74" ht="15" customHeight="1" x14ac:dyDescent="0.25">
      <c r="A535" s="75">
        <v>5833975</v>
      </c>
      <c r="B535" t="s">
        <v>2676</v>
      </c>
      <c r="C535" t="s">
        <v>2677</v>
      </c>
      <c r="D535" t="s">
        <v>1388</v>
      </c>
      <c r="E535" t="s">
        <v>87</v>
      </c>
      <c r="F535" s="75">
        <v>257</v>
      </c>
      <c r="G535" s="75">
        <v>286357</v>
      </c>
      <c r="H535">
        <v>398.82</v>
      </c>
      <c r="I535" t="s">
        <v>55</v>
      </c>
      <c r="J535" s="75">
        <v>216233</v>
      </c>
      <c r="K535" t="s">
        <v>88</v>
      </c>
      <c r="L535" t="s">
        <v>89</v>
      </c>
      <c r="M535" s="81">
        <v>46072.722662037027</v>
      </c>
      <c r="N535" s="81">
        <v>46076.596736111111</v>
      </c>
      <c r="O535" t="s">
        <v>58</v>
      </c>
      <c r="P535" t="s">
        <v>59</v>
      </c>
      <c r="Q535" t="s">
        <v>98</v>
      </c>
      <c r="R535" t="s">
        <v>60</v>
      </c>
      <c r="S535" t="s">
        <v>583</v>
      </c>
      <c r="U535" s="75">
        <v>195525</v>
      </c>
      <c r="V535" t="s">
        <v>2678</v>
      </c>
      <c r="W535" t="s">
        <v>2678</v>
      </c>
      <c r="X535" t="s">
        <v>62</v>
      </c>
      <c r="Y535" t="s">
        <v>63</v>
      </c>
      <c r="AA535" t="s">
        <v>64</v>
      </c>
      <c r="AB535">
        <v>92.883332999999993</v>
      </c>
      <c r="AC535">
        <v>84.683333000000005</v>
      </c>
      <c r="AD535">
        <v>8.1999999999999993</v>
      </c>
      <c r="AE535">
        <v>0.8</v>
      </c>
      <c r="AF535">
        <v>0</v>
      </c>
      <c r="AG535">
        <v>7.4</v>
      </c>
      <c r="AH535">
        <v>7.4</v>
      </c>
      <c r="AI535">
        <v>6.4</v>
      </c>
      <c r="AJ535">
        <v>1</v>
      </c>
      <c r="AK535">
        <v>0</v>
      </c>
      <c r="AL535" s="76">
        <v>44921</v>
      </c>
      <c r="AM535" s="75">
        <v>1151</v>
      </c>
      <c r="AN535" t="s">
        <v>65</v>
      </c>
      <c r="AO535" t="s">
        <v>2679</v>
      </c>
      <c r="AP535" t="s">
        <v>67</v>
      </c>
      <c r="AQ535" t="s">
        <v>68</v>
      </c>
      <c r="AR535" t="s">
        <v>69</v>
      </c>
      <c r="AS535" s="79"/>
      <c r="AT535" s="82" t="s">
        <v>2650</v>
      </c>
      <c r="AU535" s="78">
        <v>2026</v>
      </c>
      <c r="AV535" s="78">
        <v>2</v>
      </c>
      <c r="AW535" s="78" t="s">
        <v>71</v>
      </c>
      <c r="AX535" s="78">
        <v>1</v>
      </c>
      <c r="AY535" s="78">
        <v>0</v>
      </c>
      <c r="BT535" s="3" t="s">
        <v>71</v>
      </c>
      <c r="BU535" s="3">
        <v>1</v>
      </c>
      <c r="BV535" s="3">
        <v>0</v>
      </c>
    </row>
    <row r="536" spans="1:74" ht="15" customHeight="1" x14ac:dyDescent="0.25">
      <c r="A536" s="75">
        <v>5834061</v>
      </c>
      <c r="B536" t="s">
        <v>2680</v>
      </c>
      <c r="C536" t="s">
        <v>2681</v>
      </c>
      <c r="D536" t="s">
        <v>1388</v>
      </c>
      <c r="E536" t="s">
        <v>87</v>
      </c>
      <c r="F536" s="75">
        <v>188</v>
      </c>
      <c r="G536" s="75">
        <v>285909</v>
      </c>
      <c r="H536">
        <v>364.95</v>
      </c>
      <c r="I536" t="s">
        <v>55</v>
      </c>
      <c r="J536" s="75">
        <v>218787</v>
      </c>
      <c r="K536" t="s">
        <v>96</v>
      </c>
      <c r="L536" t="s">
        <v>97</v>
      </c>
      <c r="M536" s="81">
        <v>46072.751180555562</v>
      </c>
      <c r="N536" s="81">
        <v>46076.597395833327</v>
      </c>
      <c r="O536" t="s">
        <v>58</v>
      </c>
      <c r="P536" t="s">
        <v>59</v>
      </c>
      <c r="Q536" t="s">
        <v>90</v>
      </c>
      <c r="R536" t="s">
        <v>60</v>
      </c>
      <c r="S536" t="s">
        <v>583</v>
      </c>
      <c r="U536" s="75">
        <v>196643</v>
      </c>
      <c r="V536" t="s">
        <v>2682</v>
      </c>
      <c r="W536" t="s">
        <v>2683</v>
      </c>
      <c r="X536" t="s">
        <v>62</v>
      </c>
      <c r="Y536" t="s">
        <v>63</v>
      </c>
      <c r="AA536" t="s">
        <v>416</v>
      </c>
      <c r="AB536">
        <v>92.216666000000004</v>
      </c>
      <c r="AC536">
        <v>77.683333000000005</v>
      </c>
      <c r="AD536">
        <v>14.533333000000001</v>
      </c>
      <c r="AE536">
        <v>1.85</v>
      </c>
      <c r="AF536">
        <v>0</v>
      </c>
      <c r="AG536">
        <v>12.683332999999999</v>
      </c>
      <c r="AH536">
        <v>12.683332999999999</v>
      </c>
      <c r="AI536">
        <v>11.3</v>
      </c>
      <c r="AJ536">
        <v>1.3833329999999999</v>
      </c>
      <c r="AK536">
        <v>0</v>
      </c>
      <c r="AL536" s="76">
        <v>44918</v>
      </c>
      <c r="AM536" s="75">
        <v>1154</v>
      </c>
      <c r="AN536" t="s">
        <v>65</v>
      </c>
      <c r="AO536" t="s">
        <v>2684</v>
      </c>
      <c r="AP536" t="s">
        <v>67</v>
      </c>
      <c r="AQ536" t="s">
        <v>68</v>
      </c>
      <c r="AR536" t="s">
        <v>69</v>
      </c>
      <c r="AS536" s="78"/>
      <c r="AT536" s="82" t="s">
        <v>2650</v>
      </c>
      <c r="AU536" s="78">
        <v>2026</v>
      </c>
      <c r="AV536" s="78">
        <v>2</v>
      </c>
      <c r="AW536" s="78" t="s">
        <v>71</v>
      </c>
      <c r="AX536" s="78">
        <v>0</v>
      </c>
      <c r="AY536" s="78">
        <v>0</v>
      </c>
      <c r="BT536" s="2" t="s">
        <v>71</v>
      </c>
      <c r="BU536" s="2">
        <v>0</v>
      </c>
      <c r="BV536" s="2">
        <v>0</v>
      </c>
    </row>
    <row r="537" spans="1:74" ht="15" customHeight="1" x14ac:dyDescent="0.25">
      <c r="A537" s="75">
        <v>5834113</v>
      </c>
      <c r="B537" t="s">
        <v>2685</v>
      </c>
      <c r="C537" t="s">
        <v>1247</v>
      </c>
      <c r="D537" t="s">
        <v>1388</v>
      </c>
      <c r="E537" t="s">
        <v>87</v>
      </c>
      <c r="F537" s="75">
        <v>336</v>
      </c>
      <c r="G537" s="75">
        <v>286677</v>
      </c>
      <c r="H537">
        <v>364.96</v>
      </c>
      <c r="I537" t="s">
        <v>55</v>
      </c>
      <c r="J537" s="75">
        <v>218787</v>
      </c>
      <c r="K537" t="s">
        <v>96</v>
      </c>
      <c r="L537" t="s">
        <v>97</v>
      </c>
      <c r="M537" s="81">
        <v>46072.771435185183</v>
      </c>
      <c r="N537" s="81">
        <v>46076.598229166673</v>
      </c>
      <c r="O537" t="s">
        <v>58</v>
      </c>
      <c r="P537" t="s">
        <v>59</v>
      </c>
      <c r="Q537" t="s">
        <v>90</v>
      </c>
      <c r="R537" t="s">
        <v>131</v>
      </c>
      <c r="S537" t="s">
        <v>1273</v>
      </c>
      <c r="U537" s="75">
        <v>195389</v>
      </c>
      <c r="V537" t="s">
        <v>2686</v>
      </c>
      <c r="W537" t="s">
        <v>2686</v>
      </c>
      <c r="X537" t="s">
        <v>62</v>
      </c>
      <c r="Y537" t="s">
        <v>63</v>
      </c>
      <c r="AA537" t="s">
        <v>64</v>
      </c>
      <c r="AB537">
        <v>91.8</v>
      </c>
      <c r="AC537">
        <v>83.05</v>
      </c>
      <c r="AD537">
        <v>8.75</v>
      </c>
      <c r="AE537">
        <v>1.45</v>
      </c>
      <c r="AF537">
        <v>0</v>
      </c>
      <c r="AG537">
        <v>7.3</v>
      </c>
      <c r="AH537">
        <v>7.3</v>
      </c>
      <c r="AI537">
        <v>6.55</v>
      </c>
      <c r="AJ537">
        <v>0.75</v>
      </c>
      <c r="AK537">
        <v>0</v>
      </c>
      <c r="AL537" s="76">
        <v>44963</v>
      </c>
      <c r="AM537" s="75">
        <v>1109</v>
      </c>
      <c r="AN537" t="s">
        <v>65</v>
      </c>
      <c r="AO537" t="s">
        <v>1249</v>
      </c>
      <c r="AP537" t="s">
        <v>67</v>
      </c>
      <c r="AQ537" t="s">
        <v>68</v>
      </c>
      <c r="AR537" t="s">
        <v>69</v>
      </c>
      <c r="AS537" s="79"/>
      <c r="AT537" s="82" t="s">
        <v>2650</v>
      </c>
      <c r="AU537" s="78">
        <v>2026</v>
      </c>
      <c r="AV537" s="78">
        <v>2</v>
      </c>
      <c r="AW537" s="78" t="s">
        <v>71</v>
      </c>
      <c r="AX537" s="78">
        <v>1</v>
      </c>
      <c r="AY537" s="78">
        <v>0</v>
      </c>
      <c r="BT537" s="3" t="s">
        <v>71</v>
      </c>
      <c r="BU537" s="3">
        <v>1</v>
      </c>
      <c r="BV537" s="3">
        <v>0</v>
      </c>
    </row>
    <row r="538" spans="1:74" ht="15" customHeight="1" x14ac:dyDescent="0.25">
      <c r="A538" s="75">
        <v>5834191</v>
      </c>
      <c r="B538" t="s">
        <v>2687</v>
      </c>
      <c r="C538" t="s">
        <v>2688</v>
      </c>
      <c r="D538" t="s">
        <v>1388</v>
      </c>
      <c r="E538" t="s">
        <v>87</v>
      </c>
      <c r="F538" s="75">
        <v>267</v>
      </c>
      <c r="G538" s="75">
        <v>286379</v>
      </c>
      <c r="H538">
        <v>364.96</v>
      </c>
      <c r="I538" t="s">
        <v>55</v>
      </c>
      <c r="J538" s="75">
        <v>218787</v>
      </c>
      <c r="K538" t="s">
        <v>96</v>
      </c>
      <c r="L538" t="s">
        <v>97</v>
      </c>
      <c r="M538" s="81">
        <v>46072.861446759263</v>
      </c>
      <c r="N538" s="81">
        <v>46076.59888888889</v>
      </c>
      <c r="O538" t="s">
        <v>58</v>
      </c>
      <c r="P538" t="s">
        <v>59</v>
      </c>
      <c r="Q538" t="s">
        <v>90</v>
      </c>
      <c r="R538" t="s">
        <v>60</v>
      </c>
      <c r="S538" t="s">
        <v>583</v>
      </c>
      <c r="U538" s="75">
        <v>195403</v>
      </c>
      <c r="V538" t="s">
        <v>2689</v>
      </c>
      <c r="W538" t="s">
        <v>2689</v>
      </c>
      <c r="X538" t="s">
        <v>62</v>
      </c>
      <c r="Y538" t="s">
        <v>63</v>
      </c>
      <c r="AA538" t="s">
        <v>101</v>
      </c>
      <c r="AB538">
        <v>89.650001000000003</v>
      </c>
      <c r="AC538">
        <v>79.783333999999996</v>
      </c>
      <c r="AD538">
        <v>9.8666669999999996</v>
      </c>
      <c r="AE538">
        <v>0.16666700000000001</v>
      </c>
      <c r="AF538">
        <v>0</v>
      </c>
      <c r="AG538">
        <v>9.6999999999999993</v>
      </c>
      <c r="AH538">
        <v>9.6999999999999993</v>
      </c>
      <c r="AI538">
        <v>9.5</v>
      </c>
      <c r="AJ538">
        <v>0.2</v>
      </c>
      <c r="AK538">
        <v>0</v>
      </c>
      <c r="AL538" s="76">
        <v>44972</v>
      </c>
      <c r="AM538" s="75">
        <v>1100</v>
      </c>
      <c r="AN538" t="s">
        <v>65</v>
      </c>
      <c r="AO538" t="s">
        <v>2690</v>
      </c>
      <c r="AP538" t="s">
        <v>67</v>
      </c>
      <c r="AQ538" t="s">
        <v>68</v>
      </c>
      <c r="AR538" t="s">
        <v>69</v>
      </c>
      <c r="AS538" s="78"/>
      <c r="AT538" s="82" t="s">
        <v>2650</v>
      </c>
      <c r="AU538" s="78">
        <v>2026</v>
      </c>
      <c r="AV538" s="78">
        <v>2</v>
      </c>
      <c r="AW538" s="78" t="s">
        <v>71</v>
      </c>
      <c r="AX538" s="78">
        <v>0</v>
      </c>
      <c r="AY538" s="78">
        <v>0</v>
      </c>
      <c r="BT538" s="2" t="s">
        <v>71</v>
      </c>
      <c r="BU538" s="2">
        <v>0</v>
      </c>
      <c r="BV538" s="2">
        <v>0</v>
      </c>
    </row>
    <row r="539" spans="1:74" ht="15" customHeight="1" x14ac:dyDescent="0.25">
      <c r="A539" s="75">
        <v>5835371</v>
      </c>
      <c r="B539" t="s">
        <v>2691</v>
      </c>
      <c r="C539" t="s">
        <v>1631</v>
      </c>
      <c r="D539" t="s">
        <v>1388</v>
      </c>
      <c r="E539" t="s">
        <v>87</v>
      </c>
      <c r="F539" s="75">
        <v>508</v>
      </c>
      <c r="G539" s="75">
        <v>292003</v>
      </c>
      <c r="H539">
        <v>364.95</v>
      </c>
      <c r="I539" t="s">
        <v>55</v>
      </c>
      <c r="J539" s="75">
        <v>218787</v>
      </c>
      <c r="K539" t="s">
        <v>96</v>
      </c>
      <c r="L539" t="s">
        <v>97</v>
      </c>
      <c r="M539" s="81">
        <v>46073.514374999999</v>
      </c>
      <c r="N539" s="81">
        <v>46076.599675925929</v>
      </c>
      <c r="O539" t="s">
        <v>58</v>
      </c>
      <c r="P539" t="s">
        <v>59</v>
      </c>
      <c r="Q539" t="s">
        <v>90</v>
      </c>
      <c r="R539" t="s">
        <v>131</v>
      </c>
      <c r="S539" t="s">
        <v>1273</v>
      </c>
      <c r="U539" s="75">
        <v>196667</v>
      </c>
      <c r="V539" t="s">
        <v>2692</v>
      </c>
      <c r="W539" t="s">
        <v>2693</v>
      </c>
      <c r="X539" t="s">
        <v>62</v>
      </c>
      <c r="Y539" t="s">
        <v>63</v>
      </c>
      <c r="AA539" t="s">
        <v>101</v>
      </c>
      <c r="AB539">
        <v>73.95</v>
      </c>
      <c r="AC539">
        <v>64.666667000000004</v>
      </c>
      <c r="AD539">
        <v>9.2833330000000007</v>
      </c>
      <c r="AE539">
        <v>0.95</v>
      </c>
      <c r="AF539">
        <v>0</v>
      </c>
      <c r="AG539">
        <v>8.3333329999999997</v>
      </c>
      <c r="AH539">
        <v>8.3333329999999997</v>
      </c>
      <c r="AI539">
        <v>7.3833330000000004</v>
      </c>
      <c r="AJ539">
        <v>0.95</v>
      </c>
      <c r="AK539">
        <v>0</v>
      </c>
      <c r="AL539" s="76">
        <v>45156</v>
      </c>
      <c r="AM539" s="75">
        <v>917</v>
      </c>
      <c r="AN539" t="s">
        <v>65</v>
      </c>
      <c r="AO539" t="s">
        <v>1634</v>
      </c>
      <c r="AP539" t="s">
        <v>67</v>
      </c>
      <c r="AQ539" t="s">
        <v>68</v>
      </c>
      <c r="AR539" t="s">
        <v>69</v>
      </c>
      <c r="AS539" s="79"/>
      <c r="AT539" s="82" t="s">
        <v>2650</v>
      </c>
      <c r="AU539" s="78">
        <v>2026</v>
      </c>
      <c r="AV539" s="78">
        <v>2</v>
      </c>
      <c r="AW539" s="78" t="s">
        <v>71</v>
      </c>
      <c r="AX539" s="78">
        <v>0</v>
      </c>
      <c r="AY539" s="78">
        <v>0</v>
      </c>
      <c r="BT539" s="3" t="s">
        <v>71</v>
      </c>
      <c r="BU539" s="3">
        <v>0</v>
      </c>
      <c r="BV539" s="3">
        <v>0</v>
      </c>
    </row>
    <row r="540" spans="1:74" ht="15" customHeight="1" x14ac:dyDescent="0.25">
      <c r="A540" s="75">
        <v>5833413</v>
      </c>
      <c r="B540" t="s">
        <v>2694</v>
      </c>
      <c r="C540" t="s">
        <v>2695</v>
      </c>
      <c r="D540" t="s">
        <v>1555</v>
      </c>
      <c r="E540" t="s">
        <v>54</v>
      </c>
      <c r="F540" s="75">
        <v>1</v>
      </c>
      <c r="G540" s="75">
        <v>247451</v>
      </c>
      <c r="H540">
        <v>627</v>
      </c>
      <c r="I540" t="s">
        <v>114</v>
      </c>
      <c r="J540" s="75">
        <v>202503</v>
      </c>
      <c r="K540" t="s">
        <v>2696</v>
      </c>
      <c r="L540" t="s">
        <v>2697</v>
      </c>
      <c r="M540" s="81">
        <v>46072.633217592593</v>
      </c>
      <c r="N540" s="81">
        <v>46076.621481481481</v>
      </c>
      <c r="O540" t="s">
        <v>58</v>
      </c>
      <c r="P540" t="s">
        <v>59</v>
      </c>
      <c r="R540" t="s">
        <v>99</v>
      </c>
      <c r="S540" t="s">
        <v>1244</v>
      </c>
      <c r="U540" s="75">
        <v>195481</v>
      </c>
      <c r="V540" t="s">
        <v>2698</v>
      </c>
      <c r="X540" t="s">
        <v>62</v>
      </c>
      <c r="Y540" t="s">
        <v>63</v>
      </c>
      <c r="AA540" t="s">
        <v>81</v>
      </c>
      <c r="AB540">
        <v>95.683334000000002</v>
      </c>
      <c r="AC540">
        <v>94.716667000000001</v>
      </c>
      <c r="AD540">
        <v>0.96666700000000005</v>
      </c>
      <c r="AE540">
        <v>0.2</v>
      </c>
      <c r="AF540">
        <v>0</v>
      </c>
      <c r="AG540">
        <v>0.76666699999999999</v>
      </c>
      <c r="AH540">
        <v>0.76666699999999999</v>
      </c>
      <c r="AI540">
        <v>0</v>
      </c>
      <c r="AJ540">
        <v>0.76666699999999999</v>
      </c>
      <c r="AK540">
        <v>0</v>
      </c>
      <c r="AL540" s="76">
        <v>44529.660509259258</v>
      </c>
      <c r="AM540" s="75">
        <v>1542</v>
      </c>
      <c r="AN540" t="s">
        <v>65</v>
      </c>
      <c r="AO540" t="s">
        <v>2699</v>
      </c>
      <c r="AP540" t="s">
        <v>67</v>
      </c>
      <c r="AQ540" t="s">
        <v>68</v>
      </c>
      <c r="AR540" t="s">
        <v>69</v>
      </c>
      <c r="AS540" s="78"/>
      <c r="AT540" s="82" t="s">
        <v>2650</v>
      </c>
      <c r="AU540" s="78">
        <v>2026</v>
      </c>
      <c r="AV540" s="78">
        <v>2</v>
      </c>
      <c r="AW540" s="78" t="s">
        <v>71</v>
      </c>
      <c r="AX540" s="78">
        <v>1</v>
      </c>
      <c r="AY540" s="78">
        <v>0</v>
      </c>
      <c r="BT540" s="2" t="s">
        <v>71</v>
      </c>
      <c r="BU540" s="2">
        <v>1</v>
      </c>
      <c r="BV540" s="2">
        <v>0</v>
      </c>
    </row>
    <row r="541" spans="1:74" ht="15" customHeight="1" x14ac:dyDescent="0.25">
      <c r="A541" s="75">
        <v>5834183</v>
      </c>
      <c r="B541" t="s">
        <v>2700</v>
      </c>
      <c r="C541" t="s">
        <v>2701</v>
      </c>
      <c r="D541" t="s">
        <v>1388</v>
      </c>
      <c r="E541" t="s">
        <v>105</v>
      </c>
      <c r="F541" s="75">
        <v>622</v>
      </c>
      <c r="G541" s="75">
        <v>342895</v>
      </c>
      <c r="H541">
        <v>225</v>
      </c>
      <c r="I541" t="s">
        <v>163</v>
      </c>
      <c r="J541" s="75">
        <v>48887</v>
      </c>
      <c r="K541" t="s">
        <v>164</v>
      </c>
      <c r="L541" t="s">
        <v>165</v>
      </c>
      <c r="M541" s="81">
        <v>46072.831446759257</v>
      </c>
      <c r="N541" s="81">
        <v>46076.628668981481</v>
      </c>
      <c r="O541" t="s">
        <v>58</v>
      </c>
      <c r="P541" t="s">
        <v>59</v>
      </c>
      <c r="Q541" t="s">
        <v>130</v>
      </c>
      <c r="R541" t="s">
        <v>60</v>
      </c>
      <c r="S541" t="s">
        <v>583</v>
      </c>
      <c r="U541" s="75">
        <v>196659</v>
      </c>
      <c r="V541" t="s">
        <v>2702</v>
      </c>
      <c r="W541" t="s">
        <v>2703</v>
      </c>
      <c r="X541" t="s">
        <v>62</v>
      </c>
      <c r="Y541" t="s">
        <v>63</v>
      </c>
      <c r="AA541" t="s">
        <v>101</v>
      </c>
      <c r="AB541">
        <v>91.033332999999999</v>
      </c>
      <c r="AC541">
        <v>79.266666000000001</v>
      </c>
      <c r="AD541">
        <v>11.766667</v>
      </c>
      <c r="AE541">
        <v>0.66666700000000001</v>
      </c>
      <c r="AF541">
        <v>0</v>
      </c>
      <c r="AG541">
        <v>11.1</v>
      </c>
      <c r="AH541">
        <v>11.1</v>
      </c>
      <c r="AI541">
        <v>7.9666670000000002</v>
      </c>
      <c r="AJ541">
        <v>3.1333329999999999</v>
      </c>
      <c r="AK541">
        <v>0</v>
      </c>
      <c r="AL541" s="76">
        <v>45912</v>
      </c>
      <c r="AM541" s="75">
        <v>160</v>
      </c>
      <c r="AN541" t="s">
        <v>65</v>
      </c>
      <c r="AO541" t="s">
        <v>2704</v>
      </c>
      <c r="AP541" t="s">
        <v>67</v>
      </c>
      <c r="AQ541" t="s">
        <v>68</v>
      </c>
      <c r="AR541" t="s">
        <v>69</v>
      </c>
      <c r="AS541" s="79"/>
      <c r="AT541" s="82" t="s">
        <v>2650</v>
      </c>
      <c r="AU541" s="78">
        <v>2026</v>
      </c>
      <c r="AV541" s="78">
        <v>2</v>
      </c>
      <c r="AW541" s="78" t="s">
        <v>71</v>
      </c>
      <c r="AX541" s="78">
        <v>0</v>
      </c>
      <c r="AY541" s="78">
        <v>0</v>
      </c>
      <c r="BT541" s="3" t="s">
        <v>71</v>
      </c>
      <c r="BU541" s="3">
        <v>0</v>
      </c>
      <c r="BV541" s="3">
        <v>0</v>
      </c>
    </row>
    <row r="542" spans="1:74" ht="15" customHeight="1" x14ac:dyDescent="0.25">
      <c r="A542" s="75">
        <v>5832889</v>
      </c>
      <c r="B542" t="s">
        <v>2705</v>
      </c>
      <c r="C542" t="s">
        <v>2706</v>
      </c>
      <c r="D542" t="s">
        <v>1388</v>
      </c>
      <c r="E542" t="s">
        <v>105</v>
      </c>
      <c r="F542" s="75">
        <v>610</v>
      </c>
      <c r="G542" s="75">
        <v>342867</v>
      </c>
      <c r="H542">
        <v>225</v>
      </c>
      <c r="I542" t="s">
        <v>163</v>
      </c>
      <c r="J542" s="75">
        <v>48887</v>
      </c>
      <c r="K542" t="s">
        <v>164</v>
      </c>
      <c r="L542" t="s">
        <v>165</v>
      </c>
      <c r="M542" s="81">
        <v>46072.441018518519</v>
      </c>
      <c r="N542" s="81">
        <v>46076.63622685185</v>
      </c>
      <c r="O542" t="s">
        <v>475</v>
      </c>
      <c r="P542" t="s">
        <v>59</v>
      </c>
      <c r="Q542" t="s">
        <v>130</v>
      </c>
      <c r="R542" t="s">
        <v>476</v>
      </c>
      <c r="S542" t="s">
        <v>2707</v>
      </c>
      <c r="U542" s="75">
        <v>195469</v>
      </c>
      <c r="V542" t="s">
        <v>2708</v>
      </c>
      <c r="W542" t="s">
        <v>2709</v>
      </c>
      <c r="X542" t="s">
        <v>62</v>
      </c>
      <c r="Y542" t="s">
        <v>1124</v>
      </c>
      <c r="AA542" t="s">
        <v>64</v>
      </c>
      <c r="AB542">
        <v>100.58333399999999</v>
      </c>
      <c r="AC542">
        <v>93.516666999999998</v>
      </c>
      <c r="AD542">
        <v>7.0666669999999998</v>
      </c>
      <c r="AE542">
        <v>2.6333329999999999</v>
      </c>
      <c r="AF542">
        <v>0</v>
      </c>
      <c r="AG542">
        <v>4.4333340000000003</v>
      </c>
      <c r="AH542">
        <v>4.4333340000000003</v>
      </c>
      <c r="AI542">
        <v>3.0666669999999998</v>
      </c>
      <c r="AJ542">
        <v>1.3666670000000001</v>
      </c>
      <c r="AK542">
        <v>0</v>
      </c>
      <c r="AL542" s="76">
        <v>45863</v>
      </c>
      <c r="AM542" s="75">
        <v>209</v>
      </c>
      <c r="AN542" t="s">
        <v>65</v>
      </c>
      <c r="AO542" t="s">
        <v>2710</v>
      </c>
      <c r="AP542" t="s">
        <v>67</v>
      </c>
      <c r="AQ542" t="s">
        <v>68</v>
      </c>
      <c r="AR542" t="s">
        <v>69</v>
      </c>
      <c r="AS542" s="78"/>
      <c r="AT542" s="82" t="s">
        <v>2650</v>
      </c>
      <c r="AU542" s="78">
        <v>2026</v>
      </c>
      <c r="AV542" s="78">
        <v>2</v>
      </c>
      <c r="AW542" s="78" t="s">
        <v>137</v>
      </c>
      <c r="AX542" s="78">
        <v>1</v>
      </c>
      <c r="AY542" s="78">
        <v>0</v>
      </c>
      <c r="BT542" s="2" t="s">
        <v>137</v>
      </c>
      <c r="BU542" s="2">
        <v>1</v>
      </c>
      <c r="BV542" s="2">
        <v>0</v>
      </c>
    </row>
    <row r="543" spans="1:74" ht="15" customHeight="1" x14ac:dyDescent="0.25">
      <c r="A543" s="75">
        <v>5829731</v>
      </c>
      <c r="B543" t="s">
        <v>2711</v>
      </c>
      <c r="C543" t="s">
        <v>2712</v>
      </c>
      <c r="D543" t="s">
        <v>74</v>
      </c>
      <c r="E543" t="s">
        <v>87</v>
      </c>
      <c r="F543" s="75">
        <v>362</v>
      </c>
      <c r="G543" s="75">
        <v>286763</v>
      </c>
      <c r="H543">
        <v>364.96</v>
      </c>
      <c r="I543" t="s">
        <v>55</v>
      </c>
      <c r="J543" s="75">
        <v>218787</v>
      </c>
      <c r="K543" t="s">
        <v>96</v>
      </c>
      <c r="L543" t="s">
        <v>97</v>
      </c>
      <c r="M543" s="81">
        <v>46069.792013888888</v>
      </c>
      <c r="N543" s="81">
        <v>46077.355381944442</v>
      </c>
      <c r="O543" t="s">
        <v>58</v>
      </c>
      <c r="P543" t="s">
        <v>59</v>
      </c>
      <c r="Q543" t="s">
        <v>90</v>
      </c>
      <c r="R543" t="s">
        <v>131</v>
      </c>
      <c r="S543" t="s">
        <v>1273</v>
      </c>
      <c r="U543" s="75">
        <v>195447</v>
      </c>
      <c r="V543" t="s">
        <v>2713</v>
      </c>
      <c r="W543" t="s">
        <v>2714</v>
      </c>
      <c r="X543" t="s">
        <v>62</v>
      </c>
      <c r="Y543" t="s">
        <v>63</v>
      </c>
      <c r="AA543" t="s">
        <v>416</v>
      </c>
      <c r="AB543">
        <v>181.433335</v>
      </c>
      <c r="AC543">
        <v>162.05000100000001</v>
      </c>
      <c r="AD543">
        <v>19.383334000000001</v>
      </c>
      <c r="AE543">
        <v>0.4</v>
      </c>
      <c r="AF543">
        <v>0</v>
      </c>
      <c r="AG543">
        <v>18.983333999999999</v>
      </c>
      <c r="AH543">
        <v>18.983333999999999</v>
      </c>
      <c r="AI543">
        <v>18.166667</v>
      </c>
      <c r="AJ543">
        <v>0.81666700000000003</v>
      </c>
      <c r="AK543">
        <v>0</v>
      </c>
      <c r="AL543" s="76">
        <v>44890</v>
      </c>
      <c r="AM543" s="75">
        <v>1179</v>
      </c>
      <c r="AN543" t="s">
        <v>65</v>
      </c>
      <c r="AO543" t="s">
        <v>2715</v>
      </c>
      <c r="AP543" t="s">
        <v>67</v>
      </c>
      <c r="AQ543" t="s">
        <v>68</v>
      </c>
      <c r="AR543" t="s">
        <v>69</v>
      </c>
      <c r="AS543" s="79"/>
      <c r="AT543" s="82" t="s">
        <v>2650</v>
      </c>
      <c r="AU543" s="78">
        <v>2026</v>
      </c>
      <c r="AV543" s="78">
        <v>2</v>
      </c>
      <c r="AW543" s="78" t="s">
        <v>71</v>
      </c>
      <c r="AX543" s="78">
        <v>0</v>
      </c>
      <c r="AY543" s="78">
        <v>0</v>
      </c>
      <c r="BT543" s="3" t="s">
        <v>71</v>
      </c>
      <c r="BU543" s="3">
        <v>0</v>
      </c>
      <c r="BV543" s="3">
        <v>0</v>
      </c>
    </row>
    <row r="544" spans="1:74" ht="15" customHeight="1" x14ac:dyDescent="0.25">
      <c r="A544" s="75">
        <v>5830231</v>
      </c>
      <c r="B544" t="s">
        <v>2716</v>
      </c>
      <c r="C544" t="s">
        <v>984</v>
      </c>
      <c r="D544" t="s">
        <v>74</v>
      </c>
      <c r="E544" t="s">
        <v>87</v>
      </c>
      <c r="F544" s="75">
        <v>117</v>
      </c>
      <c r="G544" s="75">
        <v>285571</v>
      </c>
      <c r="H544">
        <v>368.16</v>
      </c>
      <c r="I544" t="s">
        <v>55</v>
      </c>
      <c r="J544" s="75">
        <v>218791</v>
      </c>
      <c r="K544" t="s">
        <v>312</v>
      </c>
      <c r="L544" t="s">
        <v>313</v>
      </c>
      <c r="M544" s="81">
        <v>46070.618344907409</v>
      </c>
      <c r="N544" s="81">
        <v>46077.357523148137</v>
      </c>
      <c r="O544" t="s">
        <v>58</v>
      </c>
      <c r="P544" t="s">
        <v>59</v>
      </c>
      <c r="Q544" t="s">
        <v>90</v>
      </c>
      <c r="R544" t="s">
        <v>60</v>
      </c>
      <c r="S544" t="s">
        <v>583</v>
      </c>
      <c r="U544" s="75">
        <v>196641</v>
      </c>
      <c r="V544" t="s">
        <v>2717</v>
      </c>
      <c r="W544" t="s">
        <v>2718</v>
      </c>
      <c r="X544" t="s">
        <v>62</v>
      </c>
      <c r="Y544" t="s">
        <v>63</v>
      </c>
      <c r="AA544" t="s">
        <v>101</v>
      </c>
      <c r="AB544">
        <v>161.66666699999999</v>
      </c>
      <c r="AC544">
        <v>153.033333</v>
      </c>
      <c r="AD544">
        <v>8.6333339999999996</v>
      </c>
      <c r="AE544">
        <v>0.16666700000000001</v>
      </c>
      <c r="AF544">
        <v>0</v>
      </c>
      <c r="AG544">
        <v>8.4666669999999993</v>
      </c>
      <c r="AH544">
        <v>8.4666669999999993</v>
      </c>
      <c r="AI544">
        <v>6.9</v>
      </c>
      <c r="AJ544">
        <v>1.566667</v>
      </c>
      <c r="AK544">
        <v>0</v>
      </c>
      <c r="AL544" s="76">
        <v>44862.768287037034</v>
      </c>
      <c r="AM544" s="75">
        <v>1207</v>
      </c>
      <c r="AN544" t="s">
        <v>65</v>
      </c>
      <c r="AO544" t="s">
        <v>986</v>
      </c>
      <c r="AP544" t="s">
        <v>67</v>
      </c>
      <c r="AQ544" t="s">
        <v>68</v>
      </c>
      <c r="AR544" t="s">
        <v>69</v>
      </c>
      <c r="AS544" s="78"/>
      <c r="AT544" s="82" t="s">
        <v>2650</v>
      </c>
      <c r="AU544" s="78">
        <v>2026</v>
      </c>
      <c r="AV544" s="78">
        <v>2</v>
      </c>
      <c r="AW544" s="78" t="s">
        <v>71</v>
      </c>
      <c r="AX544" s="78">
        <v>0</v>
      </c>
      <c r="AY544" s="78">
        <v>0</v>
      </c>
      <c r="BT544" s="2" t="s">
        <v>71</v>
      </c>
      <c r="BU544" s="2">
        <v>0</v>
      </c>
      <c r="BV544" s="2">
        <v>0</v>
      </c>
    </row>
    <row r="545" spans="1:74" ht="15" customHeight="1" x14ac:dyDescent="0.25">
      <c r="A545" s="75">
        <v>5829883</v>
      </c>
      <c r="B545" t="s">
        <v>2719</v>
      </c>
      <c r="C545" t="s">
        <v>2720</v>
      </c>
      <c r="D545" t="s">
        <v>1388</v>
      </c>
      <c r="E545" t="s">
        <v>105</v>
      </c>
      <c r="F545" s="75">
        <v>935</v>
      </c>
      <c r="G545" s="75">
        <v>328373</v>
      </c>
      <c r="H545">
        <v>600</v>
      </c>
      <c r="I545" t="s">
        <v>175</v>
      </c>
      <c r="J545" s="75">
        <v>83605</v>
      </c>
      <c r="K545" t="s">
        <v>844</v>
      </c>
      <c r="L545" t="s">
        <v>845</v>
      </c>
      <c r="M545" s="81">
        <v>46070.243379629632</v>
      </c>
      <c r="N545" s="81">
        <v>46077.358749999999</v>
      </c>
      <c r="O545" t="s">
        <v>475</v>
      </c>
      <c r="P545" t="s">
        <v>59</v>
      </c>
      <c r="Q545" t="s">
        <v>90</v>
      </c>
      <c r="R545" t="s">
        <v>60</v>
      </c>
      <c r="S545" t="s">
        <v>1268</v>
      </c>
      <c r="U545" s="75">
        <v>194379</v>
      </c>
      <c r="V545" t="s">
        <v>2721</v>
      </c>
      <c r="W545" t="s">
        <v>2722</v>
      </c>
      <c r="X545" t="s">
        <v>62</v>
      </c>
      <c r="Y545" t="s">
        <v>2629</v>
      </c>
      <c r="AA545" t="s">
        <v>416</v>
      </c>
      <c r="AB545">
        <v>170.633332</v>
      </c>
      <c r="AC545">
        <v>158.38333299999999</v>
      </c>
      <c r="AD545">
        <v>12.249999000000001</v>
      </c>
      <c r="AE545">
        <v>0.13333400000000001</v>
      </c>
      <c r="AF545">
        <v>0</v>
      </c>
      <c r="AG545">
        <v>12.116664999999999</v>
      </c>
      <c r="AH545">
        <v>12.116664999999999</v>
      </c>
      <c r="AI545">
        <v>11.799999</v>
      </c>
      <c r="AJ545">
        <v>0.316666</v>
      </c>
      <c r="AK545">
        <v>0</v>
      </c>
      <c r="AL545" s="76">
        <v>45646.699918981481</v>
      </c>
      <c r="AM545" s="75">
        <v>423</v>
      </c>
      <c r="AN545" t="s">
        <v>65</v>
      </c>
      <c r="AO545" t="s">
        <v>2723</v>
      </c>
      <c r="AP545" t="s">
        <v>67</v>
      </c>
      <c r="AQ545" t="s">
        <v>68</v>
      </c>
      <c r="AR545" t="s">
        <v>69</v>
      </c>
      <c r="AS545" s="79"/>
      <c r="AT545" s="82" t="s">
        <v>2650</v>
      </c>
      <c r="AU545" s="78">
        <v>2026</v>
      </c>
      <c r="AV545" s="78">
        <v>2</v>
      </c>
      <c r="AW545" s="78" t="s">
        <v>71</v>
      </c>
      <c r="AX545" s="78">
        <v>0</v>
      </c>
      <c r="AY545" s="78">
        <v>0</v>
      </c>
      <c r="BT545" s="3" t="s">
        <v>71</v>
      </c>
      <c r="BU545" s="3">
        <v>0</v>
      </c>
      <c r="BV545" s="3">
        <v>0</v>
      </c>
    </row>
    <row r="546" spans="1:74" ht="15" customHeight="1" x14ac:dyDescent="0.25">
      <c r="A546" s="75">
        <v>5833685</v>
      </c>
      <c r="B546" t="s">
        <v>2724</v>
      </c>
      <c r="C546" t="s">
        <v>2725</v>
      </c>
      <c r="D546" t="s">
        <v>74</v>
      </c>
      <c r="E546" t="s">
        <v>87</v>
      </c>
      <c r="F546" s="75">
        <v>77</v>
      </c>
      <c r="G546" s="75">
        <v>275405</v>
      </c>
      <c r="H546">
        <v>368.16</v>
      </c>
      <c r="I546" t="s">
        <v>55</v>
      </c>
      <c r="J546" s="75">
        <v>218791</v>
      </c>
      <c r="K546" t="s">
        <v>312</v>
      </c>
      <c r="L546" t="s">
        <v>313</v>
      </c>
      <c r="M546" s="81">
        <v>46072.690671296303</v>
      </c>
      <c r="N546" s="81">
        <v>46077.359166666669</v>
      </c>
      <c r="O546" t="s">
        <v>58</v>
      </c>
      <c r="P546" t="s">
        <v>59</v>
      </c>
      <c r="Q546" t="s">
        <v>90</v>
      </c>
      <c r="R546" t="s">
        <v>131</v>
      </c>
      <c r="S546" t="s">
        <v>1273</v>
      </c>
      <c r="U546" s="75">
        <v>195373</v>
      </c>
      <c r="V546" t="s">
        <v>2726</v>
      </c>
      <c r="W546" t="s">
        <v>2727</v>
      </c>
      <c r="X546" t="s">
        <v>62</v>
      </c>
      <c r="Y546" t="s">
        <v>63</v>
      </c>
      <c r="AA546" t="s">
        <v>101</v>
      </c>
      <c r="AB546">
        <v>111.983334</v>
      </c>
      <c r="AC546">
        <v>100.05</v>
      </c>
      <c r="AD546">
        <v>11.933334</v>
      </c>
      <c r="AE546">
        <v>2.483333</v>
      </c>
      <c r="AF546">
        <v>0</v>
      </c>
      <c r="AG546">
        <v>9.4500010000000003</v>
      </c>
      <c r="AH546">
        <v>9.4500010000000003</v>
      </c>
      <c r="AI546">
        <v>8.3833339999999996</v>
      </c>
      <c r="AJ546">
        <v>1.066667</v>
      </c>
      <c r="AK546">
        <v>0</v>
      </c>
      <c r="AL546" s="76">
        <v>44881.95034722222</v>
      </c>
      <c r="AM546" s="75">
        <v>1190</v>
      </c>
      <c r="AN546" t="s">
        <v>65</v>
      </c>
      <c r="AO546" t="s">
        <v>1208</v>
      </c>
      <c r="AP546" t="s">
        <v>67</v>
      </c>
      <c r="AQ546" t="s">
        <v>68</v>
      </c>
      <c r="AR546" t="s">
        <v>69</v>
      </c>
      <c r="AS546" s="78"/>
      <c r="AT546" s="82" t="s">
        <v>2650</v>
      </c>
      <c r="AU546" s="78">
        <v>2026</v>
      </c>
      <c r="AV546" s="78">
        <v>2</v>
      </c>
      <c r="AW546" s="78" t="s">
        <v>71</v>
      </c>
      <c r="AX546" s="78">
        <v>0</v>
      </c>
      <c r="AY546" s="78">
        <v>0</v>
      </c>
      <c r="BT546" s="2" t="s">
        <v>71</v>
      </c>
      <c r="BU546" s="2">
        <v>0</v>
      </c>
      <c r="BV546" s="2">
        <v>0</v>
      </c>
    </row>
    <row r="547" spans="1:74" ht="15" customHeight="1" x14ac:dyDescent="0.25">
      <c r="A547" s="75">
        <v>5834853</v>
      </c>
      <c r="B547" t="s">
        <v>2728</v>
      </c>
      <c r="C547" t="s">
        <v>2729</v>
      </c>
      <c r="D547" t="s">
        <v>74</v>
      </c>
      <c r="E547" t="s">
        <v>54</v>
      </c>
      <c r="F547" s="75">
        <v>1</v>
      </c>
      <c r="G547" s="75">
        <v>294881</v>
      </c>
      <c r="H547">
        <v>249.9</v>
      </c>
      <c r="I547" t="s">
        <v>195</v>
      </c>
      <c r="J547" s="75">
        <v>218305</v>
      </c>
      <c r="K547" t="s">
        <v>383</v>
      </c>
      <c r="L547" t="s">
        <v>2730</v>
      </c>
      <c r="M547" s="81">
        <v>46073.404351851852</v>
      </c>
      <c r="N547" s="81">
        <v>46077.361203703702</v>
      </c>
      <c r="O547" t="s">
        <v>58</v>
      </c>
      <c r="P547" t="s">
        <v>59</v>
      </c>
      <c r="Q547" t="s">
        <v>130</v>
      </c>
      <c r="R547" t="s">
        <v>60</v>
      </c>
      <c r="S547" t="s">
        <v>583</v>
      </c>
      <c r="U547" s="75">
        <v>195921</v>
      </c>
      <c r="V547" t="s">
        <v>2731</v>
      </c>
      <c r="W547" t="s">
        <v>2732</v>
      </c>
      <c r="X547" t="s">
        <v>62</v>
      </c>
      <c r="Y547" t="s">
        <v>271</v>
      </c>
      <c r="AA547" t="s">
        <v>64</v>
      </c>
      <c r="AB547">
        <v>94.9</v>
      </c>
      <c r="AC547">
        <v>88.716667000000001</v>
      </c>
      <c r="AD547">
        <v>6.1833330000000002</v>
      </c>
      <c r="AE547">
        <v>0.25</v>
      </c>
      <c r="AF547">
        <v>0</v>
      </c>
      <c r="AG547">
        <v>5.9333330000000002</v>
      </c>
      <c r="AH547">
        <v>5.9333330000000002</v>
      </c>
      <c r="AI547">
        <v>5.1666660000000002</v>
      </c>
      <c r="AJ547">
        <v>0.76666699999999999</v>
      </c>
      <c r="AK547">
        <v>0</v>
      </c>
      <c r="AL547" s="76">
        <v>45260.699537037042</v>
      </c>
      <c r="AM547" s="75">
        <v>812</v>
      </c>
      <c r="AN547" t="s">
        <v>65</v>
      </c>
      <c r="AO547" t="s">
        <v>2733</v>
      </c>
      <c r="AP547" t="s">
        <v>67</v>
      </c>
      <c r="AQ547" t="s">
        <v>68</v>
      </c>
      <c r="AR547" t="s">
        <v>69</v>
      </c>
      <c r="AS547" s="79"/>
      <c r="AT547" s="82" t="s">
        <v>2650</v>
      </c>
      <c r="AU547" s="78">
        <v>2026</v>
      </c>
      <c r="AV547" s="78">
        <v>2</v>
      </c>
      <c r="AW547" s="78" t="s">
        <v>137</v>
      </c>
      <c r="AX547" s="78">
        <v>1</v>
      </c>
      <c r="AY547" s="78">
        <v>0</v>
      </c>
      <c r="BT547" s="3" t="s">
        <v>137</v>
      </c>
      <c r="BU547" s="3">
        <v>1</v>
      </c>
      <c r="BV547" s="3">
        <v>0</v>
      </c>
    </row>
    <row r="548" spans="1:74" ht="15" customHeight="1" x14ac:dyDescent="0.25">
      <c r="A548" s="75">
        <v>5835399</v>
      </c>
      <c r="B548" t="s">
        <v>2734</v>
      </c>
      <c r="C548" t="s">
        <v>2735</v>
      </c>
      <c r="D548" t="s">
        <v>74</v>
      </c>
      <c r="E548" t="s">
        <v>87</v>
      </c>
      <c r="F548" s="75">
        <v>457</v>
      </c>
      <c r="G548" s="75">
        <v>288665</v>
      </c>
      <c r="H548">
        <v>616.59</v>
      </c>
      <c r="I548" t="s">
        <v>55</v>
      </c>
      <c r="J548" s="75">
        <v>49495</v>
      </c>
      <c r="K548" t="s">
        <v>460</v>
      </c>
      <c r="L548" t="s">
        <v>461</v>
      </c>
      <c r="M548" s="81">
        <v>46073.534988425927</v>
      </c>
      <c r="N548" s="81">
        <v>46077.362951388888</v>
      </c>
      <c r="O548" t="s">
        <v>58</v>
      </c>
      <c r="P548" t="s">
        <v>59</v>
      </c>
      <c r="Q548" t="s">
        <v>90</v>
      </c>
      <c r="R548" t="s">
        <v>99</v>
      </c>
      <c r="S548" t="s">
        <v>1244</v>
      </c>
      <c r="U548" s="75">
        <v>196091</v>
      </c>
      <c r="V548" t="s">
        <v>2736</v>
      </c>
      <c r="W548" t="s">
        <v>2736</v>
      </c>
      <c r="X548" t="s">
        <v>62</v>
      </c>
      <c r="Y548" t="s">
        <v>63</v>
      </c>
      <c r="AA548" t="s">
        <v>81</v>
      </c>
      <c r="AB548">
        <v>91.8</v>
      </c>
      <c r="AC548">
        <v>89.033332999999999</v>
      </c>
      <c r="AD548">
        <v>2.766667</v>
      </c>
      <c r="AE548">
        <v>1.2166669999999999</v>
      </c>
      <c r="AF548">
        <v>0</v>
      </c>
      <c r="AG548">
        <v>1.55</v>
      </c>
      <c r="AH548">
        <v>1.55</v>
      </c>
      <c r="AI548">
        <v>1.5</v>
      </c>
      <c r="AJ548">
        <v>0.05</v>
      </c>
      <c r="AK548">
        <v>0</v>
      </c>
      <c r="AL548" s="76">
        <v>45028.484351851846</v>
      </c>
      <c r="AM548" s="75">
        <v>1045</v>
      </c>
      <c r="AN548" t="s">
        <v>65</v>
      </c>
      <c r="AO548" t="s">
        <v>2737</v>
      </c>
      <c r="AP548" t="s">
        <v>67</v>
      </c>
      <c r="AQ548" t="s">
        <v>68</v>
      </c>
      <c r="AR548" t="s">
        <v>69</v>
      </c>
      <c r="AS548" s="78"/>
      <c r="AT548" s="82" t="s">
        <v>2650</v>
      </c>
      <c r="AU548" s="78">
        <v>2026</v>
      </c>
      <c r="AV548" s="78">
        <v>2</v>
      </c>
      <c r="AW548" s="78" t="s">
        <v>71</v>
      </c>
      <c r="AX548" s="78">
        <v>1</v>
      </c>
      <c r="AY548" s="78">
        <v>0</v>
      </c>
      <c r="BT548" s="2" t="s">
        <v>71</v>
      </c>
      <c r="BU548" s="2">
        <v>1</v>
      </c>
      <c r="BV548" s="2">
        <v>0</v>
      </c>
    </row>
    <row r="549" spans="1:74" ht="15" customHeight="1" x14ac:dyDescent="0.25">
      <c r="A549" s="75">
        <v>5837447</v>
      </c>
      <c r="B549" t="s">
        <v>2738</v>
      </c>
      <c r="C549" t="s">
        <v>2739</v>
      </c>
      <c r="D549" t="s">
        <v>150</v>
      </c>
      <c r="E549" t="s">
        <v>105</v>
      </c>
      <c r="F549" s="75">
        <v>1022</v>
      </c>
      <c r="G549" s="75">
        <v>287999</v>
      </c>
      <c r="H549">
        <v>400</v>
      </c>
      <c r="I549" t="s">
        <v>55</v>
      </c>
      <c r="J549" s="75">
        <v>48887</v>
      </c>
      <c r="K549" t="s">
        <v>164</v>
      </c>
      <c r="L549" t="s">
        <v>165</v>
      </c>
      <c r="M549" s="81">
        <v>46075.580393518518</v>
      </c>
      <c r="N549" s="81">
        <v>46077.370185185187</v>
      </c>
      <c r="O549" t="s">
        <v>58</v>
      </c>
      <c r="P549" t="s">
        <v>59</v>
      </c>
      <c r="Q549" t="s">
        <v>77</v>
      </c>
      <c r="R549" t="s">
        <v>156</v>
      </c>
      <c r="S549" t="s">
        <v>2740</v>
      </c>
      <c r="T549" t="s">
        <v>231</v>
      </c>
      <c r="U549" s="75">
        <v>196591</v>
      </c>
      <c r="V549" t="s">
        <v>2741</v>
      </c>
      <c r="W549" t="s">
        <v>2741</v>
      </c>
      <c r="X549" t="s">
        <v>62</v>
      </c>
      <c r="Y549" t="s">
        <v>2598</v>
      </c>
      <c r="AA549" t="s">
        <v>64</v>
      </c>
      <c r="AB549">
        <v>42.883333</v>
      </c>
      <c r="AC549">
        <v>35.233333000000002</v>
      </c>
      <c r="AD549">
        <v>7.65</v>
      </c>
      <c r="AE549">
        <v>2.35</v>
      </c>
      <c r="AF549">
        <v>0</v>
      </c>
      <c r="AG549">
        <v>5.3</v>
      </c>
      <c r="AH549">
        <v>5.3</v>
      </c>
      <c r="AI549">
        <v>4.983333</v>
      </c>
      <c r="AJ549">
        <v>0.31666699999999998</v>
      </c>
      <c r="AK549">
        <v>0</v>
      </c>
      <c r="AL549" s="76">
        <v>45006</v>
      </c>
      <c r="AM549" s="75">
        <v>1069</v>
      </c>
      <c r="AN549" t="s">
        <v>65</v>
      </c>
      <c r="AO549" t="s">
        <v>2742</v>
      </c>
      <c r="AP549" t="s">
        <v>67</v>
      </c>
      <c r="AQ549" t="s">
        <v>68</v>
      </c>
      <c r="AR549" t="s">
        <v>69</v>
      </c>
      <c r="AS549" s="79"/>
      <c r="AT549" s="82" t="s">
        <v>2650</v>
      </c>
      <c r="AU549" s="78">
        <v>2026</v>
      </c>
      <c r="AV549" s="78">
        <v>2</v>
      </c>
      <c r="AW549" s="78" t="s">
        <v>137</v>
      </c>
      <c r="AX549" s="78">
        <v>1</v>
      </c>
      <c r="AY549" s="78">
        <v>0</v>
      </c>
      <c r="BT549" s="3" t="s">
        <v>137</v>
      </c>
      <c r="BU549" s="3">
        <v>1</v>
      </c>
      <c r="BV549" s="3">
        <v>0</v>
      </c>
    </row>
    <row r="550" spans="1:74" ht="15" customHeight="1" x14ac:dyDescent="0.25">
      <c r="A550" s="75">
        <v>5835417</v>
      </c>
      <c r="B550" t="s">
        <v>2743</v>
      </c>
      <c r="C550" t="s">
        <v>2744</v>
      </c>
      <c r="D550" t="s">
        <v>74</v>
      </c>
      <c r="E550" t="s">
        <v>87</v>
      </c>
      <c r="F550" s="75">
        <v>460</v>
      </c>
      <c r="G550" s="75">
        <v>294657</v>
      </c>
      <c r="H550">
        <v>154.15</v>
      </c>
      <c r="I550" t="s">
        <v>853</v>
      </c>
      <c r="J550" s="75">
        <v>49495</v>
      </c>
      <c r="K550" t="s">
        <v>460</v>
      </c>
      <c r="L550" t="s">
        <v>461</v>
      </c>
      <c r="M550" s="81">
        <v>46073.541979166657</v>
      </c>
      <c r="N550" s="81">
        <v>46077.37263888889</v>
      </c>
      <c r="O550" t="s">
        <v>58</v>
      </c>
      <c r="P550" t="s">
        <v>59</v>
      </c>
      <c r="Q550" t="s">
        <v>90</v>
      </c>
      <c r="R550" t="s">
        <v>99</v>
      </c>
      <c r="S550" t="s">
        <v>1244</v>
      </c>
      <c r="U550" s="75">
        <v>196131</v>
      </c>
      <c r="V550" t="s">
        <v>2745</v>
      </c>
      <c r="X550" t="s">
        <v>62</v>
      </c>
      <c r="Y550" t="s">
        <v>63</v>
      </c>
      <c r="AA550" t="s">
        <v>81</v>
      </c>
      <c r="AB550">
        <v>91.85</v>
      </c>
      <c r="AC550">
        <v>87.75</v>
      </c>
      <c r="AD550">
        <v>4.0999999999999996</v>
      </c>
      <c r="AE550">
        <v>0.65</v>
      </c>
      <c r="AF550">
        <v>0</v>
      </c>
      <c r="AG550">
        <v>3.45</v>
      </c>
      <c r="AH550">
        <v>3.45</v>
      </c>
      <c r="AI550">
        <v>3.05</v>
      </c>
      <c r="AJ550">
        <v>0.4</v>
      </c>
      <c r="AK550">
        <v>0</v>
      </c>
      <c r="AL550" s="76">
        <v>45181.778900462959</v>
      </c>
      <c r="AM550" s="75">
        <v>891</v>
      </c>
      <c r="AN550" t="s">
        <v>65</v>
      </c>
      <c r="AO550" t="s">
        <v>2746</v>
      </c>
      <c r="AP550" t="s">
        <v>67</v>
      </c>
      <c r="AQ550" t="s">
        <v>68</v>
      </c>
      <c r="AR550" t="s">
        <v>69</v>
      </c>
      <c r="AS550" s="78"/>
      <c r="AT550" s="82" t="s">
        <v>2650</v>
      </c>
      <c r="AU550" s="78">
        <v>2026</v>
      </c>
      <c r="AV550" s="78">
        <v>2</v>
      </c>
      <c r="AW550" s="78" t="s">
        <v>71</v>
      </c>
      <c r="AX550" s="78">
        <v>1</v>
      </c>
      <c r="AY550" s="78">
        <v>0</v>
      </c>
      <c r="BT550" s="2" t="s">
        <v>71</v>
      </c>
      <c r="BU550" s="2">
        <v>1</v>
      </c>
      <c r="BV550" s="2">
        <v>0</v>
      </c>
    </row>
    <row r="551" spans="1:74" ht="15" customHeight="1" x14ac:dyDescent="0.25">
      <c r="A551" s="75">
        <v>5836605</v>
      </c>
      <c r="B551" t="s">
        <v>2747</v>
      </c>
      <c r="C551" t="s">
        <v>1626</v>
      </c>
      <c r="D551" t="s">
        <v>1388</v>
      </c>
      <c r="E551" t="s">
        <v>87</v>
      </c>
      <c r="F551" s="75">
        <v>617</v>
      </c>
      <c r="G551" s="75">
        <v>345763</v>
      </c>
      <c r="H551">
        <v>398.82</v>
      </c>
      <c r="I551" t="s">
        <v>175</v>
      </c>
      <c r="J551" s="75">
        <v>216233</v>
      </c>
      <c r="K551" t="s">
        <v>88</v>
      </c>
      <c r="L551" t="s">
        <v>89</v>
      </c>
      <c r="M551" s="81">
        <v>46074.090624999997</v>
      </c>
      <c r="N551" s="81">
        <v>46077.374560185177</v>
      </c>
      <c r="O551" t="s">
        <v>475</v>
      </c>
      <c r="P551" t="s">
        <v>59</v>
      </c>
      <c r="Q551" t="s">
        <v>90</v>
      </c>
      <c r="R551" t="s">
        <v>144</v>
      </c>
      <c r="S551" t="s">
        <v>2121</v>
      </c>
      <c r="U551" s="75">
        <v>196271</v>
      </c>
      <c r="V551" t="s">
        <v>2748</v>
      </c>
      <c r="X551" t="s">
        <v>62</v>
      </c>
      <c r="Y551" t="s">
        <v>63</v>
      </c>
      <c r="AA551" t="s">
        <v>101</v>
      </c>
      <c r="AB551">
        <v>78.766666000000001</v>
      </c>
      <c r="AC551">
        <v>69.283332999999999</v>
      </c>
      <c r="AD551">
        <v>9.483333</v>
      </c>
      <c r="AE551">
        <v>0.73333300000000001</v>
      </c>
      <c r="AF551">
        <v>0</v>
      </c>
      <c r="AG551">
        <v>8.75</v>
      </c>
      <c r="AH551">
        <v>8.75</v>
      </c>
      <c r="AI551">
        <v>8.5500000000000007</v>
      </c>
      <c r="AJ551">
        <v>0.2</v>
      </c>
      <c r="AK551">
        <v>0</v>
      </c>
      <c r="AL551" s="76">
        <v>45944</v>
      </c>
      <c r="AM551" s="75">
        <v>130</v>
      </c>
      <c r="AN551" t="s">
        <v>65</v>
      </c>
      <c r="AO551" t="s">
        <v>1629</v>
      </c>
      <c r="AP551" t="s">
        <v>67</v>
      </c>
      <c r="AQ551" t="s">
        <v>68</v>
      </c>
      <c r="AR551" t="s">
        <v>69</v>
      </c>
      <c r="AS551" s="79"/>
      <c r="AT551" s="82" t="s">
        <v>2650</v>
      </c>
      <c r="AU551" s="78">
        <v>2026</v>
      </c>
      <c r="AV551" s="78">
        <v>2</v>
      </c>
      <c r="AW551" s="78" t="s">
        <v>71</v>
      </c>
      <c r="AX551" s="78">
        <v>0</v>
      </c>
      <c r="AY551" s="78">
        <v>0</v>
      </c>
      <c r="BT551" s="3" t="s">
        <v>71</v>
      </c>
      <c r="BU551" s="3">
        <v>0</v>
      </c>
      <c r="BV551" s="3">
        <v>0</v>
      </c>
    </row>
    <row r="552" spans="1:74" ht="15" customHeight="1" x14ac:dyDescent="0.25">
      <c r="A552" s="75">
        <v>5832715</v>
      </c>
      <c r="B552" t="s">
        <v>2749</v>
      </c>
      <c r="C552" t="s">
        <v>2750</v>
      </c>
      <c r="D552" t="s">
        <v>527</v>
      </c>
      <c r="E552" t="s">
        <v>87</v>
      </c>
      <c r="F552" s="75">
        <v>9</v>
      </c>
      <c r="G552" s="75">
        <v>279649</v>
      </c>
      <c r="H552">
        <v>516.22</v>
      </c>
      <c r="I552" t="s">
        <v>266</v>
      </c>
      <c r="J552" s="75">
        <v>149307</v>
      </c>
      <c r="K552" t="s">
        <v>350</v>
      </c>
      <c r="L552" t="s">
        <v>351</v>
      </c>
      <c r="M552" s="81">
        <v>46072.403263888889</v>
      </c>
      <c r="N552" s="81">
        <v>46077.426539351851</v>
      </c>
      <c r="O552" t="s">
        <v>58</v>
      </c>
      <c r="P552" t="s">
        <v>59</v>
      </c>
      <c r="Q552" t="s">
        <v>90</v>
      </c>
      <c r="R552" t="s">
        <v>156</v>
      </c>
      <c r="S552" t="s">
        <v>2227</v>
      </c>
      <c r="T552" t="s">
        <v>231</v>
      </c>
      <c r="U552" s="75">
        <v>195427</v>
      </c>
      <c r="V552" t="s">
        <v>2751</v>
      </c>
      <c r="W552" t="s">
        <v>2751</v>
      </c>
      <c r="X552" t="s">
        <v>62</v>
      </c>
      <c r="Y552" t="s">
        <v>541</v>
      </c>
      <c r="AA552" t="s">
        <v>81</v>
      </c>
      <c r="AB552">
        <v>120.39999899999999</v>
      </c>
      <c r="AC552">
        <v>107.766667</v>
      </c>
      <c r="AD552">
        <v>12.633331999999999</v>
      </c>
      <c r="AE552">
        <v>9.0833320000000004</v>
      </c>
      <c r="AF552">
        <v>0</v>
      </c>
      <c r="AG552">
        <v>3.55</v>
      </c>
      <c r="AH552">
        <v>3.55</v>
      </c>
      <c r="AI552">
        <v>1.3666670000000001</v>
      </c>
      <c r="AJ552">
        <v>2.1833330000000002</v>
      </c>
      <c r="AK552">
        <v>0</v>
      </c>
      <c r="AL552" s="76">
        <v>44720</v>
      </c>
      <c r="AM552" s="75">
        <v>1352</v>
      </c>
      <c r="AN552" t="s">
        <v>65</v>
      </c>
      <c r="AO552" t="s">
        <v>2752</v>
      </c>
      <c r="AP552" t="s">
        <v>67</v>
      </c>
      <c r="AQ552" t="s">
        <v>68</v>
      </c>
      <c r="AR552" t="s">
        <v>69</v>
      </c>
      <c r="AS552" s="78"/>
      <c r="AT552" s="82" t="s">
        <v>2650</v>
      </c>
      <c r="AU552" s="78">
        <v>2026</v>
      </c>
      <c r="AV552" s="78">
        <v>2</v>
      </c>
      <c r="AW552" s="78" t="s">
        <v>137</v>
      </c>
      <c r="AX552" s="78">
        <v>1</v>
      </c>
      <c r="AY552" s="78">
        <v>0</v>
      </c>
      <c r="BT552" s="2" t="s">
        <v>137</v>
      </c>
      <c r="BU552" s="2">
        <v>1</v>
      </c>
      <c r="BV552" s="2">
        <v>0</v>
      </c>
    </row>
    <row r="553" spans="1:74" ht="15" customHeight="1" x14ac:dyDescent="0.25">
      <c r="A553" s="75">
        <v>5835759</v>
      </c>
      <c r="B553" t="s">
        <v>2753</v>
      </c>
      <c r="C553" t="s">
        <v>2754</v>
      </c>
      <c r="D553" t="s">
        <v>527</v>
      </c>
      <c r="E553" t="s">
        <v>54</v>
      </c>
      <c r="F553" s="75">
        <v>1</v>
      </c>
      <c r="G553" s="75">
        <v>330149</v>
      </c>
      <c r="H553">
        <v>450</v>
      </c>
      <c r="I553" t="s">
        <v>141</v>
      </c>
      <c r="J553" s="75">
        <v>225267</v>
      </c>
      <c r="K553" t="s">
        <v>2192</v>
      </c>
      <c r="L553" t="s">
        <v>2193</v>
      </c>
      <c r="M553" s="81">
        <v>46073.626377314817</v>
      </c>
      <c r="N553" s="81">
        <v>46077.438159722216</v>
      </c>
      <c r="O553" t="s">
        <v>58</v>
      </c>
      <c r="P553" t="s">
        <v>59</v>
      </c>
      <c r="R553" t="s">
        <v>60</v>
      </c>
      <c r="S553" t="s">
        <v>1268</v>
      </c>
      <c r="U553" s="75">
        <v>197385</v>
      </c>
      <c r="V553" t="s">
        <v>2755</v>
      </c>
      <c r="W553" t="s">
        <v>2755</v>
      </c>
      <c r="X553" t="s">
        <v>79</v>
      </c>
      <c r="Y553" t="s">
        <v>224</v>
      </c>
      <c r="AA553" t="s">
        <v>81</v>
      </c>
      <c r="AB553">
        <v>91.433334000000002</v>
      </c>
      <c r="AC553">
        <v>87.166667000000004</v>
      </c>
      <c r="AD553">
        <v>4.266667</v>
      </c>
      <c r="AE553">
        <v>1.4</v>
      </c>
      <c r="AF553">
        <v>0</v>
      </c>
      <c r="AG553">
        <v>2.8666670000000001</v>
      </c>
      <c r="AH553">
        <v>2.8666670000000001</v>
      </c>
      <c r="AI553">
        <v>2.65</v>
      </c>
      <c r="AJ553">
        <v>0.216667</v>
      </c>
      <c r="AK553">
        <v>0</v>
      </c>
      <c r="AL553" s="76">
        <v>45645.435798611114</v>
      </c>
      <c r="AM553" s="75">
        <v>428</v>
      </c>
      <c r="AN553" t="s">
        <v>65</v>
      </c>
      <c r="AO553" t="s">
        <v>2195</v>
      </c>
      <c r="AP553" t="s">
        <v>67</v>
      </c>
      <c r="AQ553" t="s">
        <v>83</v>
      </c>
      <c r="AR553" t="s">
        <v>69</v>
      </c>
      <c r="AS553" s="79"/>
      <c r="AT553" s="82" t="s">
        <v>2650</v>
      </c>
      <c r="AU553" s="78">
        <v>2026</v>
      </c>
      <c r="AV553" s="78">
        <v>2</v>
      </c>
      <c r="AW553" s="78" t="s">
        <v>226</v>
      </c>
      <c r="AX553" s="78">
        <v>1</v>
      </c>
      <c r="AY553" s="78">
        <v>0</v>
      </c>
      <c r="BT553" s="3" t="s">
        <v>226</v>
      </c>
      <c r="BU553" s="3">
        <v>1</v>
      </c>
      <c r="BV553" s="3">
        <v>0</v>
      </c>
    </row>
    <row r="554" spans="1:74" ht="15" customHeight="1" x14ac:dyDescent="0.25">
      <c r="A554" s="75">
        <v>5835273</v>
      </c>
      <c r="B554" t="s">
        <v>2756</v>
      </c>
      <c r="C554" t="s">
        <v>2757</v>
      </c>
      <c r="D554" t="s">
        <v>527</v>
      </c>
      <c r="E554" t="s">
        <v>54</v>
      </c>
      <c r="F554" s="75">
        <v>1</v>
      </c>
      <c r="G554" s="75">
        <v>329355</v>
      </c>
      <c r="H554">
        <v>500</v>
      </c>
      <c r="I554" t="s">
        <v>141</v>
      </c>
      <c r="J554" s="75">
        <v>224909</v>
      </c>
      <c r="K554" t="s">
        <v>898</v>
      </c>
      <c r="L554" t="s">
        <v>899</v>
      </c>
      <c r="M554" s="81">
        <v>46073.48978009259</v>
      </c>
      <c r="N554" s="81">
        <v>46077.445567129631</v>
      </c>
      <c r="O554" t="s">
        <v>58</v>
      </c>
      <c r="P554" t="s">
        <v>59</v>
      </c>
      <c r="Q554" t="s">
        <v>130</v>
      </c>
      <c r="R554" t="s">
        <v>60</v>
      </c>
      <c r="S554" t="s">
        <v>583</v>
      </c>
      <c r="U554" s="75">
        <v>196665</v>
      </c>
      <c r="V554" t="s">
        <v>2758</v>
      </c>
      <c r="W554" t="s">
        <v>2759</v>
      </c>
      <c r="X554" t="s">
        <v>62</v>
      </c>
      <c r="Y554" t="s">
        <v>63</v>
      </c>
      <c r="AA554" t="s">
        <v>416</v>
      </c>
      <c r="AB554">
        <v>94.833333999999994</v>
      </c>
      <c r="AC554">
        <v>78.883332999999993</v>
      </c>
      <c r="AD554">
        <v>15.950001</v>
      </c>
      <c r="AE554">
        <v>0.15</v>
      </c>
      <c r="AF554">
        <v>0</v>
      </c>
      <c r="AG554">
        <v>15.800001</v>
      </c>
      <c r="AH554">
        <v>15.800001</v>
      </c>
      <c r="AI554">
        <v>14.6</v>
      </c>
      <c r="AJ554">
        <v>1.2000010000000001</v>
      </c>
      <c r="AK554">
        <v>0</v>
      </c>
      <c r="AL554" s="76">
        <v>45614.611793981479</v>
      </c>
      <c r="AM554" s="75">
        <v>458</v>
      </c>
      <c r="AN554" t="s">
        <v>65</v>
      </c>
      <c r="AO554" t="s">
        <v>902</v>
      </c>
      <c r="AP554" t="s">
        <v>67</v>
      </c>
      <c r="AQ554" t="s">
        <v>68</v>
      </c>
      <c r="AR554" t="s">
        <v>69</v>
      </c>
      <c r="AS554" s="78"/>
      <c r="AT554" s="82" t="s">
        <v>2650</v>
      </c>
      <c r="AU554" s="78">
        <v>2026</v>
      </c>
      <c r="AV554" s="78">
        <v>2</v>
      </c>
      <c r="AW554" s="78" t="s">
        <v>71</v>
      </c>
      <c r="AX554" s="78">
        <v>0</v>
      </c>
      <c r="AY554" s="78">
        <v>0</v>
      </c>
      <c r="BT554" s="2" t="s">
        <v>71</v>
      </c>
      <c r="BU554" s="2">
        <v>0</v>
      </c>
      <c r="BV554" s="2">
        <v>0</v>
      </c>
    </row>
    <row r="555" spans="1:74" ht="15" customHeight="1" x14ac:dyDescent="0.25">
      <c r="A555" s="75">
        <v>5835419</v>
      </c>
      <c r="B555" t="s">
        <v>2760</v>
      </c>
      <c r="C555" t="s">
        <v>311</v>
      </c>
      <c r="D555" t="s">
        <v>1388</v>
      </c>
      <c r="E555" t="s">
        <v>87</v>
      </c>
      <c r="F555" s="75">
        <v>114</v>
      </c>
      <c r="G555" s="75">
        <v>285557</v>
      </c>
      <c r="H555">
        <v>368.16</v>
      </c>
      <c r="I555" t="s">
        <v>55</v>
      </c>
      <c r="J555" s="75">
        <v>218791</v>
      </c>
      <c r="K555" t="s">
        <v>312</v>
      </c>
      <c r="L555" t="s">
        <v>313</v>
      </c>
      <c r="M555" s="81">
        <v>46073.542048611111</v>
      </c>
      <c r="N555" s="81">
        <v>46077.445902777778</v>
      </c>
      <c r="O555" t="s">
        <v>58</v>
      </c>
      <c r="P555" t="s">
        <v>59</v>
      </c>
      <c r="Q555" t="s">
        <v>98</v>
      </c>
      <c r="R555" t="s">
        <v>60</v>
      </c>
      <c r="S555" t="s">
        <v>583</v>
      </c>
      <c r="U555" s="75">
        <v>197571</v>
      </c>
      <c r="V555" t="s">
        <v>2761</v>
      </c>
      <c r="W555" t="s">
        <v>2762</v>
      </c>
      <c r="X555" t="s">
        <v>62</v>
      </c>
      <c r="Y555" t="s">
        <v>63</v>
      </c>
      <c r="AA555" t="s">
        <v>416</v>
      </c>
      <c r="AB555">
        <v>93.6</v>
      </c>
      <c r="AC555">
        <v>71.883332999999993</v>
      </c>
      <c r="AD555">
        <v>21.716667000000001</v>
      </c>
      <c r="AE555">
        <v>0.566666</v>
      </c>
      <c r="AF555">
        <v>0</v>
      </c>
      <c r="AG555">
        <v>21.150001</v>
      </c>
      <c r="AH555">
        <v>21.150001</v>
      </c>
      <c r="AI555">
        <v>5.65</v>
      </c>
      <c r="AJ555">
        <v>15.500000999999999</v>
      </c>
      <c r="AK555">
        <v>0</v>
      </c>
      <c r="AL555" s="76">
        <v>44874.648275462961</v>
      </c>
      <c r="AM555" s="75">
        <v>1198</v>
      </c>
      <c r="AN555" t="s">
        <v>65</v>
      </c>
      <c r="AO555" t="s">
        <v>316</v>
      </c>
      <c r="AP555" t="s">
        <v>67</v>
      </c>
      <c r="AQ555" t="s">
        <v>68</v>
      </c>
      <c r="AR555" t="s">
        <v>69</v>
      </c>
      <c r="AS555" s="79"/>
      <c r="AT555" s="82" t="s">
        <v>2650</v>
      </c>
      <c r="AU555" s="78">
        <v>2026</v>
      </c>
      <c r="AV555" s="78">
        <v>2</v>
      </c>
      <c r="AW555" s="78" t="s">
        <v>71</v>
      </c>
      <c r="AX555" s="78">
        <v>0</v>
      </c>
      <c r="AY555" s="78">
        <v>0</v>
      </c>
      <c r="BT555" s="3" t="s">
        <v>71</v>
      </c>
      <c r="BU555" s="3">
        <v>0</v>
      </c>
      <c r="BV555" s="3">
        <v>0</v>
      </c>
    </row>
    <row r="556" spans="1:74" ht="15" customHeight="1" x14ac:dyDescent="0.25">
      <c r="A556" s="75">
        <v>5839419</v>
      </c>
      <c r="B556" t="s">
        <v>2763</v>
      </c>
      <c r="C556" t="s">
        <v>1562</v>
      </c>
      <c r="D556" t="s">
        <v>1388</v>
      </c>
      <c r="E556" t="s">
        <v>87</v>
      </c>
      <c r="F556" s="75">
        <v>364</v>
      </c>
      <c r="G556" s="75">
        <v>286765</v>
      </c>
      <c r="H556">
        <v>364.96</v>
      </c>
      <c r="I556" t="s">
        <v>55</v>
      </c>
      <c r="J556" s="75">
        <v>218787</v>
      </c>
      <c r="K556" t="s">
        <v>96</v>
      </c>
      <c r="L556" t="s">
        <v>97</v>
      </c>
      <c r="M556" s="81">
        <v>46076.618981481479</v>
      </c>
      <c r="N556" s="81">
        <v>46077.446516203701</v>
      </c>
      <c r="O556" t="s">
        <v>58</v>
      </c>
      <c r="P556" t="s">
        <v>59</v>
      </c>
      <c r="Q556" t="s">
        <v>90</v>
      </c>
      <c r="R556" t="s">
        <v>60</v>
      </c>
      <c r="S556" t="s">
        <v>583</v>
      </c>
      <c r="U556" s="75">
        <v>197427</v>
      </c>
      <c r="V556" t="s">
        <v>2764</v>
      </c>
      <c r="W556" t="s">
        <v>2764</v>
      </c>
      <c r="X556" t="s">
        <v>62</v>
      </c>
      <c r="Y556" t="s">
        <v>63</v>
      </c>
      <c r="AA556" t="s">
        <v>81</v>
      </c>
      <c r="AB556">
        <v>19.833333</v>
      </c>
      <c r="AC556">
        <v>16.95</v>
      </c>
      <c r="AD556">
        <v>2.8833329999999999</v>
      </c>
      <c r="AE556">
        <v>0.85</v>
      </c>
      <c r="AF556">
        <v>0</v>
      </c>
      <c r="AG556">
        <v>2.0333329999999998</v>
      </c>
      <c r="AH556">
        <v>2.0333329999999998</v>
      </c>
      <c r="AI556">
        <v>2.0333329999999998</v>
      </c>
      <c r="AJ556">
        <v>0</v>
      </c>
      <c r="AK556">
        <v>0</v>
      </c>
      <c r="AL556" s="76">
        <v>44890</v>
      </c>
      <c r="AM556" s="75">
        <v>1186</v>
      </c>
      <c r="AN556" t="s">
        <v>65</v>
      </c>
      <c r="AO556" t="s">
        <v>1564</v>
      </c>
      <c r="AP556" t="s">
        <v>67</v>
      </c>
      <c r="AQ556" t="s">
        <v>68</v>
      </c>
      <c r="AR556" t="s">
        <v>69</v>
      </c>
      <c r="AS556" s="78"/>
      <c r="AT556" s="82" t="s">
        <v>2650</v>
      </c>
      <c r="AU556" s="78">
        <v>2026</v>
      </c>
      <c r="AV556" s="78">
        <v>2</v>
      </c>
      <c r="AW556" s="78" t="s">
        <v>71</v>
      </c>
      <c r="AX556" s="78">
        <v>1</v>
      </c>
      <c r="AY556" s="78">
        <v>0</v>
      </c>
      <c r="BT556" s="2" t="s">
        <v>71</v>
      </c>
      <c r="BU556" s="2">
        <v>1</v>
      </c>
      <c r="BV556" s="2">
        <v>0</v>
      </c>
    </row>
    <row r="557" spans="1:74" ht="15" customHeight="1" x14ac:dyDescent="0.25">
      <c r="A557" s="75">
        <v>5838979</v>
      </c>
      <c r="B557" t="s">
        <v>2765</v>
      </c>
      <c r="C557" t="s">
        <v>2766</v>
      </c>
      <c r="D557" t="s">
        <v>1388</v>
      </c>
      <c r="E557" t="s">
        <v>87</v>
      </c>
      <c r="F557" s="75">
        <v>206</v>
      </c>
      <c r="G557" s="75">
        <v>286085</v>
      </c>
      <c r="H557">
        <v>364.95</v>
      </c>
      <c r="I557" t="s">
        <v>55</v>
      </c>
      <c r="J557" s="75">
        <v>218787</v>
      </c>
      <c r="K557" t="s">
        <v>96</v>
      </c>
      <c r="L557" t="s">
        <v>97</v>
      </c>
      <c r="M557" s="81">
        <v>46076.507511574076</v>
      </c>
      <c r="N557" s="81">
        <v>46077.446793981479</v>
      </c>
      <c r="O557" t="s">
        <v>58</v>
      </c>
      <c r="P557" t="s">
        <v>59</v>
      </c>
      <c r="Q557" t="s">
        <v>90</v>
      </c>
      <c r="R557" t="s">
        <v>60</v>
      </c>
      <c r="S557" t="s">
        <v>583</v>
      </c>
      <c r="U557" s="75">
        <v>197263</v>
      </c>
      <c r="V557" t="s">
        <v>2767</v>
      </c>
      <c r="W557" t="s">
        <v>2767</v>
      </c>
      <c r="X557" t="s">
        <v>62</v>
      </c>
      <c r="Y557" t="s">
        <v>63</v>
      </c>
      <c r="AA557" t="s">
        <v>64</v>
      </c>
      <c r="AB557">
        <v>22.5</v>
      </c>
      <c r="AC557">
        <v>17.850000000000001</v>
      </c>
      <c r="AD557">
        <v>4.6500000000000004</v>
      </c>
      <c r="AE557">
        <v>0.216666</v>
      </c>
      <c r="AF557">
        <v>0</v>
      </c>
      <c r="AG557">
        <v>4.4333340000000003</v>
      </c>
      <c r="AH557">
        <v>4.4333340000000003</v>
      </c>
      <c r="AI557">
        <v>4.3833339999999996</v>
      </c>
      <c r="AJ557">
        <v>0.05</v>
      </c>
      <c r="AK557">
        <v>0</v>
      </c>
      <c r="AL557" s="76">
        <v>44870</v>
      </c>
      <c r="AM557" s="75">
        <v>1206</v>
      </c>
      <c r="AN557" t="s">
        <v>65</v>
      </c>
      <c r="AO557" t="s">
        <v>892</v>
      </c>
      <c r="AP557" t="s">
        <v>67</v>
      </c>
      <c r="AQ557" t="s">
        <v>68</v>
      </c>
      <c r="AR557" t="s">
        <v>69</v>
      </c>
      <c r="AS557" s="79"/>
      <c r="AT557" s="82" t="s">
        <v>2650</v>
      </c>
      <c r="AU557" s="78">
        <v>2026</v>
      </c>
      <c r="AV557" s="78">
        <v>2</v>
      </c>
      <c r="AW557" s="78" t="s">
        <v>71</v>
      </c>
      <c r="AX557" s="78">
        <v>1</v>
      </c>
      <c r="AY557" s="78">
        <v>0</v>
      </c>
      <c r="BT557" s="3" t="s">
        <v>71</v>
      </c>
      <c r="BU557" s="3">
        <v>1</v>
      </c>
      <c r="BV557" s="3">
        <v>0</v>
      </c>
    </row>
    <row r="558" spans="1:74" ht="15" customHeight="1" x14ac:dyDescent="0.25">
      <c r="A558" s="75">
        <v>5838603</v>
      </c>
      <c r="B558" t="s">
        <v>2768</v>
      </c>
      <c r="C558" t="s">
        <v>2769</v>
      </c>
      <c r="D558" t="s">
        <v>1388</v>
      </c>
      <c r="E558" t="s">
        <v>87</v>
      </c>
      <c r="F558" s="75">
        <v>533</v>
      </c>
      <c r="G558" s="75">
        <v>295119</v>
      </c>
      <c r="H558">
        <v>398.82</v>
      </c>
      <c r="I558" t="s">
        <v>55</v>
      </c>
      <c r="J558" s="75">
        <v>216233</v>
      </c>
      <c r="K558" t="s">
        <v>88</v>
      </c>
      <c r="L558" t="s">
        <v>89</v>
      </c>
      <c r="M558" s="81">
        <v>46076.418657407397</v>
      </c>
      <c r="N558" s="81">
        <v>46077.447337962964</v>
      </c>
      <c r="O558" t="s">
        <v>58</v>
      </c>
      <c r="P558" t="s">
        <v>59</v>
      </c>
      <c r="R558" t="s">
        <v>156</v>
      </c>
      <c r="S558" t="s">
        <v>1320</v>
      </c>
      <c r="U558" s="75">
        <v>197105</v>
      </c>
      <c r="V558" t="s">
        <v>2770</v>
      </c>
      <c r="W558" t="s">
        <v>2770</v>
      </c>
      <c r="X558" t="s">
        <v>62</v>
      </c>
      <c r="Y558" t="s">
        <v>63</v>
      </c>
      <c r="AA558" t="s">
        <v>64</v>
      </c>
      <c r="AB558">
        <v>24.616665999999999</v>
      </c>
      <c r="AC558">
        <v>18.166665999999999</v>
      </c>
      <c r="AD558">
        <v>6.45</v>
      </c>
      <c r="AE558">
        <v>0.05</v>
      </c>
      <c r="AF558">
        <v>0</v>
      </c>
      <c r="AG558">
        <v>6.4</v>
      </c>
      <c r="AH558">
        <v>6.4</v>
      </c>
      <c r="AI558">
        <v>6.266667</v>
      </c>
      <c r="AJ558">
        <v>0.13333300000000001</v>
      </c>
      <c r="AK558">
        <v>0</v>
      </c>
      <c r="AL558" s="76">
        <v>45252</v>
      </c>
      <c r="AM558" s="75">
        <v>824</v>
      </c>
      <c r="AN558" t="s">
        <v>65</v>
      </c>
      <c r="AO558" t="s">
        <v>2771</v>
      </c>
      <c r="AP558" t="s">
        <v>67</v>
      </c>
      <c r="AQ558" t="s">
        <v>68</v>
      </c>
      <c r="AR558" t="s">
        <v>69</v>
      </c>
      <c r="AS558" s="78"/>
      <c r="AT558" s="82" t="s">
        <v>2650</v>
      </c>
      <c r="AU558" s="78">
        <v>2026</v>
      </c>
      <c r="AV558" s="78">
        <v>2</v>
      </c>
      <c r="AW558" s="78" t="s">
        <v>71</v>
      </c>
      <c r="AX558" s="78">
        <v>1</v>
      </c>
      <c r="AY558" s="78">
        <v>0</v>
      </c>
      <c r="BT558" s="2" t="s">
        <v>71</v>
      </c>
      <c r="BU558" s="2">
        <v>1</v>
      </c>
      <c r="BV558" s="2">
        <v>0</v>
      </c>
    </row>
    <row r="559" spans="1:74" ht="15" customHeight="1" x14ac:dyDescent="0.25">
      <c r="A559" s="75">
        <v>5836951</v>
      </c>
      <c r="B559" t="s">
        <v>2772</v>
      </c>
      <c r="C559" t="s">
        <v>2773</v>
      </c>
      <c r="D559" t="s">
        <v>1388</v>
      </c>
      <c r="E559" t="s">
        <v>87</v>
      </c>
      <c r="F559" s="75">
        <v>229</v>
      </c>
      <c r="G559" s="75">
        <v>286259</v>
      </c>
      <c r="H559">
        <v>740.61</v>
      </c>
      <c r="I559" t="s">
        <v>55</v>
      </c>
      <c r="J559" s="75">
        <v>216233</v>
      </c>
      <c r="K559" t="s">
        <v>88</v>
      </c>
      <c r="L559" t="s">
        <v>89</v>
      </c>
      <c r="M559" s="81">
        <v>46074.771168981482</v>
      </c>
      <c r="N559" s="81">
        <v>46077.447534722232</v>
      </c>
      <c r="O559" t="s">
        <v>58</v>
      </c>
      <c r="P559" t="s">
        <v>59</v>
      </c>
      <c r="Q559" t="s">
        <v>90</v>
      </c>
      <c r="R559" t="s">
        <v>131</v>
      </c>
      <c r="S559" t="s">
        <v>1273</v>
      </c>
      <c r="U559" s="75">
        <v>196471</v>
      </c>
      <c r="V559" t="s">
        <v>2774</v>
      </c>
      <c r="W559" t="s">
        <v>2774</v>
      </c>
      <c r="X559" t="s">
        <v>62</v>
      </c>
      <c r="Y559" t="s">
        <v>63</v>
      </c>
      <c r="AA559" t="s">
        <v>101</v>
      </c>
      <c r="AB559">
        <v>64.166668000000001</v>
      </c>
      <c r="AC559">
        <v>55.216667000000001</v>
      </c>
      <c r="AD559">
        <v>8.9500010000000003</v>
      </c>
      <c r="AE559">
        <v>0.51666699999999999</v>
      </c>
      <c r="AF559">
        <v>0</v>
      </c>
      <c r="AG559">
        <v>8.4333340000000003</v>
      </c>
      <c r="AH559">
        <v>8.4333340000000003</v>
      </c>
      <c r="AI559">
        <v>7.85</v>
      </c>
      <c r="AJ559">
        <v>0.58333400000000002</v>
      </c>
      <c r="AK559">
        <v>0</v>
      </c>
      <c r="AL559" s="76">
        <v>44882</v>
      </c>
      <c r="AM559" s="75">
        <v>1192</v>
      </c>
      <c r="AN559" t="s">
        <v>65</v>
      </c>
      <c r="AO559" t="s">
        <v>2775</v>
      </c>
      <c r="AP559" t="s">
        <v>67</v>
      </c>
      <c r="AQ559" t="s">
        <v>68</v>
      </c>
      <c r="AR559" t="s">
        <v>69</v>
      </c>
      <c r="AS559" s="79"/>
      <c r="AT559" s="82" t="s">
        <v>2650</v>
      </c>
      <c r="AU559" s="78">
        <v>2026</v>
      </c>
      <c r="AV559" s="78">
        <v>2</v>
      </c>
      <c r="AW559" s="78" t="s">
        <v>71</v>
      </c>
      <c r="AX559" s="78">
        <v>0</v>
      </c>
      <c r="AY559" s="78">
        <v>0</v>
      </c>
      <c r="BT559" s="3" t="s">
        <v>71</v>
      </c>
      <c r="BU559" s="3">
        <v>0</v>
      </c>
      <c r="BV559" s="3">
        <v>0</v>
      </c>
    </row>
    <row r="560" spans="1:74" ht="15" customHeight="1" x14ac:dyDescent="0.25">
      <c r="A560" s="75">
        <v>5836169</v>
      </c>
      <c r="B560" t="s">
        <v>2776</v>
      </c>
      <c r="C560" t="s">
        <v>2777</v>
      </c>
      <c r="D560" t="s">
        <v>1388</v>
      </c>
      <c r="E560" t="s">
        <v>87</v>
      </c>
      <c r="F560" s="75">
        <v>353</v>
      </c>
      <c r="G560" s="75">
        <v>286727</v>
      </c>
      <c r="H560">
        <v>364.96</v>
      </c>
      <c r="I560" t="s">
        <v>55</v>
      </c>
      <c r="J560" s="75">
        <v>218787</v>
      </c>
      <c r="K560" t="s">
        <v>96</v>
      </c>
      <c r="L560" t="s">
        <v>97</v>
      </c>
      <c r="M560" s="81">
        <v>46073.778090277781</v>
      </c>
      <c r="N560" s="81">
        <v>46077.447731481479</v>
      </c>
      <c r="O560" t="s">
        <v>58</v>
      </c>
      <c r="P560" t="s">
        <v>59</v>
      </c>
      <c r="Q560" t="s">
        <v>90</v>
      </c>
      <c r="R560" t="s">
        <v>60</v>
      </c>
      <c r="S560" t="s">
        <v>583</v>
      </c>
      <c r="U560" s="75">
        <v>196681</v>
      </c>
      <c r="V560" t="s">
        <v>2778</v>
      </c>
      <c r="W560" t="s">
        <v>2779</v>
      </c>
      <c r="X560" t="s">
        <v>62</v>
      </c>
      <c r="Y560" t="s">
        <v>63</v>
      </c>
      <c r="AA560" t="s">
        <v>64</v>
      </c>
      <c r="AB560">
        <v>88.000000999999997</v>
      </c>
      <c r="AC560">
        <v>80.25</v>
      </c>
      <c r="AD560">
        <v>7.7500010000000001</v>
      </c>
      <c r="AE560">
        <v>0.183334</v>
      </c>
      <c r="AF560">
        <v>0</v>
      </c>
      <c r="AG560">
        <v>7.5666669999999998</v>
      </c>
      <c r="AH560">
        <v>7.5666669999999998</v>
      </c>
      <c r="AI560">
        <v>7.15</v>
      </c>
      <c r="AJ560">
        <v>0.41666700000000001</v>
      </c>
      <c r="AK560">
        <v>0</v>
      </c>
      <c r="AL560" s="76">
        <v>44890</v>
      </c>
      <c r="AM560" s="75">
        <v>1183</v>
      </c>
      <c r="AN560" t="s">
        <v>65</v>
      </c>
      <c r="AO560" t="s">
        <v>2780</v>
      </c>
      <c r="AP560" t="s">
        <v>67</v>
      </c>
      <c r="AQ560" t="s">
        <v>68</v>
      </c>
      <c r="AR560" t="s">
        <v>69</v>
      </c>
      <c r="AS560" s="78"/>
      <c r="AT560" s="82" t="s">
        <v>2650</v>
      </c>
      <c r="AU560" s="78">
        <v>2026</v>
      </c>
      <c r="AV560" s="78">
        <v>2</v>
      </c>
      <c r="AW560" s="78" t="s">
        <v>71</v>
      </c>
      <c r="AX560" s="78">
        <v>1</v>
      </c>
      <c r="AY560" s="78">
        <v>0</v>
      </c>
      <c r="BT560" s="2" t="s">
        <v>71</v>
      </c>
      <c r="BU560" s="2">
        <v>1</v>
      </c>
      <c r="BV560" s="2">
        <v>0</v>
      </c>
    </row>
    <row r="561" spans="1:74" ht="15" customHeight="1" x14ac:dyDescent="0.25">
      <c r="A561" s="75">
        <v>5835457</v>
      </c>
      <c r="B561" t="s">
        <v>2781</v>
      </c>
      <c r="C561" t="s">
        <v>2782</v>
      </c>
      <c r="D561" t="s">
        <v>1388</v>
      </c>
      <c r="E561" t="s">
        <v>87</v>
      </c>
      <c r="F561" s="75">
        <v>228</v>
      </c>
      <c r="G561" s="75">
        <v>286257</v>
      </c>
      <c r="H561">
        <v>368.16</v>
      </c>
      <c r="I561" t="s">
        <v>55</v>
      </c>
      <c r="J561" s="75">
        <v>218791</v>
      </c>
      <c r="K561" t="s">
        <v>312</v>
      </c>
      <c r="L561" t="s">
        <v>313</v>
      </c>
      <c r="M561" s="81">
        <v>46073.554074074083</v>
      </c>
      <c r="N561" s="81">
        <v>46077.447997685187</v>
      </c>
      <c r="O561" t="s">
        <v>58</v>
      </c>
      <c r="P561" t="s">
        <v>59</v>
      </c>
      <c r="Q561" t="s">
        <v>2562</v>
      </c>
      <c r="R561" t="s">
        <v>60</v>
      </c>
      <c r="S561" t="s">
        <v>583</v>
      </c>
      <c r="U561" s="75">
        <v>196851</v>
      </c>
      <c r="V561" t="s">
        <v>2783</v>
      </c>
      <c r="W561" t="s">
        <v>2784</v>
      </c>
      <c r="X561" t="s">
        <v>62</v>
      </c>
      <c r="Y561" t="s">
        <v>63</v>
      </c>
      <c r="AA561" t="s">
        <v>64</v>
      </c>
      <c r="AB561">
        <v>93.383331999999996</v>
      </c>
      <c r="AC561">
        <v>85.366665999999995</v>
      </c>
      <c r="AD561">
        <v>8.0166660000000007</v>
      </c>
      <c r="AE561">
        <v>0.11666600000000001</v>
      </c>
      <c r="AF561">
        <v>0</v>
      </c>
      <c r="AG561">
        <v>7.9</v>
      </c>
      <c r="AH561">
        <v>7.9</v>
      </c>
      <c r="AI561">
        <v>6.55</v>
      </c>
      <c r="AJ561">
        <v>1.35</v>
      </c>
      <c r="AK561">
        <v>0</v>
      </c>
      <c r="AL561" s="76">
        <v>44879.363020833327</v>
      </c>
      <c r="AM561" s="75">
        <v>1194</v>
      </c>
      <c r="AN561" t="s">
        <v>65</v>
      </c>
      <c r="AO561" t="s">
        <v>2785</v>
      </c>
      <c r="AP561" t="s">
        <v>67</v>
      </c>
      <c r="AQ561" t="s">
        <v>68</v>
      </c>
      <c r="AR561" t="s">
        <v>69</v>
      </c>
      <c r="AS561" s="79"/>
      <c r="AT561" s="82" t="s">
        <v>2650</v>
      </c>
      <c r="AU561" s="78">
        <v>2026</v>
      </c>
      <c r="AV561" s="78">
        <v>2</v>
      </c>
      <c r="AW561" s="78" t="s">
        <v>71</v>
      </c>
      <c r="AX561" s="78">
        <v>1</v>
      </c>
      <c r="AY561" s="78">
        <v>0</v>
      </c>
      <c r="BT561" s="3" t="s">
        <v>71</v>
      </c>
      <c r="BU561" s="3">
        <v>1</v>
      </c>
      <c r="BV561" s="3">
        <v>0</v>
      </c>
    </row>
    <row r="562" spans="1:74" ht="15" customHeight="1" x14ac:dyDescent="0.25">
      <c r="A562" s="75">
        <v>5839541</v>
      </c>
      <c r="B562" t="s">
        <v>2786</v>
      </c>
      <c r="C562" t="s">
        <v>2787</v>
      </c>
      <c r="D562" t="s">
        <v>1555</v>
      </c>
      <c r="E562" t="s">
        <v>126</v>
      </c>
      <c r="F562" s="75">
        <v>1</v>
      </c>
      <c r="G562" s="75">
        <v>340573</v>
      </c>
      <c r="H562">
        <v>19000</v>
      </c>
      <c r="I562" t="s">
        <v>2049</v>
      </c>
      <c r="J562" s="75">
        <v>227671</v>
      </c>
      <c r="K562" t="s">
        <v>2788</v>
      </c>
      <c r="L562" t="s">
        <v>2789</v>
      </c>
      <c r="M562" s="81">
        <v>46076.650717592587</v>
      </c>
      <c r="N562" s="81">
        <v>46077.493703703702</v>
      </c>
      <c r="O562" t="s">
        <v>58</v>
      </c>
      <c r="P562" t="s">
        <v>59</v>
      </c>
      <c r="Q562" t="s">
        <v>905</v>
      </c>
      <c r="R562" t="s">
        <v>156</v>
      </c>
      <c r="S562" t="s">
        <v>1320</v>
      </c>
      <c r="U562" s="75">
        <v>197483</v>
      </c>
      <c r="V562" t="s">
        <v>2790</v>
      </c>
      <c r="W562" t="s">
        <v>2790</v>
      </c>
      <c r="X562" t="s">
        <v>118</v>
      </c>
      <c r="Y562" t="s">
        <v>119</v>
      </c>
      <c r="AA562" t="s">
        <v>64</v>
      </c>
      <c r="AB562">
        <v>20.183333000000001</v>
      </c>
      <c r="AC562">
        <v>14.866667</v>
      </c>
      <c r="AD562">
        <v>5.3166659999999997</v>
      </c>
      <c r="AE562">
        <v>0.13333300000000001</v>
      </c>
      <c r="AF562">
        <v>0</v>
      </c>
      <c r="AG562">
        <v>5.1833330000000002</v>
      </c>
      <c r="AH562">
        <v>5.1833330000000002</v>
      </c>
      <c r="AI562">
        <v>4.55</v>
      </c>
      <c r="AJ562">
        <v>0.63333300000000003</v>
      </c>
      <c r="AK562">
        <v>0</v>
      </c>
      <c r="AL562" s="76">
        <v>45838</v>
      </c>
      <c r="AM562" s="75">
        <v>238</v>
      </c>
      <c r="AN562" t="s">
        <v>65</v>
      </c>
      <c r="AO562" t="s">
        <v>2791</v>
      </c>
      <c r="AP562" t="s">
        <v>67</v>
      </c>
      <c r="AQ562" t="s">
        <v>121</v>
      </c>
      <c r="AR562" t="s">
        <v>69</v>
      </c>
      <c r="AS562" s="78"/>
      <c r="AT562" s="82" t="s">
        <v>2650</v>
      </c>
      <c r="AU562" s="78">
        <v>2026</v>
      </c>
      <c r="AV562" s="78">
        <v>2</v>
      </c>
      <c r="AW562" s="78" t="s">
        <v>122</v>
      </c>
      <c r="AX562" s="78">
        <v>1</v>
      </c>
      <c r="AY562" s="78">
        <v>0</v>
      </c>
      <c r="BT562" s="2" t="s">
        <v>122</v>
      </c>
      <c r="BU562" s="2">
        <v>1</v>
      </c>
      <c r="BV562" s="2">
        <v>0</v>
      </c>
    </row>
    <row r="563" spans="1:74" ht="15" customHeight="1" x14ac:dyDescent="0.25">
      <c r="A563" s="75">
        <v>5837483</v>
      </c>
      <c r="B563" t="s">
        <v>2792</v>
      </c>
      <c r="C563" t="s">
        <v>2793</v>
      </c>
      <c r="D563" t="s">
        <v>1555</v>
      </c>
      <c r="E563" t="s">
        <v>54</v>
      </c>
      <c r="F563" s="75">
        <v>10</v>
      </c>
      <c r="G563" s="75">
        <v>342225</v>
      </c>
      <c r="H563">
        <v>560</v>
      </c>
      <c r="I563" t="s">
        <v>175</v>
      </c>
      <c r="J563" s="75">
        <v>204817</v>
      </c>
      <c r="K563" t="s">
        <v>949</v>
      </c>
      <c r="L563" t="s">
        <v>950</v>
      </c>
      <c r="M563" s="81">
        <v>46075.619513888887</v>
      </c>
      <c r="N563" s="81">
        <v>46077.510185185187</v>
      </c>
      <c r="O563" t="s">
        <v>58</v>
      </c>
      <c r="P563" t="s">
        <v>59</v>
      </c>
      <c r="Q563" t="s">
        <v>130</v>
      </c>
      <c r="R563" t="s">
        <v>60</v>
      </c>
      <c r="S563" t="s">
        <v>583</v>
      </c>
      <c r="U563" s="75">
        <v>197583</v>
      </c>
      <c r="V563" t="s">
        <v>2794</v>
      </c>
      <c r="W563" t="s">
        <v>2794</v>
      </c>
      <c r="X563" t="s">
        <v>62</v>
      </c>
      <c r="Y563" t="s">
        <v>63</v>
      </c>
      <c r="AA563" t="s">
        <v>416</v>
      </c>
      <c r="AB563">
        <v>45.316667000000002</v>
      </c>
      <c r="AC563">
        <v>32.016666999999998</v>
      </c>
      <c r="AD563">
        <v>13.3</v>
      </c>
      <c r="AE563">
        <v>0.16666700000000001</v>
      </c>
      <c r="AF563">
        <v>0</v>
      </c>
      <c r="AG563">
        <v>13.133333</v>
      </c>
      <c r="AH563">
        <v>13.133333</v>
      </c>
      <c r="AI563">
        <v>11.883333</v>
      </c>
      <c r="AJ563">
        <v>1.25</v>
      </c>
      <c r="AK563">
        <v>0</v>
      </c>
      <c r="AL563" s="76">
        <v>45881.442106481481</v>
      </c>
      <c r="AM563" s="75">
        <v>194</v>
      </c>
      <c r="AN563" t="s">
        <v>65</v>
      </c>
      <c r="AO563" t="s">
        <v>2795</v>
      </c>
      <c r="AP563" t="s">
        <v>67</v>
      </c>
      <c r="AQ563" t="s">
        <v>68</v>
      </c>
      <c r="AR563" t="s">
        <v>69</v>
      </c>
      <c r="AS563" s="79"/>
      <c r="AT563" s="82" t="s">
        <v>2650</v>
      </c>
      <c r="AU563" s="78">
        <v>2026</v>
      </c>
      <c r="AV563" s="78">
        <v>2</v>
      </c>
      <c r="AW563" s="78" t="s">
        <v>71</v>
      </c>
      <c r="AX563" s="78">
        <v>0</v>
      </c>
      <c r="AY563" s="78">
        <v>0</v>
      </c>
      <c r="BT563" s="3" t="s">
        <v>71</v>
      </c>
      <c r="BU563" s="3">
        <v>0</v>
      </c>
      <c r="BV563" s="3">
        <v>0</v>
      </c>
    </row>
    <row r="564" spans="1:74" ht="15" customHeight="1" x14ac:dyDescent="0.25">
      <c r="A564" s="75">
        <v>5836897</v>
      </c>
      <c r="B564" t="s">
        <v>2796</v>
      </c>
      <c r="C564" t="s">
        <v>2797</v>
      </c>
      <c r="D564" t="s">
        <v>527</v>
      </c>
      <c r="E564" t="s">
        <v>87</v>
      </c>
      <c r="F564" s="75">
        <v>88</v>
      </c>
      <c r="G564" s="75">
        <v>280003</v>
      </c>
      <c r="H564">
        <v>616.59</v>
      </c>
      <c r="I564" t="s">
        <v>266</v>
      </c>
      <c r="J564" s="75">
        <v>49495</v>
      </c>
      <c r="K564" t="s">
        <v>460</v>
      </c>
      <c r="L564" t="s">
        <v>461</v>
      </c>
      <c r="M564" s="81">
        <v>46074.64880787037</v>
      </c>
      <c r="N564" s="81">
        <v>46077.573125000003</v>
      </c>
      <c r="O564" t="s">
        <v>58</v>
      </c>
      <c r="P564" t="s">
        <v>59</v>
      </c>
      <c r="Q564" t="s">
        <v>130</v>
      </c>
      <c r="R564" t="s">
        <v>99</v>
      </c>
      <c r="S564" t="s">
        <v>1244</v>
      </c>
      <c r="T564" t="s">
        <v>2798</v>
      </c>
      <c r="U564" s="75">
        <v>197579</v>
      </c>
      <c r="V564" t="s">
        <v>2799</v>
      </c>
      <c r="W564" t="s">
        <v>2799</v>
      </c>
      <c r="X564" t="s">
        <v>62</v>
      </c>
      <c r="Y564" t="s">
        <v>2800</v>
      </c>
      <c r="AA564" t="s">
        <v>101</v>
      </c>
      <c r="AB564">
        <v>70.099999999999994</v>
      </c>
      <c r="AC564">
        <v>60.533332999999999</v>
      </c>
      <c r="AD564">
        <v>9.5666670000000007</v>
      </c>
      <c r="AE564">
        <v>0.85000100000000001</v>
      </c>
      <c r="AF564">
        <v>0</v>
      </c>
      <c r="AG564">
        <v>8.716666</v>
      </c>
      <c r="AH564">
        <v>8.716666</v>
      </c>
      <c r="AI564">
        <v>5.3999990000000002</v>
      </c>
      <c r="AJ564">
        <v>3.3166669999999998</v>
      </c>
      <c r="AK564">
        <v>0</v>
      </c>
      <c r="AL564" s="76">
        <v>44781</v>
      </c>
      <c r="AM564" s="75">
        <v>1293</v>
      </c>
      <c r="AN564" t="s">
        <v>65</v>
      </c>
      <c r="AO564" t="s">
        <v>2801</v>
      </c>
      <c r="AP564" t="s">
        <v>67</v>
      </c>
      <c r="AQ564" t="s">
        <v>68</v>
      </c>
      <c r="AR564" t="s">
        <v>69</v>
      </c>
      <c r="AS564" s="78"/>
      <c r="AT564" s="82" t="s">
        <v>2650</v>
      </c>
      <c r="AU564" s="78">
        <v>2026</v>
      </c>
      <c r="AV564" s="78">
        <v>2</v>
      </c>
      <c r="AW564" s="78" t="s">
        <v>137</v>
      </c>
      <c r="AX564" s="78">
        <v>0</v>
      </c>
      <c r="AY564" s="78">
        <v>0</v>
      </c>
      <c r="BT564" s="2" t="s">
        <v>137</v>
      </c>
      <c r="BU564" s="2">
        <v>0</v>
      </c>
      <c r="BV564" s="2">
        <v>0</v>
      </c>
    </row>
    <row r="565" spans="1:74" ht="15" customHeight="1" x14ac:dyDescent="0.25">
      <c r="A565" s="75">
        <v>5837277</v>
      </c>
      <c r="B565" t="s">
        <v>2802</v>
      </c>
      <c r="C565" t="s">
        <v>2803</v>
      </c>
      <c r="D565" t="s">
        <v>527</v>
      </c>
      <c r="E565" t="s">
        <v>54</v>
      </c>
      <c r="F565" s="75">
        <v>1</v>
      </c>
      <c r="G565" s="75">
        <v>133665</v>
      </c>
      <c r="H565">
        <v>990</v>
      </c>
      <c r="I565" t="s">
        <v>114</v>
      </c>
      <c r="J565" s="75">
        <v>100019</v>
      </c>
      <c r="K565" t="s">
        <v>2804</v>
      </c>
      <c r="L565" t="s">
        <v>2805</v>
      </c>
      <c r="M565" s="81">
        <v>46075.354456018518</v>
      </c>
      <c r="N565" s="81">
        <v>46077.574386574073</v>
      </c>
      <c r="O565" t="s">
        <v>58</v>
      </c>
      <c r="P565" t="s">
        <v>59</v>
      </c>
      <c r="Q565" t="s">
        <v>90</v>
      </c>
      <c r="R565" t="s">
        <v>60</v>
      </c>
      <c r="S565" t="s">
        <v>2235</v>
      </c>
      <c r="U565" s="75">
        <v>196693</v>
      </c>
      <c r="V565" t="s">
        <v>2806</v>
      </c>
      <c r="W565" t="s">
        <v>2806</v>
      </c>
      <c r="X565" t="s">
        <v>79</v>
      </c>
      <c r="Y565" t="s">
        <v>224</v>
      </c>
      <c r="AA565" t="s">
        <v>81</v>
      </c>
      <c r="AB565">
        <v>53.199998999999998</v>
      </c>
      <c r="AC565">
        <v>52.049999</v>
      </c>
      <c r="AD565">
        <v>1.1499999999999999</v>
      </c>
      <c r="AE565">
        <v>0.36666599999999999</v>
      </c>
      <c r="AF565">
        <v>0</v>
      </c>
      <c r="AG565">
        <v>0.78333399999999997</v>
      </c>
      <c r="AH565">
        <v>0.78333399999999997</v>
      </c>
      <c r="AI565">
        <v>0.4</v>
      </c>
      <c r="AJ565">
        <v>0.38333400000000001</v>
      </c>
      <c r="AK565">
        <v>0</v>
      </c>
      <c r="AL565" s="76">
        <v>43740</v>
      </c>
      <c r="AM565" s="75">
        <v>2335</v>
      </c>
      <c r="AN565" t="s">
        <v>65</v>
      </c>
      <c r="AO565" t="s">
        <v>2807</v>
      </c>
      <c r="AP565" t="s">
        <v>67</v>
      </c>
      <c r="AQ565" t="s">
        <v>83</v>
      </c>
      <c r="AR565" t="s">
        <v>69</v>
      </c>
      <c r="AS565" s="79"/>
      <c r="AT565" s="82" t="s">
        <v>2650</v>
      </c>
      <c r="AU565" s="78">
        <v>2026</v>
      </c>
      <c r="AV565" s="78">
        <v>2</v>
      </c>
      <c r="AW565" s="78" t="s">
        <v>226</v>
      </c>
      <c r="AX565" s="78">
        <v>1</v>
      </c>
      <c r="AY565" s="78">
        <v>0</v>
      </c>
      <c r="BT565" s="3" t="s">
        <v>226</v>
      </c>
      <c r="BU565" s="3">
        <v>1</v>
      </c>
      <c r="BV565" s="3">
        <v>0</v>
      </c>
    </row>
    <row r="566" spans="1:74" ht="15" customHeight="1" x14ac:dyDescent="0.25">
      <c r="A566" s="75">
        <v>5838601</v>
      </c>
      <c r="B566" t="s">
        <v>2808</v>
      </c>
      <c r="C566" t="s">
        <v>2809</v>
      </c>
      <c r="D566" t="s">
        <v>527</v>
      </c>
      <c r="E566" t="s">
        <v>54</v>
      </c>
      <c r="F566" s="75">
        <v>1</v>
      </c>
      <c r="G566" s="75">
        <v>300515</v>
      </c>
      <c r="H566">
        <v>888.76</v>
      </c>
      <c r="I566" t="s">
        <v>114</v>
      </c>
      <c r="J566" s="75">
        <v>219349</v>
      </c>
      <c r="K566" t="s">
        <v>1456</v>
      </c>
      <c r="L566" t="s">
        <v>1457</v>
      </c>
      <c r="M566" s="81">
        <v>46076.417847222219</v>
      </c>
      <c r="N566" s="81">
        <v>46077.579212962963</v>
      </c>
      <c r="O566" t="s">
        <v>58</v>
      </c>
      <c r="P566" t="s">
        <v>59</v>
      </c>
      <c r="R566" t="s">
        <v>99</v>
      </c>
      <c r="S566" t="s">
        <v>1244</v>
      </c>
      <c r="U566" s="75">
        <v>197225</v>
      </c>
      <c r="V566" t="s">
        <v>2810</v>
      </c>
      <c r="X566" t="s">
        <v>79</v>
      </c>
      <c r="Y566" t="s">
        <v>224</v>
      </c>
      <c r="AA566" t="s">
        <v>64</v>
      </c>
      <c r="AB566">
        <v>27.799999</v>
      </c>
      <c r="AC566">
        <v>21.266666000000001</v>
      </c>
      <c r="AD566">
        <v>6.5333329999999998</v>
      </c>
      <c r="AE566">
        <v>0.65</v>
      </c>
      <c r="AF566">
        <v>0</v>
      </c>
      <c r="AG566">
        <v>5.8833330000000004</v>
      </c>
      <c r="AH566">
        <v>5.8833330000000004</v>
      </c>
      <c r="AI566">
        <v>4.3833330000000004</v>
      </c>
      <c r="AJ566">
        <v>1.5</v>
      </c>
      <c r="AK566">
        <v>0</v>
      </c>
      <c r="AL566" s="76">
        <v>45386.510231481479</v>
      </c>
      <c r="AM566" s="75">
        <v>689</v>
      </c>
      <c r="AN566" t="s">
        <v>65</v>
      </c>
      <c r="AO566" t="s">
        <v>1460</v>
      </c>
      <c r="AP566" t="s">
        <v>67</v>
      </c>
      <c r="AQ566" t="s">
        <v>83</v>
      </c>
      <c r="AR566" t="s">
        <v>69</v>
      </c>
      <c r="AS566" s="78"/>
      <c r="AT566" s="82" t="s">
        <v>2650</v>
      </c>
      <c r="AU566" s="78">
        <v>2026</v>
      </c>
      <c r="AV566" s="78">
        <v>2</v>
      </c>
      <c r="AW566" s="78" t="s">
        <v>226</v>
      </c>
      <c r="AX566" s="78">
        <v>1</v>
      </c>
      <c r="AY566" s="78">
        <v>0</v>
      </c>
      <c r="BT566" s="2" t="s">
        <v>226</v>
      </c>
      <c r="BU566" s="2">
        <v>1</v>
      </c>
      <c r="BV566" s="2">
        <v>0</v>
      </c>
    </row>
    <row r="567" spans="1:74" ht="15" customHeight="1" x14ac:dyDescent="0.25">
      <c r="A567" s="75">
        <v>5838645</v>
      </c>
      <c r="B567" t="s">
        <v>2811</v>
      </c>
      <c r="C567" t="s">
        <v>2812</v>
      </c>
      <c r="D567" t="s">
        <v>527</v>
      </c>
      <c r="E567" t="s">
        <v>54</v>
      </c>
      <c r="F567" s="75">
        <v>1</v>
      </c>
      <c r="G567" s="75">
        <v>291085</v>
      </c>
      <c r="H567">
        <v>1362.79</v>
      </c>
      <c r="I567" t="s">
        <v>114</v>
      </c>
      <c r="J567" s="75">
        <v>217703</v>
      </c>
      <c r="K567" t="s">
        <v>2813</v>
      </c>
      <c r="L567" t="s">
        <v>2814</v>
      </c>
      <c r="M567" s="81">
        <v>46076.429629629631</v>
      </c>
      <c r="N567" s="81">
        <v>46077.584849537037</v>
      </c>
      <c r="O567" t="s">
        <v>58</v>
      </c>
      <c r="P567" t="s">
        <v>59</v>
      </c>
      <c r="Q567" t="s">
        <v>341</v>
      </c>
      <c r="R567" t="s">
        <v>60</v>
      </c>
      <c r="S567" t="s">
        <v>583</v>
      </c>
      <c r="U567" s="75">
        <v>197243</v>
      </c>
      <c r="V567" t="s">
        <v>2815</v>
      </c>
      <c r="W567" t="s">
        <v>2816</v>
      </c>
      <c r="X567" t="s">
        <v>62</v>
      </c>
      <c r="Y567" t="s">
        <v>63</v>
      </c>
      <c r="AA567" t="s">
        <v>101</v>
      </c>
      <c r="AB567">
        <v>27.649999000000001</v>
      </c>
      <c r="AC567">
        <v>17.55</v>
      </c>
      <c r="AD567">
        <v>10.099999</v>
      </c>
      <c r="AE567">
        <v>3.3333000000000002E-2</v>
      </c>
      <c r="AF567">
        <v>0</v>
      </c>
      <c r="AG567">
        <v>10.066666</v>
      </c>
      <c r="AH567">
        <v>10.066666</v>
      </c>
      <c r="AI567">
        <v>8.1833329999999993</v>
      </c>
      <c r="AJ567">
        <v>1.8833329999999999</v>
      </c>
      <c r="AK567">
        <v>0</v>
      </c>
      <c r="AL567" s="76">
        <v>45071.738807870373</v>
      </c>
      <c r="AM567" s="75">
        <v>1004</v>
      </c>
      <c r="AN567" t="s">
        <v>65</v>
      </c>
      <c r="AO567" t="s">
        <v>2817</v>
      </c>
      <c r="AP567" t="s">
        <v>67</v>
      </c>
      <c r="AQ567" t="s">
        <v>68</v>
      </c>
      <c r="AR567" t="s">
        <v>69</v>
      </c>
      <c r="AS567" s="79"/>
      <c r="AT567" s="82" t="s">
        <v>2650</v>
      </c>
      <c r="AU567" s="78">
        <v>2026</v>
      </c>
      <c r="AV567" s="78">
        <v>2</v>
      </c>
      <c r="AW567" s="78" t="s">
        <v>71</v>
      </c>
      <c r="AX567" s="78">
        <v>0</v>
      </c>
      <c r="AY567" s="78">
        <v>0</v>
      </c>
      <c r="BT567" s="3" t="s">
        <v>71</v>
      </c>
      <c r="BU567" s="3">
        <v>0</v>
      </c>
      <c r="BV567" s="3">
        <v>0</v>
      </c>
    </row>
    <row r="568" spans="1:74" ht="15" customHeight="1" x14ac:dyDescent="0.25">
      <c r="A568" s="75">
        <v>5839341</v>
      </c>
      <c r="B568" t="s">
        <v>2818</v>
      </c>
      <c r="C568" t="s">
        <v>2819</v>
      </c>
      <c r="D568" t="s">
        <v>150</v>
      </c>
      <c r="E568" t="s">
        <v>126</v>
      </c>
      <c r="F568" s="75">
        <v>17</v>
      </c>
      <c r="G568" s="75">
        <v>342777</v>
      </c>
      <c r="H568">
        <v>250</v>
      </c>
      <c r="I568" t="s">
        <v>175</v>
      </c>
      <c r="J568" s="75">
        <v>133341</v>
      </c>
      <c r="K568" t="s">
        <v>176</v>
      </c>
      <c r="L568" t="s">
        <v>177</v>
      </c>
      <c r="M568" s="81">
        <v>46076.611805555563</v>
      </c>
      <c r="N568" s="81">
        <v>46077.591319444437</v>
      </c>
      <c r="O568" t="s">
        <v>58</v>
      </c>
      <c r="P568" t="s">
        <v>59</v>
      </c>
      <c r="Q568" t="s">
        <v>130</v>
      </c>
      <c r="R568" t="s">
        <v>131</v>
      </c>
      <c r="S568" t="s">
        <v>1316</v>
      </c>
      <c r="U568" s="75">
        <v>197459</v>
      </c>
      <c r="V568" t="s">
        <v>2820</v>
      </c>
      <c r="W568" t="s">
        <v>2821</v>
      </c>
      <c r="X568" t="s">
        <v>62</v>
      </c>
      <c r="Y568" t="s">
        <v>63</v>
      </c>
      <c r="AA568" t="s">
        <v>64</v>
      </c>
      <c r="AB568">
        <v>23.433333999999999</v>
      </c>
      <c r="AC568">
        <v>15.333334000000001</v>
      </c>
      <c r="AD568">
        <v>8.1</v>
      </c>
      <c r="AE568">
        <v>1.316667</v>
      </c>
      <c r="AF568">
        <v>0</v>
      </c>
      <c r="AG568">
        <v>6.7833329999999998</v>
      </c>
      <c r="AH568">
        <v>6.7833329999999998</v>
      </c>
      <c r="AI568">
        <v>6.2166670000000002</v>
      </c>
      <c r="AJ568">
        <v>0.566666</v>
      </c>
      <c r="AK568">
        <v>0</v>
      </c>
      <c r="AL568" s="76">
        <v>45996.735833333332</v>
      </c>
      <c r="AM568" s="75">
        <v>79</v>
      </c>
      <c r="AN568" t="s">
        <v>65</v>
      </c>
      <c r="AO568" t="s">
        <v>239</v>
      </c>
      <c r="AP568" t="s">
        <v>67</v>
      </c>
      <c r="AQ568" t="s">
        <v>68</v>
      </c>
      <c r="AR568" t="s">
        <v>69</v>
      </c>
      <c r="AS568" s="78"/>
      <c r="AT568" s="82" t="s">
        <v>2650</v>
      </c>
      <c r="AU568" s="78">
        <v>2026</v>
      </c>
      <c r="AV568" s="78">
        <v>2</v>
      </c>
      <c r="AW568" s="78" t="s">
        <v>71</v>
      </c>
      <c r="AX568" s="78">
        <v>1</v>
      </c>
      <c r="AY568" s="78">
        <v>0</v>
      </c>
      <c r="BT568" s="2" t="s">
        <v>71</v>
      </c>
      <c r="BU568" s="2">
        <v>1</v>
      </c>
      <c r="BV568" s="2">
        <v>0</v>
      </c>
    </row>
    <row r="569" spans="1:74" ht="15" customHeight="1" x14ac:dyDescent="0.25">
      <c r="A569" s="75">
        <v>5835985</v>
      </c>
      <c r="B569" t="s">
        <v>2822</v>
      </c>
      <c r="C569" t="s">
        <v>2823</v>
      </c>
      <c r="D569" t="s">
        <v>150</v>
      </c>
      <c r="E569" t="s">
        <v>87</v>
      </c>
      <c r="F569" s="75">
        <v>151</v>
      </c>
      <c r="G569" s="75">
        <v>285645</v>
      </c>
      <c r="H569">
        <v>398.82</v>
      </c>
      <c r="I569" t="s">
        <v>55</v>
      </c>
      <c r="J569" s="75">
        <v>216233</v>
      </c>
      <c r="K569" t="s">
        <v>88</v>
      </c>
      <c r="L569" t="s">
        <v>89</v>
      </c>
      <c r="M569" s="81">
        <v>46073.688356481478</v>
      </c>
      <c r="N569" s="81">
        <v>46077.619062500002</v>
      </c>
      <c r="O569" t="s">
        <v>58</v>
      </c>
      <c r="P569" t="s">
        <v>59</v>
      </c>
      <c r="Q569" t="s">
        <v>90</v>
      </c>
      <c r="R569" t="s">
        <v>131</v>
      </c>
      <c r="S569" t="s">
        <v>1316</v>
      </c>
      <c r="U569" s="75">
        <v>197575</v>
      </c>
      <c r="V569" t="s">
        <v>2824</v>
      </c>
      <c r="W569" t="s">
        <v>2825</v>
      </c>
      <c r="X569" t="s">
        <v>62</v>
      </c>
      <c r="Y569" t="s">
        <v>63</v>
      </c>
      <c r="AA569" t="s">
        <v>416</v>
      </c>
      <c r="AB569">
        <v>94.233332000000004</v>
      </c>
      <c r="AC569">
        <v>80.033332999999999</v>
      </c>
      <c r="AD569">
        <v>14.199999</v>
      </c>
      <c r="AE569">
        <v>0.9</v>
      </c>
      <c r="AF569">
        <v>0</v>
      </c>
      <c r="AG569">
        <v>13.299999</v>
      </c>
      <c r="AH569">
        <v>13.299999</v>
      </c>
      <c r="AI569">
        <v>12.4</v>
      </c>
      <c r="AJ569">
        <v>0.89999899999999999</v>
      </c>
      <c r="AK569">
        <v>0</v>
      </c>
      <c r="AL569" s="76">
        <v>44897</v>
      </c>
      <c r="AM569" s="75">
        <v>1176</v>
      </c>
      <c r="AN569" t="s">
        <v>65</v>
      </c>
      <c r="AO569" t="s">
        <v>2826</v>
      </c>
      <c r="AP569" t="s">
        <v>67</v>
      </c>
      <c r="AQ569" t="s">
        <v>68</v>
      </c>
      <c r="AR569" t="s">
        <v>69</v>
      </c>
      <c r="AS569" s="79"/>
      <c r="AT569" s="82" t="s">
        <v>2650</v>
      </c>
      <c r="AU569" s="78">
        <v>2026</v>
      </c>
      <c r="AV569" s="78">
        <v>2</v>
      </c>
      <c r="AW569" s="78" t="s">
        <v>71</v>
      </c>
      <c r="AX569" s="78">
        <v>0</v>
      </c>
      <c r="AY569" s="78">
        <v>0</v>
      </c>
      <c r="BT569" s="3" t="s">
        <v>71</v>
      </c>
      <c r="BU569" s="3">
        <v>0</v>
      </c>
      <c r="BV569" s="3">
        <v>0</v>
      </c>
    </row>
    <row r="570" spans="1:74" ht="15" customHeight="1" x14ac:dyDescent="0.25">
      <c r="A570" s="75">
        <v>5838547</v>
      </c>
      <c r="B570" t="s">
        <v>2827</v>
      </c>
      <c r="C570" t="s">
        <v>2828</v>
      </c>
      <c r="D570" t="s">
        <v>527</v>
      </c>
      <c r="E570" t="s">
        <v>87</v>
      </c>
      <c r="F570" s="75">
        <v>248</v>
      </c>
      <c r="G570" s="75">
        <v>286337</v>
      </c>
      <c r="H570">
        <v>364.96</v>
      </c>
      <c r="I570" t="s">
        <v>55</v>
      </c>
      <c r="J570" s="75">
        <v>218787</v>
      </c>
      <c r="K570" t="s">
        <v>96</v>
      </c>
      <c r="L570" t="s">
        <v>97</v>
      </c>
      <c r="M570" s="81">
        <v>46076.411296296297</v>
      </c>
      <c r="N570" s="81">
        <v>46077.621701388889</v>
      </c>
      <c r="O570" t="s">
        <v>58</v>
      </c>
      <c r="P570" t="s">
        <v>59</v>
      </c>
      <c r="R570" t="s">
        <v>131</v>
      </c>
      <c r="S570" t="s">
        <v>1316</v>
      </c>
      <c r="U570" s="75">
        <v>197587</v>
      </c>
      <c r="V570" t="s">
        <v>2829</v>
      </c>
      <c r="W570" t="s">
        <v>2829</v>
      </c>
      <c r="X570" t="s">
        <v>62</v>
      </c>
      <c r="Y570" t="s">
        <v>63</v>
      </c>
      <c r="AA570" t="s">
        <v>101</v>
      </c>
      <c r="AB570">
        <v>28.966666</v>
      </c>
      <c r="AC570">
        <v>18.399999999999999</v>
      </c>
      <c r="AD570">
        <v>10.566666</v>
      </c>
      <c r="AE570">
        <v>8.3333000000000004E-2</v>
      </c>
      <c r="AF570">
        <v>0</v>
      </c>
      <c r="AG570">
        <v>10.483333</v>
      </c>
      <c r="AH570">
        <v>10.483333</v>
      </c>
      <c r="AI570">
        <v>10.15</v>
      </c>
      <c r="AJ570">
        <v>0.33333299999999999</v>
      </c>
      <c r="AK570">
        <v>0</v>
      </c>
      <c r="AL570" s="76">
        <v>44882</v>
      </c>
      <c r="AM570" s="75">
        <v>1194</v>
      </c>
      <c r="AN570" t="s">
        <v>65</v>
      </c>
      <c r="AO570" t="s">
        <v>2830</v>
      </c>
      <c r="AP570" t="s">
        <v>67</v>
      </c>
      <c r="AQ570" t="s">
        <v>68</v>
      </c>
      <c r="AR570" t="s">
        <v>69</v>
      </c>
      <c r="AS570" s="78"/>
      <c r="AT570" s="82" t="s">
        <v>2650</v>
      </c>
      <c r="AU570" s="78">
        <v>2026</v>
      </c>
      <c r="AV570" s="78">
        <v>2</v>
      </c>
      <c r="AW570" s="78" t="s">
        <v>71</v>
      </c>
      <c r="AX570" s="78">
        <v>0</v>
      </c>
      <c r="AY570" s="78">
        <v>0</v>
      </c>
      <c r="BT570" s="2" t="s">
        <v>71</v>
      </c>
      <c r="BU570" s="2">
        <v>0</v>
      </c>
      <c r="BV570" s="2">
        <v>0</v>
      </c>
    </row>
    <row r="571" spans="1:74" ht="15" customHeight="1" x14ac:dyDescent="0.25">
      <c r="A571" s="75">
        <v>5842301</v>
      </c>
      <c r="B571" t="s">
        <v>2831</v>
      </c>
      <c r="C571" t="s">
        <v>2832</v>
      </c>
      <c r="D571" t="s">
        <v>257</v>
      </c>
      <c r="E571" t="s">
        <v>87</v>
      </c>
      <c r="F571" s="75">
        <v>852</v>
      </c>
      <c r="G571" s="75">
        <v>345277</v>
      </c>
      <c r="H571">
        <v>334.78</v>
      </c>
      <c r="I571" t="s">
        <v>203</v>
      </c>
      <c r="J571" s="75">
        <v>6971</v>
      </c>
      <c r="K571" t="s">
        <v>369</v>
      </c>
      <c r="L571" t="s">
        <v>370</v>
      </c>
      <c r="M571" s="81">
        <v>46077.458738425928</v>
      </c>
      <c r="N571" s="81">
        <v>46077.684004629627</v>
      </c>
      <c r="P571" t="s">
        <v>59</v>
      </c>
      <c r="Q571" t="s">
        <v>90</v>
      </c>
      <c r="R571" t="s">
        <v>60</v>
      </c>
      <c r="S571" t="s">
        <v>583</v>
      </c>
      <c r="U571" s="75">
        <v>198095</v>
      </c>
      <c r="V571" t="s">
        <v>2833</v>
      </c>
      <c r="W571" t="s">
        <v>2833</v>
      </c>
      <c r="X571" t="s">
        <v>79</v>
      </c>
      <c r="Y571" t="s">
        <v>1977</v>
      </c>
      <c r="AA571" t="s">
        <v>64</v>
      </c>
      <c r="AB571">
        <v>5.3833330000000004</v>
      </c>
      <c r="AC571">
        <v>0.61666699999999997</v>
      </c>
      <c r="AD571">
        <v>4.7666659999999998</v>
      </c>
      <c r="AE571">
        <v>0.4</v>
      </c>
      <c r="AF571">
        <v>0</v>
      </c>
      <c r="AG571">
        <v>4.3666660000000004</v>
      </c>
      <c r="AH571">
        <v>4.3666660000000004</v>
      </c>
      <c r="AI571">
        <v>3.5833330000000001</v>
      </c>
      <c r="AJ571">
        <v>0.78333299999999995</v>
      </c>
      <c r="AK571">
        <v>0</v>
      </c>
      <c r="AL571" s="76">
        <v>46149</v>
      </c>
      <c r="AM571" s="75">
        <v>-71</v>
      </c>
      <c r="AN571" t="s">
        <v>1436</v>
      </c>
      <c r="AO571" t="s">
        <v>1978</v>
      </c>
      <c r="AP571" t="s">
        <v>67</v>
      </c>
      <c r="AQ571" t="s">
        <v>83</v>
      </c>
      <c r="AR571" t="s">
        <v>69</v>
      </c>
      <c r="AS571" s="79"/>
      <c r="AT571" s="82" t="s">
        <v>2650</v>
      </c>
      <c r="AU571" s="78">
        <v>2026</v>
      </c>
      <c r="AV571" s="78">
        <v>2</v>
      </c>
      <c r="AW571" s="78" t="s">
        <v>84</v>
      </c>
      <c r="AX571" s="78">
        <v>1</v>
      </c>
      <c r="AY571" s="78">
        <v>0</v>
      </c>
      <c r="BT571" s="3" t="s">
        <v>84</v>
      </c>
      <c r="BU571" s="3">
        <v>1</v>
      </c>
      <c r="BV571" s="3">
        <v>0</v>
      </c>
    </row>
    <row r="572" spans="1:74" ht="15" customHeight="1" x14ac:dyDescent="0.25">
      <c r="A572" s="75">
        <v>5834989</v>
      </c>
      <c r="B572" t="s">
        <v>2834</v>
      </c>
      <c r="C572" t="s">
        <v>2835</v>
      </c>
      <c r="D572" t="s">
        <v>1388</v>
      </c>
      <c r="E572" t="s">
        <v>126</v>
      </c>
      <c r="F572" s="75">
        <v>4</v>
      </c>
      <c r="G572" s="75">
        <v>344255</v>
      </c>
      <c r="H572">
        <v>500</v>
      </c>
      <c r="I572" t="s">
        <v>2049</v>
      </c>
      <c r="J572" s="75">
        <v>109357</v>
      </c>
      <c r="K572" t="s">
        <v>2836</v>
      </c>
      <c r="L572" t="s">
        <v>2837</v>
      </c>
      <c r="M572" s="81">
        <v>46073.430879629632</v>
      </c>
      <c r="N572" s="81">
        <v>46078.366886574076</v>
      </c>
      <c r="O572" t="s">
        <v>58</v>
      </c>
      <c r="P572" t="s">
        <v>59</v>
      </c>
      <c r="Q572" t="s">
        <v>130</v>
      </c>
      <c r="R572" t="s">
        <v>60</v>
      </c>
      <c r="S572" t="s">
        <v>583</v>
      </c>
      <c r="U572" s="75">
        <v>197569</v>
      </c>
      <c r="V572" t="s">
        <v>2838</v>
      </c>
      <c r="W572" t="s">
        <v>2839</v>
      </c>
      <c r="X572" t="s">
        <v>62</v>
      </c>
      <c r="Y572" t="s">
        <v>63</v>
      </c>
      <c r="AA572" t="s">
        <v>295</v>
      </c>
      <c r="AB572">
        <v>118.266668</v>
      </c>
      <c r="AC572">
        <v>89.15</v>
      </c>
      <c r="AD572">
        <v>29.116668000000001</v>
      </c>
      <c r="AE572">
        <v>0.05</v>
      </c>
      <c r="AF572">
        <v>0</v>
      </c>
      <c r="AG572">
        <v>29.066668</v>
      </c>
      <c r="AH572">
        <v>29.066668</v>
      </c>
      <c r="AI572">
        <v>26.916668000000001</v>
      </c>
      <c r="AJ572">
        <v>2.15</v>
      </c>
      <c r="AK572">
        <v>0</v>
      </c>
      <c r="AL572" s="76">
        <v>45918.609293981477</v>
      </c>
      <c r="AM572" s="75">
        <v>154</v>
      </c>
      <c r="AN572" t="s">
        <v>65</v>
      </c>
      <c r="AO572" t="s">
        <v>2840</v>
      </c>
      <c r="AP572" t="s">
        <v>67</v>
      </c>
      <c r="AQ572" t="s">
        <v>68</v>
      </c>
      <c r="AR572" t="s">
        <v>69</v>
      </c>
      <c r="AS572" s="78"/>
      <c r="AT572" s="82" t="s">
        <v>2650</v>
      </c>
      <c r="AU572" s="78">
        <v>2026</v>
      </c>
      <c r="AV572" s="78">
        <v>2</v>
      </c>
      <c r="AW572" s="78" t="s">
        <v>71</v>
      </c>
      <c r="AX572" s="78">
        <v>0</v>
      </c>
      <c r="AY572" s="78">
        <v>1</v>
      </c>
      <c r="BT572" s="2" t="s">
        <v>71</v>
      </c>
      <c r="BU572" s="2">
        <v>0</v>
      </c>
      <c r="BV572" s="2">
        <v>1</v>
      </c>
    </row>
    <row r="573" spans="1:74" ht="15" customHeight="1" x14ac:dyDescent="0.25">
      <c r="A573" s="75">
        <v>5838387</v>
      </c>
      <c r="B573" t="s">
        <v>2841</v>
      </c>
      <c r="C573" t="s">
        <v>2640</v>
      </c>
      <c r="D573" t="s">
        <v>1388</v>
      </c>
      <c r="E573" t="s">
        <v>87</v>
      </c>
      <c r="F573" s="75">
        <v>152</v>
      </c>
      <c r="G573" s="75">
        <v>112929</v>
      </c>
      <c r="H573">
        <v>1033.7</v>
      </c>
      <c r="I573" t="s">
        <v>368</v>
      </c>
      <c r="J573" s="75">
        <v>6971</v>
      </c>
      <c r="K573" t="s">
        <v>369</v>
      </c>
      <c r="L573" t="s">
        <v>370</v>
      </c>
      <c r="M573" s="81">
        <v>46076.372812499998</v>
      </c>
      <c r="N573" s="81">
        <v>46078.443530092591</v>
      </c>
      <c r="O573" t="s">
        <v>58</v>
      </c>
      <c r="P573" t="s">
        <v>59</v>
      </c>
      <c r="Q573" t="s">
        <v>90</v>
      </c>
      <c r="R573" t="s">
        <v>60</v>
      </c>
      <c r="S573" t="s">
        <v>583</v>
      </c>
      <c r="T573" t="s">
        <v>2641</v>
      </c>
      <c r="U573" s="75">
        <v>198101</v>
      </c>
      <c r="V573" t="s">
        <v>2842</v>
      </c>
      <c r="W573" t="s">
        <v>2843</v>
      </c>
      <c r="X573" t="s">
        <v>62</v>
      </c>
      <c r="Y573" t="s">
        <v>541</v>
      </c>
      <c r="AA573" t="s">
        <v>64</v>
      </c>
      <c r="AB573">
        <v>49.55</v>
      </c>
      <c r="AC573">
        <v>42.716667000000001</v>
      </c>
      <c r="AD573">
        <v>6.8333329999999997</v>
      </c>
      <c r="AE573">
        <v>0.55000000000000004</v>
      </c>
      <c r="AF573">
        <v>0</v>
      </c>
      <c r="AG573">
        <v>6.2833329999999998</v>
      </c>
      <c r="AH573">
        <v>6.2833329999999998</v>
      </c>
      <c r="AI573">
        <v>5.9166660000000002</v>
      </c>
      <c r="AJ573">
        <v>0.36666700000000002</v>
      </c>
      <c r="AK573">
        <v>0</v>
      </c>
      <c r="AL573" s="76">
        <v>43621</v>
      </c>
      <c r="AM573" s="75">
        <v>2455</v>
      </c>
      <c r="AN573" t="s">
        <v>65</v>
      </c>
      <c r="AO573" t="s">
        <v>2644</v>
      </c>
      <c r="AP573" t="s">
        <v>67</v>
      </c>
      <c r="AQ573" t="s">
        <v>68</v>
      </c>
      <c r="AR573" t="s">
        <v>69</v>
      </c>
      <c r="AS573" s="79"/>
      <c r="AT573" s="82" t="s">
        <v>2650</v>
      </c>
      <c r="AU573" s="78">
        <v>2026</v>
      </c>
      <c r="AV573" s="78">
        <v>2</v>
      </c>
      <c r="AW573" s="78" t="s">
        <v>137</v>
      </c>
      <c r="AX573" s="78">
        <v>1</v>
      </c>
      <c r="AY573" s="78">
        <v>0</v>
      </c>
      <c r="BT573" s="3" t="s">
        <v>137</v>
      </c>
      <c r="BU573" s="3">
        <v>1</v>
      </c>
      <c r="BV573" s="3">
        <v>0</v>
      </c>
    </row>
    <row r="574" spans="1:74" ht="15" customHeight="1" x14ac:dyDescent="0.25">
      <c r="A574" s="75">
        <v>5837593</v>
      </c>
      <c r="B574" t="s">
        <v>2844</v>
      </c>
      <c r="C574" t="s">
        <v>2845</v>
      </c>
      <c r="D574" t="s">
        <v>2379</v>
      </c>
      <c r="E574" t="s">
        <v>126</v>
      </c>
      <c r="F574" s="75">
        <v>5</v>
      </c>
      <c r="G574" s="75">
        <v>298735</v>
      </c>
      <c r="H574">
        <v>2600</v>
      </c>
      <c r="I574" t="s">
        <v>114</v>
      </c>
      <c r="J574" s="75">
        <v>117133</v>
      </c>
      <c r="K574" t="s">
        <v>2846</v>
      </c>
      <c r="L574" t="s">
        <v>2847</v>
      </c>
      <c r="M574" s="81">
        <v>46075.772986111107</v>
      </c>
      <c r="N574" s="81">
        <v>46078.457291666673</v>
      </c>
      <c r="O574" t="s">
        <v>58</v>
      </c>
      <c r="P574" t="s">
        <v>59</v>
      </c>
      <c r="Q574" t="s">
        <v>130</v>
      </c>
      <c r="R574" t="s">
        <v>99</v>
      </c>
      <c r="S574" t="s">
        <v>1375</v>
      </c>
      <c r="U574" s="75">
        <v>196593</v>
      </c>
      <c r="V574" t="s">
        <v>2848</v>
      </c>
      <c r="X574" t="s">
        <v>118</v>
      </c>
      <c r="Y574" t="s">
        <v>2849</v>
      </c>
      <c r="AA574" t="s">
        <v>101</v>
      </c>
      <c r="AB574">
        <v>64.349999999999994</v>
      </c>
      <c r="AC574">
        <v>55.066667000000002</v>
      </c>
      <c r="AD574">
        <v>9.2833330000000007</v>
      </c>
      <c r="AE574">
        <v>0.216667</v>
      </c>
      <c r="AF574">
        <v>0</v>
      </c>
      <c r="AG574">
        <v>9.0666659999999997</v>
      </c>
      <c r="AH574">
        <v>9.0666659999999997</v>
      </c>
      <c r="AI574">
        <v>8.6666659999999993</v>
      </c>
      <c r="AJ574">
        <v>0.4</v>
      </c>
      <c r="AK574">
        <v>0</v>
      </c>
      <c r="AL574" s="76">
        <v>45327</v>
      </c>
      <c r="AM574" s="75">
        <v>748</v>
      </c>
      <c r="AN574" t="s">
        <v>65</v>
      </c>
      <c r="AO574" t="s">
        <v>2850</v>
      </c>
      <c r="AP574" t="s">
        <v>67</v>
      </c>
      <c r="AQ574" t="s">
        <v>121</v>
      </c>
      <c r="AR574" t="s">
        <v>69</v>
      </c>
      <c r="AS574" s="78"/>
      <c r="AT574" s="82" t="s">
        <v>2650</v>
      </c>
      <c r="AU574" s="78">
        <v>2026</v>
      </c>
      <c r="AV574" s="78">
        <v>2</v>
      </c>
      <c r="AW574" s="78" t="s">
        <v>347</v>
      </c>
      <c r="AX574" s="78">
        <v>0</v>
      </c>
      <c r="AY574" s="78">
        <v>0</v>
      </c>
      <c r="BT574" s="2" t="s">
        <v>347</v>
      </c>
      <c r="BU574" s="2">
        <v>0</v>
      </c>
      <c r="BV574" s="2">
        <v>0</v>
      </c>
    </row>
    <row r="575" spans="1:74" ht="15" customHeight="1" x14ac:dyDescent="0.25">
      <c r="A575" s="75">
        <v>5842047</v>
      </c>
      <c r="B575" t="s">
        <v>2851</v>
      </c>
      <c r="C575" t="s">
        <v>2852</v>
      </c>
      <c r="D575" t="s">
        <v>2379</v>
      </c>
      <c r="E575" t="s">
        <v>54</v>
      </c>
      <c r="F575" s="75">
        <v>4</v>
      </c>
      <c r="G575" s="75">
        <v>293849</v>
      </c>
      <c r="H575">
        <v>681.4</v>
      </c>
      <c r="I575" t="s">
        <v>55</v>
      </c>
      <c r="J575" s="75">
        <v>218097</v>
      </c>
      <c r="K575" t="s">
        <v>2075</v>
      </c>
      <c r="L575" t="s">
        <v>2076</v>
      </c>
      <c r="M575" s="81">
        <v>46077.396331018521</v>
      </c>
      <c r="N575" s="81">
        <v>46078.538298611107</v>
      </c>
      <c r="O575" t="s">
        <v>58</v>
      </c>
      <c r="P575" t="s">
        <v>59</v>
      </c>
      <c r="Q575" t="s">
        <v>90</v>
      </c>
      <c r="R575" t="s">
        <v>156</v>
      </c>
      <c r="S575" t="s">
        <v>1320</v>
      </c>
      <c r="U575" s="75">
        <v>197947</v>
      </c>
      <c r="V575" t="s">
        <v>2853</v>
      </c>
      <c r="W575" t="s">
        <v>2853</v>
      </c>
      <c r="X575" t="s">
        <v>62</v>
      </c>
      <c r="Y575" t="s">
        <v>63</v>
      </c>
      <c r="AA575" t="s">
        <v>81</v>
      </c>
      <c r="AB575">
        <v>27.383333</v>
      </c>
      <c r="AC575">
        <v>24.916667</v>
      </c>
      <c r="AD575">
        <v>2.466666</v>
      </c>
      <c r="AE575">
        <v>0.35</v>
      </c>
      <c r="AF575">
        <v>0</v>
      </c>
      <c r="AG575">
        <v>2.1166659999999999</v>
      </c>
      <c r="AH575">
        <v>2.1166659999999999</v>
      </c>
      <c r="AI575">
        <v>2.0833330000000001</v>
      </c>
      <c r="AJ575">
        <v>3.3333000000000002E-2</v>
      </c>
      <c r="AK575">
        <v>0</v>
      </c>
      <c r="AL575" s="76">
        <v>45173.476493055547</v>
      </c>
      <c r="AM575" s="75">
        <v>903</v>
      </c>
      <c r="AN575" t="s">
        <v>65</v>
      </c>
      <c r="AO575" t="s">
        <v>2854</v>
      </c>
      <c r="AP575" t="s">
        <v>67</v>
      </c>
      <c r="AQ575" t="s">
        <v>68</v>
      </c>
      <c r="AR575" t="s">
        <v>69</v>
      </c>
      <c r="AS575" s="79"/>
      <c r="AT575" s="82" t="s">
        <v>2650</v>
      </c>
      <c r="AU575" s="78">
        <v>2026</v>
      </c>
      <c r="AV575" s="78">
        <v>2</v>
      </c>
      <c r="AW575" s="78" t="s">
        <v>71</v>
      </c>
      <c r="AX575" s="78">
        <v>1</v>
      </c>
      <c r="AY575" s="78">
        <v>0</v>
      </c>
      <c r="BT575" s="3" t="s">
        <v>71</v>
      </c>
      <c r="BU575" s="3">
        <v>1</v>
      </c>
      <c r="BV575" s="3">
        <v>0</v>
      </c>
    </row>
    <row r="576" spans="1:74" ht="15" customHeight="1" x14ac:dyDescent="0.25">
      <c r="A576" s="75">
        <v>5838235</v>
      </c>
      <c r="B576" t="s">
        <v>2855</v>
      </c>
      <c r="C576" t="s">
        <v>2856</v>
      </c>
      <c r="D576" t="s">
        <v>2379</v>
      </c>
      <c r="E576" t="s">
        <v>87</v>
      </c>
      <c r="F576" s="75">
        <v>3</v>
      </c>
      <c r="G576" s="75">
        <v>291783</v>
      </c>
      <c r="H576">
        <v>273.22000000000003</v>
      </c>
      <c r="I576" t="s">
        <v>114</v>
      </c>
      <c r="J576" s="75">
        <v>217825</v>
      </c>
      <c r="K576" t="s">
        <v>2857</v>
      </c>
      <c r="L576" t="s">
        <v>2858</v>
      </c>
      <c r="M576" s="81">
        <v>46076.296446759261</v>
      </c>
      <c r="N576" s="81">
        <v>46078.61378472222</v>
      </c>
      <c r="O576" t="s">
        <v>58</v>
      </c>
      <c r="P576" t="s">
        <v>59</v>
      </c>
      <c r="Q576" t="s">
        <v>77</v>
      </c>
      <c r="R576" t="s">
        <v>156</v>
      </c>
      <c r="S576" t="s">
        <v>1320</v>
      </c>
      <c r="U576" s="75">
        <v>197577</v>
      </c>
      <c r="V576" t="s">
        <v>2859</v>
      </c>
      <c r="W576" t="s">
        <v>2859</v>
      </c>
      <c r="X576" t="s">
        <v>62</v>
      </c>
      <c r="Y576" t="s">
        <v>63</v>
      </c>
      <c r="AA576" t="s">
        <v>416</v>
      </c>
      <c r="AB576">
        <v>55.516666000000001</v>
      </c>
      <c r="AC576">
        <v>32.433332999999998</v>
      </c>
      <c r="AD576">
        <v>23.083333</v>
      </c>
      <c r="AE576">
        <v>1.5166660000000001</v>
      </c>
      <c r="AF576">
        <v>0</v>
      </c>
      <c r="AG576">
        <v>21.566666999999999</v>
      </c>
      <c r="AH576">
        <v>21.566666999999999</v>
      </c>
      <c r="AI576">
        <v>18.916667</v>
      </c>
      <c r="AJ576">
        <v>2.65</v>
      </c>
      <c r="AK576">
        <v>0</v>
      </c>
      <c r="AL576" s="76">
        <v>45358</v>
      </c>
      <c r="AM576" s="75">
        <v>718</v>
      </c>
      <c r="AN576" t="s">
        <v>65</v>
      </c>
      <c r="AO576" t="s">
        <v>2860</v>
      </c>
      <c r="AP576" t="s">
        <v>67</v>
      </c>
      <c r="AQ576" t="s">
        <v>68</v>
      </c>
      <c r="AR576" t="s">
        <v>69</v>
      </c>
      <c r="AS576" s="78"/>
      <c r="AT576" s="82" t="s">
        <v>2650</v>
      </c>
      <c r="AU576" s="78">
        <v>2026</v>
      </c>
      <c r="AV576" s="78">
        <v>2</v>
      </c>
      <c r="AW576" s="78" t="s">
        <v>71</v>
      </c>
      <c r="AX576" s="78">
        <v>0</v>
      </c>
      <c r="AY576" s="78">
        <v>0</v>
      </c>
      <c r="BT576" s="2" t="s">
        <v>71</v>
      </c>
      <c r="BU576" s="2">
        <v>0</v>
      </c>
      <c r="BV576" s="2">
        <v>0</v>
      </c>
    </row>
    <row r="577" spans="1:74" ht="15" customHeight="1" x14ac:dyDescent="0.25">
      <c r="A577" s="75">
        <v>5843023</v>
      </c>
      <c r="B577" t="s">
        <v>2861</v>
      </c>
      <c r="C577" t="s">
        <v>2862</v>
      </c>
      <c r="D577" t="s">
        <v>809</v>
      </c>
      <c r="E577" t="s">
        <v>105</v>
      </c>
      <c r="F577" s="75">
        <v>6</v>
      </c>
      <c r="G577" s="75">
        <v>275519</v>
      </c>
      <c r="H577">
        <v>1000</v>
      </c>
      <c r="I577" t="s">
        <v>266</v>
      </c>
      <c r="J577" s="75">
        <v>175487</v>
      </c>
      <c r="K577" t="s">
        <v>1529</v>
      </c>
      <c r="L577" t="s">
        <v>1530</v>
      </c>
      <c r="M577" s="81">
        <v>46077.651574074072</v>
      </c>
      <c r="N577" s="81">
        <v>46078.615497685183</v>
      </c>
      <c r="O577" t="s">
        <v>277</v>
      </c>
      <c r="P577" t="s">
        <v>59</v>
      </c>
      <c r="R577" t="s">
        <v>99</v>
      </c>
      <c r="S577" t="s">
        <v>1244</v>
      </c>
      <c r="T577" t="s">
        <v>507</v>
      </c>
      <c r="U577" s="75">
        <v>198531</v>
      </c>
      <c r="V577" t="s">
        <v>2863</v>
      </c>
      <c r="W577" t="s">
        <v>2863</v>
      </c>
      <c r="X577" t="s">
        <v>62</v>
      </c>
      <c r="Y577" t="s">
        <v>2864</v>
      </c>
      <c r="AA577" t="s">
        <v>101</v>
      </c>
      <c r="AB577">
        <v>23.083333</v>
      </c>
      <c r="AC577">
        <v>14.833333</v>
      </c>
      <c r="AD577">
        <v>8.25</v>
      </c>
      <c r="AE577">
        <v>0.183333</v>
      </c>
      <c r="AF577">
        <v>0</v>
      </c>
      <c r="AG577">
        <v>8.0666670000000007</v>
      </c>
      <c r="AH577">
        <v>8.0666670000000007</v>
      </c>
      <c r="AI577">
        <v>6.6</v>
      </c>
      <c r="AJ577">
        <v>1.4666669999999999</v>
      </c>
      <c r="AK577">
        <v>0</v>
      </c>
      <c r="AL577" s="76">
        <v>43643</v>
      </c>
      <c r="AM577" s="75">
        <v>2434</v>
      </c>
      <c r="AN577" t="s">
        <v>65</v>
      </c>
      <c r="AO577" t="s">
        <v>2865</v>
      </c>
      <c r="AP577" t="s">
        <v>67</v>
      </c>
      <c r="AQ577" t="s">
        <v>68</v>
      </c>
      <c r="AR577" t="s">
        <v>69</v>
      </c>
      <c r="AS577" s="79"/>
      <c r="AT577" s="82" t="s">
        <v>2650</v>
      </c>
      <c r="AU577" s="78">
        <v>2026</v>
      </c>
      <c r="AV577" s="78">
        <v>2</v>
      </c>
      <c r="AW577" s="78" t="s">
        <v>137</v>
      </c>
      <c r="AX577" s="78">
        <v>0</v>
      </c>
      <c r="AY577" s="78">
        <v>0</v>
      </c>
      <c r="BT577" s="3" t="s">
        <v>137</v>
      </c>
      <c r="BU577" s="3">
        <v>0</v>
      </c>
      <c r="BV577" s="3">
        <v>0</v>
      </c>
    </row>
    <row r="578" spans="1:74" ht="15" customHeight="1" x14ac:dyDescent="0.25">
      <c r="A578" s="75">
        <v>5839879</v>
      </c>
      <c r="B578" t="s">
        <v>2866</v>
      </c>
      <c r="C578" t="s">
        <v>2867</v>
      </c>
      <c r="D578" t="s">
        <v>1555</v>
      </c>
      <c r="E578" t="s">
        <v>87</v>
      </c>
      <c r="F578" s="75">
        <v>271</v>
      </c>
      <c r="G578" s="75">
        <v>286387</v>
      </c>
      <c r="H578">
        <v>364.96</v>
      </c>
      <c r="I578" t="s">
        <v>55</v>
      </c>
      <c r="J578" s="75">
        <v>218787</v>
      </c>
      <c r="K578" t="s">
        <v>96</v>
      </c>
      <c r="L578" t="s">
        <v>97</v>
      </c>
      <c r="M578" s="81">
        <v>46076.653217592589</v>
      </c>
      <c r="N578" s="81">
        <v>46078.673275462963</v>
      </c>
      <c r="O578" t="s">
        <v>58</v>
      </c>
      <c r="P578" t="s">
        <v>59</v>
      </c>
      <c r="Q578" t="s">
        <v>90</v>
      </c>
      <c r="R578" t="s">
        <v>131</v>
      </c>
      <c r="S578" t="s">
        <v>1316</v>
      </c>
      <c r="U578" s="75">
        <v>197457</v>
      </c>
      <c r="V578" t="s">
        <v>2868</v>
      </c>
      <c r="W578" t="s">
        <v>2868</v>
      </c>
      <c r="X578" t="s">
        <v>62</v>
      </c>
      <c r="Y578" t="s">
        <v>63</v>
      </c>
      <c r="AA578" t="s">
        <v>101</v>
      </c>
      <c r="AB578">
        <v>48.35</v>
      </c>
      <c r="AC578">
        <v>36.366667</v>
      </c>
      <c r="AD578">
        <v>11.983333</v>
      </c>
      <c r="AE578">
        <v>0.1</v>
      </c>
      <c r="AF578">
        <v>0</v>
      </c>
      <c r="AG578">
        <v>11.883333</v>
      </c>
      <c r="AH578">
        <v>11.883333</v>
      </c>
      <c r="AI578">
        <v>11.216666999999999</v>
      </c>
      <c r="AJ578">
        <v>0.66666599999999998</v>
      </c>
      <c r="AK578">
        <v>0</v>
      </c>
      <c r="AL578" s="76">
        <v>44882</v>
      </c>
      <c r="AM578" s="75">
        <v>1194</v>
      </c>
      <c r="AN578" t="s">
        <v>65</v>
      </c>
      <c r="AO578" t="s">
        <v>1989</v>
      </c>
      <c r="AP578" t="s">
        <v>67</v>
      </c>
      <c r="AQ578" t="s">
        <v>68</v>
      </c>
      <c r="AR578" t="s">
        <v>69</v>
      </c>
      <c r="AS578" s="78"/>
      <c r="AT578" s="82" t="s">
        <v>2650</v>
      </c>
      <c r="AU578" s="78">
        <v>2026</v>
      </c>
      <c r="AV578" s="78">
        <v>2</v>
      </c>
      <c r="AW578" s="78" t="s">
        <v>71</v>
      </c>
      <c r="AX578" s="78">
        <v>0</v>
      </c>
      <c r="AY578" s="78">
        <v>0</v>
      </c>
      <c r="BT578" s="2" t="s">
        <v>71</v>
      </c>
      <c r="BU578" s="2">
        <v>0</v>
      </c>
      <c r="BV578" s="2">
        <v>0</v>
      </c>
    </row>
    <row r="579" spans="1:74" ht="15" customHeight="1" x14ac:dyDescent="0.25">
      <c r="A579" s="75">
        <v>5840485</v>
      </c>
      <c r="B579" t="s">
        <v>2869</v>
      </c>
      <c r="C579" t="s">
        <v>2870</v>
      </c>
      <c r="D579" t="s">
        <v>1555</v>
      </c>
      <c r="E579" t="s">
        <v>87</v>
      </c>
      <c r="F579" s="75">
        <v>300</v>
      </c>
      <c r="G579" s="75">
        <v>285733</v>
      </c>
      <c r="H579">
        <v>616.59</v>
      </c>
      <c r="I579" t="s">
        <v>266</v>
      </c>
      <c r="J579" s="75">
        <v>49495</v>
      </c>
      <c r="K579" t="s">
        <v>460</v>
      </c>
      <c r="L579" t="s">
        <v>461</v>
      </c>
      <c r="M579" s="81">
        <v>46076.722696759258</v>
      </c>
      <c r="N579" s="81">
        <v>46078.708437499998</v>
      </c>
      <c r="O579" t="s">
        <v>58</v>
      </c>
      <c r="P579" t="s">
        <v>59</v>
      </c>
      <c r="Q579" t="s">
        <v>90</v>
      </c>
      <c r="R579" t="s">
        <v>156</v>
      </c>
      <c r="S579" t="s">
        <v>1320</v>
      </c>
      <c r="U579" s="75">
        <v>197791</v>
      </c>
      <c r="V579" t="s">
        <v>2871</v>
      </c>
      <c r="W579" t="s">
        <v>2871</v>
      </c>
      <c r="X579" t="s">
        <v>62</v>
      </c>
      <c r="Y579" t="s">
        <v>1049</v>
      </c>
      <c r="AA579" t="s">
        <v>295</v>
      </c>
      <c r="AB579">
        <v>47.600000999999999</v>
      </c>
      <c r="AC579">
        <v>18.7</v>
      </c>
      <c r="AD579">
        <v>28.900001</v>
      </c>
      <c r="AE579">
        <v>1.050001</v>
      </c>
      <c r="AF579">
        <v>0</v>
      </c>
      <c r="AG579">
        <v>27.85</v>
      </c>
      <c r="AH579">
        <v>27.85</v>
      </c>
      <c r="AI579">
        <v>27.483332999999998</v>
      </c>
      <c r="AJ579">
        <v>0.36666700000000002</v>
      </c>
      <c r="AK579">
        <v>0</v>
      </c>
      <c r="AL579" s="76">
        <v>44862.600069444437</v>
      </c>
      <c r="AM579" s="75">
        <v>1214</v>
      </c>
      <c r="AN579" t="s">
        <v>65</v>
      </c>
      <c r="AO579" t="s">
        <v>1050</v>
      </c>
      <c r="AP579" t="s">
        <v>67</v>
      </c>
      <c r="AQ579" t="s">
        <v>68</v>
      </c>
      <c r="AR579" t="s">
        <v>69</v>
      </c>
      <c r="AS579" s="79"/>
      <c r="AT579" s="82" t="s">
        <v>2650</v>
      </c>
      <c r="AU579" s="78">
        <v>2026</v>
      </c>
      <c r="AV579" s="78">
        <v>2</v>
      </c>
      <c r="AW579" s="78" t="s">
        <v>137</v>
      </c>
      <c r="AX579" s="78">
        <v>0</v>
      </c>
      <c r="AY579" s="78">
        <v>1</v>
      </c>
      <c r="BT579" s="3" t="s">
        <v>137</v>
      </c>
      <c r="BU579" s="3">
        <v>0</v>
      </c>
      <c r="BV579" s="3">
        <v>1</v>
      </c>
    </row>
    <row r="580" spans="1:74" ht="15" customHeight="1" x14ac:dyDescent="0.25">
      <c r="A580" s="75">
        <v>5843735</v>
      </c>
      <c r="B580" t="s">
        <v>2872</v>
      </c>
      <c r="C580" t="s">
        <v>2873</v>
      </c>
      <c r="D580" t="s">
        <v>527</v>
      </c>
      <c r="E580" t="s">
        <v>87</v>
      </c>
      <c r="F580" s="75">
        <v>13</v>
      </c>
      <c r="G580" s="75">
        <v>290927</v>
      </c>
      <c r="H580">
        <v>2914.74</v>
      </c>
      <c r="I580" t="s">
        <v>114</v>
      </c>
      <c r="J580" s="75">
        <v>52957</v>
      </c>
      <c r="K580" t="s">
        <v>575</v>
      </c>
      <c r="L580" t="s">
        <v>576</v>
      </c>
      <c r="M580" s="81">
        <v>46078.302916666667</v>
      </c>
      <c r="N580" s="81">
        <v>46079.37636574074</v>
      </c>
      <c r="O580" t="s">
        <v>58</v>
      </c>
      <c r="P580" t="s">
        <v>59</v>
      </c>
      <c r="Q580" t="s">
        <v>77</v>
      </c>
      <c r="R580" t="s">
        <v>60</v>
      </c>
      <c r="S580" t="s">
        <v>583</v>
      </c>
      <c r="U580" s="75">
        <v>199481</v>
      </c>
      <c r="V580" t="s">
        <v>2874</v>
      </c>
      <c r="X580" t="s">
        <v>118</v>
      </c>
      <c r="Y580" t="s">
        <v>579</v>
      </c>
      <c r="AA580" t="s">
        <v>64</v>
      </c>
      <c r="AB580">
        <v>25.7</v>
      </c>
      <c r="AC580">
        <v>17</v>
      </c>
      <c r="AD580">
        <v>8.6999999999999993</v>
      </c>
      <c r="AE580">
        <v>3.1166670000000001</v>
      </c>
      <c r="AF580">
        <v>0</v>
      </c>
      <c r="AG580">
        <v>5.5833329999999997</v>
      </c>
      <c r="AH580">
        <v>5.5833329999999997</v>
      </c>
      <c r="AI580">
        <v>5.5</v>
      </c>
      <c r="AJ580">
        <v>8.3333000000000004E-2</v>
      </c>
      <c r="AK580">
        <v>0</v>
      </c>
      <c r="AL580" s="76">
        <v>45244</v>
      </c>
      <c r="AM580" s="75">
        <v>834</v>
      </c>
      <c r="AN580" t="s">
        <v>65</v>
      </c>
      <c r="AO580" t="s">
        <v>580</v>
      </c>
      <c r="AP580" t="s">
        <v>67</v>
      </c>
      <c r="AQ580" t="s">
        <v>121</v>
      </c>
      <c r="AR580" t="s">
        <v>69</v>
      </c>
      <c r="AS580" s="78"/>
      <c r="AT580" s="82" t="s">
        <v>2650</v>
      </c>
      <c r="AU580" s="78">
        <v>2026</v>
      </c>
      <c r="AV580" s="78">
        <v>2</v>
      </c>
      <c r="AW580" s="78" t="s">
        <v>347</v>
      </c>
      <c r="AX580" s="78">
        <v>1</v>
      </c>
      <c r="AY580" s="78">
        <v>0</v>
      </c>
      <c r="BT580" s="2" t="s">
        <v>347</v>
      </c>
      <c r="BU580" s="2">
        <v>1</v>
      </c>
      <c r="BV580" s="2">
        <v>0</v>
      </c>
    </row>
    <row r="581" spans="1:74" ht="15" customHeight="1" x14ac:dyDescent="0.25">
      <c r="A581" s="75">
        <v>5838407</v>
      </c>
      <c r="B581" t="s">
        <v>2875</v>
      </c>
      <c r="C581" t="s">
        <v>2876</v>
      </c>
      <c r="D581" t="s">
        <v>2379</v>
      </c>
      <c r="E581" t="s">
        <v>87</v>
      </c>
      <c r="F581" s="75">
        <v>347</v>
      </c>
      <c r="G581" s="75">
        <v>286711</v>
      </c>
      <c r="H581">
        <v>364.96</v>
      </c>
      <c r="I581" t="s">
        <v>55</v>
      </c>
      <c r="J581" s="75">
        <v>218787</v>
      </c>
      <c r="K581" t="s">
        <v>96</v>
      </c>
      <c r="L581" t="s">
        <v>97</v>
      </c>
      <c r="M581" s="81">
        <v>46076.375578703701</v>
      </c>
      <c r="N581" s="81">
        <v>46079.427210648151</v>
      </c>
      <c r="O581" t="s">
        <v>58</v>
      </c>
      <c r="P581" t="s">
        <v>59</v>
      </c>
      <c r="Q581" t="s">
        <v>90</v>
      </c>
      <c r="R581" t="s">
        <v>156</v>
      </c>
      <c r="S581" t="s">
        <v>1320</v>
      </c>
      <c r="U581" s="75">
        <v>197113</v>
      </c>
      <c r="V581" t="s">
        <v>2877</v>
      </c>
      <c r="W581" t="s">
        <v>2877</v>
      </c>
      <c r="X581" t="s">
        <v>62</v>
      </c>
      <c r="Y581" t="s">
        <v>63</v>
      </c>
      <c r="AA581" t="s">
        <v>416</v>
      </c>
      <c r="AB581">
        <v>73.183334000000002</v>
      </c>
      <c r="AC581">
        <v>53.75</v>
      </c>
      <c r="AD581">
        <v>19.433333999999999</v>
      </c>
      <c r="AE581">
        <v>0.68333299999999997</v>
      </c>
      <c r="AF581">
        <v>0</v>
      </c>
      <c r="AG581">
        <v>18.750001000000001</v>
      </c>
      <c r="AH581">
        <v>18.750001000000001</v>
      </c>
      <c r="AI581">
        <v>18.516667000000002</v>
      </c>
      <c r="AJ581">
        <v>0.23333400000000001</v>
      </c>
      <c r="AK581">
        <v>0</v>
      </c>
      <c r="AL581" s="76">
        <v>44922</v>
      </c>
      <c r="AM581" s="75">
        <v>1154</v>
      </c>
      <c r="AN581" t="s">
        <v>65</v>
      </c>
      <c r="AO581" t="s">
        <v>2878</v>
      </c>
      <c r="AP581" t="s">
        <v>67</v>
      </c>
      <c r="AQ581" t="s">
        <v>68</v>
      </c>
      <c r="AR581" t="s">
        <v>69</v>
      </c>
      <c r="AS581" s="79"/>
      <c r="AT581" s="82" t="s">
        <v>2650</v>
      </c>
      <c r="AU581" s="78">
        <v>2026</v>
      </c>
      <c r="AV581" s="78">
        <v>2</v>
      </c>
      <c r="AW581" s="78" t="s">
        <v>71</v>
      </c>
      <c r="AX581" s="78">
        <v>0</v>
      </c>
      <c r="AY581" s="78">
        <v>0</v>
      </c>
      <c r="BT581" s="3" t="s">
        <v>71</v>
      </c>
      <c r="BU581" s="3">
        <v>0</v>
      </c>
      <c r="BV581" s="3">
        <v>0</v>
      </c>
    </row>
    <row r="582" spans="1:74" ht="15" customHeight="1" x14ac:dyDescent="0.25">
      <c r="A582" s="75">
        <v>5841171</v>
      </c>
      <c r="B582" t="s">
        <v>2879</v>
      </c>
      <c r="C582" t="s">
        <v>2880</v>
      </c>
      <c r="D582" t="s">
        <v>2881</v>
      </c>
      <c r="E582" t="s">
        <v>54</v>
      </c>
      <c r="F582" s="75">
        <v>247</v>
      </c>
      <c r="G582" s="75">
        <v>47575</v>
      </c>
      <c r="H582">
        <v>1650</v>
      </c>
      <c r="I582" t="s">
        <v>114</v>
      </c>
      <c r="J582" s="75">
        <v>70991</v>
      </c>
      <c r="K582" t="s">
        <v>2397</v>
      </c>
      <c r="L582" t="s">
        <v>2398</v>
      </c>
      <c r="M582" s="81">
        <v>46076.944814814808</v>
      </c>
      <c r="N582" s="81">
        <v>46079.437858796293</v>
      </c>
      <c r="O582" t="s">
        <v>475</v>
      </c>
      <c r="P582" t="s">
        <v>59</v>
      </c>
      <c r="Q582" t="s">
        <v>90</v>
      </c>
      <c r="R582" t="s">
        <v>99</v>
      </c>
      <c r="S582" t="s">
        <v>1244</v>
      </c>
      <c r="U582" s="75">
        <v>197557</v>
      </c>
      <c r="V582" t="s">
        <v>2882</v>
      </c>
      <c r="X582" t="s">
        <v>79</v>
      </c>
      <c r="Y582" t="s">
        <v>224</v>
      </c>
      <c r="AA582" t="s">
        <v>81</v>
      </c>
      <c r="AB582">
        <v>59.766666999999998</v>
      </c>
      <c r="AC582">
        <v>58.266666999999998</v>
      </c>
      <c r="AD582">
        <v>1.5</v>
      </c>
      <c r="AE582">
        <v>0.86666699999999997</v>
      </c>
      <c r="AF582">
        <v>0</v>
      </c>
      <c r="AG582">
        <v>0.63333300000000003</v>
      </c>
      <c r="AH582">
        <v>0.63333300000000003</v>
      </c>
      <c r="AI582">
        <v>0.45</v>
      </c>
      <c r="AJ582">
        <v>0.183333</v>
      </c>
      <c r="AK582">
        <v>0</v>
      </c>
      <c r="AL582" s="76">
        <v>42977</v>
      </c>
      <c r="AM582" s="75">
        <v>3099</v>
      </c>
      <c r="AN582" t="s">
        <v>65</v>
      </c>
      <c r="AO582" t="s">
        <v>2401</v>
      </c>
      <c r="AP582" t="s">
        <v>67</v>
      </c>
      <c r="AQ582" t="s">
        <v>83</v>
      </c>
      <c r="AR582" t="s">
        <v>69</v>
      </c>
      <c r="AS582" s="78"/>
      <c r="AT582" s="82" t="s">
        <v>2650</v>
      </c>
      <c r="AU582" s="78">
        <v>2026</v>
      </c>
      <c r="AV582" s="78">
        <v>2</v>
      </c>
      <c r="AW582" s="78" t="s">
        <v>226</v>
      </c>
      <c r="AX582" s="78">
        <v>1</v>
      </c>
      <c r="AY582" s="78">
        <v>0</v>
      </c>
      <c r="BT582" s="2" t="s">
        <v>226</v>
      </c>
      <c r="BU582" s="2">
        <v>1</v>
      </c>
      <c r="BV582" s="2">
        <v>0</v>
      </c>
    </row>
    <row r="583" spans="1:74" ht="15" customHeight="1" x14ac:dyDescent="0.25">
      <c r="A583" s="75">
        <v>5839887</v>
      </c>
      <c r="B583" t="s">
        <v>2883</v>
      </c>
      <c r="C583" t="s">
        <v>2884</v>
      </c>
      <c r="D583" t="s">
        <v>2881</v>
      </c>
      <c r="E583" t="s">
        <v>54</v>
      </c>
      <c r="F583" s="75">
        <v>4</v>
      </c>
      <c r="G583" s="75">
        <v>252141</v>
      </c>
      <c r="H583">
        <v>1300</v>
      </c>
      <c r="I583" t="s">
        <v>55</v>
      </c>
      <c r="J583" s="75">
        <v>203737</v>
      </c>
      <c r="K583" t="s">
        <v>1730</v>
      </c>
      <c r="L583" t="s">
        <v>1731</v>
      </c>
      <c r="M583" s="81">
        <v>46076.655624999999</v>
      </c>
      <c r="N583" s="81">
        <v>46079.4455787037</v>
      </c>
      <c r="O583" t="s">
        <v>58</v>
      </c>
      <c r="P583" t="s">
        <v>59</v>
      </c>
      <c r="Q583" t="s">
        <v>130</v>
      </c>
      <c r="R583" t="s">
        <v>156</v>
      </c>
      <c r="S583" t="s">
        <v>1320</v>
      </c>
      <c r="U583" s="75">
        <v>197455</v>
      </c>
      <c r="V583" t="s">
        <v>2885</v>
      </c>
      <c r="X583" t="s">
        <v>79</v>
      </c>
      <c r="Y583" t="s">
        <v>80</v>
      </c>
      <c r="AA583" t="s">
        <v>416</v>
      </c>
      <c r="AB583">
        <v>66.833331999999999</v>
      </c>
      <c r="AC583">
        <v>51.633333</v>
      </c>
      <c r="AD583">
        <v>15.199999</v>
      </c>
      <c r="AE583">
        <v>0.35</v>
      </c>
      <c r="AF583">
        <v>0</v>
      </c>
      <c r="AG583">
        <v>14.849999</v>
      </c>
      <c r="AH583">
        <v>14.849999</v>
      </c>
      <c r="AI583">
        <v>13.999999000000001</v>
      </c>
      <c r="AJ583">
        <v>0.85</v>
      </c>
      <c r="AK583">
        <v>0</v>
      </c>
      <c r="AL583" s="76">
        <v>44754.382534722223</v>
      </c>
      <c r="AM583" s="75">
        <v>1322</v>
      </c>
      <c r="AN583" t="s">
        <v>65</v>
      </c>
      <c r="AO583" t="s">
        <v>2886</v>
      </c>
      <c r="AP583" t="s">
        <v>67</v>
      </c>
      <c r="AQ583" t="s">
        <v>83</v>
      </c>
      <c r="AR583" t="s">
        <v>69</v>
      </c>
      <c r="AS583" s="79"/>
      <c r="AT583" s="82" t="s">
        <v>2650</v>
      </c>
      <c r="AU583" s="78">
        <v>2026</v>
      </c>
      <c r="AV583" s="78">
        <v>2</v>
      </c>
      <c r="AW583" s="78" t="s">
        <v>84</v>
      </c>
      <c r="AX583" s="78">
        <v>0</v>
      </c>
      <c r="AY583" s="78">
        <v>0</v>
      </c>
      <c r="BT583" s="3" t="s">
        <v>84</v>
      </c>
      <c r="BU583" s="3">
        <v>0</v>
      </c>
      <c r="BV583" s="3">
        <v>0</v>
      </c>
    </row>
    <row r="584" spans="1:74" ht="15" customHeight="1" x14ac:dyDescent="0.25">
      <c r="A584" s="75">
        <v>5845383</v>
      </c>
      <c r="B584" t="s">
        <v>2887</v>
      </c>
      <c r="C584" t="s">
        <v>2888</v>
      </c>
      <c r="D584" t="s">
        <v>1388</v>
      </c>
      <c r="E584" t="s">
        <v>87</v>
      </c>
      <c r="F584" s="75">
        <v>1538</v>
      </c>
      <c r="G584" s="75">
        <v>348825</v>
      </c>
      <c r="H584">
        <v>650.6</v>
      </c>
      <c r="I584" t="s">
        <v>203</v>
      </c>
      <c r="J584" s="75">
        <v>6971</v>
      </c>
      <c r="K584" t="s">
        <v>369</v>
      </c>
      <c r="L584" t="s">
        <v>370</v>
      </c>
      <c r="M584" s="81">
        <v>46078.854560185187</v>
      </c>
      <c r="N584" s="81">
        <v>46079.448171296302</v>
      </c>
      <c r="O584" t="s">
        <v>58</v>
      </c>
      <c r="P584" t="s">
        <v>59</v>
      </c>
      <c r="Q584" t="s">
        <v>90</v>
      </c>
      <c r="R584" t="s">
        <v>99</v>
      </c>
      <c r="S584" t="s">
        <v>1244</v>
      </c>
      <c r="U584" s="75">
        <v>199431</v>
      </c>
      <c r="V584" t="s">
        <v>2889</v>
      </c>
      <c r="X584" t="s">
        <v>62</v>
      </c>
      <c r="Y584" t="s">
        <v>541</v>
      </c>
      <c r="AA584" t="s">
        <v>81</v>
      </c>
      <c r="AB584">
        <v>14.183332</v>
      </c>
      <c r="AC584">
        <v>12.133333</v>
      </c>
      <c r="AD584">
        <v>2.0499990000000001</v>
      </c>
      <c r="AE584">
        <v>0.6</v>
      </c>
      <c r="AF584">
        <v>0</v>
      </c>
      <c r="AG584">
        <v>1.449999</v>
      </c>
      <c r="AH584">
        <v>1.449999</v>
      </c>
      <c r="AI584">
        <v>1.2833330000000001</v>
      </c>
      <c r="AJ584">
        <v>0.16666600000000001</v>
      </c>
      <c r="AK584">
        <v>0</v>
      </c>
      <c r="AL584" s="76"/>
      <c r="AM584" s="75"/>
      <c r="AN584" t="s">
        <v>135</v>
      </c>
      <c r="AO584" t="s">
        <v>2890</v>
      </c>
      <c r="AP584" t="s">
        <v>67</v>
      </c>
      <c r="AQ584" t="s">
        <v>68</v>
      </c>
      <c r="AR584" t="s">
        <v>69</v>
      </c>
      <c r="AS584" s="78"/>
      <c r="AT584" s="82" t="s">
        <v>2650</v>
      </c>
      <c r="AU584" s="78">
        <v>2026</v>
      </c>
      <c r="AV584" s="78">
        <v>2</v>
      </c>
      <c r="AW584" s="78" t="s">
        <v>137</v>
      </c>
      <c r="AX584" s="78">
        <v>1</v>
      </c>
      <c r="AY584" s="78">
        <v>0</v>
      </c>
      <c r="BT584" s="2" t="s">
        <v>137</v>
      </c>
      <c r="BU584" s="2">
        <v>1</v>
      </c>
      <c r="BV584" s="2">
        <v>0</v>
      </c>
    </row>
    <row r="585" spans="1:74" ht="15" customHeight="1" x14ac:dyDescent="0.25">
      <c r="A585" s="75">
        <v>5843177</v>
      </c>
      <c r="B585" t="s">
        <v>2891</v>
      </c>
      <c r="C585" t="s">
        <v>2892</v>
      </c>
      <c r="D585" t="s">
        <v>1388</v>
      </c>
      <c r="E585" t="s">
        <v>87</v>
      </c>
      <c r="F585" s="75">
        <v>349</v>
      </c>
      <c r="G585" s="75">
        <v>286715</v>
      </c>
      <c r="H585">
        <v>364.96</v>
      </c>
      <c r="I585" t="s">
        <v>55</v>
      </c>
      <c r="J585" s="75">
        <v>218787</v>
      </c>
      <c r="K585" t="s">
        <v>96</v>
      </c>
      <c r="L585" t="s">
        <v>97</v>
      </c>
      <c r="M585" s="81">
        <v>46077.701921296299</v>
      </c>
      <c r="N585" s="81">
        <v>46079.489293981482</v>
      </c>
      <c r="O585" t="s">
        <v>58</v>
      </c>
      <c r="P585" t="s">
        <v>59</v>
      </c>
      <c r="Q585" t="s">
        <v>90</v>
      </c>
      <c r="R585" t="s">
        <v>60</v>
      </c>
      <c r="S585" t="s">
        <v>583</v>
      </c>
      <c r="U585" s="75">
        <v>198387</v>
      </c>
      <c r="V585" t="s">
        <v>2893</v>
      </c>
      <c r="W585" t="s">
        <v>2893</v>
      </c>
      <c r="X585" t="s">
        <v>62</v>
      </c>
      <c r="Y585" t="s">
        <v>63</v>
      </c>
      <c r="AA585" t="s">
        <v>101</v>
      </c>
      <c r="AB585">
        <v>42.800001000000002</v>
      </c>
      <c r="AC585">
        <v>33.466667000000001</v>
      </c>
      <c r="AD585">
        <v>9.3333340000000007</v>
      </c>
      <c r="AE585">
        <v>0.31666699999999998</v>
      </c>
      <c r="AF585">
        <v>0</v>
      </c>
      <c r="AG585">
        <v>9.016667</v>
      </c>
      <c r="AH585">
        <v>9.016667</v>
      </c>
      <c r="AI585">
        <v>8.4499999999999993</v>
      </c>
      <c r="AJ585">
        <v>0.56666700000000003</v>
      </c>
      <c r="AK585">
        <v>0</v>
      </c>
      <c r="AL585" s="76">
        <v>44932</v>
      </c>
      <c r="AM585" s="75">
        <v>1145</v>
      </c>
      <c r="AN585" t="s">
        <v>65</v>
      </c>
      <c r="AO585" t="s">
        <v>2894</v>
      </c>
      <c r="AP585" t="s">
        <v>67</v>
      </c>
      <c r="AQ585" t="s">
        <v>68</v>
      </c>
      <c r="AR585" t="s">
        <v>69</v>
      </c>
      <c r="AS585" s="79"/>
      <c r="AT585" s="82" t="s">
        <v>2650</v>
      </c>
      <c r="AU585" s="78">
        <v>2026</v>
      </c>
      <c r="AV585" s="78">
        <v>2</v>
      </c>
      <c r="AW585" s="78" t="s">
        <v>71</v>
      </c>
      <c r="AX585" s="78">
        <v>0</v>
      </c>
      <c r="AY585" s="78">
        <v>0</v>
      </c>
      <c r="BT585" s="3" t="s">
        <v>71</v>
      </c>
      <c r="BU585" s="3">
        <v>0</v>
      </c>
      <c r="BV585" s="3">
        <v>0</v>
      </c>
    </row>
    <row r="586" spans="1:74" ht="15" customHeight="1" x14ac:dyDescent="0.25">
      <c r="A586" s="75">
        <v>5844631</v>
      </c>
      <c r="B586" t="s">
        <v>2895</v>
      </c>
      <c r="C586" t="s">
        <v>2896</v>
      </c>
      <c r="D586" t="s">
        <v>1388</v>
      </c>
      <c r="E586" t="s">
        <v>87</v>
      </c>
      <c r="F586" s="75">
        <v>372</v>
      </c>
      <c r="G586" s="75">
        <v>286787</v>
      </c>
      <c r="H586">
        <v>364.96</v>
      </c>
      <c r="I586" t="s">
        <v>55</v>
      </c>
      <c r="J586" s="75">
        <v>218787</v>
      </c>
      <c r="K586" t="s">
        <v>96</v>
      </c>
      <c r="L586" t="s">
        <v>97</v>
      </c>
      <c r="M586" s="81">
        <v>46078.555995370371</v>
      </c>
      <c r="N586" s="81">
        <v>46079.490312499998</v>
      </c>
      <c r="O586" t="s">
        <v>58</v>
      </c>
      <c r="P586" t="s">
        <v>59</v>
      </c>
      <c r="Q586" t="s">
        <v>90</v>
      </c>
      <c r="R586" t="s">
        <v>131</v>
      </c>
      <c r="S586" t="s">
        <v>1273</v>
      </c>
      <c r="U586" s="75">
        <v>199163</v>
      </c>
      <c r="V586" t="s">
        <v>2897</v>
      </c>
      <c r="W586" t="s">
        <v>2897</v>
      </c>
      <c r="X586" t="s">
        <v>62</v>
      </c>
      <c r="Y586" t="s">
        <v>63</v>
      </c>
      <c r="AA586" t="s">
        <v>64</v>
      </c>
      <c r="AB586">
        <v>22.366667</v>
      </c>
      <c r="AC586">
        <v>17.600000000000001</v>
      </c>
      <c r="AD586">
        <v>4.766667</v>
      </c>
      <c r="AE586">
        <v>8.3333000000000004E-2</v>
      </c>
      <c r="AF586">
        <v>0</v>
      </c>
      <c r="AG586">
        <v>4.6833340000000003</v>
      </c>
      <c r="AH586">
        <v>4.6833340000000003</v>
      </c>
      <c r="AI586">
        <v>4.266667</v>
      </c>
      <c r="AJ586">
        <v>0.41666700000000001</v>
      </c>
      <c r="AK586">
        <v>0</v>
      </c>
      <c r="AL586" s="76">
        <v>44973</v>
      </c>
      <c r="AM586" s="75">
        <v>1105</v>
      </c>
      <c r="AN586" t="s">
        <v>65</v>
      </c>
      <c r="AO586" t="s">
        <v>2898</v>
      </c>
      <c r="AP586" t="s">
        <v>67</v>
      </c>
      <c r="AQ586" t="s">
        <v>68</v>
      </c>
      <c r="AR586" t="s">
        <v>69</v>
      </c>
      <c r="AS586" s="78"/>
      <c r="AT586" s="82" t="s">
        <v>2650</v>
      </c>
      <c r="AU586" s="78">
        <v>2026</v>
      </c>
      <c r="AV586" s="78">
        <v>2</v>
      </c>
      <c r="AW586" s="78" t="s">
        <v>71</v>
      </c>
      <c r="AX586" s="78">
        <v>1</v>
      </c>
      <c r="AY586" s="78">
        <v>0</v>
      </c>
      <c r="BT586" s="2" t="s">
        <v>71</v>
      </c>
      <c r="BU586" s="2">
        <v>1</v>
      </c>
      <c r="BV586" s="2">
        <v>0</v>
      </c>
    </row>
    <row r="587" spans="1:74" ht="15" customHeight="1" x14ac:dyDescent="0.25">
      <c r="A587" s="75">
        <v>5835073</v>
      </c>
      <c r="B587" t="s">
        <v>2899</v>
      </c>
      <c r="C587" t="s">
        <v>2900</v>
      </c>
      <c r="D587" t="s">
        <v>1388</v>
      </c>
      <c r="E587" t="s">
        <v>87</v>
      </c>
      <c r="F587" s="75">
        <v>48</v>
      </c>
      <c r="G587" s="75">
        <v>275283</v>
      </c>
      <c r="H587">
        <v>650</v>
      </c>
      <c r="I587" t="s">
        <v>55</v>
      </c>
      <c r="J587" s="75">
        <v>218791</v>
      </c>
      <c r="K587" t="s">
        <v>312</v>
      </c>
      <c r="L587" t="s">
        <v>313</v>
      </c>
      <c r="M587" s="81">
        <v>46073.44494212963</v>
      </c>
      <c r="N587" s="81">
        <v>46079.490810185183</v>
      </c>
      <c r="O587" t="s">
        <v>58</v>
      </c>
      <c r="P587" t="s">
        <v>59</v>
      </c>
      <c r="Q587" t="s">
        <v>98</v>
      </c>
      <c r="R587" t="s">
        <v>60</v>
      </c>
      <c r="S587" t="s">
        <v>583</v>
      </c>
      <c r="U587" s="75">
        <v>198525</v>
      </c>
      <c r="V587" t="s">
        <v>2901</v>
      </c>
      <c r="W587" t="s">
        <v>2902</v>
      </c>
      <c r="X587" t="s">
        <v>62</v>
      </c>
      <c r="Y587" t="s">
        <v>63</v>
      </c>
      <c r="AA587" t="s">
        <v>64</v>
      </c>
      <c r="AB587">
        <v>144.98333299999999</v>
      </c>
      <c r="AC587">
        <v>137.69999999999999</v>
      </c>
      <c r="AD587">
        <v>7.2833329999999998</v>
      </c>
      <c r="AE587">
        <v>0.98333300000000001</v>
      </c>
      <c r="AF587">
        <v>0</v>
      </c>
      <c r="AG587">
        <v>6.3</v>
      </c>
      <c r="AH587">
        <v>6.3</v>
      </c>
      <c r="AI587">
        <v>5.3666669999999996</v>
      </c>
      <c r="AJ587">
        <v>0.93333299999999997</v>
      </c>
      <c r="AK587">
        <v>0</v>
      </c>
      <c r="AL587" s="76">
        <v>44839.755671296298</v>
      </c>
      <c r="AM587" s="75">
        <v>1233</v>
      </c>
      <c r="AN587" t="s">
        <v>65</v>
      </c>
      <c r="AO587" t="s">
        <v>1668</v>
      </c>
      <c r="AP587" t="s">
        <v>67</v>
      </c>
      <c r="AQ587" t="s">
        <v>68</v>
      </c>
      <c r="AR587" t="s">
        <v>69</v>
      </c>
      <c r="AS587" s="79"/>
      <c r="AT587" s="82" t="s">
        <v>2650</v>
      </c>
      <c r="AU587" s="78">
        <v>2026</v>
      </c>
      <c r="AV587" s="78">
        <v>2</v>
      </c>
      <c r="AW587" s="78" t="s">
        <v>71</v>
      </c>
      <c r="AX587" s="78">
        <v>1</v>
      </c>
      <c r="AY587" s="78">
        <v>0</v>
      </c>
      <c r="BT587" s="3" t="s">
        <v>71</v>
      </c>
      <c r="BU587" s="3">
        <v>1</v>
      </c>
      <c r="BV587" s="3">
        <v>0</v>
      </c>
    </row>
    <row r="588" spans="1:74" ht="15" customHeight="1" x14ac:dyDescent="0.25">
      <c r="A588" s="75">
        <v>5843963</v>
      </c>
      <c r="B588" t="s">
        <v>2903</v>
      </c>
      <c r="C588" t="s">
        <v>493</v>
      </c>
      <c r="D588" t="s">
        <v>2379</v>
      </c>
      <c r="E588" t="s">
        <v>87</v>
      </c>
      <c r="F588" s="75">
        <v>15</v>
      </c>
      <c r="G588" s="75">
        <v>279857</v>
      </c>
      <c r="H588">
        <v>616.59</v>
      </c>
      <c r="I588" t="s">
        <v>266</v>
      </c>
      <c r="J588" s="75">
        <v>49495</v>
      </c>
      <c r="K588" t="s">
        <v>460</v>
      </c>
      <c r="L588" t="s">
        <v>461</v>
      </c>
      <c r="M588" s="81">
        <v>46078.3753125</v>
      </c>
      <c r="N588" s="81">
        <v>46079.492002314822</v>
      </c>
      <c r="O588" t="s">
        <v>58</v>
      </c>
      <c r="P588" t="s">
        <v>59</v>
      </c>
      <c r="Q588" t="s">
        <v>90</v>
      </c>
      <c r="R588" t="s">
        <v>99</v>
      </c>
      <c r="S588" t="s">
        <v>1244</v>
      </c>
      <c r="T588" t="s">
        <v>494</v>
      </c>
      <c r="U588" s="75">
        <v>199081</v>
      </c>
      <c r="V588" t="s">
        <v>2904</v>
      </c>
      <c r="X588" t="s">
        <v>62</v>
      </c>
      <c r="Y588" t="s">
        <v>496</v>
      </c>
      <c r="AA588" t="s">
        <v>64</v>
      </c>
      <c r="AB588">
        <v>26.716667999999999</v>
      </c>
      <c r="AC588">
        <v>20.45</v>
      </c>
      <c r="AD588">
        <v>6.2666680000000001</v>
      </c>
      <c r="AE588">
        <v>0.9</v>
      </c>
      <c r="AF588">
        <v>0</v>
      </c>
      <c r="AG588">
        <v>5.3666679999999998</v>
      </c>
      <c r="AH588">
        <v>5.3666679999999998</v>
      </c>
      <c r="AI588">
        <v>4.6833340000000003</v>
      </c>
      <c r="AJ588">
        <v>0.683334</v>
      </c>
      <c r="AK588">
        <v>0</v>
      </c>
      <c r="AL588" s="76">
        <v>44705</v>
      </c>
      <c r="AM588" s="75">
        <v>1373</v>
      </c>
      <c r="AN588" t="s">
        <v>65</v>
      </c>
      <c r="AO588" t="s">
        <v>497</v>
      </c>
      <c r="AP588" t="s">
        <v>67</v>
      </c>
      <c r="AQ588" t="s">
        <v>68</v>
      </c>
      <c r="AR588" t="s">
        <v>69</v>
      </c>
      <c r="AS588" s="78"/>
      <c r="AT588" s="82" t="s">
        <v>2650</v>
      </c>
      <c r="AU588" s="78">
        <v>2026</v>
      </c>
      <c r="AV588" s="78">
        <v>2</v>
      </c>
      <c r="AW588" s="78" t="s">
        <v>137</v>
      </c>
      <c r="AX588" s="78">
        <v>1</v>
      </c>
      <c r="AY588" s="78">
        <v>0</v>
      </c>
      <c r="BT588" s="2" t="s">
        <v>137</v>
      </c>
      <c r="BU588" s="2">
        <v>1</v>
      </c>
      <c r="BV588" s="2">
        <v>0</v>
      </c>
    </row>
    <row r="589" spans="1:74" ht="15" customHeight="1" x14ac:dyDescent="0.25">
      <c r="A589" s="75">
        <v>5843933</v>
      </c>
      <c r="B589" t="s">
        <v>2905</v>
      </c>
      <c r="C589" t="s">
        <v>2906</v>
      </c>
      <c r="D589" t="s">
        <v>162</v>
      </c>
      <c r="E589" t="s">
        <v>54</v>
      </c>
      <c r="F589" s="75">
        <v>594</v>
      </c>
      <c r="G589" s="75">
        <v>110287</v>
      </c>
      <c r="H589">
        <v>304.88</v>
      </c>
      <c r="I589" t="s">
        <v>114</v>
      </c>
      <c r="J589" s="75">
        <v>6421</v>
      </c>
      <c r="K589" t="s">
        <v>291</v>
      </c>
      <c r="L589" t="s">
        <v>292</v>
      </c>
      <c r="M589" s="81">
        <v>46078.368541666663</v>
      </c>
      <c r="N589" s="81">
        <v>46079.505150462966</v>
      </c>
      <c r="O589" t="s">
        <v>58</v>
      </c>
      <c r="P589" t="s">
        <v>59</v>
      </c>
      <c r="Q589" t="s">
        <v>90</v>
      </c>
      <c r="R589" t="s">
        <v>156</v>
      </c>
      <c r="S589" t="s">
        <v>1320</v>
      </c>
      <c r="U589" s="75">
        <v>199421</v>
      </c>
      <c r="V589" t="s">
        <v>2907</v>
      </c>
      <c r="W589" t="s">
        <v>2907</v>
      </c>
      <c r="X589" t="s">
        <v>79</v>
      </c>
      <c r="Y589" t="s">
        <v>224</v>
      </c>
      <c r="AA589" t="s">
        <v>416</v>
      </c>
      <c r="AB589">
        <v>27.183332</v>
      </c>
      <c r="AC589">
        <v>3.966666</v>
      </c>
      <c r="AD589">
        <v>23.216666</v>
      </c>
      <c r="AE589">
        <v>10.95</v>
      </c>
      <c r="AF589">
        <v>0</v>
      </c>
      <c r="AG589">
        <v>12.266666000000001</v>
      </c>
      <c r="AH589">
        <v>12.266666000000001</v>
      </c>
      <c r="AI589">
        <v>11.833333</v>
      </c>
      <c r="AJ589">
        <v>0.43333300000000002</v>
      </c>
      <c r="AK589">
        <v>0</v>
      </c>
      <c r="AL589" s="76">
        <v>43613.750416666669</v>
      </c>
      <c r="AM589" s="75">
        <v>2464</v>
      </c>
      <c r="AN589" t="s">
        <v>65</v>
      </c>
      <c r="AO589" t="s">
        <v>2908</v>
      </c>
      <c r="AP589" t="s">
        <v>67</v>
      </c>
      <c r="AQ589" t="s">
        <v>83</v>
      </c>
      <c r="AR589" t="s">
        <v>69</v>
      </c>
      <c r="AS589" s="79"/>
      <c r="AT589" s="82" t="s">
        <v>2650</v>
      </c>
      <c r="AU589" s="78">
        <v>2026</v>
      </c>
      <c r="AV589" s="78">
        <v>2</v>
      </c>
      <c r="AW589" s="78" t="s">
        <v>226</v>
      </c>
      <c r="AX589" s="78">
        <v>0</v>
      </c>
      <c r="AY589" s="78">
        <v>0</v>
      </c>
      <c r="BT589" s="3" t="s">
        <v>226</v>
      </c>
      <c r="BU589" s="3">
        <v>0</v>
      </c>
      <c r="BV589" s="3">
        <v>0</v>
      </c>
    </row>
    <row r="590" spans="1:74" ht="15" customHeight="1" x14ac:dyDescent="0.25">
      <c r="A590" s="75">
        <v>5845395</v>
      </c>
      <c r="B590" t="s">
        <v>2909</v>
      </c>
      <c r="C590" t="s">
        <v>2910</v>
      </c>
      <c r="D590" t="s">
        <v>956</v>
      </c>
      <c r="E590" t="s">
        <v>126</v>
      </c>
      <c r="F590" s="75">
        <v>10</v>
      </c>
      <c r="G590" s="75">
        <v>256093</v>
      </c>
      <c r="H590">
        <v>3300</v>
      </c>
      <c r="I590" t="s">
        <v>2911</v>
      </c>
      <c r="J590" s="75">
        <v>40815</v>
      </c>
      <c r="K590" t="s">
        <v>747</v>
      </c>
      <c r="L590" t="s">
        <v>748</v>
      </c>
      <c r="M590" s="81">
        <v>46078.879594907397</v>
      </c>
      <c r="N590" s="81">
        <v>46079.574699074074</v>
      </c>
      <c r="O590" t="s">
        <v>58</v>
      </c>
      <c r="P590" t="s">
        <v>59</v>
      </c>
      <c r="Q590" t="s">
        <v>130</v>
      </c>
      <c r="R590" t="s">
        <v>99</v>
      </c>
      <c r="S590" t="s">
        <v>1244</v>
      </c>
      <c r="U590" s="75">
        <v>199433</v>
      </c>
      <c r="V590" t="s">
        <v>2912</v>
      </c>
      <c r="X590" t="s">
        <v>118</v>
      </c>
      <c r="Y590" t="s">
        <v>1203</v>
      </c>
      <c r="AA590" t="s">
        <v>416</v>
      </c>
      <c r="AB590">
        <v>16.549999</v>
      </c>
      <c r="AC590">
        <v>1.5333330000000001</v>
      </c>
      <c r="AD590">
        <v>15.016666000000001</v>
      </c>
      <c r="AE590">
        <v>2.1333329999999999</v>
      </c>
      <c r="AF590">
        <v>0</v>
      </c>
      <c r="AG590">
        <v>12.883333</v>
      </c>
      <c r="AH590">
        <v>12.883333</v>
      </c>
      <c r="AI590">
        <v>11.65</v>
      </c>
      <c r="AJ590">
        <v>1.233333</v>
      </c>
      <c r="AK590">
        <v>0.5</v>
      </c>
      <c r="AL590" s="76">
        <v>44844.737893518519</v>
      </c>
      <c r="AM590" s="75">
        <v>1234</v>
      </c>
      <c r="AN590" t="s">
        <v>65</v>
      </c>
      <c r="AO590" t="s">
        <v>2913</v>
      </c>
      <c r="AP590" t="s">
        <v>67</v>
      </c>
      <c r="AQ590" t="s">
        <v>121</v>
      </c>
      <c r="AR590" t="s">
        <v>69</v>
      </c>
      <c r="AS590" s="78"/>
      <c r="AT590" s="82" t="s">
        <v>2650</v>
      </c>
      <c r="AU590" s="78">
        <v>2026</v>
      </c>
      <c r="AV590" s="78">
        <v>2</v>
      </c>
      <c r="AW590" s="78" t="s">
        <v>347</v>
      </c>
      <c r="AX590" s="78">
        <v>0</v>
      </c>
      <c r="AY590" s="78">
        <v>0</v>
      </c>
      <c r="BT590" s="2" t="s">
        <v>347</v>
      </c>
      <c r="BU590" s="2">
        <v>0</v>
      </c>
      <c r="BV590" s="2">
        <v>0</v>
      </c>
    </row>
    <row r="591" spans="1:74" ht="15" customHeight="1" x14ac:dyDescent="0.25">
      <c r="A591" s="75">
        <v>5834211</v>
      </c>
      <c r="B591" t="s">
        <v>2914</v>
      </c>
      <c r="C591" t="s">
        <v>2915</v>
      </c>
      <c r="D591" t="s">
        <v>2379</v>
      </c>
      <c r="E591" t="s">
        <v>54</v>
      </c>
      <c r="F591" s="75">
        <v>1</v>
      </c>
      <c r="G591" s="75">
        <v>333435</v>
      </c>
      <c r="H591">
        <v>800</v>
      </c>
      <c r="I591" t="s">
        <v>141</v>
      </c>
      <c r="J591" s="75">
        <v>225239</v>
      </c>
      <c r="K591" t="s">
        <v>1009</v>
      </c>
      <c r="L591" t="s">
        <v>1010</v>
      </c>
      <c r="M591" s="81">
        <v>46072.897361111107</v>
      </c>
      <c r="N591" s="81">
        <v>46079.58766203704</v>
      </c>
      <c r="O591" t="s">
        <v>58</v>
      </c>
      <c r="P591" t="s">
        <v>59</v>
      </c>
      <c r="R591" t="s">
        <v>156</v>
      </c>
      <c r="S591" t="s">
        <v>1320</v>
      </c>
      <c r="U591" s="75">
        <v>198521</v>
      </c>
      <c r="V591" t="s">
        <v>2916</v>
      </c>
      <c r="W591" t="s">
        <v>2917</v>
      </c>
      <c r="X591" t="s">
        <v>62</v>
      </c>
      <c r="Y591" t="s">
        <v>63</v>
      </c>
      <c r="AA591" t="s">
        <v>101</v>
      </c>
      <c r="AB591">
        <v>160.45000099999999</v>
      </c>
      <c r="AC591">
        <v>38.333334000000001</v>
      </c>
      <c r="AD591">
        <v>122.11666700000001</v>
      </c>
      <c r="AE591">
        <v>111.45</v>
      </c>
      <c r="AF591">
        <v>0</v>
      </c>
      <c r="AG591">
        <v>10.666667</v>
      </c>
      <c r="AH591">
        <v>10.666667</v>
      </c>
      <c r="AI591">
        <v>10.433334</v>
      </c>
      <c r="AJ591">
        <v>0.23333300000000001</v>
      </c>
      <c r="AK591">
        <v>0</v>
      </c>
      <c r="AL591" s="76">
        <v>45784.642500000002</v>
      </c>
      <c r="AM591" s="75">
        <v>288</v>
      </c>
      <c r="AN591" t="s">
        <v>65</v>
      </c>
      <c r="AO591" t="s">
        <v>1012</v>
      </c>
      <c r="AP591" t="s">
        <v>67</v>
      </c>
      <c r="AQ591" t="s">
        <v>68</v>
      </c>
      <c r="AR591" t="s">
        <v>69</v>
      </c>
      <c r="AS591" s="79"/>
      <c r="AT591" s="82" t="s">
        <v>2650</v>
      </c>
      <c r="AU591" s="78">
        <v>2026</v>
      </c>
      <c r="AV591" s="78">
        <v>2</v>
      </c>
      <c r="AW591" s="78" t="s">
        <v>71</v>
      </c>
      <c r="AX591" s="78">
        <v>0</v>
      </c>
      <c r="AY591" s="78">
        <v>0</v>
      </c>
      <c r="BT591" s="3" t="s">
        <v>71</v>
      </c>
      <c r="BU591" s="3">
        <v>0</v>
      </c>
      <c r="BV591" s="3">
        <v>0</v>
      </c>
    </row>
    <row r="592" spans="1:74" ht="15" customHeight="1" x14ac:dyDescent="0.25">
      <c r="A592" s="75">
        <v>5842417</v>
      </c>
      <c r="B592" t="s">
        <v>2918</v>
      </c>
      <c r="C592" t="s">
        <v>452</v>
      </c>
      <c r="D592" t="s">
        <v>2379</v>
      </c>
      <c r="E592" t="s">
        <v>54</v>
      </c>
      <c r="F592" s="75">
        <v>1</v>
      </c>
      <c r="G592" s="75">
        <v>331211</v>
      </c>
      <c r="H592">
        <v>800</v>
      </c>
      <c r="I592" t="s">
        <v>141</v>
      </c>
      <c r="J592" s="75">
        <v>225435</v>
      </c>
      <c r="K592" t="s">
        <v>453</v>
      </c>
      <c r="L592" t="s">
        <v>454</v>
      </c>
      <c r="M592" s="81">
        <v>46077.500509259262</v>
      </c>
      <c r="N592" s="81">
        <v>46079.588518518518</v>
      </c>
      <c r="O592" t="s">
        <v>58</v>
      </c>
      <c r="P592" t="s">
        <v>59</v>
      </c>
      <c r="Q592" t="s">
        <v>77</v>
      </c>
      <c r="R592" t="s">
        <v>156</v>
      </c>
      <c r="S592" t="s">
        <v>1320</v>
      </c>
      <c r="U592" s="75">
        <v>198121</v>
      </c>
      <c r="V592" t="s">
        <v>2919</v>
      </c>
      <c r="W592" t="s">
        <v>2920</v>
      </c>
      <c r="X592" t="s">
        <v>62</v>
      </c>
      <c r="Y592" t="s">
        <v>63</v>
      </c>
      <c r="AA592" t="s">
        <v>101</v>
      </c>
      <c r="AB592">
        <v>50.050001000000002</v>
      </c>
      <c r="AC592">
        <v>38.333333000000003</v>
      </c>
      <c r="AD592">
        <v>11.716668</v>
      </c>
      <c r="AE592">
        <v>0.15</v>
      </c>
      <c r="AF592">
        <v>0</v>
      </c>
      <c r="AG592">
        <v>11.566668</v>
      </c>
      <c r="AH592">
        <v>11.566668</v>
      </c>
      <c r="AI592">
        <v>11.200001</v>
      </c>
      <c r="AJ592">
        <v>0.36666700000000002</v>
      </c>
      <c r="AK592">
        <v>0</v>
      </c>
      <c r="AL592" s="76">
        <v>45796.459490740737</v>
      </c>
      <c r="AM592" s="75">
        <v>281</v>
      </c>
      <c r="AN592" t="s">
        <v>65</v>
      </c>
      <c r="AO592" t="s">
        <v>457</v>
      </c>
      <c r="AP592" t="s">
        <v>67</v>
      </c>
      <c r="AQ592" t="s">
        <v>68</v>
      </c>
      <c r="AR592" t="s">
        <v>69</v>
      </c>
      <c r="AS592" s="78"/>
      <c r="AT592" s="82" t="s">
        <v>2650</v>
      </c>
      <c r="AU592" s="78">
        <v>2026</v>
      </c>
      <c r="AV592" s="78">
        <v>2</v>
      </c>
      <c r="AW592" s="78" t="s">
        <v>71</v>
      </c>
      <c r="AX592" s="78">
        <v>0</v>
      </c>
      <c r="AY592" s="78">
        <v>0</v>
      </c>
      <c r="BT592" s="2" t="s">
        <v>71</v>
      </c>
      <c r="BU592" s="2">
        <v>0</v>
      </c>
      <c r="BV592" s="2">
        <v>0</v>
      </c>
    </row>
    <row r="593" spans="1:74" ht="15" customHeight="1" x14ac:dyDescent="0.25">
      <c r="A593" s="75">
        <v>5845755</v>
      </c>
      <c r="B593" t="s">
        <v>2921</v>
      </c>
      <c r="C593" t="s">
        <v>2922</v>
      </c>
      <c r="D593" t="s">
        <v>1555</v>
      </c>
      <c r="E593" t="s">
        <v>87</v>
      </c>
      <c r="F593" s="75">
        <v>1608</v>
      </c>
      <c r="G593" s="75">
        <v>349687</v>
      </c>
      <c r="H593">
        <v>334.78</v>
      </c>
      <c r="I593" t="s">
        <v>203</v>
      </c>
      <c r="J593" s="75">
        <v>6971</v>
      </c>
      <c r="K593" t="s">
        <v>369</v>
      </c>
      <c r="L593" t="s">
        <v>370</v>
      </c>
      <c r="M593" s="81">
        <v>46079.371180555558</v>
      </c>
      <c r="N593" s="81">
        <v>46079.621874999997</v>
      </c>
      <c r="O593" t="s">
        <v>58</v>
      </c>
      <c r="P593" t="s">
        <v>59</v>
      </c>
      <c r="Q593" t="s">
        <v>77</v>
      </c>
      <c r="R593" t="s">
        <v>60</v>
      </c>
      <c r="S593" t="s">
        <v>1543</v>
      </c>
      <c r="U593" s="75">
        <v>199767</v>
      </c>
      <c r="V593" t="s">
        <v>2923</v>
      </c>
      <c r="W593" t="s">
        <v>2923</v>
      </c>
      <c r="X593" t="s">
        <v>79</v>
      </c>
      <c r="Y593" t="s">
        <v>224</v>
      </c>
      <c r="AA593" t="s">
        <v>64</v>
      </c>
      <c r="AB593">
        <v>5.9666649999999999</v>
      </c>
      <c r="AC593">
        <v>1.0833330000000001</v>
      </c>
      <c r="AD593">
        <v>4.8833320000000002</v>
      </c>
      <c r="AE593">
        <v>0.11666600000000001</v>
      </c>
      <c r="AF593">
        <v>0</v>
      </c>
      <c r="AG593">
        <v>4.7666659999999998</v>
      </c>
      <c r="AH593">
        <v>4.7666659999999998</v>
      </c>
      <c r="AI593">
        <v>4.5833329999999997</v>
      </c>
      <c r="AJ593">
        <v>0.183333</v>
      </c>
      <c r="AK593">
        <v>0</v>
      </c>
      <c r="AL593" s="76">
        <v>46149</v>
      </c>
      <c r="AM593" s="75">
        <v>-69</v>
      </c>
      <c r="AN593" t="s">
        <v>1436</v>
      </c>
      <c r="AO593" t="s">
        <v>2924</v>
      </c>
      <c r="AP593" t="s">
        <v>67</v>
      </c>
      <c r="AQ593" t="s">
        <v>83</v>
      </c>
      <c r="AR593" t="s">
        <v>69</v>
      </c>
      <c r="AS593" s="79"/>
      <c r="AT593" s="82" t="s">
        <v>2650</v>
      </c>
      <c r="AU593" s="78">
        <v>2026</v>
      </c>
      <c r="AV593" s="78">
        <v>2</v>
      </c>
      <c r="AW593" s="78" t="s">
        <v>226</v>
      </c>
      <c r="AX593" s="78">
        <v>1</v>
      </c>
      <c r="AY593" s="78">
        <v>0</v>
      </c>
      <c r="BT593" s="3" t="s">
        <v>226</v>
      </c>
      <c r="BU593" s="3">
        <v>1</v>
      </c>
      <c r="BV593" s="3">
        <v>0</v>
      </c>
    </row>
    <row r="594" spans="1:74" ht="15" customHeight="1" x14ac:dyDescent="0.25">
      <c r="A594" s="75">
        <v>5845165</v>
      </c>
      <c r="B594" t="s">
        <v>2925</v>
      </c>
      <c r="C594" t="s">
        <v>2434</v>
      </c>
      <c r="D594" t="s">
        <v>809</v>
      </c>
      <c r="E594" t="s">
        <v>54</v>
      </c>
      <c r="F594" s="75">
        <v>1</v>
      </c>
      <c r="G594" s="75">
        <v>301545</v>
      </c>
      <c r="H594">
        <v>0.01</v>
      </c>
      <c r="I594" t="s">
        <v>55</v>
      </c>
      <c r="J594" s="75">
        <v>219553</v>
      </c>
      <c r="K594" t="s">
        <v>1962</v>
      </c>
      <c r="L594" t="s">
        <v>1963</v>
      </c>
      <c r="M594" s="81">
        <v>46078.71565972222</v>
      </c>
      <c r="N594" s="81">
        <v>46079.684803240743</v>
      </c>
      <c r="O594" t="s">
        <v>391</v>
      </c>
      <c r="P594" t="s">
        <v>59</v>
      </c>
      <c r="Q594" t="s">
        <v>90</v>
      </c>
      <c r="R594" t="s">
        <v>60</v>
      </c>
      <c r="S594" t="s">
        <v>1268</v>
      </c>
      <c r="U594" s="75">
        <v>199493</v>
      </c>
      <c r="V594" t="s">
        <v>2926</v>
      </c>
      <c r="W594" t="s">
        <v>2927</v>
      </c>
      <c r="X594" t="s">
        <v>62</v>
      </c>
      <c r="Y594" t="s">
        <v>271</v>
      </c>
      <c r="AA594" t="s">
        <v>101</v>
      </c>
      <c r="AB594">
        <v>23.149999000000001</v>
      </c>
      <c r="AC594">
        <v>13.9</v>
      </c>
      <c r="AD594">
        <v>9.2499990000000007</v>
      </c>
      <c r="AE594">
        <v>1.2</v>
      </c>
      <c r="AF594">
        <v>0</v>
      </c>
      <c r="AG594">
        <v>8.0499989999999997</v>
      </c>
      <c r="AH594">
        <v>8.0499989999999997</v>
      </c>
      <c r="AI594">
        <v>7.3666660000000004</v>
      </c>
      <c r="AJ594">
        <v>0.68333299999999997</v>
      </c>
      <c r="AK594">
        <v>0</v>
      </c>
      <c r="AL594" s="76">
        <v>45379</v>
      </c>
      <c r="AM594" s="75">
        <v>699</v>
      </c>
      <c r="AN594" t="s">
        <v>65</v>
      </c>
      <c r="AO594" t="s">
        <v>1966</v>
      </c>
      <c r="AP594" t="s">
        <v>67</v>
      </c>
      <c r="AQ594" t="s">
        <v>68</v>
      </c>
      <c r="AR594" t="s">
        <v>69</v>
      </c>
      <c r="AS594" s="78"/>
      <c r="AT594" s="82" t="s">
        <v>2650</v>
      </c>
      <c r="AU594" s="78">
        <v>2026</v>
      </c>
      <c r="AV594" s="78">
        <v>2</v>
      </c>
      <c r="AW594" s="78" t="s">
        <v>137</v>
      </c>
      <c r="AX594" s="78">
        <v>0</v>
      </c>
      <c r="AY594" s="78">
        <v>0</v>
      </c>
      <c r="BT594" s="2" t="s">
        <v>137</v>
      </c>
      <c r="BU594" s="2">
        <v>0</v>
      </c>
      <c r="BV594" s="2">
        <v>0</v>
      </c>
    </row>
    <row r="595" spans="1:74" ht="15" customHeight="1" x14ac:dyDescent="0.25">
      <c r="A595" s="75">
        <v>5843239</v>
      </c>
      <c r="B595" t="s">
        <v>2928</v>
      </c>
      <c r="C595" t="s">
        <v>2929</v>
      </c>
      <c r="D595" t="s">
        <v>527</v>
      </c>
      <c r="E595" t="s">
        <v>87</v>
      </c>
      <c r="F595" s="75">
        <v>457</v>
      </c>
      <c r="G595" s="75">
        <v>288665</v>
      </c>
      <c r="H595">
        <v>616.59</v>
      </c>
      <c r="I595" t="s">
        <v>55</v>
      </c>
      <c r="J595" s="75">
        <v>49495</v>
      </c>
      <c r="K595" t="s">
        <v>460</v>
      </c>
      <c r="L595" t="s">
        <v>461</v>
      </c>
      <c r="M595" s="81">
        <v>46077.729722222219</v>
      </c>
      <c r="N595" s="81">
        <v>46080.380590277768</v>
      </c>
      <c r="O595" t="s">
        <v>58</v>
      </c>
      <c r="P595" t="s">
        <v>59</v>
      </c>
      <c r="Q595" t="s">
        <v>90</v>
      </c>
      <c r="R595" t="s">
        <v>60</v>
      </c>
      <c r="S595" t="s">
        <v>583</v>
      </c>
      <c r="U595" s="75">
        <v>199477</v>
      </c>
      <c r="V595" t="s">
        <v>2930</v>
      </c>
      <c r="W595" t="s">
        <v>2931</v>
      </c>
      <c r="X595" t="s">
        <v>62</v>
      </c>
      <c r="Y595" t="s">
        <v>63</v>
      </c>
      <c r="AA595" t="s">
        <v>416</v>
      </c>
      <c r="AB595">
        <v>63.533334000000004</v>
      </c>
      <c r="AC595">
        <v>48.799999</v>
      </c>
      <c r="AD595">
        <v>14.733335</v>
      </c>
      <c r="AE595">
        <v>0.13333400000000001</v>
      </c>
      <c r="AF595">
        <v>0</v>
      </c>
      <c r="AG595">
        <v>14.600001000000001</v>
      </c>
      <c r="AH595">
        <v>14.600001000000001</v>
      </c>
      <c r="AI595">
        <v>13.816667000000001</v>
      </c>
      <c r="AJ595">
        <v>0.78333399999999997</v>
      </c>
      <c r="AK595">
        <v>0</v>
      </c>
      <c r="AL595" s="76">
        <v>45028.484351851846</v>
      </c>
      <c r="AM595" s="75">
        <v>1049</v>
      </c>
      <c r="AN595" t="s">
        <v>65</v>
      </c>
      <c r="AO595" t="s">
        <v>2737</v>
      </c>
      <c r="AP595" t="s">
        <v>67</v>
      </c>
      <c r="AQ595" t="s">
        <v>68</v>
      </c>
      <c r="AR595" t="s">
        <v>69</v>
      </c>
      <c r="AS595" s="79"/>
      <c r="AT595" s="82" t="s">
        <v>2650</v>
      </c>
      <c r="AU595" s="78">
        <v>2026</v>
      </c>
      <c r="AV595" s="78">
        <v>2</v>
      </c>
      <c r="AW595" s="78" t="s">
        <v>71</v>
      </c>
      <c r="AX595" s="78">
        <v>0</v>
      </c>
      <c r="AY595" s="78">
        <v>0</v>
      </c>
      <c r="BT595" s="3" t="s">
        <v>71</v>
      </c>
      <c r="BU595" s="3">
        <v>0</v>
      </c>
      <c r="BV595" s="3">
        <v>0</v>
      </c>
    </row>
    <row r="596" spans="1:74" ht="15" customHeight="1" x14ac:dyDescent="0.25">
      <c r="A596" s="75">
        <v>5846609</v>
      </c>
      <c r="B596" t="s">
        <v>2932</v>
      </c>
      <c r="C596" t="s">
        <v>2933</v>
      </c>
      <c r="D596" t="s">
        <v>527</v>
      </c>
      <c r="E596" t="s">
        <v>105</v>
      </c>
      <c r="F596" s="75">
        <v>1124</v>
      </c>
      <c r="G596" s="75">
        <v>333495</v>
      </c>
      <c r="H596">
        <v>456.52</v>
      </c>
      <c r="I596" t="s">
        <v>175</v>
      </c>
      <c r="J596" s="75">
        <v>83605</v>
      </c>
      <c r="K596" t="s">
        <v>844</v>
      </c>
      <c r="L596" t="s">
        <v>845</v>
      </c>
      <c r="M596" s="81">
        <v>46079.646145833343</v>
      </c>
      <c r="N596" s="81">
        <v>46080.390057870369</v>
      </c>
      <c r="O596" t="s">
        <v>58</v>
      </c>
      <c r="P596" t="s">
        <v>59</v>
      </c>
      <c r="Q596" t="s">
        <v>90</v>
      </c>
      <c r="R596" t="s">
        <v>131</v>
      </c>
      <c r="S596" t="s">
        <v>1695</v>
      </c>
      <c r="U596" s="75">
        <v>200159</v>
      </c>
      <c r="V596" t="s">
        <v>2934</v>
      </c>
      <c r="W596" t="s">
        <v>2934</v>
      </c>
      <c r="X596" t="s">
        <v>62</v>
      </c>
      <c r="Y596" t="s">
        <v>63</v>
      </c>
      <c r="AA596" t="s">
        <v>81</v>
      </c>
      <c r="AB596">
        <v>17.766666000000001</v>
      </c>
      <c r="AC596">
        <v>16.233332999999998</v>
      </c>
      <c r="AD596">
        <v>1.5333330000000001</v>
      </c>
      <c r="AE596">
        <v>0.1</v>
      </c>
      <c r="AF596">
        <v>0</v>
      </c>
      <c r="AG596">
        <v>1.433333</v>
      </c>
      <c r="AH596">
        <v>1.433333</v>
      </c>
      <c r="AI596">
        <v>1.3</v>
      </c>
      <c r="AJ596">
        <v>0.13333300000000001</v>
      </c>
      <c r="AK596">
        <v>0</v>
      </c>
      <c r="AL596" s="76">
        <v>45808.717766203707</v>
      </c>
      <c r="AM596" s="75">
        <v>270</v>
      </c>
      <c r="AN596" t="s">
        <v>65</v>
      </c>
      <c r="AO596" t="s">
        <v>2935</v>
      </c>
      <c r="AP596" t="s">
        <v>67</v>
      </c>
      <c r="AQ596" t="s">
        <v>68</v>
      </c>
      <c r="AR596" t="s">
        <v>69</v>
      </c>
      <c r="AS596" s="78"/>
      <c r="AT596" s="82" t="s">
        <v>2650</v>
      </c>
      <c r="AU596" s="78">
        <v>2026</v>
      </c>
      <c r="AV596" s="78">
        <v>2</v>
      </c>
      <c r="AW596" s="78" t="s">
        <v>71</v>
      </c>
      <c r="AX596" s="78">
        <v>1</v>
      </c>
      <c r="AY596" s="78">
        <v>0</v>
      </c>
      <c r="BT596" s="2" t="s">
        <v>71</v>
      </c>
      <c r="BU596" s="2">
        <v>1</v>
      </c>
      <c r="BV596" s="2">
        <v>0</v>
      </c>
    </row>
    <row r="597" spans="1:74" ht="15" customHeight="1" x14ac:dyDescent="0.25">
      <c r="A597" s="75">
        <v>5846353</v>
      </c>
      <c r="B597" t="s">
        <v>2936</v>
      </c>
      <c r="C597" t="s">
        <v>2937</v>
      </c>
      <c r="D597" t="s">
        <v>1388</v>
      </c>
      <c r="E597" t="s">
        <v>87</v>
      </c>
      <c r="F597" s="75">
        <v>84</v>
      </c>
      <c r="G597" s="75">
        <v>98683</v>
      </c>
      <c r="H597">
        <v>2201.27</v>
      </c>
      <c r="I597" t="s">
        <v>114</v>
      </c>
      <c r="J597" s="75">
        <v>6971</v>
      </c>
      <c r="K597" t="s">
        <v>369</v>
      </c>
      <c r="L597" t="s">
        <v>370</v>
      </c>
      <c r="M597" s="81">
        <v>46079.528078703697</v>
      </c>
      <c r="N597" s="81">
        <v>46080.395891203712</v>
      </c>
      <c r="O597" t="s">
        <v>58</v>
      </c>
      <c r="P597" t="s">
        <v>59</v>
      </c>
      <c r="Q597" t="s">
        <v>90</v>
      </c>
      <c r="R597" t="s">
        <v>131</v>
      </c>
      <c r="S597" t="s">
        <v>1273</v>
      </c>
      <c r="U597" s="75">
        <v>200003</v>
      </c>
      <c r="V597" t="s">
        <v>2938</v>
      </c>
      <c r="W597" t="s">
        <v>2938</v>
      </c>
      <c r="X597" t="s">
        <v>62</v>
      </c>
      <c r="Y597" t="s">
        <v>63</v>
      </c>
      <c r="AA597" t="s">
        <v>81</v>
      </c>
      <c r="AB597">
        <v>20.75</v>
      </c>
      <c r="AC597">
        <v>17.183333000000001</v>
      </c>
      <c r="AD597">
        <v>3.5666669999999998</v>
      </c>
      <c r="AE597">
        <v>0.216667</v>
      </c>
      <c r="AF597">
        <v>0</v>
      </c>
      <c r="AG597">
        <v>3.35</v>
      </c>
      <c r="AH597">
        <v>3.35</v>
      </c>
      <c r="AI597">
        <v>3.3166669999999998</v>
      </c>
      <c r="AJ597">
        <v>3.3333000000000002E-2</v>
      </c>
      <c r="AK597">
        <v>0</v>
      </c>
      <c r="AL597" s="76">
        <v>43496</v>
      </c>
      <c r="AM597" s="75">
        <v>2583</v>
      </c>
      <c r="AN597" t="s">
        <v>65</v>
      </c>
      <c r="AO597" t="s">
        <v>2939</v>
      </c>
      <c r="AP597" t="s">
        <v>67</v>
      </c>
      <c r="AQ597" t="s">
        <v>68</v>
      </c>
      <c r="AR597" t="s">
        <v>69</v>
      </c>
      <c r="AS597" s="79"/>
      <c r="AT597" s="82" t="s">
        <v>2650</v>
      </c>
      <c r="AU597" s="78">
        <v>2026</v>
      </c>
      <c r="AV597" s="78">
        <v>2</v>
      </c>
      <c r="AW597" s="78" t="s">
        <v>71</v>
      </c>
      <c r="AX597" s="78">
        <v>1</v>
      </c>
      <c r="AY597" s="78">
        <v>0</v>
      </c>
      <c r="BT597" s="3" t="s">
        <v>71</v>
      </c>
      <c r="BU597" s="3">
        <v>1</v>
      </c>
      <c r="BV597" s="3">
        <v>0</v>
      </c>
    </row>
    <row r="598" spans="1:74" ht="15" customHeight="1" x14ac:dyDescent="0.25">
      <c r="A598" s="75">
        <v>5837395</v>
      </c>
      <c r="B598" t="s">
        <v>2940</v>
      </c>
      <c r="C598" t="s">
        <v>2941</v>
      </c>
      <c r="D598" t="s">
        <v>527</v>
      </c>
      <c r="E598" t="s">
        <v>87</v>
      </c>
      <c r="F598" s="75">
        <v>92</v>
      </c>
      <c r="G598" s="75">
        <v>279815</v>
      </c>
      <c r="H598">
        <v>516.22</v>
      </c>
      <c r="I598" t="s">
        <v>266</v>
      </c>
      <c r="J598" s="75">
        <v>149307</v>
      </c>
      <c r="K598" t="s">
        <v>350</v>
      </c>
      <c r="L598" t="s">
        <v>351</v>
      </c>
      <c r="M598" s="81">
        <v>46075.465555555558</v>
      </c>
      <c r="N598" s="81">
        <v>46080.400347222218</v>
      </c>
      <c r="O598" t="s">
        <v>58</v>
      </c>
      <c r="P598" t="s">
        <v>59</v>
      </c>
      <c r="Q598" t="s">
        <v>90</v>
      </c>
      <c r="R598" t="s">
        <v>99</v>
      </c>
      <c r="S598" t="s">
        <v>1244</v>
      </c>
      <c r="T598" t="s">
        <v>2942</v>
      </c>
      <c r="U598" s="75">
        <v>199273</v>
      </c>
      <c r="V598" t="s">
        <v>2943</v>
      </c>
      <c r="X598" t="s">
        <v>62</v>
      </c>
      <c r="Y598" t="s">
        <v>2944</v>
      </c>
      <c r="AA598" t="s">
        <v>295</v>
      </c>
      <c r="AB598">
        <v>118.216667</v>
      </c>
      <c r="AC598">
        <v>82.466666000000004</v>
      </c>
      <c r="AD598">
        <v>35.750000999999997</v>
      </c>
      <c r="AE598">
        <v>0.45</v>
      </c>
      <c r="AF598">
        <v>0.13333300000000001</v>
      </c>
      <c r="AG598">
        <v>35.300001000000002</v>
      </c>
      <c r="AH598">
        <v>35.433334000000002</v>
      </c>
      <c r="AI598">
        <v>18.533332999999999</v>
      </c>
      <c r="AJ598">
        <v>16.766667999999999</v>
      </c>
      <c r="AK598">
        <v>0</v>
      </c>
      <c r="AL598" s="76">
        <v>44795</v>
      </c>
      <c r="AM598" s="75">
        <v>1280</v>
      </c>
      <c r="AN598" t="s">
        <v>65</v>
      </c>
      <c r="AO598" t="s">
        <v>2945</v>
      </c>
      <c r="AP598" t="s">
        <v>67</v>
      </c>
      <c r="AQ598" t="s">
        <v>68</v>
      </c>
      <c r="AR598" t="s">
        <v>69</v>
      </c>
      <c r="AS598" s="78"/>
      <c r="AT598" s="82" t="s">
        <v>2650</v>
      </c>
      <c r="AU598" s="78">
        <v>2026</v>
      </c>
      <c r="AV598" s="78">
        <v>2</v>
      </c>
      <c r="AW598" s="78" t="s">
        <v>137</v>
      </c>
      <c r="AX598" s="78">
        <v>0</v>
      </c>
      <c r="AY598" s="78">
        <v>1</v>
      </c>
      <c r="BT598" s="2" t="s">
        <v>137</v>
      </c>
      <c r="BU598" s="2">
        <v>0</v>
      </c>
      <c r="BV598" s="2">
        <v>1</v>
      </c>
    </row>
    <row r="599" spans="1:74" ht="15" customHeight="1" x14ac:dyDescent="0.25">
      <c r="A599" s="75">
        <v>5844493</v>
      </c>
      <c r="B599" t="s">
        <v>2946</v>
      </c>
      <c r="C599" t="s">
        <v>1089</v>
      </c>
      <c r="D599" t="s">
        <v>2379</v>
      </c>
      <c r="E599" t="s">
        <v>87</v>
      </c>
      <c r="F599" s="75">
        <v>112</v>
      </c>
      <c r="G599" s="75">
        <v>302153</v>
      </c>
      <c r="H599">
        <v>623.5</v>
      </c>
      <c r="I599" t="s">
        <v>55</v>
      </c>
      <c r="J599" s="75">
        <v>203659</v>
      </c>
      <c r="K599" t="s">
        <v>1090</v>
      </c>
      <c r="L599" t="s">
        <v>1091</v>
      </c>
      <c r="M599" s="81">
        <v>46078.486400462964</v>
      </c>
      <c r="N599" s="81">
        <v>46080.410879629628</v>
      </c>
      <c r="O599" t="s">
        <v>58</v>
      </c>
      <c r="P599" t="s">
        <v>59</v>
      </c>
      <c r="Q599" t="s">
        <v>90</v>
      </c>
      <c r="R599" t="s">
        <v>156</v>
      </c>
      <c r="S599" t="s">
        <v>1320</v>
      </c>
      <c r="T599" t="s">
        <v>507</v>
      </c>
      <c r="U599" s="75">
        <v>199483</v>
      </c>
      <c r="V599" t="s">
        <v>2947</v>
      </c>
      <c r="W599" t="s">
        <v>2948</v>
      </c>
      <c r="X599" t="s">
        <v>62</v>
      </c>
      <c r="Y599" t="s">
        <v>510</v>
      </c>
      <c r="AA599" t="s">
        <v>101</v>
      </c>
      <c r="AB599">
        <v>46.033334000000004</v>
      </c>
      <c r="AC599">
        <v>34.700000000000003</v>
      </c>
      <c r="AD599">
        <v>11.333334000000001</v>
      </c>
      <c r="AE599">
        <v>1.6667000000000001E-2</v>
      </c>
      <c r="AF599">
        <v>0</v>
      </c>
      <c r="AG599">
        <v>11.316667000000001</v>
      </c>
      <c r="AH599">
        <v>11.316667000000001</v>
      </c>
      <c r="AI599">
        <v>10.633333</v>
      </c>
      <c r="AJ599">
        <v>0.683334</v>
      </c>
      <c r="AK599">
        <v>0</v>
      </c>
      <c r="AL599" s="76">
        <v>45398</v>
      </c>
      <c r="AM599" s="75">
        <v>680</v>
      </c>
      <c r="AN599" t="s">
        <v>65</v>
      </c>
      <c r="AO599" t="s">
        <v>1093</v>
      </c>
      <c r="AP599" t="s">
        <v>67</v>
      </c>
      <c r="AQ599" t="s">
        <v>68</v>
      </c>
      <c r="AR599" t="s">
        <v>69</v>
      </c>
      <c r="AS599" s="79"/>
      <c r="AT599" s="82" t="s">
        <v>2650</v>
      </c>
      <c r="AU599" s="78">
        <v>2026</v>
      </c>
      <c r="AV599" s="78">
        <v>2</v>
      </c>
      <c r="AW599" s="78" t="s">
        <v>137</v>
      </c>
      <c r="AX599" s="78">
        <v>0</v>
      </c>
      <c r="AY599" s="78">
        <v>0</v>
      </c>
      <c r="BT599" s="3" t="s">
        <v>137</v>
      </c>
      <c r="BU599" s="3">
        <v>0</v>
      </c>
      <c r="BV599" s="3">
        <v>0</v>
      </c>
    </row>
    <row r="600" spans="1:74" ht="15" customHeight="1" x14ac:dyDescent="0.25">
      <c r="A600" s="75">
        <v>5840553</v>
      </c>
      <c r="B600" t="s">
        <v>2949</v>
      </c>
      <c r="C600" t="s">
        <v>2950</v>
      </c>
      <c r="D600" t="s">
        <v>527</v>
      </c>
      <c r="E600" t="s">
        <v>87</v>
      </c>
      <c r="F600" s="75">
        <v>122</v>
      </c>
      <c r="G600" s="75">
        <v>285581</v>
      </c>
      <c r="H600">
        <v>368.16</v>
      </c>
      <c r="I600" t="s">
        <v>55</v>
      </c>
      <c r="J600" s="75">
        <v>218791</v>
      </c>
      <c r="K600" t="s">
        <v>312</v>
      </c>
      <c r="L600" t="s">
        <v>313</v>
      </c>
      <c r="M600" s="81">
        <v>46076.771307870367</v>
      </c>
      <c r="N600" s="81">
        <v>46080.413831018523</v>
      </c>
      <c r="O600" t="s">
        <v>58</v>
      </c>
      <c r="P600" t="s">
        <v>59</v>
      </c>
      <c r="Q600" t="s">
        <v>98</v>
      </c>
      <c r="R600" t="s">
        <v>99</v>
      </c>
      <c r="S600" t="s">
        <v>1244</v>
      </c>
      <c r="U600" s="75">
        <v>199881</v>
      </c>
      <c r="V600" t="s">
        <v>2951</v>
      </c>
      <c r="X600" t="s">
        <v>62</v>
      </c>
      <c r="Y600" t="s">
        <v>63</v>
      </c>
      <c r="AA600" t="s">
        <v>81</v>
      </c>
      <c r="AB600">
        <v>87.366665999999995</v>
      </c>
      <c r="AC600">
        <v>84.383332999999993</v>
      </c>
      <c r="AD600">
        <v>2.983333</v>
      </c>
      <c r="AE600">
        <v>0.36666599999999999</v>
      </c>
      <c r="AF600">
        <v>0</v>
      </c>
      <c r="AG600">
        <v>2.6166670000000001</v>
      </c>
      <c r="AH600">
        <v>2.6166670000000001</v>
      </c>
      <c r="AI600">
        <v>1.8666670000000001</v>
      </c>
      <c r="AJ600">
        <v>0.75</v>
      </c>
      <c r="AK600">
        <v>0</v>
      </c>
      <c r="AL600" s="76">
        <v>44875.403912037043</v>
      </c>
      <c r="AM600" s="75">
        <v>1201</v>
      </c>
      <c r="AN600" t="s">
        <v>65</v>
      </c>
      <c r="AO600" t="s">
        <v>2952</v>
      </c>
      <c r="AP600" t="s">
        <v>67</v>
      </c>
      <c r="AQ600" t="s">
        <v>68</v>
      </c>
      <c r="AR600" t="s">
        <v>69</v>
      </c>
      <c r="AS600" s="78"/>
      <c r="AT600" s="82" t="s">
        <v>2650</v>
      </c>
      <c r="AU600" s="78">
        <v>2026</v>
      </c>
      <c r="AV600" s="78">
        <v>2</v>
      </c>
      <c r="AW600" s="78" t="s">
        <v>71</v>
      </c>
      <c r="AX600" s="78">
        <v>1</v>
      </c>
      <c r="AY600" s="78">
        <v>0</v>
      </c>
      <c r="BT600" s="2" t="s">
        <v>71</v>
      </c>
      <c r="BU600" s="2">
        <v>1</v>
      </c>
      <c r="BV600" s="2">
        <v>0</v>
      </c>
    </row>
    <row r="601" spans="1:74" ht="15" customHeight="1" x14ac:dyDescent="0.25">
      <c r="A601" s="75">
        <v>5844609</v>
      </c>
      <c r="B601" t="s">
        <v>2953</v>
      </c>
      <c r="C601" t="s">
        <v>2954</v>
      </c>
      <c r="D601" t="s">
        <v>527</v>
      </c>
      <c r="E601" t="s">
        <v>54</v>
      </c>
      <c r="F601" s="75">
        <v>3</v>
      </c>
      <c r="G601" s="75">
        <v>270835</v>
      </c>
      <c r="H601">
        <v>850</v>
      </c>
      <c r="I601" t="s">
        <v>55</v>
      </c>
      <c r="J601" s="75">
        <v>215589</v>
      </c>
      <c r="K601" t="s">
        <v>2955</v>
      </c>
      <c r="L601" t="s">
        <v>2956</v>
      </c>
      <c r="M601" s="81">
        <v>46078.542256944442</v>
      </c>
      <c r="N601" s="81">
        <v>46080.415856481479</v>
      </c>
      <c r="O601" t="s">
        <v>58</v>
      </c>
      <c r="P601" t="s">
        <v>59</v>
      </c>
      <c r="Q601" t="s">
        <v>90</v>
      </c>
      <c r="R601" t="s">
        <v>99</v>
      </c>
      <c r="S601" t="s">
        <v>1244</v>
      </c>
      <c r="T601" t="s">
        <v>2957</v>
      </c>
      <c r="U601" s="75">
        <v>199879</v>
      </c>
      <c r="V601" t="s">
        <v>2958</v>
      </c>
      <c r="X601" t="s">
        <v>62</v>
      </c>
      <c r="Y601" t="s">
        <v>2959</v>
      </c>
      <c r="AA601" t="s">
        <v>295</v>
      </c>
      <c r="AB601">
        <v>44.916665999999999</v>
      </c>
      <c r="AC601">
        <v>17.783332999999999</v>
      </c>
      <c r="AD601">
        <v>27.133333</v>
      </c>
      <c r="AE601">
        <v>0.68333299999999997</v>
      </c>
      <c r="AF601">
        <v>0</v>
      </c>
      <c r="AG601">
        <v>26.45</v>
      </c>
      <c r="AH601">
        <v>26.45</v>
      </c>
      <c r="AI601">
        <v>26.45</v>
      </c>
      <c r="AJ601">
        <v>0</v>
      </c>
      <c r="AK601">
        <v>0</v>
      </c>
      <c r="AL601" s="76">
        <v>44564</v>
      </c>
      <c r="AM601" s="75">
        <v>1514</v>
      </c>
      <c r="AN601" t="s">
        <v>65</v>
      </c>
      <c r="AO601" t="s">
        <v>2960</v>
      </c>
      <c r="AP601" t="s">
        <v>67</v>
      </c>
      <c r="AQ601" t="s">
        <v>68</v>
      </c>
      <c r="AR601" t="s">
        <v>69</v>
      </c>
      <c r="AS601" s="79"/>
      <c r="AT601" s="82" t="s">
        <v>2650</v>
      </c>
      <c r="AU601" s="78">
        <v>2026</v>
      </c>
      <c r="AV601" s="78">
        <v>2</v>
      </c>
      <c r="AW601" s="78" t="s">
        <v>137</v>
      </c>
      <c r="AX601" s="78">
        <v>0</v>
      </c>
      <c r="AY601" s="78">
        <v>1</v>
      </c>
      <c r="BT601" s="3" t="s">
        <v>137</v>
      </c>
      <c r="BU601" s="3">
        <v>0</v>
      </c>
      <c r="BV601" s="3">
        <v>1</v>
      </c>
    </row>
    <row r="602" spans="1:74" ht="15" customHeight="1" x14ac:dyDescent="0.25">
      <c r="A602" s="75">
        <v>5839025</v>
      </c>
      <c r="B602" t="s">
        <v>2961</v>
      </c>
      <c r="C602" t="s">
        <v>210</v>
      </c>
      <c r="D602" t="s">
        <v>527</v>
      </c>
      <c r="E602" t="s">
        <v>87</v>
      </c>
      <c r="F602" s="75">
        <v>422</v>
      </c>
      <c r="G602" s="75">
        <v>289265</v>
      </c>
      <c r="H602">
        <v>740.61</v>
      </c>
      <c r="I602" t="s">
        <v>55</v>
      </c>
      <c r="J602" s="75">
        <v>216233</v>
      </c>
      <c r="K602" t="s">
        <v>88</v>
      </c>
      <c r="L602" t="s">
        <v>89</v>
      </c>
      <c r="M602" s="81">
        <v>46076.521284722221</v>
      </c>
      <c r="N602" s="81">
        <v>46080.416770833333</v>
      </c>
      <c r="O602" t="s">
        <v>58</v>
      </c>
      <c r="P602" t="s">
        <v>59</v>
      </c>
      <c r="Q602" t="s">
        <v>90</v>
      </c>
      <c r="R602" t="s">
        <v>60</v>
      </c>
      <c r="S602" t="s">
        <v>583</v>
      </c>
      <c r="U602" s="75">
        <v>200225</v>
      </c>
      <c r="V602" t="s">
        <v>2962</v>
      </c>
      <c r="W602" t="s">
        <v>2962</v>
      </c>
      <c r="X602" t="s">
        <v>62</v>
      </c>
      <c r="Y602" t="s">
        <v>63</v>
      </c>
      <c r="AA602" t="s">
        <v>81</v>
      </c>
      <c r="AB602">
        <v>93.416666000000006</v>
      </c>
      <c r="AC602">
        <v>92.1</v>
      </c>
      <c r="AD602">
        <v>1.3166659999999999</v>
      </c>
      <c r="AE602">
        <v>0.33333299999999999</v>
      </c>
      <c r="AF602">
        <v>0</v>
      </c>
      <c r="AG602">
        <v>0.98333300000000001</v>
      </c>
      <c r="AH602">
        <v>0.98333300000000001</v>
      </c>
      <c r="AI602">
        <v>0</v>
      </c>
      <c r="AJ602">
        <v>0.98333300000000001</v>
      </c>
      <c r="AK602">
        <v>0</v>
      </c>
      <c r="AL602" s="76">
        <v>45021</v>
      </c>
      <c r="AM602" s="75">
        <v>1055</v>
      </c>
      <c r="AN602" t="s">
        <v>65</v>
      </c>
      <c r="AO602" t="s">
        <v>212</v>
      </c>
      <c r="AP602" t="s">
        <v>67</v>
      </c>
      <c r="AQ602" t="s">
        <v>68</v>
      </c>
      <c r="AR602" t="s">
        <v>69</v>
      </c>
      <c r="AS602" s="78"/>
      <c r="AT602" s="82" t="s">
        <v>2650</v>
      </c>
      <c r="AU602" s="78">
        <v>2026</v>
      </c>
      <c r="AV602" s="78">
        <v>2</v>
      </c>
      <c r="AW602" s="78" t="s">
        <v>71</v>
      </c>
      <c r="AX602" s="78">
        <v>1</v>
      </c>
      <c r="AY602" s="78">
        <v>0</v>
      </c>
      <c r="BT602" s="2" t="s">
        <v>71</v>
      </c>
      <c r="BU602" s="2">
        <v>1</v>
      </c>
      <c r="BV602" s="2">
        <v>0</v>
      </c>
    </row>
    <row r="603" spans="1:74" ht="15" customHeight="1" x14ac:dyDescent="0.25">
      <c r="A603" s="75">
        <v>5844671</v>
      </c>
      <c r="B603" t="s">
        <v>2963</v>
      </c>
      <c r="C603" t="s">
        <v>2964</v>
      </c>
      <c r="D603" t="s">
        <v>527</v>
      </c>
      <c r="E603" t="s">
        <v>105</v>
      </c>
      <c r="F603" s="75">
        <v>63</v>
      </c>
      <c r="G603" s="75">
        <v>301113</v>
      </c>
      <c r="H603">
        <v>109.9</v>
      </c>
      <c r="I603" t="s">
        <v>195</v>
      </c>
      <c r="J603" s="75">
        <v>214913</v>
      </c>
      <c r="K603" t="s">
        <v>1057</v>
      </c>
      <c r="L603" t="s">
        <v>1058</v>
      </c>
      <c r="M603" s="81">
        <v>46078.574560185189</v>
      </c>
      <c r="N603" s="81">
        <v>46080.418032407397</v>
      </c>
      <c r="O603" t="s">
        <v>58</v>
      </c>
      <c r="P603" t="s">
        <v>59</v>
      </c>
      <c r="Q603" t="s">
        <v>130</v>
      </c>
      <c r="R603" t="s">
        <v>99</v>
      </c>
      <c r="S603" t="s">
        <v>1244</v>
      </c>
      <c r="U603" s="75"/>
      <c r="X603" t="s">
        <v>62</v>
      </c>
      <c r="Y603" t="s">
        <v>63</v>
      </c>
      <c r="AA603" t="s">
        <v>81</v>
      </c>
      <c r="AB603">
        <v>44.216665999999996</v>
      </c>
      <c r="AC603">
        <v>43.583333000000003</v>
      </c>
      <c r="AD603">
        <v>0.63333300000000003</v>
      </c>
      <c r="AE603">
        <v>3.3333000000000002E-2</v>
      </c>
      <c r="AF603">
        <v>0</v>
      </c>
      <c r="AG603">
        <v>0.6</v>
      </c>
      <c r="AH603">
        <v>0.6</v>
      </c>
      <c r="AI603">
        <v>0</v>
      </c>
      <c r="AJ603">
        <v>0.6</v>
      </c>
      <c r="AK603">
        <v>0</v>
      </c>
      <c r="AL603" s="76">
        <v>45527.921076388891</v>
      </c>
      <c r="AM603" s="75">
        <v>550</v>
      </c>
      <c r="AN603" t="s">
        <v>65</v>
      </c>
      <c r="AO603" t="s">
        <v>2521</v>
      </c>
      <c r="AP603" t="s">
        <v>67</v>
      </c>
      <c r="AQ603" t="s">
        <v>68</v>
      </c>
      <c r="AR603" t="s">
        <v>69</v>
      </c>
      <c r="AS603" s="79"/>
      <c r="AT603" s="82" t="s">
        <v>2650</v>
      </c>
      <c r="AU603" s="78">
        <v>2026</v>
      </c>
      <c r="AV603" s="78">
        <v>2</v>
      </c>
      <c r="AW603" s="78" t="s">
        <v>71</v>
      </c>
      <c r="AX603" s="78">
        <v>1</v>
      </c>
      <c r="AY603" s="78">
        <v>0</v>
      </c>
      <c r="BT603" s="3" t="s">
        <v>71</v>
      </c>
      <c r="BU603" s="3">
        <v>1</v>
      </c>
      <c r="BV603" s="3">
        <v>0</v>
      </c>
    </row>
    <row r="604" spans="1:74" ht="15" customHeight="1" x14ac:dyDescent="0.25">
      <c r="A604" s="75">
        <v>5846913</v>
      </c>
      <c r="B604" t="s">
        <v>2965</v>
      </c>
      <c r="C604" t="s">
        <v>2966</v>
      </c>
      <c r="D604" t="s">
        <v>150</v>
      </c>
      <c r="E604" t="s">
        <v>87</v>
      </c>
      <c r="F604" s="75">
        <v>177</v>
      </c>
      <c r="G604" s="75">
        <v>285865</v>
      </c>
      <c r="H604">
        <v>364.95</v>
      </c>
      <c r="I604" t="s">
        <v>55</v>
      </c>
      <c r="J604" s="75">
        <v>218787</v>
      </c>
      <c r="K604" t="s">
        <v>96</v>
      </c>
      <c r="L604" t="s">
        <v>97</v>
      </c>
      <c r="M604" s="81">
        <v>46079.764456018522</v>
      </c>
      <c r="N604" s="81">
        <v>46080.442731481482</v>
      </c>
      <c r="O604" t="s">
        <v>58</v>
      </c>
      <c r="P604" t="s">
        <v>59</v>
      </c>
      <c r="Q604" t="s">
        <v>90</v>
      </c>
      <c r="R604" t="s">
        <v>131</v>
      </c>
      <c r="S604" t="s">
        <v>1316</v>
      </c>
      <c r="U604" s="75">
        <v>200339</v>
      </c>
      <c r="V604" t="s">
        <v>2967</v>
      </c>
      <c r="W604" t="s">
        <v>2967</v>
      </c>
      <c r="X604" t="s">
        <v>62</v>
      </c>
      <c r="Y604" t="s">
        <v>63</v>
      </c>
      <c r="AA604" t="s">
        <v>81</v>
      </c>
      <c r="AB604">
        <v>16.216667000000001</v>
      </c>
      <c r="AC604">
        <v>13.15</v>
      </c>
      <c r="AD604">
        <v>3.0666669999999998</v>
      </c>
      <c r="AE604">
        <v>0.51666599999999996</v>
      </c>
      <c r="AF604">
        <v>0</v>
      </c>
      <c r="AG604">
        <v>2.550001</v>
      </c>
      <c r="AH604">
        <v>2.550001</v>
      </c>
      <c r="AI604">
        <v>2.4666670000000002</v>
      </c>
      <c r="AJ604">
        <v>8.3334000000000005E-2</v>
      </c>
      <c r="AK604">
        <v>0</v>
      </c>
      <c r="AL604" s="76">
        <v>44911</v>
      </c>
      <c r="AM604" s="75">
        <v>1168</v>
      </c>
      <c r="AN604" t="s">
        <v>65</v>
      </c>
      <c r="AO604" t="s">
        <v>2968</v>
      </c>
      <c r="AP604" t="s">
        <v>67</v>
      </c>
      <c r="AQ604" t="s">
        <v>68</v>
      </c>
      <c r="AR604" t="s">
        <v>69</v>
      </c>
      <c r="AS604" s="78"/>
      <c r="AT604" s="82" t="s">
        <v>2650</v>
      </c>
      <c r="AU604" s="78">
        <v>2026</v>
      </c>
      <c r="AV604" s="78">
        <v>2</v>
      </c>
      <c r="AW604" s="78" t="s">
        <v>71</v>
      </c>
      <c r="AX604" s="78">
        <v>1</v>
      </c>
      <c r="AY604" s="78">
        <v>0</v>
      </c>
      <c r="BT604" s="2" t="s">
        <v>71</v>
      </c>
      <c r="BU604" s="2">
        <v>1</v>
      </c>
      <c r="BV604" s="2">
        <v>0</v>
      </c>
    </row>
    <row r="605" spans="1:74" ht="15" customHeight="1" x14ac:dyDescent="0.25">
      <c r="A605" s="75">
        <v>5845219</v>
      </c>
      <c r="B605" t="s">
        <v>2969</v>
      </c>
      <c r="C605" t="s">
        <v>2970</v>
      </c>
      <c r="D605" t="s">
        <v>527</v>
      </c>
      <c r="E605" t="s">
        <v>87</v>
      </c>
      <c r="F605" s="75">
        <v>8</v>
      </c>
      <c r="G605" s="75">
        <v>280139</v>
      </c>
      <c r="H605">
        <v>926.83</v>
      </c>
      <c r="I605" t="s">
        <v>266</v>
      </c>
      <c r="J605" s="75">
        <v>201809</v>
      </c>
      <c r="K605" t="s">
        <v>505</v>
      </c>
      <c r="L605" t="s">
        <v>506</v>
      </c>
      <c r="M605" s="81">
        <v>46078.742905092593</v>
      </c>
      <c r="N605" s="81">
        <v>46080.514166666668</v>
      </c>
      <c r="O605" t="s">
        <v>58</v>
      </c>
      <c r="P605" t="s">
        <v>59</v>
      </c>
      <c r="Q605" t="s">
        <v>77</v>
      </c>
      <c r="R605" t="s">
        <v>131</v>
      </c>
      <c r="S605" t="s">
        <v>1273</v>
      </c>
      <c r="T605" t="s">
        <v>231</v>
      </c>
      <c r="U605" s="75">
        <v>200313</v>
      </c>
      <c r="V605" t="s">
        <v>2971</v>
      </c>
      <c r="W605" t="s">
        <v>2971</v>
      </c>
      <c r="X605" t="s">
        <v>62</v>
      </c>
      <c r="Y605" t="s">
        <v>541</v>
      </c>
      <c r="AA605" t="s">
        <v>64</v>
      </c>
      <c r="AB605">
        <v>42.45</v>
      </c>
      <c r="AC605">
        <v>36.433332999999998</v>
      </c>
      <c r="AD605">
        <v>6.016667</v>
      </c>
      <c r="AE605">
        <v>1.516667</v>
      </c>
      <c r="AF605">
        <v>0</v>
      </c>
      <c r="AG605">
        <v>4.5</v>
      </c>
      <c r="AH605">
        <v>4.5</v>
      </c>
      <c r="AI605">
        <v>3.1333340000000001</v>
      </c>
      <c r="AJ605">
        <v>1.3666659999999999</v>
      </c>
      <c r="AK605">
        <v>0</v>
      </c>
      <c r="AL605" s="76">
        <v>44357</v>
      </c>
      <c r="AM605" s="75">
        <v>1721</v>
      </c>
      <c r="AN605" t="s">
        <v>65</v>
      </c>
      <c r="AO605" t="s">
        <v>2972</v>
      </c>
      <c r="AP605" t="s">
        <v>67</v>
      </c>
      <c r="AQ605" t="s">
        <v>68</v>
      </c>
      <c r="AR605" t="s">
        <v>69</v>
      </c>
      <c r="AS605" s="79"/>
      <c r="AT605" s="82" t="s">
        <v>2650</v>
      </c>
      <c r="AU605" s="78">
        <v>2026</v>
      </c>
      <c r="AV605" s="78">
        <v>2</v>
      </c>
      <c r="AW605" s="78" t="s">
        <v>137</v>
      </c>
      <c r="AX605" s="78">
        <v>1</v>
      </c>
      <c r="AY605" s="78">
        <v>0</v>
      </c>
      <c r="BT605" s="3" t="s">
        <v>137</v>
      </c>
      <c r="BU605" s="3">
        <v>1</v>
      </c>
      <c r="BV605" s="3">
        <v>0</v>
      </c>
    </row>
    <row r="606" spans="1:74" ht="15" customHeight="1" x14ac:dyDescent="0.25">
      <c r="A606" s="75">
        <v>5846377</v>
      </c>
      <c r="B606" t="s">
        <v>2973</v>
      </c>
      <c r="C606" t="s">
        <v>2974</v>
      </c>
      <c r="D606" t="s">
        <v>527</v>
      </c>
      <c r="E606" t="s">
        <v>54</v>
      </c>
      <c r="F606" s="75">
        <v>833</v>
      </c>
      <c r="G606" s="75">
        <v>325651</v>
      </c>
      <c r="H606">
        <v>400</v>
      </c>
      <c r="I606" t="s">
        <v>55</v>
      </c>
      <c r="J606" s="75">
        <v>43341</v>
      </c>
      <c r="K606" t="s">
        <v>2975</v>
      </c>
      <c r="L606" t="s">
        <v>2976</v>
      </c>
      <c r="M606" s="81">
        <v>46079.531643518523</v>
      </c>
      <c r="N606" s="81">
        <v>46080.515324074076</v>
      </c>
      <c r="O606" t="s">
        <v>391</v>
      </c>
      <c r="P606" t="s">
        <v>59</v>
      </c>
      <c r="Q606" t="s">
        <v>77</v>
      </c>
      <c r="R606" t="s">
        <v>60</v>
      </c>
      <c r="S606" t="s">
        <v>583</v>
      </c>
      <c r="U606" s="75">
        <v>200005</v>
      </c>
      <c r="V606" t="s">
        <v>2977</v>
      </c>
      <c r="W606" t="s">
        <v>2977</v>
      </c>
      <c r="X606" t="s">
        <v>62</v>
      </c>
      <c r="Y606" t="s">
        <v>63</v>
      </c>
      <c r="AA606" t="s">
        <v>64</v>
      </c>
      <c r="AB606">
        <v>23.550001000000002</v>
      </c>
      <c r="AC606">
        <v>19.166667</v>
      </c>
      <c r="AD606">
        <v>4.3833339999999996</v>
      </c>
      <c r="AE606">
        <v>0.23333300000000001</v>
      </c>
      <c r="AF606">
        <v>0</v>
      </c>
      <c r="AG606">
        <v>4.1500009999999996</v>
      </c>
      <c r="AH606">
        <v>4.1500009999999996</v>
      </c>
      <c r="AI606">
        <v>4.1333339999999996</v>
      </c>
      <c r="AJ606">
        <v>1.6667000000000001E-2</v>
      </c>
      <c r="AK606">
        <v>0</v>
      </c>
      <c r="AL606" s="76">
        <v>45565.758379629631</v>
      </c>
      <c r="AM606" s="75">
        <v>513</v>
      </c>
      <c r="AN606" t="s">
        <v>65</v>
      </c>
      <c r="AO606" t="s">
        <v>2978</v>
      </c>
      <c r="AP606" t="s">
        <v>67</v>
      </c>
      <c r="AQ606" t="s">
        <v>68</v>
      </c>
      <c r="AR606" t="s">
        <v>69</v>
      </c>
      <c r="AS606" s="78"/>
      <c r="AT606" s="82" t="s">
        <v>2650</v>
      </c>
      <c r="AU606" s="78">
        <v>2026</v>
      </c>
      <c r="AV606" s="78">
        <v>2</v>
      </c>
      <c r="AW606" s="78" t="s">
        <v>71</v>
      </c>
      <c r="AX606" s="78">
        <v>1</v>
      </c>
      <c r="AY606" s="78">
        <v>0</v>
      </c>
      <c r="BT606" s="2" t="s">
        <v>71</v>
      </c>
      <c r="BU606" s="2">
        <v>1</v>
      </c>
      <c r="BV606" s="2">
        <v>0</v>
      </c>
    </row>
    <row r="607" spans="1:74" ht="15" customHeight="1" x14ac:dyDescent="0.25">
      <c r="A607" s="75">
        <v>5846495</v>
      </c>
      <c r="B607" t="s">
        <v>2979</v>
      </c>
      <c r="C607" t="s">
        <v>2980</v>
      </c>
      <c r="D607" t="s">
        <v>150</v>
      </c>
      <c r="E607" t="s">
        <v>87</v>
      </c>
      <c r="F607" s="75">
        <v>6</v>
      </c>
      <c r="G607" s="75">
        <v>280135</v>
      </c>
      <c r="H607">
        <v>981.35</v>
      </c>
      <c r="I607" t="s">
        <v>266</v>
      </c>
      <c r="J607" s="75">
        <v>201809</v>
      </c>
      <c r="K607" t="s">
        <v>505</v>
      </c>
      <c r="L607" t="s">
        <v>506</v>
      </c>
      <c r="M607" s="81">
        <v>46079.604502314818</v>
      </c>
      <c r="N607" s="81">
        <v>46080.588321759264</v>
      </c>
      <c r="O607" t="s">
        <v>58</v>
      </c>
      <c r="P607" t="s">
        <v>59</v>
      </c>
      <c r="Q607" t="s">
        <v>90</v>
      </c>
      <c r="R607" t="s">
        <v>99</v>
      </c>
      <c r="S607" t="s">
        <v>1244</v>
      </c>
      <c r="T607" t="s">
        <v>231</v>
      </c>
      <c r="U607" s="75">
        <v>200323</v>
      </c>
      <c r="V607" t="s">
        <v>2981</v>
      </c>
      <c r="X607" t="s">
        <v>62</v>
      </c>
      <c r="Y607" t="s">
        <v>233</v>
      </c>
      <c r="AA607" t="s">
        <v>81</v>
      </c>
      <c r="AB607">
        <v>23.516667000000002</v>
      </c>
      <c r="AC607">
        <v>18.3</v>
      </c>
      <c r="AD607">
        <v>5.2166670000000002</v>
      </c>
      <c r="AE607">
        <v>1.3666670000000001</v>
      </c>
      <c r="AF607">
        <v>0</v>
      </c>
      <c r="AG607">
        <v>3.85</v>
      </c>
      <c r="AH607">
        <v>3.85</v>
      </c>
      <c r="AI607">
        <v>3.35</v>
      </c>
      <c r="AJ607">
        <v>0.5</v>
      </c>
      <c r="AK607">
        <v>0</v>
      </c>
      <c r="AL607" s="76">
        <v>44357</v>
      </c>
      <c r="AM607" s="75">
        <v>1722</v>
      </c>
      <c r="AN607" t="s">
        <v>65</v>
      </c>
      <c r="AO607" t="s">
        <v>2982</v>
      </c>
      <c r="AP607" t="s">
        <v>67</v>
      </c>
      <c r="AQ607" t="s">
        <v>68</v>
      </c>
      <c r="AR607" t="s">
        <v>69</v>
      </c>
      <c r="AS607" s="79"/>
      <c r="AT607" s="82" t="s">
        <v>2650</v>
      </c>
      <c r="AU607" s="78">
        <v>2026</v>
      </c>
      <c r="AV607" s="78">
        <v>2</v>
      </c>
      <c r="AW607" s="78" t="s">
        <v>137</v>
      </c>
      <c r="AX607" s="78">
        <v>1</v>
      </c>
      <c r="AY607" s="78">
        <v>0</v>
      </c>
      <c r="BT607" s="3" t="s">
        <v>137</v>
      </c>
      <c r="BU607" s="3">
        <v>1</v>
      </c>
      <c r="BV607" s="3">
        <v>0</v>
      </c>
    </row>
    <row r="608" spans="1:74" ht="15" customHeight="1" x14ac:dyDescent="0.25">
      <c r="A608" s="75">
        <v>5847765</v>
      </c>
      <c r="B608" t="s">
        <v>2983</v>
      </c>
      <c r="C608" t="s">
        <v>2984</v>
      </c>
      <c r="D608" t="s">
        <v>150</v>
      </c>
      <c r="E608" t="s">
        <v>87</v>
      </c>
      <c r="F608" s="75">
        <v>481</v>
      </c>
      <c r="G608" s="75">
        <v>290465</v>
      </c>
      <c r="H608">
        <v>398.82</v>
      </c>
      <c r="I608" t="s">
        <v>55</v>
      </c>
      <c r="J608" s="75">
        <v>216233</v>
      </c>
      <c r="K608" t="s">
        <v>88</v>
      </c>
      <c r="L608" t="s">
        <v>89</v>
      </c>
      <c r="M608" s="81">
        <v>46080.431250000001</v>
      </c>
      <c r="N608" s="81">
        <v>46080.618657407409</v>
      </c>
      <c r="O608" t="s">
        <v>58</v>
      </c>
      <c r="P608" t="s">
        <v>59</v>
      </c>
      <c r="Q608" t="s">
        <v>90</v>
      </c>
      <c r="R608" t="s">
        <v>131</v>
      </c>
      <c r="S608" t="s">
        <v>1316</v>
      </c>
      <c r="U608" s="75">
        <v>200649</v>
      </c>
      <c r="V608" t="s">
        <v>2985</v>
      </c>
      <c r="W608" t="s">
        <v>2985</v>
      </c>
      <c r="X608" t="s">
        <v>62</v>
      </c>
      <c r="Y608" t="s">
        <v>63</v>
      </c>
      <c r="AA608" t="s">
        <v>81</v>
      </c>
      <c r="AB608">
        <v>4.4333330000000002</v>
      </c>
      <c r="AC608">
        <v>2.8666670000000001</v>
      </c>
      <c r="AD608">
        <v>1.5666659999999999</v>
      </c>
      <c r="AE608">
        <v>0.48333300000000001</v>
      </c>
      <c r="AF608">
        <v>0</v>
      </c>
      <c r="AG608">
        <v>1.0833330000000001</v>
      </c>
      <c r="AH608">
        <v>1.0833330000000001</v>
      </c>
      <c r="AI608">
        <v>1.0833330000000001</v>
      </c>
      <c r="AJ608">
        <v>0</v>
      </c>
      <c r="AK608">
        <v>0</v>
      </c>
      <c r="AL608" s="76">
        <v>45117</v>
      </c>
      <c r="AM608" s="75">
        <v>963</v>
      </c>
      <c r="AN608" t="s">
        <v>65</v>
      </c>
      <c r="AO608" t="s">
        <v>2986</v>
      </c>
      <c r="AP608" t="s">
        <v>67</v>
      </c>
      <c r="AQ608" t="s">
        <v>68</v>
      </c>
      <c r="AR608" t="s">
        <v>69</v>
      </c>
      <c r="AS608" s="78"/>
      <c r="AT608" s="82" t="s">
        <v>2650</v>
      </c>
      <c r="AU608" s="78">
        <v>2026</v>
      </c>
      <c r="AV608" s="78">
        <v>2</v>
      </c>
      <c r="AW608" s="78" t="s">
        <v>71</v>
      </c>
      <c r="AX608" s="78">
        <v>1</v>
      </c>
      <c r="AY608" s="78">
        <v>0</v>
      </c>
      <c r="BT608" s="2" t="s">
        <v>71</v>
      </c>
      <c r="BU608" s="2">
        <v>1</v>
      </c>
      <c r="BV608" s="2">
        <v>0</v>
      </c>
    </row>
    <row r="609" spans="1:74" ht="15" customHeight="1" x14ac:dyDescent="0.25">
      <c r="A609" s="75">
        <v>5845033</v>
      </c>
      <c r="B609" t="s">
        <v>2987</v>
      </c>
      <c r="C609" t="s">
        <v>2988</v>
      </c>
      <c r="D609" t="s">
        <v>150</v>
      </c>
      <c r="E609" t="s">
        <v>54</v>
      </c>
      <c r="F609" s="75">
        <v>1</v>
      </c>
      <c r="G609" s="75">
        <v>335417</v>
      </c>
      <c r="H609">
        <v>900</v>
      </c>
      <c r="I609" t="s">
        <v>203</v>
      </c>
      <c r="J609" s="75">
        <v>226191</v>
      </c>
      <c r="K609" t="s">
        <v>2989</v>
      </c>
      <c r="L609" t="s">
        <v>2990</v>
      </c>
      <c r="M609" s="81">
        <v>46078.668865740743</v>
      </c>
      <c r="N609" s="81">
        <v>46080.638865740737</v>
      </c>
      <c r="O609" t="s">
        <v>58</v>
      </c>
      <c r="P609" t="s">
        <v>59</v>
      </c>
      <c r="Q609" t="s">
        <v>341</v>
      </c>
      <c r="R609" t="s">
        <v>99</v>
      </c>
      <c r="S609" t="s">
        <v>1375</v>
      </c>
      <c r="U609" s="75">
        <v>200305</v>
      </c>
      <c r="V609" t="s">
        <v>2991</v>
      </c>
      <c r="X609" t="s">
        <v>62</v>
      </c>
      <c r="Y609" t="s">
        <v>233</v>
      </c>
      <c r="AA609" t="s">
        <v>416</v>
      </c>
      <c r="AB609">
        <v>47.183334000000002</v>
      </c>
      <c r="AC609">
        <v>24.383333</v>
      </c>
      <c r="AD609">
        <v>22.800001000000002</v>
      </c>
      <c r="AE609">
        <v>0.16666700000000001</v>
      </c>
      <c r="AF609">
        <v>0</v>
      </c>
      <c r="AG609">
        <v>22.633334000000001</v>
      </c>
      <c r="AH609">
        <v>22.633334000000001</v>
      </c>
      <c r="AI609">
        <v>21.666667</v>
      </c>
      <c r="AJ609">
        <v>0.96666700000000005</v>
      </c>
      <c r="AK609">
        <v>0</v>
      </c>
      <c r="AL609" s="76">
        <v>45777</v>
      </c>
      <c r="AM609" s="75">
        <v>301</v>
      </c>
      <c r="AN609" t="s">
        <v>65</v>
      </c>
      <c r="AO609" t="s">
        <v>2992</v>
      </c>
      <c r="AP609" t="s">
        <v>67</v>
      </c>
      <c r="AQ609" t="s">
        <v>68</v>
      </c>
      <c r="AR609" t="s">
        <v>69</v>
      </c>
      <c r="AS609" s="79"/>
      <c r="AT609" s="82" t="s">
        <v>2650</v>
      </c>
      <c r="AU609" s="78">
        <v>2026</v>
      </c>
      <c r="AV609" s="78">
        <v>2</v>
      </c>
      <c r="AW609" s="78" t="s">
        <v>137</v>
      </c>
      <c r="AX609" s="78">
        <v>0</v>
      </c>
      <c r="AY609" s="78">
        <v>0</v>
      </c>
      <c r="BT609" s="3" t="s">
        <v>137</v>
      </c>
      <c r="BU609" s="3">
        <v>0</v>
      </c>
      <c r="BV609" s="3">
        <v>0</v>
      </c>
    </row>
    <row r="610" spans="1:74" ht="15" customHeight="1" x14ac:dyDescent="0.25">
      <c r="A610" s="75">
        <v>5845767</v>
      </c>
      <c r="B610" t="s">
        <v>2993</v>
      </c>
      <c r="C610" t="s">
        <v>2994</v>
      </c>
      <c r="D610" t="s">
        <v>2379</v>
      </c>
      <c r="E610" t="s">
        <v>87</v>
      </c>
      <c r="F610" s="75">
        <v>39</v>
      </c>
      <c r="G610" s="75">
        <v>187697</v>
      </c>
      <c r="H610">
        <v>573</v>
      </c>
      <c r="I610" t="s">
        <v>114</v>
      </c>
      <c r="J610" s="75">
        <v>6971</v>
      </c>
      <c r="K610" t="s">
        <v>369</v>
      </c>
      <c r="L610" t="s">
        <v>370</v>
      </c>
      <c r="M610" s="81">
        <v>46079.374780092592</v>
      </c>
      <c r="N610" s="81">
        <v>46080.655393518522</v>
      </c>
      <c r="O610" t="s">
        <v>58</v>
      </c>
      <c r="P610" t="s">
        <v>59</v>
      </c>
      <c r="Q610" t="s">
        <v>130</v>
      </c>
      <c r="R610" t="s">
        <v>156</v>
      </c>
      <c r="S610" t="s">
        <v>1320</v>
      </c>
      <c r="U610" s="75">
        <v>199875</v>
      </c>
      <c r="V610" t="s">
        <v>2995</v>
      </c>
      <c r="X610" t="s">
        <v>79</v>
      </c>
      <c r="Y610" t="s">
        <v>2415</v>
      </c>
      <c r="AA610" t="s">
        <v>64</v>
      </c>
      <c r="AB610">
        <v>30.683333000000001</v>
      </c>
      <c r="AC610">
        <v>24.3</v>
      </c>
      <c r="AD610">
        <v>6.3833330000000004</v>
      </c>
      <c r="AE610">
        <v>1</v>
      </c>
      <c r="AF610">
        <v>0</v>
      </c>
      <c r="AG610">
        <v>5.3833330000000004</v>
      </c>
      <c r="AH610">
        <v>5.3833330000000004</v>
      </c>
      <c r="AI610">
        <v>5.0999999999999996</v>
      </c>
      <c r="AJ610">
        <v>0.283333</v>
      </c>
      <c r="AK610">
        <v>0</v>
      </c>
      <c r="AL610" s="76">
        <v>44022</v>
      </c>
      <c r="AM610" s="75">
        <v>2057</v>
      </c>
      <c r="AN610" t="s">
        <v>65</v>
      </c>
      <c r="AO610" t="s">
        <v>2996</v>
      </c>
      <c r="AP610" t="s">
        <v>67</v>
      </c>
      <c r="AQ610" t="s">
        <v>83</v>
      </c>
      <c r="AR610" t="s">
        <v>69</v>
      </c>
      <c r="AS610" s="78"/>
      <c r="AT610" s="82" t="s">
        <v>2650</v>
      </c>
      <c r="AU610" s="78">
        <v>2026</v>
      </c>
      <c r="AV610" s="78">
        <v>2</v>
      </c>
      <c r="AW610" s="78" t="s">
        <v>84</v>
      </c>
      <c r="AX610" s="78">
        <v>1</v>
      </c>
      <c r="AY610" s="78">
        <v>0</v>
      </c>
      <c r="BT610" s="2" t="s">
        <v>84</v>
      </c>
      <c r="BU610" s="2">
        <v>1</v>
      </c>
      <c r="BV610" s="2">
        <v>0</v>
      </c>
    </row>
    <row r="611" spans="1:74" ht="15" customHeight="1" x14ac:dyDescent="0.25">
      <c r="A611" s="75">
        <v>5847717</v>
      </c>
      <c r="B611" t="s">
        <v>2997</v>
      </c>
      <c r="C611" t="s">
        <v>2998</v>
      </c>
      <c r="D611" t="s">
        <v>1555</v>
      </c>
      <c r="E611" t="s">
        <v>87</v>
      </c>
      <c r="F611" s="75">
        <v>129</v>
      </c>
      <c r="G611" s="75">
        <v>285597</v>
      </c>
      <c r="H611">
        <v>368.16</v>
      </c>
      <c r="I611" t="s">
        <v>55</v>
      </c>
      <c r="J611" s="75">
        <v>218791</v>
      </c>
      <c r="K611" t="s">
        <v>312</v>
      </c>
      <c r="L611" t="s">
        <v>313</v>
      </c>
      <c r="M611" s="81">
        <v>46080.424340277779</v>
      </c>
      <c r="N611" s="81">
        <v>46080.673634259263</v>
      </c>
      <c r="O611" t="s">
        <v>58</v>
      </c>
      <c r="P611" t="s">
        <v>59</v>
      </c>
      <c r="Q611" t="s">
        <v>90</v>
      </c>
      <c r="R611" t="s">
        <v>60</v>
      </c>
      <c r="S611" t="s">
        <v>583</v>
      </c>
      <c r="U611" s="75">
        <v>200603</v>
      </c>
      <c r="V611" t="s">
        <v>2999</v>
      </c>
      <c r="W611" t="s">
        <v>2999</v>
      </c>
      <c r="X611" t="s">
        <v>62</v>
      </c>
      <c r="Y611" t="s">
        <v>63</v>
      </c>
      <c r="AA611" t="s">
        <v>81</v>
      </c>
      <c r="AB611">
        <v>5.95</v>
      </c>
      <c r="AC611">
        <v>2.85</v>
      </c>
      <c r="AD611">
        <v>3.1</v>
      </c>
      <c r="AE611">
        <v>0.1</v>
      </c>
      <c r="AF611">
        <v>0</v>
      </c>
      <c r="AG611">
        <v>3</v>
      </c>
      <c r="AH611">
        <v>3</v>
      </c>
      <c r="AI611">
        <v>2.9166669999999999</v>
      </c>
      <c r="AJ611">
        <v>8.3333000000000004E-2</v>
      </c>
      <c r="AK611">
        <v>0</v>
      </c>
      <c r="AL611" s="76">
        <v>44897.547465277778</v>
      </c>
      <c r="AM611" s="75">
        <v>1182</v>
      </c>
      <c r="AN611" t="s">
        <v>65</v>
      </c>
      <c r="AO611" t="s">
        <v>3000</v>
      </c>
      <c r="AP611" t="s">
        <v>67</v>
      </c>
      <c r="AQ611" t="s">
        <v>68</v>
      </c>
      <c r="AR611" t="s">
        <v>69</v>
      </c>
      <c r="AS611" s="79"/>
      <c r="AT611" s="82" t="s">
        <v>2650</v>
      </c>
      <c r="AU611" s="78">
        <v>2026</v>
      </c>
      <c r="AV611" s="78">
        <v>2</v>
      </c>
      <c r="AW611" s="78" t="s">
        <v>71</v>
      </c>
      <c r="AX611" s="78">
        <v>1</v>
      </c>
      <c r="AY611" s="78">
        <v>0</v>
      </c>
      <c r="BT611" s="3" t="s">
        <v>71</v>
      </c>
      <c r="BU611" s="3">
        <v>1</v>
      </c>
      <c r="BV611" s="3">
        <v>0</v>
      </c>
    </row>
    <row r="612" spans="1:74" ht="15" customHeight="1" x14ac:dyDescent="0.25">
      <c r="A612" s="75">
        <v>5847557</v>
      </c>
      <c r="B612" t="s">
        <v>3001</v>
      </c>
      <c r="C612" t="s">
        <v>3002</v>
      </c>
      <c r="D612" t="s">
        <v>1400</v>
      </c>
      <c r="E612" t="s">
        <v>54</v>
      </c>
      <c r="F612" s="75">
        <v>4</v>
      </c>
      <c r="G612" s="75">
        <v>327235</v>
      </c>
      <c r="H612">
        <v>600</v>
      </c>
      <c r="I612" t="s">
        <v>141</v>
      </c>
      <c r="J612" s="75">
        <v>216129</v>
      </c>
      <c r="K612" t="s">
        <v>3003</v>
      </c>
      <c r="L612" t="s">
        <v>3004</v>
      </c>
      <c r="M612" s="81">
        <v>46080.396458333344</v>
      </c>
      <c r="N612" s="81">
        <v>46080.844965277778</v>
      </c>
      <c r="O612" t="s">
        <v>391</v>
      </c>
      <c r="P612" t="s">
        <v>59</v>
      </c>
      <c r="Q612" t="s">
        <v>90</v>
      </c>
      <c r="R612" t="s">
        <v>60</v>
      </c>
      <c r="S612" t="s">
        <v>1868</v>
      </c>
      <c r="U612" s="75">
        <v>200693</v>
      </c>
      <c r="V612" t="s">
        <v>3005</v>
      </c>
      <c r="W612" t="s">
        <v>3005</v>
      </c>
      <c r="X612" t="s">
        <v>79</v>
      </c>
      <c r="Y612" t="s">
        <v>224</v>
      </c>
      <c r="AA612" t="s">
        <v>81</v>
      </c>
      <c r="AB612">
        <v>10.683334</v>
      </c>
      <c r="AC612">
        <v>5.0999999999999996</v>
      </c>
      <c r="AD612">
        <v>5.5833339999999998</v>
      </c>
      <c r="AE612">
        <v>1.85</v>
      </c>
      <c r="AF612">
        <v>0</v>
      </c>
      <c r="AG612">
        <v>3.7333340000000002</v>
      </c>
      <c r="AH612">
        <v>3.7333340000000002</v>
      </c>
      <c r="AI612">
        <v>3.516667</v>
      </c>
      <c r="AJ612">
        <v>0.216667</v>
      </c>
      <c r="AK612">
        <v>0</v>
      </c>
      <c r="AL612" s="76">
        <v>45596</v>
      </c>
      <c r="AM612" s="75">
        <v>484</v>
      </c>
      <c r="AN612" t="s">
        <v>65</v>
      </c>
      <c r="AO612" t="s">
        <v>3006</v>
      </c>
      <c r="AP612" t="s">
        <v>67</v>
      </c>
      <c r="AQ612" t="s">
        <v>83</v>
      </c>
      <c r="AR612" t="s">
        <v>69</v>
      </c>
      <c r="AS612" s="78"/>
      <c r="AT612" s="82" t="s">
        <v>2650</v>
      </c>
      <c r="AU612" s="78">
        <v>2026</v>
      </c>
      <c r="AV612" s="78">
        <v>2</v>
      </c>
      <c r="AW612" s="78" t="s">
        <v>226</v>
      </c>
      <c r="AX612" s="78">
        <v>1</v>
      </c>
      <c r="AY612" s="78">
        <v>0</v>
      </c>
      <c r="BT612" s="2" t="s">
        <v>226</v>
      </c>
      <c r="BU612" s="2">
        <v>1</v>
      </c>
      <c r="BV612" s="2">
        <v>0</v>
      </c>
    </row>
    <row r="613" spans="1:74" ht="15" customHeight="1" x14ac:dyDescent="0.25">
      <c r="A613" s="75">
        <v>5847797</v>
      </c>
      <c r="B613" t="s">
        <v>3007</v>
      </c>
      <c r="C613" t="s">
        <v>325</v>
      </c>
      <c r="D613" t="s">
        <v>1555</v>
      </c>
      <c r="E613" t="s">
        <v>87</v>
      </c>
      <c r="F613" s="75">
        <v>393</v>
      </c>
      <c r="G613" s="75">
        <v>286891</v>
      </c>
      <c r="H613">
        <v>364.96</v>
      </c>
      <c r="I613" t="s">
        <v>55</v>
      </c>
      <c r="J613" s="75">
        <v>218787</v>
      </c>
      <c r="K613" t="s">
        <v>96</v>
      </c>
      <c r="L613" t="s">
        <v>97</v>
      </c>
      <c r="M613" s="81">
        <v>46080.438113425917</v>
      </c>
      <c r="N613" s="81">
        <v>46081.668923611112</v>
      </c>
      <c r="O613" t="s">
        <v>58</v>
      </c>
      <c r="P613" t="s">
        <v>59</v>
      </c>
      <c r="Q613" t="s">
        <v>90</v>
      </c>
      <c r="R613" t="s">
        <v>60</v>
      </c>
      <c r="S613" t="s">
        <v>583</v>
      </c>
      <c r="U613" s="75">
        <v>200631</v>
      </c>
      <c r="V613" t="s">
        <v>3008</v>
      </c>
      <c r="W613" t="s">
        <v>3008</v>
      </c>
      <c r="X613" t="s">
        <v>62</v>
      </c>
      <c r="Y613" t="s">
        <v>63</v>
      </c>
      <c r="AA613" t="s">
        <v>64</v>
      </c>
      <c r="AB613">
        <v>29.516667000000002</v>
      </c>
      <c r="AC613">
        <v>22.566666999999999</v>
      </c>
      <c r="AD613">
        <v>6.95</v>
      </c>
      <c r="AE613">
        <v>8.3333000000000004E-2</v>
      </c>
      <c r="AF613">
        <v>0</v>
      </c>
      <c r="AG613">
        <v>6.8666669999999996</v>
      </c>
      <c r="AH613">
        <v>6.8666669999999996</v>
      </c>
      <c r="AI613">
        <v>6.7</v>
      </c>
      <c r="AJ613">
        <v>0.16666700000000001</v>
      </c>
      <c r="AK613">
        <v>0</v>
      </c>
      <c r="AL613" s="76">
        <v>44974</v>
      </c>
      <c r="AM613" s="75">
        <v>1106</v>
      </c>
      <c r="AN613" t="s">
        <v>65</v>
      </c>
      <c r="AO613" t="s">
        <v>328</v>
      </c>
      <c r="AP613" t="s">
        <v>67</v>
      </c>
      <c r="AQ613" t="s">
        <v>68</v>
      </c>
      <c r="AR613" t="s">
        <v>69</v>
      </c>
      <c r="AS613" s="79"/>
      <c r="AT613" s="82" t="s">
        <v>2650</v>
      </c>
      <c r="AU613" s="78">
        <v>2026</v>
      </c>
      <c r="AV613" s="78">
        <v>2</v>
      </c>
      <c r="AW613" s="78" t="s">
        <v>71</v>
      </c>
      <c r="AX613" s="78">
        <v>1</v>
      </c>
      <c r="AY613" s="78">
        <v>0</v>
      </c>
      <c r="BT613" s="3" t="s">
        <v>71</v>
      </c>
      <c r="BU613" s="3">
        <v>1</v>
      </c>
      <c r="BV613" s="3">
        <v>0</v>
      </c>
    </row>
    <row r="614" spans="1:74" ht="15" customHeight="1" x14ac:dyDescent="0.25">
      <c r="A614" s="75">
        <v>5849649</v>
      </c>
      <c r="B614" t="s">
        <v>3009</v>
      </c>
      <c r="C614" t="s">
        <v>3010</v>
      </c>
      <c r="D614" t="s">
        <v>2379</v>
      </c>
      <c r="E614" t="s">
        <v>54</v>
      </c>
      <c r="F614" s="75">
        <v>4</v>
      </c>
      <c r="G614" s="75">
        <v>302271</v>
      </c>
      <c r="H614">
        <v>360.5</v>
      </c>
      <c r="I614" t="s">
        <v>114</v>
      </c>
      <c r="J614" s="75">
        <v>204321</v>
      </c>
      <c r="K614" t="s">
        <v>376</v>
      </c>
      <c r="L614" t="s">
        <v>377</v>
      </c>
      <c r="M614" s="81">
        <v>46081.512789351851</v>
      </c>
      <c r="N614" s="81">
        <v>46082.658622685187</v>
      </c>
      <c r="O614" t="s">
        <v>58</v>
      </c>
      <c r="P614" t="s">
        <v>59</v>
      </c>
      <c r="Q614" t="s">
        <v>130</v>
      </c>
      <c r="R614" t="s">
        <v>131</v>
      </c>
      <c r="S614" t="s">
        <v>1273</v>
      </c>
      <c r="U614" s="75">
        <v>201159</v>
      </c>
      <c r="V614" t="s">
        <v>3011</v>
      </c>
      <c r="W614" t="s">
        <v>3011</v>
      </c>
      <c r="X614" t="s">
        <v>62</v>
      </c>
      <c r="Y614" t="s">
        <v>63</v>
      </c>
      <c r="AA614" t="s">
        <v>101</v>
      </c>
      <c r="AB614">
        <v>27.45</v>
      </c>
      <c r="AC614">
        <v>18.866667</v>
      </c>
      <c r="AD614">
        <v>8.5833329999999997</v>
      </c>
      <c r="AE614">
        <v>0</v>
      </c>
      <c r="AF614">
        <v>0</v>
      </c>
      <c r="AG614">
        <v>8.5833329999999997</v>
      </c>
      <c r="AH614">
        <v>8.5833329999999997</v>
      </c>
      <c r="AI614">
        <v>8.25</v>
      </c>
      <c r="AJ614">
        <v>0.33333299999999999</v>
      </c>
      <c r="AK614">
        <v>0</v>
      </c>
      <c r="AL614" s="76">
        <v>45427</v>
      </c>
      <c r="AM614" s="75">
        <v>654</v>
      </c>
      <c r="AN614" t="s">
        <v>65</v>
      </c>
      <c r="AO614" t="s">
        <v>3012</v>
      </c>
      <c r="AP614" t="s">
        <v>67</v>
      </c>
      <c r="AQ614" t="s">
        <v>68</v>
      </c>
      <c r="AR614" t="s">
        <v>69</v>
      </c>
      <c r="AS614" s="78"/>
      <c r="AT614" s="82" t="s">
        <v>2650</v>
      </c>
      <c r="AU614" s="78">
        <v>2026</v>
      </c>
      <c r="AV614" s="78">
        <v>3</v>
      </c>
      <c r="AW614" s="78" t="s">
        <v>71</v>
      </c>
      <c r="AX614" s="78">
        <v>0</v>
      </c>
      <c r="AY614" s="78">
        <v>0</v>
      </c>
      <c r="BT614" s="2" t="s">
        <v>71</v>
      </c>
      <c r="BU614" s="2">
        <v>0</v>
      </c>
      <c r="BV614" s="2">
        <v>0</v>
      </c>
    </row>
    <row r="615" spans="1:74" ht="15" customHeight="1" x14ac:dyDescent="0.25">
      <c r="A615" s="75">
        <v>5844993</v>
      </c>
      <c r="B615" t="s">
        <v>3013</v>
      </c>
      <c r="C615" t="s">
        <v>3014</v>
      </c>
      <c r="D615" t="s">
        <v>2602</v>
      </c>
      <c r="E615" t="s">
        <v>87</v>
      </c>
      <c r="F615" s="75">
        <v>837</v>
      </c>
      <c r="G615" s="75">
        <v>251113</v>
      </c>
      <c r="H615">
        <v>2641</v>
      </c>
      <c r="I615" t="s">
        <v>55</v>
      </c>
      <c r="J615" s="75">
        <v>204393</v>
      </c>
      <c r="K615" t="s">
        <v>215</v>
      </c>
      <c r="L615" t="s">
        <v>216</v>
      </c>
      <c r="M615" s="81">
        <v>46078.654780092591</v>
      </c>
      <c r="N615" s="81">
        <v>46082.663229166668</v>
      </c>
      <c r="O615" t="s">
        <v>58</v>
      </c>
      <c r="P615" t="s">
        <v>59</v>
      </c>
      <c r="Q615" t="s">
        <v>130</v>
      </c>
      <c r="R615" t="s">
        <v>60</v>
      </c>
      <c r="S615" t="s">
        <v>583</v>
      </c>
      <c r="U615" s="75">
        <v>200307</v>
      </c>
      <c r="V615" t="s">
        <v>3015</v>
      </c>
      <c r="W615" t="s">
        <v>3015</v>
      </c>
      <c r="X615" t="s">
        <v>62</v>
      </c>
      <c r="Y615" t="s">
        <v>63</v>
      </c>
      <c r="AA615" t="s">
        <v>416</v>
      </c>
      <c r="AB615">
        <v>96.016666000000001</v>
      </c>
      <c r="AC615">
        <v>80.633332999999993</v>
      </c>
      <c r="AD615">
        <v>15.383333</v>
      </c>
      <c r="AE615">
        <v>2.2833329999999998</v>
      </c>
      <c r="AF615">
        <v>0</v>
      </c>
      <c r="AG615">
        <v>13.1</v>
      </c>
      <c r="AH615">
        <v>13.1</v>
      </c>
      <c r="AI615">
        <v>4.3</v>
      </c>
      <c r="AJ615">
        <v>8.8000000000000007</v>
      </c>
      <c r="AK615">
        <v>0</v>
      </c>
      <c r="AL615" s="76">
        <v>44733</v>
      </c>
      <c r="AM615" s="75">
        <v>1345</v>
      </c>
      <c r="AN615" t="s">
        <v>65</v>
      </c>
      <c r="AO615" t="s">
        <v>3016</v>
      </c>
      <c r="AP615" t="s">
        <v>67</v>
      </c>
      <c r="AQ615" t="s">
        <v>68</v>
      </c>
      <c r="AR615" t="s">
        <v>69</v>
      </c>
      <c r="AS615" s="79"/>
      <c r="AT615" s="82" t="s">
        <v>2650</v>
      </c>
      <c r="AU615" s="78">
        <v>2026</v>
      </c>
      <c r="AV615" s="78">
        <v>3</v>
      </c>
      <c r="AW615" s="78" t="s">
        <v>71</v>
      </c>
      <c r="AX615" s="78">
        <v>0</v>
      </c>
      <c r="AY615" s="78">
        <v>0</v>
      </c>
      <c r="BT615" s="3" t="s">
        <v>71</v>
      </c>
      <c r="BU615" s="3">
        <v>0</v>
      </c>
      <c r="BV615" s="3">
        <v>0</v>
      </c>
    </row>
    <row r="616" spans="1:74" ht="15" customHeight="1" x14ac:dyDescent="0.25">
      <c r="A616" s="75">
        <v>5847183</v>
      </c>
      <c r="B616" t="s">
        <v>3017</v>
      </c>
      <c r="C616" t="s">
        <v>2617</v>
      </c>
      <c r="D616" t="s">
        <v>2602</v>
      </c>
      <c r="E616" t="s">
        <v>87</v>
      </c>
      <c r="F616" s="75">
        <v>62</v>
      </c>
      <c r="G616" s="75">
        <v>280125</v>
      </c>
      <c r="H616">
        <v>623.5</v>
      </c>
      <c r="I616" t="s">
        <v>266</v>
      </c>
      <c r="J616" s="75">
        <v>203659</v>
      </c>
      <c r="K616" t="s">
        <v>1090</v>
      </c>
      <c r="L616" t="s">
        <v>1091</v>
      </c>
      <c r="M616" s="81">
        <v>46080.180844907409</v>
      </c>
      <c r="N616" s="81">
        <v>46082.665925925918</v>
      </c>
      <c r="O616" t="s">
        <v>58</v>
      </c>
      <c r="P616" t="s">
        <v>59</v>
      </c>
      <c r="Q616" t="s">
        <v>90</v>
      </c>
      <c r="R616" t="s">
        <v>156</v>
      </c>
      <c r="S616" t="s">
        <v>1320</v>
      </c>
      <c r="U616" s="75">
        <v>200283</v>
      </c>
      <c r="V616" t="s">
        <v>3018</v>
      </c>
      <c r="W616" t="s">
        <v>3018</v>
      </c>
      <c r="X616" t="s">
        <v>62</v>
      </c>
      <c r="Y616" t="s">
        <v>1049</v>
      </c>
      <c r="AA616" t="s">
        <v>101</v>
      </c>
      <c r="AB616">
        <v>59.550001000000002</v>
      </c>
      <c r="AC616">
        <v>50.666666999999997</v>
      </c>
      <c r="AD616">
        <v>8.8833339999999996</v>
      </c>
      <c r="AE616">
        <v>0.7</v>
      </c>
      <c r="AF616">
        <v>0</v>
      </c>
      <c r="AG616">
        <v>8.1833340000000003</v>
      </c>
      <c r="AH616">
        <v>8.1833340000000003</v>
      </c>
      <c r="AI616">
        <v>7.25</v>
      </c>
      <c r="AJ616">
        <v>0.933334</v>
      </c>
      <c r="AK616">
        <v>0</v>
      </c>
      <c r="AL616" s="76">
        <v>44804</v>
      </c>
      <c r="AM616" s="75">
        <v>1276</v>
      </c>
      <c r="AN616" t="s">
        <v>65</v>
      </c>
      <c r="AO616" t="s">
        <v>2619</v>
      </c>
      <c r="AP616" t="s">
        <v>67</v>
      </c>
      <c r="AQ616" t="s">
        <v>68</v>
      </c>
      <c r="AR616" t="s">
        <v>69</v>
      </c>
      <c r="AS616" s="78"/>
      <c r="AT616" s="82" t="s">
        <v>2650</v>
      </c>
      <c r="AU616" s="78">
        <v>2026</v>
      </c>
      <c r="AV616" s="78">
        <v>3</v>
      </c>
      <c r="AW616" s="78" t="s">
        <v>137</v>
      </c>
      <c r="AX616" s="78">
        <v>0</v>
      </c>
      <c r="AY616" s="78">
        <v>0</v>
      </c>
      <c r="BT616" s="2" t="s">
        <v>137</v>
      </c>
      <c r="BU616" s="2">
        <v>0</v>
      </c>
      <c r="BV616" s="2">
        <v>0</v>
      </c>
    </row>
    <row r="617" spans="1:74" ht="15" customHeight="1" x14ac:dyDescent="0.25">
      <c r="A617" s="75">
        <v>5848935</v>
      </c>
      <c r="B617" t="s">
        <v>3019</v>
      </c>
      <c r="C617" t="s">
        <v>2434</v>
      </c>
      <c r="D617" t="s">
        <v>1388</v>
      </c>
      <c r="E617" t="s">
        <v>54</v>
      </c>
      <c r="F617" s="75">
        <v>1</v>
      </c>
      <c r="G617" s="75">
        <v>301545</v>
      </c>
      <c r="H617">
        <v>0.01</v>
      </c>
      <c r="I617" t="s">
        <v>55</v>
      </c>
      <c r="J617" s="75">
        <v>219553</v>
      </c>
      <c r="K617" t="s">
        <v>1962</v>
      </c>
      <c r="L617" t="s">
        <v>1963</v>
      </c>
      <c r="M617" s="81">
        <v>46080.653460648151</v>
      </c>
      <c r="N617" s="81">
        <v>46083.373854166668</v>
      </c>
      <c r="O617" t="s">
        <v>391</v>
      </c>
      <c r="P617" t="s">
        <v>59</v>
      </c>
      <c r="Q617" t="s">
        <v>90</v>
      </c>
      <c r="R617" t="s">
        <v>99</v>
      </c>
      <c r="S617" t="s">
        <v>1244</v>
      </c>
      <c r="U617" s="75">
        <v>200963</v>
      </c>
      <c r="V617" t="s">
        <v>3020</v>
      </c>
      <c r="W617" t="s">
        <v>3020</v>
      </c>
      <c r="X617" t="s">
        <v>62</v>
      </c>
      <c r="Y617" t="s">
        <v>271</v>
      </c>
      <c r="AA617" t="s">
        <v>81</v>
      </c>
      <c r="AB617">
        <v>65.216667000000001</v>
      </c>
      <c r="AC617">
        <v>62.816667000000002</v>
      </c>
      <c r="AD617">
        <v>2.4</v>
      </c>
      <c r="AE617">
        <v>1.216666</v>
      </c>
      <c r="AF617">
        <v>0</v>
      </c>
      <c r="AG617">
        <v>1.1833340000000001</v>
      </c>
      <c r="AH617">
        <v>1.1833340000000001</v>
      </c>
      <c r="AI617">
        <v>0.88333399999999995</v>
      </c>
      <c r="AJ617">
        <v>0.3</v>
      </c>
      <c r="AK617">
        <v>0</v>
      </c>
      <c r="AL617" s="76">
        <v>45379</v>
      </c>
      <c r="AM617" s="75">
        <v>701</v>
      </c>
      <c r="AN617" t="s">
        <v>65</v>
      </c>
      <c r="AO617" t="s">
        <v>1966</v>
      </c>
      <c r="AP617" t="s">
        <v>67</v>
      </c>
      <c r="AQ617" t="s">
        <v>68</v>
      </c>
      <c r="AR617" t="s">
        <v>69</v>
      </c>
      <c r="AS617" s="79"/>
      <c r="AT617" s="82" t="s">
        <v>3021</v>
      </c>
      <c r="AU617" s="78">
        <v>2026</v>
      </c>
      <c r="AV617" s="78">
        <v>3</v>
      </c>
      <c r="AW617" s="78" t="s">
        <v>137</v>
      </c>
      <c r="AX617" s="78">
        <v>1</v>
      </c>
      <c r="AY617" s="78">
        <v>0</v>
      </c>
      <c r="BT617" s="3" t="s">
        <v>137</v>
      </c>
      <c r="BU617" s="3">
        <v>1</v>
      </c>
      <c r="BV617" s="3">
        <v>0</v>
      </c>
    </row>
    <row r="618" spans="1:74" ht="15" customHeight="1" x14ac:dyDescent="0.25">
      <c r="A618" s="75">
        <v>5849497</v>
      </c>
      <c r="B618" t="s">
        <v>3022</v>
      </c>
      <c r="C618" t="s">
        <v>1033</v>
      </c>
      <c r="D618" t="s">
        <v>527</v>
      </c>
      <c r="E618" t="s">
        <v>87</v>
      </c>
      <c r="F618" s="75">
        <v>1</v>
      </c>
      <c r="G618" s="75">
        <v>255313</v>
      </c>
      <c r="H618">
        <v>7075</v>
      </c>
      <c r="I618" t="s">
        <v>880</v>
      </c>
      <c r="J618" s="75">
        <v>204713</v>
      </c>
      <c r="K618" t="s">
        <v>1034</v>
      </c>
      <c r="L618" t="s">
        <v>1035</v>
      </c>
      <c r="M618" s="81">
        <v>46081.437881944446</v>
      </c>
      <c r="N618" s="81">
        <v>46083.398946759262</v>
      </c>
      <c r="O618" t="s">
        <v>58</v>
      </c>
      <c r="P618" t="s">
        <v>59</v>
      </c>
      <c r="Q618" t="s">
        <v>90</v>
      </c>
      <c r="R618" t="s">
        <v>99</v>
      </c>
      <c r="S618" t="s">
        <v>1244</v>
      </c>
      <c r="U618" s="75">
        <v>201401</v>
      </c>
      <c r="V618" t="s">
        <v>3023</v>
      </c>
      <c r="W618" t="s">
        <v>3023</v>
      </c>
      <c r="X618" t="s">
        <v>118</v>
      </c>
      <c r="Y618" t="s">
        <v>119</v>
      </c>
      <c r="AA618" t="s">
        <v>81</v>
      </c>
      <c r="AB618">
        <v>46.983333000000002</v>
      </c>
      <c r="AC618">
        <v>44.266666000000001</v>
      </c>
      <c r="AD618">
        <v>2.7166670000000002</v>
      </c>
      <c r="AE618">
        <v>1.4666669999999999</v>
      </c>
      <c r="AF618">
        <v>0</v>
      </c>
      <c r="AG618">
        <v>1.25</v>
      </c>
      <c r="AH618">
        <v>1.25</v>
      </c>
      <c r="AI618">
        <v>0.43333300000000002</v>
      </c>
      <c r="AJ618">
        <v>0.81666700000000003</v>
      </c>
      <c r="AK618">
        <v>0</v>
      </c>
      <c r="AL618" s="76">
        <v>45160.595625000002</v>
      </c>
      <c r="AM618" s="75">
        <v>920</v>
      </c>
      <c r="AN618" t="s">
        <v>65</v>
      </c>
      <c r="AO618" t="s">
        <v>1037</v>
      </c>
      <c r="AP618" t="s">
        <v>67</v>
      </c>
      <c r="AQ618" t="s">
        <v>121</v>
      </c>
      <c r="AR618" t="s">
        <v>69</v>
      </c>
      <c r="AS618" s="78"/>
      <c r="AT618" s="82" t="s">
        <v>3021</v>
      </c>
      <c r="AU618" s="78">
        <v>2026</v>
      </c>
      <c r="AV618" s="78">
        <v>3</v>
      </c>
      <c r="AW618" s="78" t="s">
        <v>122</v>
      </c>
      <c r="AX618" s="78">
        <v>1</v>
      </c>
      <c r="AY618" s="78">
        <v>0</v>
      </c>
      <c r="BT618" s="2" t="s">
        <v>122</v>
      </c>
      <c r="BU618" s="2">
        <v>1</v>
      </c>
      <c r="BV618" s="2">
        <v>0</v>
      </c>
    </row>
    <row r="619" spans="1:74" ht="15" customHeight="1" x14ac:dyDescent="0.25">
      <c r="A619" s="75">
        <v>5845131</v>
      </c>
      <c r="B619" t="s">
        <v>3024</v>
      </c>
      <c r="C619" t="s">
        <v>3025</v>
      </c>
      <c r="D619" t="s">
        <v>2379</v>
      </c>
      <c r="E619" t="s">
        <v>87</v>
      </c>
      <c r="F619" s="75">
        <v>467</v>
      </c>
      <c r="G619" s="75">
        <v>301869</v>
      </c>
      <c r="H619">
        <v>731.55</v>
      </c>
      <c r="I619" t="s">
        <v>55</v>
      </c>
      <c r="J619" s="75">
        <v>49495</v>
      </c>
      <c r="K619" t="s">
        <v>460</v>
      </c>
      <c r="L619" t="s">
        <v>461</v>
      </c>
      <c r="M619" s="81">
        <v>46078.701782407406</v>
      </c>
      <c r="N619" s="81">
        <v>46083.422210648147</v>
      </c>
      <c r="O619" t="s">
        <v>58</v>
      </c>
      <c r="P619" t="s">
        <v>59</v>
      </c>
      <c r="Q619" t="s">
        <v>90</v>
      </c>
      <c r="R619" t="s">
        <v>144</v>
      </c>
      <c r="S619" t="s">
        <v>3026</v>
      </c>
      <c r="T619" t="s">
        <v>2942</v>
      </c>
      <c r="U619" s="75">
        <v>200315</v>
      </c>
      <c r="V619" t="s">
        <v>3027</v>
      </c>
      <c r="X619" t="s">
        <v>62</v>
      </c>
      <c r="Y619" t="s">
        <v>2944</v>
      </c>
      <c r="AA619" t="s">
        <v>101</v>
      </c>
      <c r="AB619">
        <v>113.19999900000001</v>
      </c>
      <c r="AC619">
        <v>98.933333000000005</v>
      </c>
      <c r="AD619">
        <v>14.266666000000001</v>
      </c>
      <c r="AE619">
        <v>3.266667</v>
      </c>
      <c r="AF619">
        <v>0</v>
      </c>
      <c r="AG619">
        <v>10.999999000000001</v>
      </c>
      <c r="AH619">
        <v>10.999999000000001</v>
      </c>
      <c r="AI619">
        <v>9.8000000000000007</v>
      </c>
      <c r="AJ619">
        <v>1.199999</v>
      </c>
      <c r="AK619">
        <v>0</v>
      </c>
      <c r="AL619" s="76">
        <v>45387</v>
      </c>
      <c r="AM619" s="75">
        <v>691</v>
      </c>
      <c r="AN619" t="s">
        <v>65</v>
      </c>
      <c r="AO619" t="s">
        <v>3028</v>
      </c>
      <c r="AP619" t="s">
        <v>67</v>
      </c>
      <c r="AQ619" t="s">
        <v>68</v>
      </c>
      <c r="AR619" t="s">
        <v>69</v>
      </c>
      <c r="AS619" s="79"/>
      <c r="AT619" s="82" t="s">
        <v>3021</v>
      </c>
      <c r="AU619" s="78">
        <v>2026</v>
      </c>
      <c r="AV619" s="78">
        <v>3</v>
      </c>
      <c r="AW619" s="78" t="s">
        <v>137</v>
      </c>
      <c r="AX619" s="78">
        <v>0</v>
      </c>
      <c r="AY619" s="78">
        <v>0</v>
      </c>
      <c r="BT619" s="3" t="s">
        <v>137</v>
      </c>
      <c r="BU619" s="3">
        <v>0</v>
      </c>
      <c r="BV619" s="3">
        <v>0</v>
      </c>
    </row>
    <row r="620" spans="1:74" ht="15" customHeight="1" x14ac:dyDescent="0.25">
      <c r="A620" s="75">
        <v>5849761</v>
      </c>
      <c r="B620" t="s">
        <v>3029</v>
      </c>
      <c r="C620" t="s">
        <v>3030</v>
      </c>
      <c r="D620" t="s">
        <v>527</v>
      </c>
      <c r="E620" t="s">
        <v>87</v>
      </c>
      <c r="F620" s="75">
        <v>871</v>
      </c>
      <c r="G620" s="75">
        <v>322241</v>
      </c>
      <c r="H620">
        <v>899.9</v>
      </c>
      <c r="I620" t="s">
        <v>114</v>
      </c>
      <c r="J620" s="75">
        <v>19913</v>
      </c>
      <c r="K620" t="s">
        <v>2336</v>
      </c>
      <c r="L620" t="s">
        <v>2337</v>
      </c>
      <c r="M620" s="81">
        <v>46081.636296296303</v>
      </c>
      <c r="N620" s="81">
        <v>46083.512824074067</v>
      </c>
      <c r="O620" t="s">
        <v>554</v>
      </c>
      <c r="P620" t="s">
        <v>59</v>
      </c>
      <c r="Q620" t="s">
        <v>130</v>
      </c>
      <c r="R620" t="s">
        <v>99</v>
      </c>
      <c r="S620" t="s">
        <v>1244</v>
      </c>
      <c r="U620" s="75">
        <v>201783</v>
      </c>
      <c r="V620" t="s">
        <v>3031</v>
      </c>
      <c r="X620" t="s">
        <v>62</v>
      </c>
      <c r="Y620" t="s">
        <v>2297</v>
      </c>
      <c r="AA620" t="s">
        <v>101</v>
      </c>
      <c r="AB620">
        <v>44.983333999999999</v>
      </c>
      <c r="AC620">
        <v>35.783332999999999</v>
      </c>
      <c r="AD620">
        <v>9.2000010000000003</v>
      </c>
      <c r="AE620">
        <v>0.91666700000000001</v>
      </c>
      <c r="AF620">
        <v>0</v>
      </c>
      <c r="AG620">
        <v>8.283334</v>
      </c>
      <c r="AH620">
        <v>8.283334</v>
      </c>
      <c r="AI620">
        <v>4</v>
      </c>
      <c r="AJ620">
        <v>4.283334</v>
      </c>
      <c r="AK620">
        <v>0</v>
      </c>
      <c r="AL620" s="76">
        <v>45504.596215277779</v>
      </c>
      <c r="AM620" s="75">
        <v>577</v>
      </c>
      <c r="AN620" t="s">
        <v>65</v>
      </c>
      <c r="AO620" t="s">
        <v>2465</v>
      </c>
      <c r="AP620" t="s">
        <v>67</v>
      </c>
      <c r="AQ620" t="s">
        <v>68</v>
      </c>
      <c r="AR620" t="s">
        <v>69</v>
      </c>
      <c r="AS620" s="78"/>
      <c r="AT620" s="82" t="s">
        <v>3021</v>
      </c>
      <c r="AU620" s="78">
        <v>2026</v>
      </c>
      <c r="AV620" s="78">
        <v>3</v>
      </c>
      <c r="AW620" s="78" t="s">
        <v>137</v>
      </c>
      <c r="AX620" s="78">
        <v>0</v>
      </c>
      <c r="AY620" s="78">
        <v>0</v>
      </c>
      <c r="BT620" s="2" t="s">
        <v>137</v>
      </c>
      <c r="BU620" s="2">
        <v>0</v>
      </c>
      <c r="BV620" s="2">
        <v>0</v>
      </c>
    </row>
    <row r="621" spans="1:74" ht="15" customHeight="1" x14ac:dyDescent="0.25">
      <c r="A621" s="75">
        <v>5848955</v>
      </c>
      <c r="B621" t="s">
        <v>3032</v>
      </c>
      <c r="C621" t="s">
        <v>3033</v>
      </c>
      <c r="D621" t="s">
        <v>1555</v>
      </c>
      <c r="E621" t="s">
        <v>54</v>
      </c>
      <c r="F621" s="75">
        <v>899</v>
      </c>
      <c r="G621" s="75">
        <v>295375</v>
      </c>
      <c r="H621">
        <v>449</v>
      </c>
      <c r="I621" t="s">
        <v>114</v>
      </c>
      <c r="J621" s="75">
        <v>4341</v>
      </c>
      <c r="K621" t="s">
        <v>2092</v>
      </c>
      <c r="L621" t="s">
        <v>2093</v>
      </c>
      <c r="M621" s="81">
        <v>46080.665590277778</v>
      </c>
      <c r="N621" s="81">
        <v>46083.621666666673</v>
      </c>
      <c r="O621" t="s">
        <v>58</v>
      </c>
      <c r="P621" t="s">
        <v>59</v>
      </c>
      <c r="Q621" t="s">
        <v>130</v>
      </c>
      <c r="R621" t="s">
        <v>60</v>
      </c>
      <c r="S621" t="s">
        <v>583</v>
      </c>
      <c r="U621" s="75">
        <v>201013</v>
      </c>
      <c r="V621" t="s">
        <v>3034</v>
      </c>
      <c r="W621" t="s">
        <v>3035</v>
      </c>
      <c r="X621" t="s">
        <v>118</v>
      </c>
      <c r="Y621" t="s">
        <v>1468</v>
      </c>
      <c r="AA621" t="s">
        <v>81</v>
      </c>
      <c r="AB621">
        <v>70.883332999999993</v>
      </c>
      <c r="AC621">
        <v>67.666666000000006</v>
      </c>
      <c r="AD621">
        <v>3.2166670000000002</v>
      </c>
      <c r="AE621">
        <v>0.58333299999999999</v>
      </c>
      <c r="AF621">
        <v>0</v>
      </c>
      <c r="AG621">
        <v>2.6333340000000001</v>
      </c>
      <c r="AH621">
        <v>2.6333340000000001</v>
      </c>
      <c r="AI621">
        <v>2.5666669999999998</v>
      </c>
      <c r="AJ621">
        <v>6.6667000000000004E-2</v>
      </c>
      <c r="AK621">
        <v>0</v>
      </c>
      <c r="AL621" s="76">
        <v>45317</v>
      </c>
      <c r="AM621" s="75">
        <v>763</v>
      </c>
      <c r="AN621" t="s">
        <v>65</v>
      </c>
      <c r="AO621" t="s">
        <v>3036</v>
      </c>
      <c r="AP621" t="s">
        <v>67</v>
      </c>
      <c r="AQ621" t="s">
        <v>121</v>
      </c>
      <c r="AR621" t="s">
        <v>69</v>
      </c>
      <c r="AS621" s="79"/>
      <c r="AT621" s="82" t="s">
        <v>3021</v>
      </c>
      <c r="AU621" s="78">
        <v>2026</v>
      </c>
      <c r="AV621" s="78">
        <v>3</v>
      </c>
      <c r="AW621" s="78" t="s">
        <v>347</v>
      </c>
      <c r="AX621" s="78">
        <v>1</v>
      </c>
      <c r="AY621" s="78">
        <v>0</v>
      </c>
      <c r="BT621" s="3" t="s">
        <v>347</v>
      </c>
      <c r="BU621" s="3">
        <v>1</v>
      </c>
      <c r="BV621" s="3">
        <v>0</v>
      </c>
    </row>
    <row r="622" spans="1:74" ht="15" customHeight="1" x14ac:dyDescent="0.25">
      <c r="A622" s="75">
        <v>5849857</v>
      </c>
      <c r="B622" t="s">
        <v>3037</v>
      </c>
      <c r="C622" t="s">
        <v>1335</v>
      </c>
      <c r="D622" t="s">
        <v>527</v>
      </c>
      <c r="E622" t="s">
        <v>87</v>
      </c>
      <c r="F622" s="75">
        <v>8</v>
      </c>
      <c r="G622" s="75">
        <v>248497</v>
      </c>
      <c r="H622">
        <v>225.86</v>
      </c>
      <c r="I622" t="s">
        <v>55</v>
      </c>
      <c r="J622" s="75">
        <v>77293</v>
      </c>
      <c r="K622" t="s">
        <v>1292</v>
      </c>
      <c r="L622" t="s">
        <v>1293</v>
      </c>
      <c r="M622" s="81">
        <v>46081.78502314815</v>
      </c>
      <c r="N622" s="81">
        <v>46083.63553240741</v>
      </c>
      <c r="O622" t="s">
        <v>277</v>
      </c>
      <c r="P622" t="s">
        <v>59</v>
      </c>
      <c r="Q622" t="s">
        <v>90</v>
      </c>
      <c r="R622" t="s">
        <v>144</v>
      </c>
      <c r="S622" t="s">
        <v>1491</v>
      </c>
      <c r="U622" s="75">
        <v>201865</v>
      </c>
      <c r="V622" t="s">
        <v>3038</v>
      </c>
      <c r="W622" t="s">
        <v>3038</v>
      </c>
      <c r="X622" t="s">
        <v>79</v>
      </c>
      <c r="Y622" t="s">
        <v>110</v>
      </c>
      <c r="AA622" t="s">
        <v>416</v>
      </c>
      <c r="AB622">
        <v>44.316667000000002</v>
      </c>
      <c r="AC622">
        <v>22.366667</v>
      </c>
      <c r="AD622">
        <v>21.95</v>
      </c>
      <c r="AE622">
        <v>9.4</v>
      </c>
      <c r="AF622">
        <v>0</v>
      </c>
      <c r="AG622">
        <v>12.55</v>
      </c>
      <c r="AH622">
        <v>12.55</v>
      </c>
      <c r="AI622">
        <v>11.683332999999999</v>
      </c>
      <c r="AJ622">
        <v>0.86666699999999997</v>
      </c>
      <c r="AK622">
        <v>0</v>
      </c>
      <c r="AL622" s="76">
        <v>44802</v>
      </c>
      <c r="AM622" s="75">
        <v>1279</v>
      </c>
      <c r="AN622" t="s">
        <v>65</v>
      </c>
      <c r="AO622" t="s">
        <v>1337</v>
      </c>
      <c r="AP622" t="s">
        <v>67</v>
      </c>
      <c r="AQ622" t="s">
        <v>83</v>
      </c>
      <c r="AR622" t="s">
        <v>69</v>
      </c>
      <c r="AS622" s="78"/>
      <c r="AT622" s="82" t="s">
        <v>3021</v>
      </c>
      <c r="AU622" s="78">
        <v>2026</v>
      </c>
      <c r="AV622" s="78">
        <v>3</v>
      </c>
      <c r="AW622" s="78" t="s">
        <v>84</v>
      </c>
      <c r="AX622" s="78">
        <v>0</v>
      </c>
      <c r="AY622" s="78">
        <v>0</v>
      </c>
      <c r="BT622" s="2" t="s">
        <v>84</v>
      </c>
      <c r="BU622" s="2">
        <v>0</v>
      </c>
      <c r="BV622" s="2">
        <v>0</v>
      </c>
    </row>
    <row r="623" spans="1:74" ht="15" customHeight="1" x14ac:dyDescent="0.25">
      <c r="A623" s="75">
        <v>5848967</v>
      </c>
      <c r="B623" t="s">
        <v>3039</v>
      </c>
      <c r="C623" t="s">
        <v>3040</v>
      </c>
      <c r="D623" t="s">
        <v>1555</v>
      </c>
      <c r="E623" t="s">
        <v>54</v>
      </c>
      <c r="F623" s="75">
        <v>948</v>
      </c>
      <c r="G623" s="75">
        <v>345979</v>
      </c>
      <c r="H623">
        <v>650</v>
      </c>
      <c r="I623" t="s">
        <v>141</v>
      </c>
      <c r="J623" s="75">
        <v>4341</v>
      </c>
      <c r="K623" t="s">
        <v>2092</v>
      </c>
      <c r="L623" t="s">
        <v>2093</v>
      </c>
      <c r="M623" s="81">
        <v>46080.669386574067</v>
      </c>
      <c r="N623" s="81">
        <v>46083.72216435185</v>
      </c>
      <c r="O623" t="s">
        <v>58</v>
      </c>
      <c r="P623" t="s">
        <v>59</v>
      </c>
      <c r="Q623" t="s">
        <v>130</v>
      </c>
      <c r="R623" t="s">
        <v>60</v>
      </c>
      <c r="S623" t="s">
        <v>583</v>
      </c>
      <c r="U623" s="75">
        <v>201011</v>
      </c>
      <c r="V623" t="s">
        <v>3041</v>
      </c>
      <c r="W623" t="s">
        <v>3042</v>
      </c>
      <c r="X623" t="s">
        <v>118</v>
      </c>
      <c r="Y623" t="s">
        <v>1468</v>
      </c>
      <c r="AA623" t="s">
        <v>81</v>
      </c>
      <c r="AB623">
        <v>73.216666000000004</v>
      </c>
      <c r="AC623">
        <v>70.116665999999995</v>
      </c>
      <c r="AD623">
        <v>3.1</v>
      </c>
      <c r="AE623">
        <v>0.35</v>
      </c>
      <c r="AF623">
        <v>0</v>
      </c>
      <c r="AG623">
        <v>2.75</v>
      </c>
      <c r="AH623">
        <v>2.75</v>
      </c>
      <c r="AI623">
        <v>2.6833330000000002</v>
      </c>
      <c r="AJ623">
        <v>6.6667000000000004E-2</v>
      </c>
      <c r="AK623">
        <v>0</v>
      </c>
      <c r="AL623" s="76">
        <v>45930</v>
      </c>
      <c r="AM623" s="75">
        <v>150</v>
      </c>
      <c r="AN623" t="s">
        <v>65</v>
      </c>
      <c r="AO623" t="s">
        <v>3043</v>
      </c>
      <c r="AP623" t="s">
        <v>67</v>
      </c>
      <c r="AQ623" t="s">
        <v>121</v>
      </c>
      <c r="AR623" t="s">
        <v>69</v>
      </c>
      <c r="AS623" s="79"/>
      <c r="AT623" s="82" t="s">
        <v>3021</v>
      </c>
      <c r="AU623" s="78">
        <v>2026</v>
      </c>
      <c r="AV623" s="78">
        <v>3</v>
      </c>
      <c r="AW623" s="78" t="s">
        <v>347</v>
      </c>
      <c r="AX623" s="78">
        <v>1</v>
      </c>
      <c r="AY623" s="78">
        <v>0</v>
      </c>
      <c r="BT623" s="3" t="s">
        <v>347</v>
      </c>
      <c r="BU623" s="3">
        <v>1</v>
      </c>
      <c r="BV623" s="3">
        <v>0</v>
      </c>
    </row>
    <row r="624" spans="1:74" ht="15" customHeight="1" x14ac:dyDescent="0.25">
      <c r="A624" s="75">
        <v>5849063</v>
      </c>
      <c r="B624" t="s">
        <v>3044</v>
      </c>
      <c r="C624" t="s">
        <v>3045</v>
      </c>
      <c r="D624" t="s">
        <v>1555</v>
      </c>
      <c r="E624" t="s">
        <v>54</v>
      </c>
      <c r="F624" s="75">
        <v>1</v>
      </c>
      <c r="G624" s="75">
        <v>283815</v>
      </c>
      <c r="H624">
        <v>850</v>
      </c>
      <c r="I624" t="s">
        <v>242</v>
      </c>
      <c r="J624" s="75">
        <v>55277</v>
      </c>
      <c r="K624" t="s">
        <v>2445</v>
      </c>
      <c r="L624" t="s">
        <v>2446</v>
      </c>
      <c r="M624" s="81">
        <v>46080.715798611112</v>
      </c>
      <c r="N624" s="81">
        <v>46083.725057870368</v>
      </c>
      <c r="O624" t="s">
        <v>58</v>
      </c>
      <c r="P624" t="s">
        <v>59</v>
      </c>
      <c r="Q624" t="s">
        <v>130</v>
      </c>
      <c r="R624" t="s">
        <v>60</v>
      </c>
      <c r="S624" t="s">
        <v>583</v>
      </c>
      <c r="U624" s="75">
        <v>200965</v>
      </c>
      <c r="V624" t="s">
        <v>3046</v>
      </c>
      <c r="W624" t="s">
        <v>3046</v>
      </c>
      <c r="X624" t="s">
        <v>118</v>
      </c>
      <c r="Y624" t="s">
        <v>119</v>
      </c>
      <c r="AA624" t="s">
        <v>81</v>
      </c>
      <c r="AB624">
        <v>72.183334000000002</v>
      </c>
      <c r="AC624">
        <v>71.866667000000007</v>
      </c>
      <c r="AD624">
        <v>0.31666699999999998</v>
      </c>
      <c r="AE624">
        <v>0.15</v>
      </c>
      <c r="AF624">
        <v>0</v>
      </c>
      <c r="AG624">
        <v>0.16666700000000001</v>
      </c>
      <c r="AH624">
        <v>0.16666700000000001</v>
      </c>
      <c r="AI624">
        <v>0</v>
      </c>
      <c r="AJ624">
        <v>0.16666700000000001</v>
      </c>
      <c r="AK624">
        <v>0</v>
      </c>
      <c r="AL624" s="76">
        <v>44835.324282407397</v>
      </c>
      <c r="AM624" s="75">
        <v>1245</v>
      </c>
      <c r="AN624" t="s">
        <v>65</v>
      </c>
      <c r="AO624" t="s">
        <v>2449</v>
      </c>
      <c r="AP624" t="s">
        <v>67</v>
      </c>
      <c r="AQ624" t="s">
        <v>121</v>
      </c>
      <c r="AR624" t="s">
        <v>69</v>
      </c>
      <c r="AS624" s="78"/>
      <c r="AT624" s="82" t="s">
        <v>3021</v>
      </c>
      <c r="AU624" s="78">
        <v>2026</v>
      </c>
      <c r="AV624" s="78">
        <v>3</v>
      </c>
      <c r="AW624" s="78" t="s">
        <v>122</v>
      </c>
      <c r="AX624" s="78">
        <v>1</v>
      </c>
      <c r="AY624" s="78">
        <v>0</v>
      </c>
      <c r="BT624" s="2" t="s">
        <v>122</v>
      </c>
      <c r="BU624" s="2">
        <v>1</v>
      </c>
      <c r="BV624" s="2">
        <v>0</v>
      </c>
    </row>
    <row r="625" spans="1:74" ht="15" customHeight="1" x14ac:dyDescent="0.25">
      <c r="A625" s="75">
        <v>5848963</v>
      </c>
      <c r="B625" t="s">
        <v>3047</v>
      </c>
      <c r="C625" t="s">
        <v>574</v>
      </c>
      <c r="D625" t="s">
        <v>1400</v>
      </c>
      <c r="E625" t="s">
        <v>87</v>
      </c>
      <c r="F625" s="75">
        <v>13</v>
      </c>
      <c r="G625" s="75">
        <v>290927</v>
      </c>
      <c r="H625">
        <v>2914.74</v>
      </c>
      <c r="I625" t="s">
        <v>114</v>
      </c>
      <c r="J625" s="75">
        <v>52957</v>
      </c>
      <c r="K625" t="s">
        <v>575</v>
      </c>
      <c r="L625" t="s">
        <v>576</v>
      </c>
      <c r="M625" s="81">
        <v>46080.667870370373</v>
      </c>
      <c r="N625" s="81">
        <v>46083.768472222233</v>
      </c>
      <c r="O625" t="s">
        <v>391</v>
      </c>
      <c r="P625" t="s">
        <v>59</v>
      </c>
      <c r="Q625" t="s">
        <v>77</v>
      </c>
      <c r="R625" t="s">
        <v>131</v>
      </c>
      <c r="S625" t="s">
        <v>1695</v>
      </c>
      <c r="U625" s="75">
        <v>201751</v>
      </c>
      <c r="V625" t="s">
        <v>3048</v>
      </c>
      <c r="W625" t="s">
        <v>3049</v>
      </c>
      <c r="X625" t="s">
        <v>118</v>
      </c>
      <c r="Y625" t="s">
        <v>579</v>
      </c>
      <c r="AA625" t="s">
        <v>64</v>
      </c>
      <c r="AB625">
        <v>74.333333999999994</v>
      </c>
      <c r="AC625">
        <v>69.733333999999999</v>
      </c>
      <c r="AD625">
        <v>4.5999999999999996</v>
      </c>
      <c r="AE625">
        <v>0.5</v>
      </c>
      <c r="AF625">
        <v>0</v>
      </c>
      <c r="AG625">
        <v>4.0999999999999996</v>
      </c>
      <c r="AH625">
        <v>4.0999999999999996</v>
      </c>
      <c r="AI625">
        <v>3.8666670000000001</v>
      </c>
      <c r="AJ625">
        <v>0.23333300000000001</v>
      </c>
      <c r="AK625">
        <v>0</v>
      </c>
      <c r="AL625" s="76">
        <v>45244</v>
      </c>
      <c r="AM625" s="75">
        <v>836</v>
      </c>
      <c r="AN625" t="s">
        <v>65</v>
      </c>
      <c r="AO625" t="s">
        <v>580</v>
      </c>
      <c r="AP625" t="s">
        <v>67</v>
      </c>
      <c r="AQ625" t="s">
        <v>121</v>
      </c>
      <c r="AR625" t="s">
        <v>69</v>
      </c>
      <c r="AS625" s="79"/>
      <c r="AT625" s="82" t="s">
        <v>3021</v>
      </c>
      <c r="AU625" s="78">
        <v>2026</v>
      </c>
      <c r="AV625" s="78">
        <v>3</v>
      </c>
      <c r="AW625" s="78" t="s">
        <v>347</v>
      </c>
      <c r="AX625" s="78">
        <v>1</v>
      </c>
      <c r="AY625" s="78">
        <v>0</v>
      </c>
      <c r="BT625" s="3" t="s">
        <v>347</v>
      </c>
      <c r="BU625" s="3">
        <v>1</v>
      </c>
      <c r="BV625" s="3">
        <v>0</v>
      </c>
    </row>
    <row r="626" spans="1:74" ht="15" customHeight="1" x14ac:dyDescent="0.25">
      <c r="A626" s="75">
        <v>5850241</v>
      </c>
      <c r="B626" t="s">
        <v>3050</v>
      </c>
      <c r="C626" t="s">
        <v>3051</v>
      </c>
      <c r="D626" t="s">
        <v>1052</v>
      </c>
      <c r="E626" t="s">
        <v>105</v>
      </c>
      <c r="F626" s="75">
        <v>863</v>
      </c>
      <c r="G626" s="75">
        <v>326521</v>
      </c>
      <c r="H626">
        <v>1050.01</v>
      </c>
      <c r="I626" t="s">
        <v>55</v>
      </c>
      <c r="J626" s="75">
        <v>82709</v>
      </c>
      <c r="K626" t="s">
        <v>683</v>
      </c>
      <c r="L626" t="s">
        <v>684</v>
      </c>
      <c r="M626" s="81">
        <v>46082.618391203701</v>
      </c>
      <c r="N626" s="81">
        <v>46083.769745370373</v>
      </c>
      <c r="O626" t="s">
        <v>58</v>
      </c>
      <c r="P626" t="s">
        <v>59</v>
      </c>
      <c r="Q626" t="s">
        <v>90</v>
      </c>
      <c r="R626" t="s">
        <v>60</v>
      </c>
      <c r="S626" t="s">
        <v>583</v>
      </c>
      <c r="U626" s="75">
        <v>201789</v>
      </c>
      <c r="V626" t="s">
        <v>3052</v>
      </c>
      <c r="W626" t="s">
        <v>3053</v>
      </c>
      <c r="X626" t="s">
        <v>79</v>
      </c>
      <c r="Y626" t="s">
        <v>110</v>
      </c>
      <c r="AA626" t="s">
        <v>101</v>
      </c>
      <c r="AB626">
        <v>27.55</v>
      </c>
      <c r="AC626">
        <v>16.350000000000001</v>
      </c>
      <c r="AD626">
        <v>11.2</v>
      </c>
      <c r="AE626">
        <v>0.183333</v>
      </c>
      <c r="AF626">
        <v>0</v>
      </c>
      <c r="AG626">
        <v>11.016667</v>
      </c>
      <c r="AH626">
        <v>11.016667</v>
      </c>
      <c r="AI626">
        <v>10.916667</v>
      </c>
      <c r="AJ626">
        <v>0.1</v>
      </c>
      <c r="AK626">
        <v>0</v>
      </c>
      <c r="AL626" s="76">
        <v>45626.000011574077</v>
      </c>
      <c r="AM626" s="75">
        <v>456</v>
      </c>
      <c r="AN626" t="s">
        <v>65</v>
      </c>
      <c r="AO626" t="s">
        <v>3054</v>
      </c>
      <c r="AP626" t="s">
        <v>67</v>
      </c>
      <c r="AQ626" t="s">
        <v>83</v>
      </c>
      <c r="AR626" t="s">
        <v>69</v>
      </c>
      <c r="AS626" s="78"/>
      <c r="AT626" s="82" t="s">
        <v>3021</v>
      </c>
      <c r="AU626" s="78">
        <v>2026</v>
      </c>
      <c r="AV626" s="78">
        <v>3</v>
      </c>
      <c r="AW626" s="78" t="s">
        <v>84</v>
      </c>
      <c r="AX626" s="78">
        <v>0</v>
      </c>
      <c r="AY626" s="78">
        <v>0</v>
      </c>
      <c r="BT626" s="2" t="s">
        <v>84</v>
      </c>
      <c r="BU626" s="2">
        <v>0</v>
      </c>
      <c r="BV626" s="2">
        <v>0</v>
      </c>
    </row>
    <row r="627" spans="1:74" ht="15" customHeight="1" x14ac:dyDescent="0.25">
      <c r="A627" s="75">
        <v>5850193</v>
      </c>
      <c r="B627" t="s">
        <v>3055</v>
      </c>
      <c r="C627" t="s">
        <v>3056</v>
      </c>
      <c r="D627" t="s">
        <v>1388</v>
      </c>
      <c r="E627" t="s">
        <v>87</v>
      </c>
      <c r="F627" s="75">
        <v>501</v>
      </c>
      <c r="G627" s="75">
        <v>291225</v>
      </c>
      <c r="H627">
        <v>364.95</v>
      </c>
      <c r="I627" t="s">
        <v>55</v>
      </c>
      <c r="J627" s="75">
        <v>218787</v>
      </c>
      <c r="K627" t="s">
        <v>96</v>
      </c>
      <c r="L627" t="s">
        <v>97</v>
      </c>
      <c r="M627" s="81">
        <v>46082.521249999998</v>
      </c>
      <c r="N627" s="81">
        <v>46084.364062499997</v>
      </c>
      <c r="O627" t="s">
        <v>58</v>
      </c>
      <c r="P627" t="s">
        <v>59</v>
      </c>
      <c r="Q627" t="s">
        <v>90</v>
      </c>
      <c r="R627" t="s">
        <v>99</v>
      </c>
      <c r="S627" t="s">
        <v>1244</v>
      </c>
      <c r="U627" s="75">
        <v>201407</v>
      </c>
      <c r="V627" t="s">
        <v>3057</v>
      </c>
      <c r="W627" t="s">
        <v>3057</v>
      </c>
      <c r="X627" t="s">
        <v>62</v>
      </c>
      <c r="Y627" t="s">
        <v>63</v>
      </c>
      <c r="AA627" t="s">
        <v>101</v>
      </c>
      <c r="AB627">
        <v>44.133333999999998</v>
      </c>
      <c r="AC627">
        <v>32.016666999999998</v>
      </c>
      <c r="AD627">
        <v>12.116667</v>
      </c>
      <c r="AE627">
        <v>0.2</v>
      </c>
      <c r="AF627">
        <v>0</v>
      </c>
      <c r="AG627">
        <v>11.916667</v>
      </c>
      <c r="AH627">
        <v>11.916667</v>
      </c>
      <c r="AI627">
        <v>11.65</v>
      </c>
      <c r="AJ627">
        <v>0.26666699999999999</v>
      </c>
      <c r="AK627">
        <v>0</v>
      </c>
      <c r="AL627" s="76">
        <v>45118</v>
      </c>
      <c r="AM627" s="75">
        <v>964</v>
      </c>
      <c r="AN627" t="s">
        <v>65</v>
      </c>
      <c r="AO627" t="s">
        <v>3058</v>
      </c>
      <c r="AP627" t="s">
        <v>67</v>
      </c>
      <c r="AQ627" t="s">
        <v>68</v>
      </c>
      <c r="AR627" t="s">
        <v>69</v>
      </c>
      <c r="AS627" s="79"/>
      <c r="AT627" s="82" t="s">
        <v>3021</v>
      </c>
      <c r="AU627" s="78">
        <v>2026</v>
      </c>
      <c r="AV627" s="78">
        <v>3</v>
      </c>
      <c r="AW627" s="78" t="s">
        <v>71</v>
      </c>
      <c r="AX627" s="78">
        <v>0</v>
      </c>
      <c r="AY627" s="78">
        <v>0</v>
      </c>
      <c r="BT627" s="3" t="s">
        <v>71</v>
      </c>
      <c r="BU627" s="3">
        <v>0</v>
      </c>
      <c r="BV627" s="3">
        <v>0</v>
      </c>
    </row>
    <row r="628" spans="1:74" ht="15" customHeight="1" x14ac:dyDescent="0.25">
      <c r="A628" s="75">
        <v>5846539</v>
      </c>
      <c r="B628" t="s">
        <v>3059</v>
      </c>
      <c r="C628" t="s">
        <v>3060</v>
      </c>
      <c r="D628" t="s">
        <v>1555</v>
      </c>
      <c r="E628" t="s">
        <v>87</v>
      </c>
      <c r="F628" s="75">
        <v>51</v>
      </c>
      <c r="G628" s="75">
        <v>283209</v>
      </c>
      <c r="H628">
        <v>1300</v>
      </c>
      <c r="I628" t="s">
        <v>266</v>
      </c>
      <c r="J628" s="75">
        <v>204531</v>
      </c>
      <c r="K628" t="s">
        <v>3061</v>
      </c>
      <c r="L628" t="s">
        <v>3062</v>
      </c>
      <c r="M628" s="81">
        <v>46079.618634259263</v>
      </c>
      <c r="N628" s="81">
        <v>46084.453576388893</v>
      </c>
      <c r="O628" t="s">
        <v>58</v>
      </c>
      <c r="P628" t="s">
        <v>59</v>
      </c>
      <c r="Q628" t="s">
        <v>90</v>
      </c>
      <c r="R628" t="s">
        <v>60</v>
      </c>
      <c r="S628" t="s">
        <v>583</v>
      </c>
      <c r="U628" s="75">
        <v>200163</v>
      </c>
      <c r="V628" t="s">
        <v>3063</v>
      </c>
      <c r="W628" t="s">
        <v>3064</v>
      </c>
      <c r="X628" t="s">
        <v>79</v>
      </c>
      <c r="Y628" t="s">
        <v>2415</v>
      </c>
      <c r="AA628" t="s">
        <v>416</v>
      </c>
      <c r="AB628">
        <v>115.96666500000001</v>
      </c>
      <c r="AC628">
        <v>100.4</v>
      </c>
      <c r="AD628">
        <v>15.566665</v>
      </c>
      <c r="AE628">
        <v>0.316666</v>
      </c>
      <c r="AF628">
        <v>0</v>
      </c>
      <c r="AG628">
        <v>15.249999000000001</v>
      </c>
      <c r="AH628">
        <v>15.249999000000001</v>
      </c>
      <c r="AI628">
        <v>14.316666</v>
      </c>
      <c r="AJ628">
        <v>0.93333299999999997</v>
      </c>
      <c r="AK628">
        <v>0</v>
      </c>
      <c r="AL628" s="76">
        <v>44540</v>
      </c>
      <c r="AM628" s="75">
        <v>1539</v>
      </c>
      <c r="AN628" t="s">
        <v>65</v>
      </c>
      <c r="AO628" t="s">
        <v>3065</v>
      </c>
      <c r="AP628" t="s">
        <v>67</v>
      </c>
      <c r="AQ628" t="s">
        <v>83</v>
      </c>
      <c r="AR628" t="s">
        <v>69</v>
      </c>
      <c r="AS628" s="78"/>
      <c r="AT628" s="82" t="s">
        <v>3021</v>
      </c>
      <c r="AU628" s="78">
        <v>2026</v>
      </c>
      <c r="AV628" s="78">
        <v>3</v>
      </c>
      <c r="AW628" s="78" t="s">
        <v>84</v>
      </c>
      <c r="AX628" s="78">
        <v>0</v>
      </c>
      <c r="AY628" s="78">
        <v>0</v>
      </c>
      <c r="BT628" s="2" t="s">
        <v>84</v>
      </c>
      <c r="BU628" s="2">
        <v>0</v>
      </c>
      <c r="BV628" s="2">
        <v>0</v>
      </c>
    </row>
    <row r="629" spans="1:74" ht="15" customHeight="1" x14ac:dyDescent="0.25">
      <c r="A629" s="75">
        <v>5850529</v>
      </c>
      <c r="B629" t="s">
        <v>3066</v>
      </c>
      <c r="C629" t="s">
        <v>3067</v>
      </c>
      <c r="D629" t="s">
        <v>809</v>
      </c>
      <c r="E629" t="s">
        <v>87</v>
      </c>
      <c r="F629" s="75">
        <v>867</v>
      </c>
      <c r="G629" s="75">
        <v>296409</v>
      </c>
      <c r="H629">
        <v>0.1</v>
      </c>
      <c r="I629" t="s">
        <v>853</v>
      </c>
      <c r="J629" s="75">
        <v>43919</v>
      </c>
      <c r="K629" t="s">
        <v>3068</v>
      </c>
      <c r="L629" t="s">
        <v>3069</v>
      </c>
      <c r="M629" s="81">
        <v>46083.329872685194</v>
      </c>
      <c r="N629" s="81">
        <v>46084.528715277767</v>
      </c>
      <c r="O629" t="s">
        <v>554</v>
      </c>
      <c r="P629" t="s">
        <v>59</v>
      </c>
      <c r="Q629" t="s">
        <v>77</v>
      </c>
      <c r="R629" t="s">
        <v>144</v>
      </c>
      <c r="S629" t="s">
        <v>1794</v>
      </c>
      <c r="U629" s="75">
        <v>202923</v>
      </c>
      <c r="V629" t="s">
        <v>3070</v>
      </c>
      <c r="W629" t="s">
        <v>3071</v>
      </c>
      <c r="X629" t="s">
        <v>79</v>
      </c>
      <c r="Y629" t="s">
        <v>2415</v>
      </c>
      <c r="AA629" t="s">
        <v>101</v>
      </c>
      <c r="AB629">
        <v>28.699998999999998</v>
      </c>
      <c r="AC629">
        <v>16.616667</v>
      </c>
      <c r="AD629">
        <v>12.083332</v>
      </c>
      <c r="AE629">
        <v>0.4</v>
      </c>
      <c r="AF629">
        <v>0</v>
      </c>
      <c r="AG629">
        <v>11.683332</v>
      </c>
      <c r="AH629">
        <v>11.683332</v>
      </c>
      <c r="AI629">
        <v>11.049999</v>
      </c>
      <c r="AJ629">
        <v>0.63333300000000003</v>
      </c>
      <c r="AK629">
        <v>0</v>
      </c>
      <c r="AL629" s="76">
        <v>45398</v>
      </c>
      <c r="AM629" s="75">
        <v>685</v>
      </c>
      <c r="AN629" t="s">
        <v>65</v>
      </c>
      <c r="AO629" t="s">
        <v>3072</v>
      </c>
      <c r="AP629" t="s">
        <v>67</v>
      </c>
      <c r="AQ629" t="s">
        <v>83</v>
      </c>
      <c r="AR629" t="s">
        <v>69</v>
      </c>
      <c r="AS629" s="79"/>
      <c r="AT629" s="82" t="s">
        <v>3021</v>
      </c>
      <c r="AU629" s="78">
        <v>2026</v>
      </c>
      <c r="AV629" s="78">
        <v>3</v>
      </c>
      <c r="AW629" s="78" t="s">
        <v>84</v>
      </c>
      <c r="AX629" s="78">
        <v>0</v>
      </c>
      <c r="AY629" s="78">
        <v>0</v>
      </c>
      <c r="BT629" s="3" t="s">
        <v>84</v>
      </c>
      <c r="BU629" s="3">
        <v>0</v>
      </c>
      <c r="BV629" s="3">
        <v>0</v>
      </c>
    </row>
    <row r="630" spans="1:74" ht="15" customHeight="1" x14ac:dyDescent="0.25">
      <c r="A630" s="75">
        <v>5850181</v>
      </c>
      <c r="B630" t="s">
        <v>3073</v>
      </c>
      <c r="C630" t="s">
        <v>3074</v>
      </c>
      <c r="D630" t="s">
        <v>2379</v>
      </c>
      <c r="E630" t="s">
        <v>87</v>
      </c>
      <c r="F630" s="75">
        <v>134</v>
      </c>
      <c r="G630" s="75">
        <v>342045</v>
      </c>
      <c r="H630">
        <v>490</v>
      </c>
      <c r="I630" t="s">
        <v>175</v>
      </c>
      <c r="J630" s="75">
        <v>203659</v>
      </c>
      <c r="K630" t="s">
        <v>1090</v>
      </c>
      <c r="L630" t="s">
        <v>1091</v>
      </c>
      <c r="M630" s="81">
        <v>46082.500289351847</v>
      </c>
      <c r="N630" s="81">
        <v>46084.588750000003</v>
      </c>
      <c r="O630" t="s">
        <v>58</v>
      </c>
      <c r="P630" t="s">
        <v>59</v>
      </c>
      <c r="Q630" t="s">
        <v>90</v>
      </c>
      <c r="R630" t="s">
        <v>99</v>
      </c>
      <c r="S630" t="s">
        <v>1244</v>
      </c>
      <c r="T630" t="s">
        <v>507</v>
      </c>
      <c r="U630" s="75">
        <v>201409</v>
      </c>
      <c r="V630" t="s">
        <v>3075</v>
      </c>
      <c r="W630" t="s">
        <v>3075</v>
      </c>
      <c r="X630" t="s">
        <v>62</v>
      </c>
      <c r="Y630" t="s">
        <v>3076</v>
      </c>
      <c r="AA630" t="s">
        <v>64</v>
      </c>
      <c r="AB630">
        <v>50.049999</v>
      </c>
      <c r="AC630">
        <v>43.533332999999999</v>
      </c>
      <c r="AD630">
        <v>6.5166659999999998</v>
      </c>
      <c r="AE630">
        <v>2.2666659999999998</v>
      </c>
      <c r="AF630">
        <v>0</v>
      </c>
      <c r="AG630">
        <v>4.25</v>
      </c>
      <c r="AH630">
        <v>4.25</v>
      </c>
      <c r="AI630">
        <v>4.1333330000000004</v>
      </c>
      <c r="AJ630">
        <v>0.11666700000000001</v>
      </c>
      <c r="AK630">
        <v>0</v>
      </c>
      <c r="AL630" s="76">
        <v>45959.68922453704</v>
      </c>
      <c r="AM630" s="75">
        <v>122</v>
      </c>
      <c r="AN630" t="s">
        <v>65</v>
      </c>
      <c r="AO630" t="s">
        <v>3077</v>
      </c>
      <c r="AP630" t="s">
        <v>67</v>
      </c>
      <c r="AQ630" t="s">
        <v>68</v>
      </c>
      <c r="AR630" t="s">
        <v>69</v>
      </c>
      <c r="AS630" s="78"/>
      <c r="AT630" s="82" t="s">
        <v>3021</v>
      </c>
      <c r="AU630" s="78">
        <v>2026</v>
      </c>
      <c r="AV630" s="78">
        <v>3</v>
      </c>
      <c r="AW630" s="78" t="s">
        <v>137</v>
      </c>
      <c r="AX630" s="78">
        <v>1</v>
      </c>
      <c r="AY630" s="78">
        <v>0</v>
      </c>
      <c r="BT630" s="2" t="s">
        <v>137</v>
      </c>
      <c r="BU630" s="2">
        <v>1</v>
      </c>
      <c r="BV630" s="2">
        <v>0</v>
      </c>
    </row>
    <row r="631" spans="1:74" ht="15" customHeight="1" x14ac:dyDescent="0.25">
      <c r="A631" s="75">
        <v>5851151</v>
      </c>
      <c r="B631" t="s">
        <v>3078</v>
      </c>
      <c r="C631" t="s">
        <v>812</v>
      </c>
      <c r="D631" t="s">
        <v>1388</v>
      </c>
      <c r="E631" t="s">
        <v>87</v>
      </c>
      <c r="F631" s="75">
        <v>607</v>
      </c>
      <c r="G631" s="75">
        <v>341061</v>
      </c>
      <c r="H631">
        <v>364.96</v>
      </c>
      <c r="I631" t="s">
        <v>175</v>
      </c>
      <c r="J631" s="75">
        <v>218787</v>
      </c>
      <c r="K631" t="s">
        <v>96</v>
      </c>
      <c r="L631" t="s">
        <v>97</v>
      </c>
      <c r="M631" s="81">
        <v>46083.472766203697</v>
      </c>
      <c r="N631" s="81">
        <v>46084.601666666669</v>
      </c>
      <c r="O631" t="s">
        <v>3079</v>
      </c>
      <c r="P631" t="s">
        <v>59</v>
      </c>
      <c r="Q631" t="s">
        <v>90</v>
      </c>
      <c r="R631" t="s">
        <v>99</v>
      </c>
      <c r="S631" t="s">
        <v>1244</v>
      </c>
      <c r="U631" s="75">
        <v>201973</v>
      </c>
      <c r="V631" t="s">
        <v>3080</v>
      </c>
      <c r="X631" t="s">
        <v>62</v>
      </c>
      <c r="Y631" t="s">
        <v>63</v>
      </c>
      <c r="AA631" t="s">
        <v>295</v>
      </c>
      <c r="AB631">
        <v>27.033332999999999</v>
      </c>
      <c r="AC631">
        <v>0</v>
      </c>
      <c r="AD631">
        <v>27.033332999999999</v>
      </c>
      <c r="AE631">
        <v>0.46666600000000003</v>
      </c>
      <c r="AF631">
        <v>0</v>
      </c>
      <c r="AG631">
        <v>26.566666999999999</v>
      </c>
      <c r="AI631">
        <v>1.766667</v>
      </c>
      <c r="AJ631">
        <v>24.8</v>
      </c>
      <c r="AK631">
        <v>0</v>
      </c>
      <c r="AL631" s="76">
        <v>45814</v>
      </c>
      <c r="AM631" s="75">
        <v>269</v>
      </c>
      <c r="AN631" t="s">
        <v>65</v>
      </c>
      <c r="AO631" t="s">
        <v>815</v>
      </c>
      <c r="AP631" t="s">
        <v>67</v>
      </c>
      <c r="AQ631" t="s">
        <v>68</v>
      </c>
      <c r="AR631" t="s">
        <v>69</v>
      </c>
      <c r="AS631" s="79"/>
      <c r="AT631" s="82" t="s">
        <v>3021</v>
      </c>
      <c r="AU631" s="78">
        <v>2026</v>
      </c>
      <c r="AV631" s="78">
        <v>3</v>
      </c>
      <c r="AW631" s="78" t="s">
        <v>71</v>
      </c>
      <c r="AX631" s="78">
        <v>0</v>
      </c>
      <c r="AY631" s="78">
        <v>1</v>
      </c>
      <c r="BT631" s="3" t="s">
        <v>71</v>
      </c>
      <c r="BU631" s="3">
        <v>0</v>
      </c>
      <c r="BV631" s="3">
        <v>1</v>
      </c>
    </row>
    <row r="632" spans="1:74" ht="15" customHeight="1" x14ac:dyDescent="0.25">
      <c r="A632" s="75">
        <v>5851497</v>
      </c>
      <c r="B632" t="s">
        <v>3081</v>
      </c>
      <c r="C632" t="s">
        <v>3082</v>
      </c>
      <c r="D632" t="s">
        <v>53</v>
      </c>
      <c r="E632" t="s">
        <v>126</v>
      </c>
      <c r="F632" s="75">
        <v>1</v>
      </c>
      <c r="G632" s="75">
        <v>331109</v>
      </c>
      <c r="H632">
        <v>4700</v>
      </c>
      <c r="I632" t="s">
        <v>141</v>
      </c>
      <c r="J632" s="75">
        <v>225259</v>
      </c>
      <c r="K632" t="s">
        <v>3083</v>
      </c>
      <c r="L632" t="s">
        <v>3084</v>
      </c>
      <c r="M632" s="81">
        <v>46083.608298611107</v>
      </c>
      <c r="N632" s="81">
        <v>46084.62090277778</v>
      </c>
      <c r="O632" t="s">
        <v>58</v>
      </c>
      <c r="P632" t="s">
        <v>59</v>
      </c>
      <c r="Q632" t="s">
        <v>130</v>
      </c>
      <c r="R632" t="s">
        <v>60</v>
      </c>
      <c r="S632" t="s">
        <v>583</v>
      </c>
      <c r="U632" s="75">
        <v>202455</v>
      </c>
      <c r="V632" t="s">
        <v>3085</v>
      </c>
      <c r="W632" t="s">
        <v>3085</v>
      </c>
      <c r="X632" t="s">
        <v>118</v>
      </c>
      <c r="Y632" t="s">
        <v>3086</v>
      </c>
      <c r="AA632" t="s">
        <v>101</v>
      </c>
      <c r="AB632">
        <v>24.216667999999999</v>
      </c>
      <c r="AC632">
        <v>14.816667000000001</v>
      </c>
      <c r="AD632">
        <v>9.4000009999999996</v>
      </c>
      <c r="AE632">
        <v>0.26666699999999999</v>
      </c>
      <c r="AF632">
        <v>0</v>
      </c>
      <c r="AG632">
        <v>9.1333339999999996</v>
      </c>
      <c r="AH632">
        <v>9.1333339999999996</v>
      </c>
      <c r="AI632">
        <v>8.550001</v>
      </c>
      <c r="AJ632">
        <v>0.58333299999999999</v>
      </c>
      <c r="AK632">
        <v>0</v>
      </c>
      <c r="AL632" s="76">
        <v>45684</v>
      </c>
      <c r="AM632" s="75">
        <v>399</v>
      </c>
      <c r="AN632" t="s">
        <v>65</v>
      </c>
      <c r="AO632" t="s">
        <v>3087</v>
      </c>
      <c r="AP632" t="s">
        <v>67</v>
      </c>
      <c r="AQ632" t="s">
        <v>121</v>
      </c>
      <c r="AR632" t="s">
        <v>69</v>
      </c>
      <c r="AS632" s="78"/>
      <c r="AT632" s="82" t="s">
        <v>3021</v>
      </c>
      <c r="AU632" s="78">
        <v>2026</v>
      </c>
      <c r="AV632" s="78">
        <v>3</v>
      </c>
      <c r="AW632" s="78" t="s">
        <v>347</v>
      </c>
      <c r="AX632" s="78">
        <v>0</v>
      </c>
      <c r="AY632" s="78">
        <v>0</v>
      </c>
      <c r="BT632" s="2" t="s">
        <v>347</v>
      </c>
      <c r="BU632" s="2">
        <v>0</v>
      </c>
      <c r="BV632" s="2">
        <v>0</v>
      </c>
    </row>
    <row r="633" spans="1:74" ht="15" customHeight="1" x14ac:dyDescent="0.25">
      <c r="A633" s="75">
        <v>5849157</v>
      </c>
      <c r="B633" t="s">
        <v>3088</v>
      </c>
      <c r="C633" t="s">
        <v>3089</v>
      </c>
      <c r="D633" t="s">
        <v>2379</v>
      </c>
      <c r="E633" t="s">
        <v>87</v>
      </c>
      <c r="F633" s="75">
        <v>40</v>
      </c>
      <c r="G633" s="75">
        <v>279711</v>
      </c>
      <c r="H633">
        <v>516.22</v>
      </c>
      <c r="I633" t="s">
        <v>266</v>
      </c>
      <c r="J633" s="75">
        <v>149307</v>
      </c>
      <c r="K633" t="s">
        <v>350</v>
      </c>
      <c r="L633" t="s">
        <v>351</v>
      </c>
      <c r="M633" s="81">
        <v>46080.819837962961</v>
      </c>
      <c r="N633" s="81">
        <v>46084.622719907413</v>
      </c>
      <c r="O633" t="s">
        <v>58</v>
      </c>
      <c r="P633" t="s">
        <v>59</v>
      </c>
      <c r="Q633" t="s">
        <v>90</v>
      </c>
      <c r="R633" t="s">
        <v>99</v>
      </c>
      <c r="S633" t="s">
        <v>1244</v>
      </c>
      <c r="T633" t="s">
        <v>3090</v>
      </c>
      <c r="U633" s="75">
        <v>201395</v>
      </c>
      <c r="V633" t="s">
        <v>3091</v>
      </c>
      <c r="W633" t="s">
        <v>3091</v>
      </c>
      <c r="X633" t="s">
        <v>62</v>
      </c>
      <c r="Y633" t="s">
        <v>3076</v>
      </c>
      <c r="AA633" t="s">
        <v>81</v>
      </c>
      <c r="AB633">
        <v>91.216666000000004</v>
      </c>
      <c r="AC633">
        <v>87.816665999999998</v>
      </c>
      <c r="AD633">
        <v>3.4</v>
      </c>
      <c r="AE633">
        <v>0.31666699999999998</v>
      </c>
      <c r="AF633">
        <v>0</v>
      </c>
      <c r="AG633">
        <v>3.0833330000000001</v>
      </c>
      <c r="AH633">
        <v>3.0833330000000001</v>
      </c>
      <c r="AI633">
        <v>2.9166660000000002</v>
      </c>
      <c r="AJ633">
        <v>0.16666700000000001</v>
      </c>
      <c r="AK633">
        <v>0</v>
      </c>
      <c r="AL633" s="76">
        <v>44803</v>
      </c>
      <c r="AM633" s="75">
        <v>1277</v>
      </c>
      <c r="AN633" t="s">
        <v>65</v>
      </c>
      <c r="AO633" t="s">
        <v>3092</v>
      </c>
      <c r="AP633" t="s">
        <v>67</v>
      </c>
      <c r="AQ633" t="s">
        <v>68</v>
      </c>
      <c r="AR633" t="s">
        <v>69</v>
      </c>
      <c r="AS633" s="79"/>
      <c r="AT633" s="82" t="s">
        <v>3021</v>
      </c>
      <c r="AU633" s="78">
        <v>2026</v>
      </c>
      <c r="AV633" s="78">
        <v>3</v>
      </c>
      <c r="AW633" s="78" t="s">
        <v>137</v>
      </c>
      <c r="AX633" s="78">
        <v>1</v>
      </c>
      <c r="AY633" s="78">
        <v>0</v>
      </c>
      <c r="BT633" s="3" t="s">
        <v>137</v>
      </c>
      <c r="BU633" s="3">
        <v>1</v>
      </c>
      <c r="BV633" s="3">
        <v>0</v>
      </c>
    </row>
    <row r="634" spans="1:74" ht="15" customHeight="1" x14ac:dyDescent="0.25">
      <c r="A634" s="75">
        <v>5849881</v>
      </c>
      <c r="B634" t="s">
        <v>3093</v>
      </c>
      <c r="C634" t="s">
        <v>3094</v>
      </c>
      <c r="D634" t="s">
        <v>2379</v>
      </c>
      <c r="E634" t="s">
        <v>54</v>
      </c>
      <c r="F634" s="75">
        <v>15</v>
      </c>
      <c r="G634" s="75">
        <v>256379</v>
      </c>
      <c r="H634">
        <v>932.99</v>
      </c>
      <c r="I634" t="s">
        <v>114</v>
      </c>
      <c r="J634" s="75">
        <v>201821</v>
      </c>
      <c r="K634" t="s">
        <v>1806</v>
      </c>
      <c r="L634" t="s">
        <v>1807</v>
      </c>
      <c r="M634" s="81">
        <v>46081.840578703697</v>
      </c>
      <c r="N634" s="81">
        <v>46084.62462962963</v>
      </c>
      <c r="O634" t="s">
        <v>58</v>
      </c>
      <c r="P634" t="s">
        <v>59</v>
      </c>
      <c r="Q634" t="s">
        <v>90</v>
      </c>
      <c r="R634" t="s">
        <v>144</v>
      </c>
      <c r="S634" t="s">
        <v>3026</v>
      </c>
      <c r="U634" s="75">
        <v>201787</v>
      </c>
      <c r="V634" t="s">
        <v>3095</v>
      </c>
      <c r="W634" t="s">
        <v>3095</v>
      </c>
      <c r="X634" t="s">
        <v>79</v>
      </c>
      <c r="Y634" t="s">
        <v>110</v>
      </c>
      <c r="AA634" t="s">
        <v>64</v>
      </c>
      <c r="AB634">
        <v>66.733333000000002</v>
      </c>
      <c r="AC634">
        <v>47.25</v>
      </c>
      <c r="AD634">
        <v>19.483332999999998</v>
      </c>
      <c r="AE634">
        <v>12.65</v>
      </c>
      <c r="AF634">
        <v>0</v>
      </c>
      <c r="AG634">
        <v>6.8333329999999997</v>
      </c>
      <c r="AH634">
        <v>6.8333329999999997</v>
      </c>
      <c r="AI634">
        <v>6.65</v>
      </c>
      <c r="AJ634">
        <v>0.183333</v>
      </c>
      <c r="AK634">
        <v>0</v>
      </c>
      <c r="AL634" s="76">
        <v>44894.624305555553</v>
      </c>
      <c r="AM634" s="75">
        <v>1187</v>
      </c>
      <c r="AN634" t="s">
        <v>65</v>
      </c>
      <c r="AO634" t="s">
        <v>3096</v>
      </c>
      <c r="AP634" t="s">
        <v>67</v>
      </c>
      <c r="AQ634" t="s">
        <v>83</v>
      </c>
      <c r="AR634" t="s">
        <v>69</v>
      </c>
      <c r="AS634" s="78"/>
      <c r="AT634" s="82" t="s">
        <v>3021</v>
      </c>
      <c r="AU634" s="78">
        <v>2026</v>
      </c>
      <c r="AV634" s="78">
        <v>3</v>
      </c>
      <c r="AW634" s="78" t="s">
        <v>84</v>
      </c>
      <c r="AX634" s="78">
        <v>1</v>
      </c>
      <c r="AY634" s="78">
        <v>0</v>
      </c>
      <c r="BT634" s="2" t="s">
        <v>84</v>
      </c>
      <c r="BU634" s="2">
        <v>1</v>
      </c>
      <c r="BV634" s="2">
        <v>0</v>
      </c>
    </row>
    <row r="635" spans="1:74" ht="15" customHeight="1" x14ac:dyDescent="0.25">
      <c r="A635" s="75">
        <v>5849953</v>
      </c>
      <c r="B635" t="s">
        <v>3097</v>
      </c>
      <c r="C635" t="s">
        <v>311</v>
      </c>
      <c r="D635" t="s">
        <v>2379</v>
      </c>
      <c r="E635" t="s">
        <v>87</v>
      </c>
      <c r="F635" s="75">
        <v>114</v>
      </c>
      <c r="G635" s="75">
        <v>285557</v>
      </c>
      <c r="H635">
        <v>368.16</v>
      </c>
      <c r="I635" t="s">
        <v>55</v>
      </c>
      <c r="J635" s="75">
        <v>218791</v>
      </c>
      <c r="K635" t="s">
        <v>312</v>
      </c>
      <c r="L635" t="s">
        <v>313</v>
      </c>
      <c r="M635" s="81">
        <v>46082.021249999998</v>
      </c>
      <c r="N635" s="81">
        <v>46084.662708333337</v>
      </c>
      <c r="O635" t="s">
        <v>58</v>
      </c>
      <c r="P635" t="s">
        <v>59</v>
      </c>
      <c r="Q635" t="s">
        <v>90</v>
      </c>
      <c r="R635" t="s">
        <v>60</v>
      </c>
      <c r="S635" t="s">
        <v>583</v>
      </c>
      <c r="U635" s="75">
        <v>201259</v>
      </c>
      <c r="V635" t="s">
        <v>3098</v>
      </c>
      <c r="W635" t="s">
        <v>3098</v>
      </c>
      <c r="X635" t="s">
        <v>62</v>
      </c>
      <c r="Y635" t="s">
        <v>63</v>
      </c>
      <c r="AA635" t="s">
        <v>64</v>
      </c>
      <c r="AB635">
        <v>63.333334000000001</v>
      </c>
      <c r="AC635">
        <v>56.6</v>
      </c>
      <c r="AD635">
        <v>6.7333340000000002</v>
      </c>
      <c r="AE635">
        <v>0.36666700000000002</v>
      </c>
      <c r="AF635">
        <v>0</v>
      </c>
      <c r="AG635">
        <v>6.3666669999999996</v>
      </c>
      <c r="AH635">
        <v>6.3666669999999996</v>
      </c>
      <c r="AI635">
        <v>6.233333</v>
      </c>
      <c r="AJ635">
        <v>0.13333400000000001</v>
      </c>
      <c r="AK635">
        <v>0</v>
      </c>
      <c r="AL635" s="76">
        <v>44874.648275462961</v>
      </c>
      <c r="AM635" s="75">
        <v>1207</v>
      </c>
      <c r="AN635" t="s">
        <v>65</v>
      </c>
      <c r="AO635" t="s">
        <v>316</v>
      </c>
      <c r="AP635" t="s">
        <v>67</v>
      </c>
      <c r="AQ635" t="s">
        <v>68</v>
      </c>
      <c r="AR635" t="s">
        <v>69</v>
      </c>
      <c r="AS635" s="79"/>
      <c r="AT635" s="82" t="s">
        <v>3021</v>
      </c>
      <c r="AU635" s="78">
        <v>2026</v>
      </c>
      <c r="AV635" s="78">
        <v>3</v>
      </c>
      <c r="AW635" s="78" t="s">
        <v>71</v>
      </c>
      <c r="AX635" s="78">
        <v>1</v>
      </c>
      <c r="AY635" s="78">
        <v>0</v>
      </c>
      <c r="BT635" s="3" t="s">
        <v>71</v>
      </c>
      <c r="BU635" s="3">
        <v>1</v>
      </c>
      <c r="BV635" s="3">
        <v>0</v>
      </c>
    </row>
    <row r="636" spans="1:74" ht="15" customHeight="1" x14ac:dyDescent="0.25">
      <c r="A636" s="75">
        <v>5849307</v>
      </c>
      <c r="B636" t="s">
        <v>3099</v>
      </c>
      <c r="C636" t="s">
        <v>2383</v>
      </c>
      <c r="D636" t="s">
        <v>53</v>
      </c>
      <c r="E636" t="s">
        <v>87</v>
      </c>
      <c r="F636" s="75">
        <v>51</v>
      </c>
      <c r="G636" s="75">
        <v>275339</v>
      </c>
      <c r="H636">
        <v>398.82</v>
      </c>
      <c r="I636" t="s">
        <v>55</v>
      </c>
      <c r="J636" s="75">
        <v>216233</v>
      </c>
      <c r="K636" t="s">
        <v>88</v>
      </c>
      <c r="L636" t="s">
        <v>89</v>
      </c>
      <c r="M636" s="81">
        <v>46081.21565972222</v>
      </c>
      <c r="N636" s="81">
        <v>46084.664594907408</v>
      </c>
      <c r="O636" t="s">
        <v>58</v>
      </c>
      <c r="P636" t="s">
        <v>59</v>
      </c>
      <c r="Q636" t="s">
        <v>90</v>
      </c>
      <c r="R636" t="s">
        <v>131</v>
      </c>
      <c r="S636" t="s">
        <v>1273</v>
      </c>
      <c r="U636" s="75">
        <v>202437</v>
      </c>
      <c r="V636" t="s">
        <v>3100</v>
      </c>
      <c r="W636" t="s">
        <v>3101</v>
      </c>
      <c r="X636" t="s">
        <v>62</v>
      </c>
      <c r="Y636" t="s">
        <v>63</v>
      </c>
      <c r="AA636" t="s">
        <v>416</v>
      </c>
      <c r="AB636">
        <v>82.683333000000005</v>
      </c>
      <c r="AC636">
        <v>68.416666000000006</v>
      </c>
      <c r="AD636">
        <v>14.266667</v>
      </c>
      <c r="AE636">
        <v>0.216667</v>
      </c>
      <c r="AF636">
        <v>0</v>
      </c>
      <c r="AG636">
        <v>14.05</v>
      </c>
      <c r="AH636">
        <v>14.05</v>
      </c>
      <c r="AI636">
        <v>13.566667000000001</v>
      </c>
      <c r="AJ636">
        <v>0.48333300000000001</v>
      </c>
      <c r="AK636">
        <v>0</v>
      </c>
      <c r="AL636" s="76">
        <v>44844</v>
      </c>
      <c r="AM636" s="75">
        <v>1237</v>
      </c>
      <c r="AN636" t="s">
        <v>65</v>
      </c>
      <c r="AO636" t="s">
        <v>2385</v>
      </c>
      <c r="AP636" t="s">
        <v>67</v>
      </c>
      <c r="AQ636" t="s">
        <v>68</v>
      </c>
      <c r="AR636" t="s">
        <v>69</v>
      </c>
      <c r="AS636" s="78"/>
      <c r="AT636" s="82" t="s">
        <v>3021</v>
      </c>
      <c r="AU636" s="78">
        <v>2026</v>
      </c>
      <c r="AV636" s="78">
        <v>3</v>
      </c>
      <c r="AW636" s="78" t="s">
        <v>71</v>
      </c>
      <c r="AX636" s="78">
        <v>0</v>
      </c>
      <c r="AY636" s="78">
        <v>0</v>
      </c>
      <c r="BT636" s="2" t="s">
        <v>71</v>
      </c>
      <c r="BU636" s="2">
        <v>0</v>
      </c>
      <c r="BV636" s="2">
        <v>0</v>
      </c>
    </row>
    <row r="637" spans="1:74" ht="15" customHeight="1" x14ac:dyDescent="0.25">
      <c r="A637" s="75">
        <v>5851007</v>
      </c>
      <c r="B637" t="s">
        <v>3102</v>
      </c>
      <c r="C637" t="s">
        <v>3103</v>
      </c>
      <c r="D637" t="s">
        <v>2379</v>
      </c>
      <c r="E637" t="s">
        <v>87</v>
      </c>
      <c r="F637" s="75">
        <v>526</v>
      </c>
      <c r="G637" s="75">
        <v>333129</v>
      </c>
      <c r="H637">
        <v>546.37</v>
      </c>
      <c r="I637" t="s">
        <v>1389</v>
      </c>
      <c r="J637" s="75">
        <v>218791</v>
      </c>
      <c r="K637" t="s">
        <v>312</v>
      </c>
      <c r="L637" t="s">
        <v>313</v>
      </c>
      <c r="M637" s="81">
        <v>46083.439988425933</v>
      </c>
      <c r="N637" s="81">
        <v>46084.686828703707</v>
      </c>
      <c r="O637" t="s">
        <v>58</v>
      </c>
      <c r="P637" t="s">
        <v>59</v>
      </c>
      <c r="Q637" t="s">
        <v>2562</v>
      </c>
      <c r="R637" t="s">
        <v>60</v>
      </c>
      <c r="S637" t="s">
        <v>583</v>
      </c>
      <c r="U637" s="75">
        <v>201909</v>
      </c>
      <c r="V637" t="s">
        <v>3104</v>
      </c>
      <c r="W637" t="s">
        <v>3104</v>
      </c>
      <c r="X637" t="s">
        <v>62</v>
      </c>
      <c r="Y637" t="s">
        <v>63</v>
      </c>
      <c r="AA637" t="s">
        <v>64</v>
      </c>
      <c r="AB637">
        <v>29.883334000000001</v>
      </c>
      <c r="AC637">
        <v>21.916667</v>
      </c>
      <c r="AD637">
        <v>7.9666670000000002</v>
      </c>
      <c r="AE637">
        <v>0.1</v>
      </c>
      <c r="AF637">
        <v>0</v>
      </c>
      <c r="AG637">
        <v>7.8666669999999996</v>
      </c>
      <c r="AH637">
        <v>7.8666669999999996</v>
      </c>
      <c r="AI637">
        <v>7.4666670000000002</v>
      </c>
      <c r="AJ637">
        <v>0.4</v>
      </c>
      <c r="AK637">
        <v>0</v>
      </c>
      <c r="AL637" s="76">
        <v>45757.461006944453</v>
      </c>
      <c r="AM637" s="75">
        <v>325</v>
      </c>
      <c r="AN637" t="s">
        <v>65</v>
      </c>
      <c r="AO637" t="s">
        <v>1391</v>
      </c>
      <c r="AP637" t="s">
        <v>67</v>
      </c>
      <c r="AQ637" t="s">
        <v>68</v>
      </c>
      <c r="AR637" t="s">
        <v>69</v>
      </c>
      <c r="AS637" s="79"/>
      <c r="AT637" s="82" t="s">
        <v>3021</v>
      </c>
      <c r="AU637" s="78">
        <v>2026</v>
      </c>
      <c r="AV637" s="78">
        <v>3</v>
      </c>
      <c r="AW637" s="78" t="s">
        <v>71</v>
      </c>
      <c r="AX637" s="78">
        <v>1</v>
      </c>
      <c r="AY637" s="78">
        <v>0</v>
      </c>
      <c r="BT637" s="3" t="s">
        <v>71</v>
      </c>
      <c r="BU637" s="3">
        <v>1</v>
      </c>
      <c r="BV637" s="3">
        <v>0</v>
      </c>
    </row>
    <row r="638" spans="1:74" ht="15" customHeight="1" x14ac:dyDescent="0.25">
      <c r="A638" s="75">
        <v>5849131</v>
      </c>
      <c r="B638" t="s">
        <v>3105</v>
      </c>
      <c r="C638" t="s">
        <v>3106</v>
      </c>
      <c r="D638" t="s">
        <v>2379</v>
      </c>
      <c r="E638" t="s">
        <v>87</v>
      </c>
      <c r="F638" s="75">
        <v>126</v>
      </c>
      <c r="G638" s="75">
        <v>285593</v>
      </c>
      <c r="H638">
        <v>368.16</v>
      </c>
      <c r="I638" t="s">
        <v>55</v>
      </c>
      <c r="J638" s="75">
        <v>218791</v>
      </c>
      <c r="K638" t="s">
        <v>312</v>
      </c>
      <c r="L638" t="s">
        <v>313</v>
      </c>
      <c r="M638" s="81">
        <v>46080.771273148152</v>
      </c>
      <c r="N638" s="81">
        <v>46084.748900462961</v>
      </c>
      <c r="O638" t="s">
        <v>58</v>
      </c>
      <c r="P638" t="s">
        <v>59</v>
      </c>
      <c r="Q638" t="s">
        <v>98</v>
      </c>
      <c r="R638" t="s">
        <v>60</v>
      </c>
      <c r="S638" t="s">
        <v>583</v>
      </c>
      <c r="U638" s="75">
        <v>201987</v>
      </c>
      <c r="V638" t="s">
        <v>3107</v>
      </c>
      <c r="W638" t="s">
        <v>3107</v>
      </c>
      <c r="X638" t="s">
        <v>62</v>
      </c>
      <c r="Y638" t="s">
        <v>63</v>
      </c>
      <c r="AA638" t="s">
        <v>64</v>
      </c>
      <c r="AB638">
        <v>95.383330999999998</v>
      </c>
      <c r="AC638">
        <v>87.216666000000004</v>
      </c>
      <c r="AD638">
        <v>8.1666650000000001</v>
      </c>
      <c r="AE638">
        <v>3.083332</v>
      </c>
      <c r="AF638">
        <v>0</v>
      </c>
      <c r="AG638">
        <v>5.0833329999999997</v>
      </c>
      <c r="AH638">
        <v>5.0833329999999997</v>
      </c>
      <c r="AI638">
        <v>5.0833329999999997</v>
      </c>
      <c r="AJ638">
        <v>0</v>
      </c>
      <c r="AK638">
        <v>0</v>
      </c>
      <c r="AL638" s="76">
        <v>44863.358611111107</v>
      </c>
      <c r="AM638" s="75">
        <v>1217</v>
      </c>
      <c r="AN638" t="s">
        <v>65</v>
      </c>
      <c r="AO638" t="s">
        <v>3108</v>
      </c>
      <c r="AP638" t="s">
        <v>67</v>
      </c>
      <c r="AQ638" t="s">
        <v>68</v>
      </c>
      <c r="AR638" t="s">
        <v>69</v>
      </c>
      <c r="AS638" s="78"/>
      <c r="AT638" s="82" t="s">
        <v>3021</v>
      </c>
      <c r="AU638" s="78">
        <v>2026</v>
      </c>
      <c r="AV638" s="78">
        <v>3</v>
      </c>
      <c r="AW638" s="78" t="s">
        <v>71</v>
      </c>
      <c r="AX638" s="78">
        <v>1</v>
      </c>
      <c r="AY638" s="78">
        <v>0</v>
      </c>
      <c r="BT638" s="2" t="s">
        <v>71</v>
      </c>
      <c r="BU638" s="2">
        <v>1</v>
      </c>
      <c r="BV638" s="2">
        <v>0</v>
      </c>
    </row>
    <row r="639" spans="1:74" ht="15" customHeight="1" x14ac:dyDescent="0.25">
      <c r="A639" s="75">
        <v>5847027</v>
      </c>
      <c r="B639" t="s">
        <v>3109</v>
      </c>
      <c r="C639" t="s">
        <v>3110</v>
      </c>
      <c r="D639" t="s">
        <v>53</v>
      </c>
      <c r="E639" t="s">
        <v>105</v>
      </c>
      <c r="F639" s="75">
        <v>10</v>
      </c>
      <c r="G639" s="75">
        <v>296173</v>
      </c>
      <c r="H639">
        <v>3330.9</v>
      </c>
      <c r="I639" t="s">
        <v>55</v>
      </c>
      <c r="J639" s="75">
        <v>229111</v>
      </c>
      <c r="K639" t="s">
        <v>389</v>
      </c>
      <c r="L639" t="s">
        <v>390</v>
      </c>
      <c r="M639" s="81">
        <v>46079.937835648147</v>
      </c>
      <c r="N639" s="81">
        <v>46084.833298611113</v>
      </c>
      <c r="P639" t="s">
        <v>59</v>
      </c>
      <c r="Q639" t="s">
        <v>90</v>
      </c>
      <c r="R639" t="s">
        <v>144</v>
      </c>
      <c r="S639" t="s">
        <v>1491</v>
      </c>
      <c r="T639" t="s">
        <v>3111</v>
      </c>
      <c r="U639" s="75">
        <v>202477</v>
      </c>
      <c r="V639" t="s">
        <v>3112</v>
      </c>
      <c r="W639" t="s">
        <v>3113</v>
      </c>
      <c r="X639" t="s">
        <v>118</v>
      </c>
      <c r="Y639" t="s">
        <v>119</v>
      </c>
      <c r="AA639" t="s">
        <v>101</v>
      </c>
      <c r="AB639">
        <v>117.30000099999999</v>
      </c>
      <c r="AC639">
        <v>106.75</v>
      </c>
      <c r="AD639">
        <v>10.550001</v>
      </c>
      <c r="AE639">
        <v>2.233333</v>
      </c>
      <c r="AF639">
        <v>0</v>
      </c>
      <c r="AG639">
        <v>8.3166679999999999</v>
      </c>
      <c r="AH639">
        <v>8.3166679999999999</v>
      </c>
      <c r="AI639">
        <v>3.8166669999999998</v>
      </c>
      <c r="AJ639">
        <v>4.5000010000000001</v>
      </c>
      <c r="AK639">
        <v>0</v>
      </c>
      <c r="AL639" s="76">
        <v>45320</v>
      </c>
      <c r="AM639" s="75">
        <v>759</v>
      </c>
      <c r="AN639" t="s">
        <v>65</v>
      </c>
      <c r="AO639" t="s">
        <v>3114</v>
      </c>
      <c r="AP639" t="s">
        <v>67</v>
      </c>
      <c r="AQ639" t="s">
        <v>121</v>
      </c>
      <c r="AR639" t="s">
        <v>69</v>
      </c>
      <c r="AS639" s="79"/>
      <c r="AT639" s="82" t="s">
        <v>3021</v>
      </c>
      <c r="AU639" s="78">
        <v>2026</v>
      </c>
      <c r="AV639" s="78">
        <v>3</v>
      </c>
      <c r="AW639" s="78" t="s">
        <v>122</v>
      </c>
      <c r="AX639" s="78">
        <v>0</v>
      </c>
      <c r="AY639" s="78">
        <v>0</v>
      </c>
      <c r="BT639" s="3" t="s">
        <v>122</v>
      </c>
      <c r="BU639" s="3">
        <v>0</v>
      </c>
      <c r="BV639" s="3">
        <v>0</v>
      </c>
    </row>
    <row r="640" spans="1:74" ht="15" customHeight="1" x14ac:dyDescent="0.25">
      <c r="A640" s="75">
        <v>5856715</v>
      </c>
      <c r="B640" t="s">
        <v>3115</v>
      </c>
      <c r="C640" t="s">
        <v>3116</v>
      </c>
      <c r="D640" t="s">
        <v>1388</v>
      </c>
      <c r="E640" t="s">
        <v>54</v>
      </c>
      <c r="F640" s="75">
        <v>1</v>
      </c>
      <c r="G640" s="75">
        <v>266299</v>
      </c>
      <c r="H640">
        <v>628.98</v>
      </c>
      <c r="I640" t="s">
        <v>3117</v>
      </c>
      <c r="J640" s="75">
        <v>211283</v>
      </c>
      <c r="K640" t="s">
        <v>3118</v>
      </c>
      <c r="L640" t="s">
        <v>3119</v>
      </c>
      <c r="M640" s="81">
        <v>46084.944490740738</v>
      </c>
      <c r="N640" s="81">
        <v>46085.349756944437</v>
      </c>
      <c r="O640" t="s">
        <v>58</v>
      </c>
      <c r="P640" t="s">
        <v>59</v>
      </c>
      <c r="Q640" t="s">
        <v>98</v>
      </c>
      <c r="R640" t="s">
        <v>99</v>
      </c>
      <c r="S640" t="s">
        <v>1244</v>
      </c>
      <c r="U640" s="75">
        <v>203261</v>
      </c>
      <c r="V640" t="s">
        <v>3120</v>
      </c>
      <c r="X640" t="s">
        <v>62</v>
      </c>
      <c r="Y640" t="s">
        <v>63</v>
      </c>
      <c r="AA640" t="s">
        <v>81</v>
      </c>
      <c r="AB640">
        <v>9.6666670000000003</v>
      </c>
      <c r="AC640">
        <v>7.4166670000000003</v>
      </c>
      <c r="AD640">
        <v>2.25</v>
      </c>
      <c r="AE640">
        <v>1.5</v>
      </c>
      <c r="AF640">
        <v>0</v>
      </c>
      <c r="AG640">
        <v>0.75</v>
      </c>
      <c r="AH640">
        <v>0.75</v>
      </c>
      <c r="AI640">
        <v>0.3</v>
      </c>
      <c r="AJ640">
        <v>0.45</v>
      </c>
      <c r="AK640">
        <v>0</v>
      </c>
      <c r="AL640" s="76">
        <v>36526</v>
      </c>
      <c r="AM640" s="75">
        <v>9558</v>
      </c>
      <c r="AN640" t="s">
        <v>65</v>
      </c>
      <c r="AO640" t="s">
        <v>3121</v>
      </c>
      <c r="AP640" t="s">
        <v>67</v>
      </c>
      <c r="AQ640" t="s">
        <v>68</v>
      </c>
      <c r="AR640" t="s">
        <v>69</v>
      </c>
      <c r="AS640" s="78"/>
      <c r="AT640" s="82" t="s">
        <v>3021</v>
      </c>
      <c r="AU640" s="78">
        <v>2026</v>
      </c>
      <c r="AV640" s="78">
        <v>3</v>
      </c>
      <c r="AW640" s="78" t="s">
        <v>71</v>
      </c>
      <c r="AX640" s="78">
        <v>1</v>
      </c>
      <c r="AY640" s="78">
        <v>0</v>
      </c>
      <c r="BT640" s="2" t="s">
        <v>71</v>
      </c>
      <c r="BU640" s="2">
        <v>1</v>
      </c>
      <c r="BV640" s="2">
        <v>0</v>
      </c>
    </row>
    <row r="641" spans="1:74" ht="15" customHeight="1" x14ac:dyDescent="0.25">
      <c r="A641" s="75">
        <v>5848937</v>
      </c>
      <c r="B641" t="s">
        <v>3122</v>
      </c>
      <c r="C641" t="s">
        <v>3123</v>
      </c>
      <c r="D641" t="s">
        <v>2379</v>
      </c>
      <c r="E641" t="s">
        <v>54</v>
      </c>
      <c r="F641" s="75">
        <v>147</v>
      </c>
      <c r="G641" s="75">
        <v>288675</v>
      </c>
      <c r="H641">
        <v>2628.25</v>
      </c>
      <c r="I641" t="s">
        <v>114</v>
      </c>
      <c r="J641" s="75">
        <v>212995</v>
      </c>
      <c r="K641" t="s">
        <v>3124</v>
      </c>
      <c r="L641" t="s">
        <v>3125</v>
      </c>
      <c r="M641" s="81">
        <v>46080.65351851852</v>
      </c>
      <c r="N641" s="81">
        <v>46085.411585648151</v>
      </c>
      <c r="O641" t="s">
        <v>58</v>
      </c>
      <c r="P641" t="s">
        <v>59</v>
      </c>
      <c r="Q641" t="s">
        <v>90</v>
      </c>
      <c r="R641" t="s">
        <v>99</v>
      </c>
      <c r="S641" t="s">
        <v>1244</v>
      </c>
      <c r="U641" s="75">
        <v>200959</v>
      </c>
      <c r="V641" t="s">
        <v>3126</v>
      </c>
      <c r="X641" t="s">
        <v>118</v>
      </c>
      <c r="Y641" t="s">
        <v>2614</v>
      </c>
      <c r="AA641" t="s">
        <v>81</v>
      </c>
      <c r="AB641">
        <v>114.099998</v>
      </c>
      <c r="AC641">
        <v>110.366666</v>
      </c>
      <c r="AD641">
        <v>3.7333319999999999</v>
      </c>
      <c r="AE641">
        <v>1.3166659999999999</v>
      </c>
      <c r="AF641">
        <v>0</v>
      </c>
      <c r="AG641">
        <v>2.4166660000000002</v>
      </c>
      <c r="AH641">
        <v>2.4166660000000002</v>
      </c>
      <c r="AI641">
        <v>2.3333330000000001</v>
      </c>
      <c r="AJ641">
        <v>8.3333000000000004E-2</v>
      </c>
      <c r="AK641">
        <v>0</v>
      </c>
      <c r="AL641" s="76">
        <v>45029.799386574072</v>
      </c>
      <c r="AM641" s="75">
        <v>1050</v>
      </c>
      <c r="AN641" t="s">
        <v>65</v>
      </c>
      <c r="AO641" t="s">
        <v>3127</v>
      </c>
      <c r="AP641" t="s">
        <v>67</v>
      </c>
      <c r="AQ641" t="s">
        <v>121</v>
      </c>
      <c r="AR641" t="s">
        <v>69</v>
      </c>
      <c r="AS641" s="79"/>
      <c r="AT641" s="82" t="s">
        <v>3021</v>
      </c>
      <c r="AU641" s="78">
        <v>2026</v>
      </c>
      <c r="AV641" s="78">
        <v>3</v>
      </c>
      <c r="AW641" s="78" t="s">
        <v>347</v>
      </c>
      <c r="AX641" s="78">
        <v>1</v>
      </c>
      <c r="AY641" s="78">
        <v>0</v>
      </c>
      <c r="BT641" s="3" t="s">
        <v>347</v>
      </c>
      <c r="BU641" s="3">
        <v>1</v>
      </c>
      <c r="BV641" s="3">
        <v>0</v>
      </c>
    </row>
    <row r="642" spans="1:74" ht="15" customHeight="1" x14ac:dyDescent="0.25">
      <c r="A642" s="75">
        <v>5850365</v>
      </c>
      <c r="B642" t="s">
        <v>3128</v>
      </c>
      <c r="C642" t="s">
        <v>3129</v>
      </c>
      <c r="D642" t="s">
        <v>2379</v>
      </c>
      <c r="E642" t="s">
        <v>87</v>
      </c>
      <c r="F642" s="75">
        <v>190</v>
      </c>
      <c r="G642" s="75">
        <v>285921</v>
      </c>
      <c r="H642">
        <v>364.95</v>
      </c>
      <c r="I642" t="s">
        <v>55</v>
      </c>
      <c r="J642" s="75">
        <v>218787</v>
      </c>
      <c r="K642" t="s">
        <v>96</v>
      </c>
      <c r="L642" t="s">
        <v>97</v>
      </c>
      <c r="M642" s="81">
        <v>46082.889201388891</v>
      </c>
      <c r="N642" s="81">
        <v>46085.430648148147</v>
      </c>
      <c r="O642" t="s">
        <v>58</v>
      </c>
      <c r="P642" t="s">
        <v>59</v>
      </c>
      <c r="Q642" t="s">
        <v>90</v>
      </c>
      <c r="R642" t="s">
        <v>60</v>
      </c>
      <c r="S642" t="s">
        <v>583</v>
      </c>
      <c r="U642" s="75">
        <v>201341</v>
      </c>
      <c r="V642" t="s">
        <v>3130</v>
      </c>
      <c r="W642" t="s">
        <v>3130</v>
      </c>
      <c r="X642" t="s">
        <v>62</v>
      </c>
      <c r="Y642" t="s">
        <v>63</v>
      </c>
      <c r="AA642" t="s">
        <v>64</v>
      </c>
      <c r="AB642">
        <v>60.933332</v>
      </c>
      <c r="AC642">
        <v>52.383333</v>
      </c>
      <c r="AD642">
        <v>8.5499989999999997</v>
      </c>
      <c r="AE642">
        <v>0.76666599999999996</v>
      </c>
      <c r="AF642">
        <v>0</v>
      </c>
      <c r="AG642">
        <v>7.7833329999999998</v>
      </c>
      <c r="AH642">
        <v>7.7833329999999998</v>
      </c>
      <c r="AI642">
        <v>7.7</v>
      </c>
      <c r="AJ642">
        <v>8.3333000000000004E-2</v>
      </c>
      <c r="AK642">
        <v>0</v>
      </c>
      <c r="AL642" s="76">
        <v>44869</v>
      </c>
      <c r="AM642" s="75">
        <v>1213</v>
      </c>
      <c r="AN642" t="s">
        <v>65</v>
      </c>
      <c r="AO642" t="s">
        <v>3131</v>
      </c>
      <c r="AP642" t="s">
        <v>67</v>
      </c>
      <c r="AQ642" t="s">
        <v>68</v>
      </c>
      <c r="AR642" t="s">
        <v>69</v>
      </c>
      <c r="AS642" s="78"/>
      <c r="AT642" s="82" t="s">
        <v>3021</v>
      </c>
      <c r="AU642" s="78">
        <v>2026</v>
      </c>
      <c r="AV642" s="78">
        <v>3</v>
      </c>
      <c r="AW642" s="78" t="s">
        <v>71</v>
      </c>
      <c r="AX642" s="78">
        <v>1</v>
      </c>
      <c r="AY642" s="78">
        <v>0</v>
      </c>
      <c r="BT642" s="2" t="s">
        <v>71</v>
      </c>
      <c r="BU642" s="2">
        <v>1</v>
      </c>
      <c r="BV642" s="2">
        <v>0</v>
      </c>
    </row>
    <row r="643" spans="1:74" ht="15" customHeight="1" x14ac:dyDescent="0.25">
      <c r="A643" s="75">
        <v>5848051</v>
      </c>
      <c r="B643" t="s">
        <v>3132</v>
      </c>
      <c r="C643" t="s">
        <v>1554</v>
      </c>
      <c r="D643" t="s">
        <v>2379</v>
      </c>
      <c r="E643" t="s">
        <v>87</v>
      </c>
      <c r="F643" s="75">
        <v>141</v>
      </c>
      <c r="G643" s="75">
        <v>285623</v>
      </c>
      <c r="H643">
        <v>368.16</v>
      </c>
      <c r="I643" t="s">
        <v>55</v>
      </c>
      <c r="J643" s="75">
        <v>218791</v>
      </c>
      <c r="K643" t="s">
        <v>312</v>
      </c>
      <c r="L643" t="s">
        <v>313</v>
      </c>
      <c r="M643" s="81">
        <v>46080.500520833331</v>
      </c>
      <c r="N643" s="81">
        <v>46085.456493055557</v>
      </c>
      <c r="O643" t="s">
        <v>58</v>
      </c>
      <c r="P643" t="s">
        <v>59</v>
      </c>
      <c r="Q643" t="s">
        <v>90</v>
      </c>
      <c r="R643" t="s">
        <v>60</v>
      </c>
      <c r="S643" t="s">
        <v>583</v>
      </c>
      <c r="U643" s="75">
        <v>201387</v>
      </c>
      <c r="V643" t="s">
        <v>3133</v>
      </c>
      <c r="W643" t="s">
        <v>3134</v>
      </c>
      <c r="X643" t="s">
        <v>62</v>
      </c>
      <c r="Y643" t="s">
        <v>63</v>
      </c>
      <c r="AA643" t="s">
        <v>416</v>
      </c>
      <c r="AB643">
        <v>118.85</v>
      </c>
      <c r="AC643">
        <v>101.083333</v>
      </c>
      <c r="AD643">
        <v>17.766667000000002</v>
      </c>
      <c r="AE643">
        <v>1.0166660000000001</v>
      </c>
      <c r="AF643">
        <v>0</v>
      </c>
      <c r="AG643">
        <v>16.750001000000001</v>
      </c>
      <c r="AH643">
        <v>16.750001000000001</v>
      </c>
      <c r="AI643">
        <v>16.066666999999999</v>
      </c>
      <c r="AJ643">
        <v>0.683334</v>
      </c>
      <c r="AK643">
        <v>0</v>
      </c>
      <c r="AL643" s="76">
        <v>44994.399780092594</v>
      </c>
      <c r="AM643" s="75">
        <v>1086</v>
      </c>
      <c r="AN643" t="s">
        <v>65</v>
      </c>
      <c r="AO643" t="s">
        <v>1557</v>
      </c>
      <c r="AP643" t="s">
        <v>67</v>
      </c>
      <c r="AQ643" t="s">
        <v>68</v>
      </c>
      <c r="AR643" t="s">
        <v>69</v>
      </c>
      <c r="AS643" s="79"/>
      <c r="AT643" s="82" t="s">
        <v>3021</v>
      </c>
      <c r="AU643" s="78">
        <v>2026</v>
      </c>
      <c r="AV643" s="78">
        <v>3</v>
      </c>
      <c r="AW643" s="78" t="s">
        <v>71</v>
      </c>
      <c r="AX643" s="78">
        <v>0</v>
      </c>
      <c r="AY643" s="78">
        <v>0</v>
      </c>
      <c r="BT643" s="3" t="s">
        <v>71</v>
      </c>
      <c r="BU643" s="3">
        <v>0</v>
      </c>
      <c r="BV643" s="3">
        <v>0</v>
      </c>
    </row>
    <row r="644" spans="1:74" ht="15" customHeight="1" x14ac:dyDescent="0.25">
      <c r="A644" s="75">
        <v>5853851</v>
      </c>
      <c r="B644" t="s">
        <v>3135</v>
      </c>
      <c r="C644" t="s">
        <v>3136</v>
      </c>
      <c r="D644" t="s">
        <v>1555</v>
      </c>
      <c r="E644" t="s">
        <v>87</v>
      </c>
      <c r="F644" s="75">
        <v>590</v>
      </c>
      <c r="G644" s="75">
        <v>344521</v>
      </c>
      <c r="H644">
        <v>796.78</v>
      </c>
      <c r="I644" t="s">
        <v>141</v>
      </c>
      <c r="J644" s="75">
        <v>6971</v>
      </c>
      <c r="K644" t="s">
        <v>369</v>
      </c>
      <c r="L644" t="s">
        <v>370</v>
      </c>
      <c r="M644" s="81">
        <v>46083.833923611113</v>
      </c>
      <c r="N644" s="81">
        <v>46085.506192129629</v>
      </c>
      <c r="O644" t="s">
        <v>58</v>
      </c>
      <c r="P644" t="s">
        <v>59</v>
      </c>
      <c r="Q644" t="s">
        <v>90</v>
      </c>
      <c r="R644" t="s">
        <v>60</v>
      </c>
      <c r="S644" t="s">
        <v>583</v>
      </c>
      <c r="U644" s="75">
        <v>202467</v>
      </c>
      <c r="V644" t="s">
        <v>3137</v>
      </c>
      <c r="W644" t="s">
        <v>3138</v>
      </c>
      <c r="X644" t="s">
        <v>79</v>
      </c>
      <c r="Y644" t="s">
        <v>3139</v>
      </c>
      <c r="AA644" t="s">
        <v>64</v>
      </c>
      <c r="AB644">
        <v>40.066665</v>
      </c>
      <c r="AC644">
        <v>32.333333000000003</v>
      </c>
      <c r="AD644">
        <v>7.7333319999999999</v>
      </c>
      <c r="AE644">
        <v>0.78333299999999995</v>
      </c>
      <c r="AF644">
        <v>0</v>
      </c>
      <c r="AG644">
        <v>6.949999</v>
      </c>
      <c r="AH644">
        <v>6.949999</v>
      </c>
      <c r="AI644">
        <v>6.7833329999999998</v>
      </c>
      <c r="AJ644">
        <v>0.16666600000000001</v>
      </c>
      <c r="AK644">
        <v>0</v>
      </c>
      <c r="AL644" s="76"/>
      <c r="AM644" s="75"/>
      <c r="AN644" t="s">
        <v>135</v>
      </c>
      <c r="AO644" t="s">
        <v>3140</v>
      </c>
      <c r="AP644" t="s">
        <v>67</v>
      </c>
      <c r="AQ644" t="s">
        <v>83</v>
      </c>
      <c r="AR644" t="s">
        <v>69</v>
      </c>
      <c r="AS644" s="78"/>
      <c r="AT644" s="82" t="s">
        <v>3021</v>
      </c>
      <c r="AU644" s="78">
        <v>2026</v>
      </c>
      <c r="AV644" s="78">
        <v>3</v>
      </c>
      <c r="AW644" s="78" t="s">
        <v>84</v>
      </c>
      <c r="AX644" s="78">
        <v>1</v>
      </c>
      <c r="AY644" s="78">
        <v>0</v>
      </c>
      <c r="BT644" s="2" t="s">
        <v>84</v>
      </c>
      <c r="BU644" s="2">
        <v>1</v>
      </c>
      <c r="BV644" s="2">
        <v>0</v>
      </c>
    </row>
    <row r="645" spans="1:74" ht="15" customHeight="1" x14ac:dyDescent="0.25">
      <c r="A645" s="75">
        <v>5851535</v>
      </c>
      <c r="B645" t="s">
        <v>3141</v>
      </c>
      <c r="C645" t="s">
        <v>2617</v>
      </c>
      <c r="D645" t="s">
        <v>1555</v>
      </c>
      <c r="E645" t="s">
        <v>87</v>
      </c>
      <c r="F645" s="75">
        <v>62</v>
      </c>
      <c r="G645" s="75">
        <v>280125</v>
      </c>
      <c r="H645">
        <v>623.5</v>
      </c>
      <c r="I645" t="s">
        <v>266</v>
      </c>
      <c r="J645" s="75">
        <v>203659</v>
      </c>
      <c r="K645" t="s">
        <v>1090</v>
      </c>
      <c r="L645" t="s">
        <v>1091</v>
      </c>
      <c r="M645" s="81">
        <v>46083.625358796293</v>
      </c>
      <c r="N645" s="81">
        <v>46085.511458333327</v>
      </c>
      <c r="O645" t="s">
        <v>58</v>
      </c>
      <c r="P645" t="s">
        <v>59</v>
      </c>
      <c r="Q645" t="s">
        <v>90</v>
      </c>
      <c r="R645" t="s">
        <v>156</v>
      </c>
      <c r="S645" t="s">
        <v>1320</v>
      </c>
      <c r="U645" s="75">
        <v>202451</v>
      </c>
      <c r="V645" t="s">
        <v>3142</v>
      </c>
      <c r="W645" t="s">
        <v>3142</v>
      </c>
      <c r="X645" t="s">
        <v>62</v>
      </c>
      <c r="Y645" t="s">
        <v>1049</v>
      </c>
      <c r="AA645" t="s">
        <v>64</v>
      </c>
      <c r="AB645">
        <v>45.183335</v>
      </c>
      <c r="AC645">
        <v>41.033334000000004</v>
      </c>
      <c r="AD645">
        <v>4.1500009999999996</v>
      </c>
      <c r="AE645">
        <v>0.1</v>
      </c>
      <c r="AF645">
        <v>0</v>
      </c>
      <c r="AG645">
        <v>4.050001</v>
      </c>
      <c r="AH645">
        <v>4.050001</v>
      </c>
      <c r="AI645">
        <v>3.4500009999999999</v>
      </c>
      <c r="AJ645">
        <v>0.6</v>
      </c>
      <c r="AK645">
        <v>0</v>
      </c>
      <c r="AL645" s="76">
        <v>44804</v>
      </c>
      <c r="AM645" s="75">
        <v>1279</v>
      </c>
      <c r="AN645" t="s">
        <v>65</v>
      </c>
      <c r="AO645" t="s">
        <v>2619</v>
      </c>
      <c r="AP645" t="s">
        <v>67</v>
      </c>
      <c r="AQ645" t="s">
        <v>68</v>
      </c>
      <c r="AR645" t="s">
        <v>69</v>
      </c>
      <c r="AS645" s="79"/>
      <c r="AT645" s="82" t="s">
        <v>3021</v>
      </c>
      <c r="AU645" s="78">
        <v>2026</v>
      </c>
      <c r="AV645" s="78">
        <v>3</v>
      </c>
      <c r="AW645" s="78" t="s">
        <v>137</v>
      </c>
      <c r="AX645" s="78">
        <v>1</v>
      </c>
      <c r="AY645" s="78">
        <v>0</v>
      </c>
      <c r="BT645" s="3" t="s">
        <v>137</v>
      </c>
      <c r="BU645" s="3">
        <v>1</v>
      </c>
      <c r="BV645" s="3">
        <v>0</v>
      </c>
    </row>
    <row r="646" spans="1:74" ht="15" customHeight="1" x14ac:dyDescent="0.25">
      <c r="A646" s="75">
        <v>5850829</v>
      </c>
      <c r="B646" t="s">
        <v>3143</v>
      </c>
      <c r="C646" t="s">
        <v>2823</v>
      </c>
      <c r="D646" t="s">
        <v>1555</v>
      </c>
      <c r="E646" t="s">
        <v>87</v>
      </c>
      <c r="F646" s="75">
        <v>151</v>
      </c>
      <c r="G646" s="75">
        <v>285645</v>
      </c>
      <c r="H646">
        <v>398.82</v>
      </c>
      <c r="I646" t="s">
        <v>55</v>
      </c>
      <c r="J646" s="75">
        <v>216233</v>
      </c>
      <c r="K646" t="s">
        <v>88</v>
      </c>
      <c r="L646" t="s">
        <v>89</v>
      </c>
      <c r="M646" s="81">
        <v>46083.40320601852</v>
      </c>
      <c r="N646" s="81">
        <v>46085.516377314823</v>
      </c>
      <c r="O646" t="s">
        <v>58</v>
      </c>
      <c r="P646" t="s">
        <v>59</v>
      </c>
      <c r="Q646" t="s">
        <v>90</v>
      </c>
      <c r="R646" t="s">
        <v>60</v>
      </c>
      <c r="S646" t="s">
        <v>583</v>
      </c>
      <c r="U646" s="75">
        <v>201775</v>
      </c>
      <c r="V646" t="s">
        <v>3144</v>
      </c>
      <c r="W646" t="s">
        <v>3144</v>
      </c>
      <c r="X646" t="s">
        <v>62</v>
      </c>
      <c r="Y646" t="s">
        <v>63</v>
      </c>
      <c r="AA646" t="s">
        <v>64</v>
      </c>
      <c r="AB646">
        <v>50.683332999999998</v>
      </c>
      <c r="AC646">
        <v>42.433332999999998</v>
      </c>
      <c r="AD646">
        <v>8.25</v>
      </c>
      <c r="AE646">
        <v>0.36666700000000002</v>
      </c>
      <c r="AF646">
        <v>0</v>
      </c>
      <c r="AG646">
        <v>7.8833330000000004</v>
      </c>
      <c r="AH646">
        <v>7.8833330000000004</v>
      </c>
      <c r="AI646">
        <v>7.8833330000000004</v>
      </c>
      <c r="AJ646">
        <v>0</v>
      </c>
      <c r="AK646">
        <v>0</v>
      </c>
      <c r="AL646" s="76">
        <v>44897</v>
      </c>
      <c r="AM646" s="75">
        <v>1186</v>
      </c>
      <c r="AN646" t="s">
        <v>65</v>
      </c>
      <c r="AO646" t="s">
        <v>2826</v>
      </c>
      <c r="AP646" t="s">
        <v>67</v>
      </c>
      <c r="AQ646" t="s">
        <v>68</v>
      </c>
      <c r="AR646" t="s">
        <v>69</v>
      </c>
      <c r="AS646" s="78"/>
      <c r="AT646" s="82" t="s">
        <v>3021</v>
      </c>
      <c r="AU646" s="78">
        <v>2026</v>
      </c>
      <c r="AV646" s="78">
        <v>3</v>
      </c>
      <c r="AW646" s="78" t="s">
        <v>71</v>
      </c>
      <c r="AX646" s="78">
        <v>1</v>
      </c>
      <c r="AY646" s="78">
        <v>0</v>
      </c>
      <c r="BT646" s="2" t="s">
        <v>71</v>
      </c>
      <c r="BU646" s="2">
        <v>1</v>
      </c>
      <c r="BV646" s="2">
        <v>0</v>
      </c>
    </row>
    <row r="647" spans="1:74" ht="15" customHeight="1" x14ac:dyDescent="0.25">
      <c r="A647" s="75">
        <v>5851283</v>
      </c>
      <c r="B647" t="s">
        <v>3145</v>
      </c>
      <c r="C647" t="s">
        <v>459</v>
      </c>
      <c r="D647" t="s">
        <v>2379</v>
      </c>
      <c r="E647" t="s">
        <v>87</v>
      </c>
      <c r="F647" s="75">
        <v>299</v>
      </c>
      <c r="G647" s="75">
        <v>285731</v>
      </c>
      <c r="H647">
        <v>512.08000000000004</v>
      </c>
      <c r="I647" t="s">
        <v>266</v>
      </c>
      <c r="J647" s="75">
        <v>49495</v>
      </c>
      <c r="K647" t="s">
        <v>460</v>
      </c>
      <c r="L647" t="s">
        <v>461</v>
      </c>
      <c r="M647" s="81">
        <v>46083.53502314815</v>
      </c>
      <c r="N647" s="81">
        <v>46085.535138888888</v>
      </c>
      <c r="O647" t="s">
        <v>58</v>
      </c>
      <c r="P647" t="s">
        <v>59</v>
      </c>
      <c r="Q647" t="s">
        <v>90</v>
      </c>
      <c r="R647" t="s">
        <v>99</v>
      </c>
      <c r="S647" t="s">
        <v>1375</v>
      </c>
      <c r="U647" s="75"/>
      <c r="X647" t="s">
        <v>62</v>
      </c>
      <c r="Y647" t="s">
        <v>63</v>
      </c>
      <c r="AA647" t="s">
        <v>64</v>
      </c>
      <c r="AB647">
        <v>47.95</v>
      </c>
      <c r="AC647">
        <v>42.2</v>
      </c>
      <c r="AD647">
        <v>5.75</v>
      </c>
      <c r="AE647">
        <v>0.38333299999999998</v>
      </c>
      <c r="AF647">
        <v>0</v>
      </c>
      <c r="AG647">
        <v>5.3666669999999996</v>
      </c>
      <c r="AH647">
        <v>5.3666669999999996</v>
      </c>
      <c r="AI647">
        <v>0</v>
      </c>
      <c r="AJ647">
        <v>5.3666669999999996</v>
      </c>
      <c r="AK647">
        <v>0</v>
      </c>
      <c r="AL647" s="76">
        <v>44862</v>
      </c>
      <c r="AM647" s="75">
        <v>1221</v>
      </c>
      <c r="AN647" t="s">
        <v>65</v>
      </c>
      <c r="AO647" t="s">
        <v>462</v>
      </c>
      <c r="AP647" t="s">
        <v>67</v>
      </c>
      <c r="AQ647" t="s">
        <v>68</v>
      </c>
      <c r="AR647" t="s">
        <v>69</v>
      </c>
      <c r="AS647" s="79"/>
      <c r="AT647" s="82" t="s">
        <v>3021</v>
      </c>
      <c r="AU647" s="78">
        <v>2026</v>
      </c>
      <c r="AV647" s="78">
        <v>3</v>
      </c>
      <c r="AW647" s="78" t="s">
        <v>71</v>
      </c>
      <c r="AX647" s="78">
        <v>1</v>
      </c>
      <c r="AY647" s="78">
        <v>0</v>
      </c>
      <c r="BT647" s="3" t="s">
        <v>71</v>
      </c>
      <c r="BU647" s="3">
        <v>1</v>
      </c>
      <c r="BV647" s="3">
        <v>0</v>
      </c>
    </row>
    <row r="648" spans="1:74" ht="15" customHeight="1" x14ac:dyDescent="0.25">
      <c r="A648" s="75">
        <v>5850889</v>
      </c>
      <c r="B648" t="s">
        <v>3146</v>
      </c>
      <c r="C648" t="s">
        <v>3147</v>
      </c>
      <c r="D648" t="s">
        <v>2379</v>
      </c>
      <c r="E648" t="s">
        <v>54</v>
      </c>
      <c r="F648" s="75">
        <v>1</v>
      </c>
      <c r="G648" s="75">
        <v>296181</v>
      </c>
      <c r="H648">
        <v>690</v>
      </c>
      <c r="I648" t="s">
        <v>114</v>
      </c>
      <c r="J648" s="75">
        <v>218483</v>
      </c>
      <c r="K648" t="s">
        <v>1015</v>
      </c>
      <c r="L648" t="s">
        <v>1016</v>
      </c>
      <c r="M648" s="81">
        <v>46083.41443287037</v>
      </c>
      <c r="N648" s="81">
        <v>46085.599097222221</v>
      </c>
      <c r="O648" t="s">
        <v>58</v>
      </c>
      <c r="P648" t="s">
        <v>59</v>
      </c>
      <c r="R648" t="s">
        <v>156</v>
      </c>
      <c r="S648" t="s">
        <v>1320</v>
      </c>
      <c r="U648" s="75">
        <v>202443</v>
      </c>
      <c r="V648" t="s">
        <v>3148</v>
      </c>
      <c r="W648" t="s">
        <v>3148</v>
      </c>
      <c r="X648" t="s">
        <v>62</v>
      </c>
      <c r="Y648" t="s">
        <v>63</v>
      </c>
      <c r="AA648" t="s">
        <v>416</v>
      </c>
      <c r="AB648">
        <v>52.349998999999997</v>
      </c>
      <c r="AC648">
        <v>38.783332999999999</v>
      </c>
      <c r="AD648">
        <v>13.566666</v>
      </c>
      <c r="AE648">
        <v>0.63333300000000003</v>
      </c>
      <c r="AF648">
        <v>0</v>
      </c>
      <c r="AG648">
        <v>12.933332999999999</v>
      </c>
      <c r="AH648">
        <v>12.933332999999999</v>
      </c>
      <c r="AI648">
        <v>12.366667</v>
      </c>
      <c r="AJ648">
        <v>0.566666</v>
      </c>
      <c r="AK648">
        <v>0</v>
      </c>
      <c r="AL648" s="76">
        <v>45219</v>
      </c>
      <c r="AM648" s="75">
        <v>864</v>
      </c>
      <c r="AN648" t="s">
        <v>65</v>
      </c>
      <c r="AO648" t="s">
        <v>1018</v>
      </c>
      <c r="AP648" t="s">
        <v>67</v>
      </c>
      <c r="AQ648" t="s">
        <v>68</v>
      </c>
      <c r="AR648" t="s">
        <v>69</v>
      </c>
      <c r="AS648" s="78"/>
      <c r="AT648" s="82" t="s">
        <v>3021</v>
      </c>
      <c r="AU648" s="78">
        <v>2026</v>
      </c>
      <c r="AV648" s="78">
        <v>3</v>
      </c>
      <c r="AW648" s="78" t="s">
        <v>71</v>
      </c>
      <c r="AX648" s="78">
        <v>0</v>
      </c>
      <c r="AY648" s="78">
        <v>0</v>
      </c>
      <c r="BT648" s="2" t="s">
        <v>71</v>
      </c>
      <c r="BU648" s="2">
        <v>0</v>
      </c>
      <c r="BV648" s="2">
        <v>0</v>
      </c>
    </row>
    <row r="649" spans="1:74" ht="15" customHeight="1" x14ac:dyDescent="0.25">
      <c r="A649" s="75">
        <v>5850269</v>
      </c>
      <c r="B649" t="s">
        <v>3149</v>
      </c>
      <c r="C649" t="s">
        <v>1223</v>
      </c>
      <c r="D649" t="s">
        <v>527</v>
      </c>
      <c r="E649" t="s">
        <v>87</v>
      </c>
      <c r="F649" s="75">
        <v>205</v>
      </c>
      <c r="G649" s="75">
        <v>286083</v>
      </c>
      <c r="H649">
        <v>398.82</v>
      </c>
      <c r="I649" t="s">
        <v>55</v>
      </c>
      <c r="J649" s="75">
        <v>216233</v>
      </c>
      <c r="K649" t="s">
        <v>88</v>
      </c>
      <c r="L649" t="s">
        <v>89</v>
      </c>
      <c r="M649" s="81">
        <v>46082.673946759263</v>
      </c>
      <c r="N649" s="81">
        <v>46085.623622685183</v>
      </c>
      <c r="O649" t="s">
        <v>58</v>
      </c>
      <c r="P649" t="s">
        <v>59</v>
      </c>
      <c r="Q649" t="s">
        <v>90</v>
      </c>
      <c r="R649" t="s">
        <v>131</v>
      </c>
      <c r="S649" t="s">
        <v>1273</v>
      </c>
      <c r="U649" s="75">
        <v>202439</v>
      </c>
      <c r="V649" t="s">
        <v>3150</v>
      </c>
      <c r="W649" t="s">
        <v>3151</v>
      </c>
      <c r="X649" t="s">
        <v>62</v>
      </c>
      <c r="Y649" t="s">
        <v>63</v>
      </c>
      <c r="AA649" t="s">
        <v>295</v>
      </c>
      <c r="AB649">
        <v>70.700001</v>
      </c>
      <c r="AC649">
        <v>45.016666000000001</v>
      </c>
      <c r="AD649">
        <v>25.683335</v>
      </c>
      <c r="AE649">
        <v>0.11666700000000001</v>
      </c>
      <c r="AF649">
        <v>0</v>
      </c>
      <c r="AG649">
        <v>25.566668</v>
      </c>
      <c r="AH649">
        <v>25.566668</v>
      </c>
      <c r="AI649">
        <v>24.533334</v>
      </c>
      <c r="AJ649">
        <v>1.033334</v>
      </c>
      <c r="AK649">
        <v>0</v>
      </c>
      <c r="AL649" s="76">
        <v>44873</v>
      </c>
      <c r="AM649" s="75">
        <v>1209</v>
      </c>
      <c r="AN649" t="s">
        <v>65</v>
      </c>
      <c r="AO649" t="s">
        <v>1226</v>
      </c>
      <c r="AP649" t="s">
        <v>67</v>
      </c>
      <c r="AQ649" t="s">
        <v>68</v>
      </c>
      <c r="AR649" t="s">
        <v>69</v>
      </c>
      <c r="AS649" s="79"/>
      <c r="AT649" s="82" t="s">
        <v>3021</v>
      </c>
      <c r="AU649" s="78">
        <v>2026</v>
      </c>
      <c r="AV649" s="78">
        <v>3</v>
      </c>
      <c r="AW649" s="78" t="s">
        <v>71</v>
      </c>
      <c r="AX649" s="78">
        <v>0</v>
      </c>
      <c r="AY649" s="78">
        <v>1</v>
      </c>
      <c r="BT649" s="3" t="s">
        <v>71</v>
      </c>
      <c r="BU649" s="3">
        <v>0</v>
      </c>
      <c r="BV649" s="3">
        <v>1</v>
      </c>
    </row>
    <row r="650" spans="1:74" ht="15" customHeight="1" x14ac:dyDescent="0.25">
      <c r="A650" s="75">
        <v>5850249</v>
      </c>
      <c r="B650" t="s">
        <v>3152</v>
      </c>
      <c r="C650" t="s">
        <v>3153</v>
      </c>
      <c r="D650" t="s">
        <v>527</v>
      </c>
      <c r="E650" t="s">
        <v>87</v>
      </c>
      <c r="F650" s="75">
        <v>34</v>
      </c>
      <c r="G650" s="75">
        <v>275255</v>
      </c>
      <c r="H650">
        <v>525.95000000000005</v>
      </c>
      <c r="I650" t="s">
        <v>55</v>
      </c>
      <c r="J650" s="75">
        <v>218791</v>
      </c>
      <c r="K650" t="s">
        <v>312</v>
      </c>
      <c r="L650" t="s">
        <v>313</v>
      </c>
      <c r="M650" s="81">
        <v>46082.625625000001</v>
      </c>
      <c r="N650" s="81">
        <v>46085.625636574077</v>
      </c>
      <c r="O650" t="s">
        <v>58</v>
      </c>
      <c r="P650" t="s">
        <v>59</v>
      </c>
      <c r="Q650" t="s">
        <v>90</v>
      </c>
      <c r="R650" t="s">
        <v>60</v>
      </c>
      <c r="S650" t="s">
        <v>583</v>
      </c>
      <c r="U650" s="75">
        <v>202389</v>
      </c>
      <c r="V650" t="s">
        <v>3154</v>
      </c>
      <c r="W650" t="s">
        <v>3154</v>
      </c>
      <c r="X650" t="s">
        <v>62</v>
      </c>
      <c r="Y650" t="s">
        <v>63</v>
      </c>
      <c r="AA650" t="s">
        <v>416</v>
      </c>
      <c r="AB650">
        <v>71.949999000000005</v>
      </c>
      <c r="AC650">
        <v>49.266666000000001</v>
      </c>
      <c r="AD650">
        <v>22.683333000000001</v>
      </c>
      <c r="AE650">
        <v>0.216666</v>
      </c>
      <c r="AF650">
        <v>0</v>
      </c>
      <c r="AG650">
        <v>22.466667000000001</v>
      </c>
      <c r="AH650">
        <v>22.466667000000001</v>
      </c>
      <c r="AI650">
        <v>22.4</v>
      </c>
      <c r="AJ650">
        <v>6.6667000000000004E-2</v>
      </c>
      <c r="AK650">
        <v>0</v>
      </c>
      <c r="AL650" s="76">
        <v>44862.561180555553</v>
      </c>
      <c r="AM650" s="75">
        <v>1220</v>
      </c>
      <c r="AN650" t="s">
        <v>65</v>
      </c>
      <c r="AO650" t="s">
        <v>436</v>
      </c>
      <c r="AP650" t="s">
        <v>67</v>
      </c>
      <c r="AQ650" t="s">
        <v>68</v>
      </c>
      <c r="AR650" t="s">
        <v>69</v>
      </c>
      <c r="AS650" s="78"/>
      <c r="AT650" s="82" t="s">
        <v>3021</v>
      </c>
      <c r="AU650" s="78">
        <v>2026</v>
      </c>
      <c r="AV650" s="78">
        <v>3</v>
      </c>
      <c r="AW650" s="78" t="s">
        <v>71</v>
      </c>
      <c r="AX650" s="78">
        <v>0</v>
      </c>
      <c r="AY650" s="78">
        <v>0</v>
      </c>
      <c r="BT650" s="2" t="s">
        <v>71</v>
      </c>
      <c r="BU650" s="2">
        <v>0</v>
      </c>
      <c r="BV650" s="2">
        <v>0</v>
      </c>
    </row>
    <row r="651" spans="1:74" ht="15" customHeight="1" x14ac:dyDescent="0.25">
      <c r="A651" s="75">
        <v>5855107</v>
      </c>
      <c r="B651" t="s">
        <v>3155</v>
      </c>
      <c r="C651" t="s">
        <v>3156</v>
      </c>
      <c r="D651" t="s">
        <v>956</v>
      </c>
      <c r="E651" t="s">
        <v>87</v>
      </c>
      <c r="F651" s="75">
        <v>479</v>
      </c>
      <c r="G651" s="75">
        <v>290461</v>
      </c>
      <c r="H651">
        <v>364.96</v>
      </c>
      <c r="I651" t="s">
        <v>55</v>
      </c>
      <c r="J651" s="75">
        <v>218787</v>
      </c>
      <c r="K651" t="s">
        <v>96</v>
      </c>
      <c r="L651" t="s">
        <v>97</v>
      </c>
      <c r="M651" s="81">
        <v>46084.493611111109</v>
      </c>
      <c r="N651" s="81">
        <v>46085.627233796287</v>
      </c>
      <c r="O651" t="s">
        <v>58</v>
      </c>
      <c r="P651" t="s">
        <v>59</v>
      </c>
      <c r="Q651" t="s">
        <v>90</v>
      </c>
      <c r="R651" t="s">
        <v>60</v>
      </c>
      <c r="S651" t="s">
        <v>583</v>
      </c>
      <c r="U651" s="75">
        <v>203551</v>
      </c>
      <c r="V651" t="s">
        <v>3157</v>
      </c>
      <c r="W651" t="s">
        <v>3158</v>
      </c>
      <c r="X651" t="s">
        <v>62</v>
      </c>
      <c r="Y651" t="s">
        <v>63</v>
      </c>
      <c r="AA651" t="s">
        <v>101</v>
      </c>
      <c r="AB651">
        <v>27.133334000000001</v>
      </c>
      <c r="AC651">
        <v>15.866666</v>
      </c>
      <c r="AD651">
        <v>11.266667999999999</v>
      </c>
      <c r="AE651">
        <v>0.26666699999999999</v>
      </c>
      <c r="AF651">
        <v>0</v>
      </c>
      <c r="AG651">
        <v>11.000000999999999</v>
      </c>
      <c r="AH651">
        <v>11.000000999999999</v>
      </c>
      <c r="AI651">
        <v>10.866667</v>
      </c>
      <c r="AJ651">
        <v>0.13333400000000001</v>
      </c>
      <c r="AK651">
        <v>0</v>
      </c>
      <c r="AL651" s="76">
        <v>45075</v>
      </c>
      <c r="AM651" s="75">
        <v>1009</v>
      </c>
      <c r="AN651" t="s">
        <v>65</v>
      </c>
      <c r="AO651" t="s">
        <v>3159</v>
      </c>
      <c r="AP651" t="s">
        <v>67</v>
      </c>
      <c r="AQ651" t="s">
        <v>68</v>
      </c>
      <c r="AR651" t="s">
        <v>69</v>
      </c>
      <c r="AS651" s="79"/>
      <c r="AT651" s="82" t="s">
        <v>3021</v>
      </c>
      <c r="AU651" s="78">
        <v>2026</v>
      </c>
      <c r="AV651" s="78">
        <v>3</v>
      </c>
      <c r="AW651" s="78" t="s">
        <v>71</v>
      </c>
      <c r="AX651" s="78">
        <v>0</v>
      </c>
      <c r="AY651" s="78">
        <v>0</v>
      </c>
      <c r="BT651" s="3" t="s">
        <v>71</v>
      </c>
      <c r="BU651" s="3">
        <v>0</v>
      </c>
      <c r="BV651" s="3">
        <v>0</v>
      </c>
    </row>
    <row r="652" spans="1:74" ht="15" customHeight="1" x14ac:dyDescent="0.25">
      <c r="A652" s="75">
        <v>5855033</v>
      </c>
      <c r="B652" t="s">
        <v>3160</v>
      </c>
      <c r="C652" t="s">
        <v>3161</v>
      </c>
      <c r="D652" t="s">
        <v>3162</v>
      </c>
      <c r="E652" t="s">
        <v>87</v>
      </c>
      <c r="F652" s="75">
        <v>873</v>
      </c>
      <c r="G652" s="75">
        <v>349997</v>
      </c>
      <c r="H652">
        <v>950</v>
      </c>
      <c r="I652" t="s">
        <v>175</v>
      </c>
      <c r="J652" s="75">
        <v>19917</v>
      </c>
      <c r="K652" t="s">
        <v>1325</v>
      </c>
      <c r="L652" t="s">
        <v>1326</v>
      </c>
      <c r="M652" s="81">
        <v>46084.477094907408</v>
      </c>
      <c r="N652" s="81">
        <v>46085.68236111111</v>
      </c>
      <c r="O652" t="s">
        <v>58</v>
      </c>
      <c r="P652" t="s">
        <v>59</v>
      </c>
      <c r="Q652" t="s">
        <v>130</v>
      </c>
      <c r="R652" t="s">
        <v>156</v>
      </c>
      <c r="S652" t="s">
        <v>1320</v>
      </c>
      <c r="U652" s="75">
        <v>203293</v>
      </c>
      <c r="V652" t="s">
        <v>3163</v>
      </c>
      <c r="W652" t="s">
        <v>3163</v>
      </c>
      <c r="X652" t="s">
        <v>79</v>
      </c>
      <c r="Y652" t="s">
        <v>224</v>
      </c>
      <c r="AA652" t="s">
        <v>81</v>
      </c>
      <c r="AB652">
        <v>28.833334000000001</v>
      </c>
      <c r="AC652">
        <v>25.75</v>
      </c>
      <c r="AD652">
        <v>3.0833339999999998</v>
      </c>
      <c r="AE652">
        <v>0.9</v>
      </c>
      <c r="AF652">
        <v>0</v>
      </c>
      <c r="AG652">
        <v>2.1833339999999999</v>
      </c>
      <c r="AH652">
        <v>2.1833339999999999</v>
      </c>
      <c r="AI652">
        <v>0</v>
      </c>
      <c r="AJ652">
        <v>2.1833339999999999</v>
      </c>
      <c r="AK652">
        <v>0</v>
      </c>
      <c r="AL652" s="76">
        <v>46051.579016203701</v>
      </c>
      <c r="AM652" s="75">
        <v>32</v>
      </c>
      <c r="AN652" t="s">
        <v>65</v>
      </c>
      <c r="AO652" t="s">
        <v>3164</v>
      </c>
      <c r="AP652" t="s">
        <v>67</v>
      </c>
      <c r="AQ652" t="s">
        <v>83</v>
      </c>
      <c r="AR652" t="s">
        <v>69</v>
      </c>
      <c r="AS652" s="78"/>
      <c r="AT652" s="82" t="s">
        <v>3021</v>
      </c>
      <c r="AU652" s="78">
        <v>2026</v>
      </c>
      <c r="AV652" s="78">
        <v>3</v>
      </c>
      <c r="AW652" s="78" t="s">
        <v>226</v>
      </c>
      <c r="AX652" s="78">
        <v>1</v>
      </c>
      <c r="AY652" s="78">
        <v>0</v>
      </c>
      <c r="BT652" s="2" t="s">
        <v>226</v>
      </c>
      <c r="BU652" s="2">
        <v>1</v>
      </c>
      <c r="BV652" s="2">
        <v>0</v>
      </c>
    </row>
    <row r="653" spans="1:74" ht="15" customHeight="1" x14ac:dyDescent="0.25">
      <c r="A653" s="75">
        <v>5850633</v>
      </c>
      <c r="B653" t="s">
        <v>3165</v>
      </c>
      <c r="C653" t="s">
        <v>3166</v>
      </c>
      <c r="D653" t="s">
        <v>1555</v>
      </c>
      <c r="E653" t="s">
        <v>87</v>
      </c>
      <c r="F653" s="75">
        <v>1</v>
      </c>
      <c r="G653" s="75">
        <v>119121</v>
      </c>
      <c r="H653">
        <v>656.38</v>
      </c>
      <c r="I653" t="s">
        <v>114</v>
      </c>
      <c r="J653" s="75">
        <v>217673</v>
      </c>
      <c r="K653" t="s">
        <v>3167</v>
      </c>
      <c r="L653" t="s">
        <v>3168</v>
      </c>
      <c r="M653" s="81">
        <v>46083.359016203707</v>
      </c>
      <c r="N653" s="81">
        <v>46085.689004629632</v>
      </c>
      <c r="O653" t="s">
        <v>58</v>
      </c>
      <c r="P653" t="s">
        <v>59</v>
      </c>
      <c r="Q653" t="s">
        <v>130</v>
      </c>
      <c r="R653" t="s">
        <v>60</v>
      </c>
      <c r="S653" t="s">
        <v>583</v>
      </c>
      <c r="U653" s="75">
        <v>201829</v>
      </c>
      <c r="V653" t="s">
        <v>3169</v>
      </c>
      <c r="W653" t="s">
        <v>3169</v>
      </c>
      <c r="X653" t="s">
        <v>79</v>
      </c>
      <c r="Y653" t="s">
        <v>110</v>
      </c>
      <c r="AA653" t="s">
        <v>64</v>
      </c>
      <c r="AB653">
        <v>55.883333999999998</v>
      </c>
      <c r="AC653">
        <v>49.416666999999997</v>
      </c>
      <c r="AD653">
        <v>6.4666670000000002</v>
      </c>
      <c r="AE653">
        <v>0.16666700000000001</v>
      </c>
      <c r="AF653">
        <v>0</v>
      </c>
      <c r="AG653">
        <v>6.3</v>
      </c>
      <c r="AH653">
        <v>6.3</v>
      </c>
      <c r="AI653">
        <v>6.15</v>
      </c>
      <c r="AJ653">
        <v>0.15</v>
      </c>
      <c r="AK653">
        <v>0</v>
      </c>
      <c r="AL653" s="76">
        <v>43616</v>
      </c>
      <c r="AM653" s="75">
        <v>2467</v>
      </c>
      <c r="AN653" t="s">
        <v>65</v>
      </c>
      <c r="AO653" t="s">
        <v>3170</v>
      </c>
      <c r="AP653" t="s">
        <v>67</v>
      </c>
      <c r="AQ653" t="s">
        <v>83</v>
      </c>
      <c r="AR653" t="s">
        <v>69</v>
      </c>
      <c r="AS653" s="79"/>
      <c r="AT653" s="82" t="s">
        <v>3021</v>
      </c>
      <c r="AU653" s="78">
        <v>2026</v>
      </c>
      <c r="AV653" s="78">
        <v>3</v>
      </c>
      <c r="AW653" s="78" t="s">
        <v>84</v>
      </c>
      <c r="AX653" s="78">
        <v>1</v>
      </c>
      <c r="AY653" s="78">
        <v>0</v>
      </c>
      <c r="BT653" s="3" t="s">
        <v>84</v>
      </c>
      <c r="BU653" s="3">
        <v>1</v>
      </c>
      <c r="BV653" s="3">
        <v>0</v>
      </c>
    </row>
    <row r="654" spans="1:74" ht="15" customHeight="1" x14ac:dyDescent="0.25">
      <c r="A654" s="75">
        <v>5855335</v>
      </c>
      <c r="B654" t="s">
        <v>3171</v>
      </c>
      <c r="C654" t="s">
        <v>3172</v>
      </c>
      <c r="D654" t="s">
        <v>2379</v>
      </c>
      <c r="E654" t="s">
        <v>105</v>
      </c>
      <c r="F654" s="75">
        <v>2</v>
      </c>
      <c r="G654" s="75">
        <v>332691</v>
      </c>
      <c r="H654">
        <v>882.2</v>
      </c>
      <c r="I654" t="s">
        <v>175</v>
      </c>
      <c r="J654" s="75">
        <v>225537</v>
      </c>
      <c r="K654" t="s">
        <v>994</v>
      </c>
      <c r="L654" t="s">
        <v>995</v>
      </c>
      <c r="M654" s="81">
        <v>46084.57671296296</v>
      </c>
      <c r="N654" s="81">
        <v>46085.708344907413</v>
      </c>
      <c r="O654" t="s">
        <v>58</v>
      </c>
      <c r="P654" t="s">
        <v>59</v>
      </c>
      <c r="Q654" t="s">
        <v>90</v>
      </c>
      <c r="R654" t="s">
        <v>60</v>
      </c>
      <c r="S654" t="s">
        <v>583</v>
      </c>
      <c r="U654" s="75">
        <v>203055</v>
      </c>
      <c r="V654" t="s">
        <v>3173</v>
      </c>
      <c r="W654" t="s">
        <v>3174</v>
      </c>
      <c r="X654" t="s">
        <v>62</v>
      </c>
      <c r="Y654" t="s">
        <v>271</v>
      </c>
      <c r="AA654" t="s">
        <v>101</v>
      </c>
      <c r="AB654">
        <v>27.083331999999999</v>
      </c>
      <c r="AC654">
        <v>18.433333000000001</v>
      </c>
      <c r="AD654">
        <v>8.6499989999999993</v>
      </c>
      <c r="AE654">
        <v>0.183333</v>
      </c>
      <c r="AF654">
        <v>0</v>
      </c>
      <c r="AG654">
        <v>8.466666</v>
      </c>
      <c r="AH654">
        <v>8.466666</v>
      </c>
      <c r="AI654">
        <v>8.0333330000000007</v>
      </c>
      <c r="AJ654">
        <v>0.43333300000000002</v>
      </c>
      <c r="AK654">
        <v>0</v>
      </c>
      <c r="AL654" s="76">
        <v>45803.47896990741</v>
      </c>
      <c r="AM654" s="75">
        <v>281</v>
      </c>
      <c r="AN654" t="s">
        <v>65</v>
      </c>
      <c r="AO654" t="s">
        <v>997</v>
      </c>
      <c r="AP654" t="s">
        <v>67</v>
      </c>
      <c r="AQ654" t="s">
        <v>68</v>
      </c>
      <c r="AR654" t="s">
        <v>69</v>
      </c>
      <c r="AS654" s="78"/>
      <c r="AT654" s="82" t="s">
        <v>3021</v>
      </c>
      <c r="AU654" s="78">
        <v>2026</v>
      </c>
      <c r="AV654" s="78">
        <v>3</v>
      </c>
      <c r="AW654" s="78" t="s">
        <v>137</v>
      </c>
      <c r="AX654" s="78">
        <v>0</v>
      </c>
      <c r="AY654" s="78">
        <v>0</v>
      </c>
      <c r="BT654" s="2" t="s">
        <v>137</v>
      </c>
      <c r="BU654" s="2">
        <v>0</v>
      </c>
      <c r="BV654" s="2">
        <v>0</v>
      </c>
    </row>
    <row r="655" spans="1:74" ht="15" customHeight="1" x14ac:dyDescent="0.25">
      <c r="A655" s="75">
        <v>5857493</v>
      </c>
      <c r="B655" t="s">
        <v>3175</v>
      </c>
      <c r="C655" t="s">
        <v>3176</v>
      </c>
      <c r="D655" t="s">
        <v>1555</v>
      </c>
      <c r="E655" t="s">
        <v>126</v>
      </c>
      <c r="F655" s="75">
        <v>1</v>
      </c>
      <c r="G655" s="75">
        <v>331109</v>
      </c>
      <c r="H655">
        <v>4700</v>
      </c>
      <c r="I655" t="s">
        <v>141</v>
      </c>
      <c r="J655" s="75">
        <v>225259</v>
      </c>
      <c r="K655" t="s">
        <v>3083</v>
      </c>
      <c r="L655" t="s">
        <v>3084</v>
      </c>
      <c r="M655" s="81">
        <v>46085.468587962961</v>
      </c>
      <c r="N655" s="81">
        <v>46085.795706018522</v>
      </c>
      <c r="O655" t="s">
        <v>58</v>
      </c>
      <c r="P655" t="s">
        <v>59</v>
      </c>
      <c r="Q655" t="s">
        <v>130</v>
      </c>
      <c r="R655" t="s">
        <v>131</v>
      </c>
      <c r="S655" t="s">
        <v>1273</v>
      </c>
      <c r="U655" s="75">
        <v>203803</v>
      </c>
      <c r="V655" t="s">
        <v>3177</v>
      </c>
      <c r="W655" t="s">
        <v>3178</v>
      </c>
      <c r="X655" t="s">
        <v>118</v>
      </c>
      <c r="Y655" t="s">
        <v>3086</v>
      </c>
      <c r="AA655" t="s">
        <v>64</v>
      </c>
      <c r="AB655">
        <v>7.7833329999999998</v>
      </c>
      <c r="AC655">
        <v>0.8</v>
      </c>
      <c r="AD655">
        <v>6.983333</v>
      </c>
      <c r="AE655">
        <v>8.3333000000000004E-2</v>
      </c>
      <c r="AF655">
        <v>0</v>
      </c>
      <c r="AG655">
        <v>6.9</v>
      </c>
      <c r="AH655">
        <v>6.9</v>
      </c>
      <c r="AI655">
        <v>6.7166670000000002</v>
      </c>
      <c r="AJ655">
        <v>0.183333</v>
      </c>
      <c r="AK655">
        <v>0</v>
      </c>
      <c r="AL655" s="76">
        <v>45684</v>
      </c>
      <c r="AM655" s="75">
        <v>401</v>
      </c>
      <c r="AN655" t="s">
        <v>65</v>
      </c>
      <c r="AO655" t="s">
        <v>3087</v>
      </c>
      <c r="AP655" t="s">
        <v>67</v>
      </c>
      <c r="AQ655" t="s">
        <v>121</v>
      </c>
      <c r="AR655" t="s">
        <v>69</v>
      </c>
      <c r="AS655" s="79"/>
      <c r="AT655" s="82" t="s">
        <v>3021</v>
      </c>
      <c r="AU655" s="78">
        <v>2026</v>
      </c>
      <c r="AV655" s="78">
        <v>3</v>
      </c>
      <c r="AW655" s="78" t="s">
        <v>347</v>
      </c>
      <c r="AX655" s="78">
        <v>1</v>
      </c>
      <c r="AY655" s="78">
        <v>0</v>
      </c>
      <c r="BT655" s="3" t="s">
        <v>347</v>
      </c>
      <c r="BU655" s="3">
        <v>1</v>
      </c>
      <c r="BV655" s="3">
        <v>0</v>
      </c>
    </row>
    <row r="656" spans="1:74" ht="15" customHeight="1" x14ac:dyDescent="0.25">
      <c r="A656" s="75">
        <v>5858047</v>
      </c>
      <c r="B656" t="s">
        <v>3179</v>
      </c>
      <c r="C656" t="s">
        <v>3180</v>
      </c>
      <c r="D656" t="s">
        <v>1388</v>
      </c>
      <c r="E656" t="s">
        <v>87</v>
      </c>
      <c r="F656" s="75">
        <v>667</v>
      </c>
      <c r="G656" s="75">
        <v>56813</v>
      </c>
      <c r="H656">
        <v>2350</v>
      </c>
      <c r="I656" t="s">
        <v>55</v>
      </c>
      <c r="J656" s="75">
        <v>19917</v>
      </c>
      <c r="K656" t="s">
        <v>1325</v>
      </c>
      <c r="L656" t="s">
        <v>1326</v>
      </c>
      <c r="M656" s="81">
        <v>46085.632951388892</v>
      </c>
      <c r="N656" s="81">
        <v>46086.364803240736</v>
      </c>
      <c r="O656" t="s">
        <v>58</v>
      </c>
      <c r="P656" t="s">
        <v>59</v>
      </c>
      <c r="Q656" t="s">
        <v>130</v>
      </c>
      <c r="R656" t="s">
        <v>60</v>
      </c>
      <c r="S656" t="s">
        <v>583</v>
      </c>
      <c r="U656" s="75">
        <v>204035</v>
      </c>
      <c r="V656" t="s">
        <v>3181</v>
      </c>
      <c r="W656" t="s">
        <v>3182</v>
      </c>
      <c r="X656" t="s">
        <v>79</v>
      </c>
      <c r="Y656" t="s">
        <v>224</v>
      </c>
      <c r="AA656" t="s">
        <v>81</v>
      </c>
      <c r="AB656">
        <v>17.5</v>
      </c>
      <c r="AC656">
        <v>15.033333000000001</v>
      </c>
      <c r="AD656">
        <v>2.4666670000000002</v>
      </c>
      <c r="AE656">
        <v>0.61666699999999997</v>
      </c>
      <c r="AF656">
        <v>0</v>
      </c>
      <c r="AG656">
        <v>1.85</v>
      </c>
      <c r="AH656">
        <v>1.85</v>
      </c>
      <c r="AI656">
        <v>0.9</v>
      </c>
      <c r="AJ656">
        <v>0.95</v>
      </c>
      <c r="AK656">
        <v>0</v>
      </c>
      <c r="AL656" s="76">
        <v>43045</v>
      </c>
      <c r="AM656" s="75">
        <v>3040</v>
      </c>
      <c r="AN656" t="s">
        <v>65</v>
      </c>
      <c r="AO656" t="s">
        <v>3183</v>
      </c>
      <c r="AP656" t="s">
        <v>67</v>
      </c>
      <c r="AQ656" t="s">
        <v>83</v>
      </c>
      <c r="AR656" t="s">
        <v>69</v>
      </c>
      <c r="AS656" s="78"/>
      <c r="AT656" s="82" t="s">
        <v>3021</v>
      </c>
      <c r="AU656" s="78">
        <v>2026</v>
      </c>
      <c r="AV656" s="78">
        <v>3</v>
      </c>
      <c r="AW656" s="78" t="s">
        <v>226</v>
      </c>
      <c r="AX656" s="78">
        <v>1</v>
      </c>
      <c r="AY656" s="78">
        <v>0</v>
      </c>
      <c r="BT656" s="2" t="s">
        <v>226</v>
      </c>
      <c r="BU656" s="2">
        <v>1</v>
      </c>
      <c r="BV656" s="2">
        <v>0</v>
      </c>
    </row>
    <row r="657" spans="1:74" ht="15" customHeight="1" x14ac:dyDescent="0.25">
      <c r="A657" s="75">
        <v>5854907</v>
      </c>
      <c r="B657" t="s">
        <v>3184</v>
      </c>
      <c r="C657" t="s">
        <v>3185</v>
      </c>
      <c r="D657" t="s">
        <v>527</v>
      </c>
      <c r="E657" t="s">
        <v>87</v>
      </c>
      <c r="F657" s="75">
        <v>4</v>
      </c>
      <c r="G657" s="75">
        <v>278129</v>
      </c>
      <c r="H657">
        <v>951.11</v>
      </c>
      <c r="I657" t="s">
        <v>266</v>
      </c>
      <c r="J657" s="75">
        <v>203659</v>
      </c>
      <c r="K657" t="s">
        <v>1090</v>
      </c>
      <c r="L657" t="s">
        <v>1091</v>
      </c>
      <c r="M657" s="81">
        <v>46084.446192129632</v>
      </c>
      <c r="N657" s="81">
        <v>46086.516435185193</v>
      </c>
      <c r="O657" t="s">
        <v>58</v>
      </c>
      <c r="P657" t="s">
        <v>59</v>
      </c>
      <c r="Q657" t="s">
        <v>77</v>
      </c>
      <c r="R657" t="s">
        <v>156</v>
      </c>
      <c r="S657" t="s">
        <v>1320</v>
      </c>
      <c r="U657" s="75">
        <v>203289</v>
      </c>
      <c r="V657" t="s">
        <v>3186</v>
      </c>
      <c r="W657" t="s">
        <v>3186</v>
      </c>
      <c r="X657" t="s">
        <v>62</v>
      </c>
      <c r="Y657" t="s">
        <v>287</v>
      </c>
      <c r="AA657" t="s">
        <v>81</v>
      </c>
      <c r="AB657">
        <v>49.616666000000002</v>
      </c>
      <c r="AC657">
        <v>47.066667000000002</v>
      </c>
      <c r="AD657">
        <v>2.5499990000000001</v>
      </c>
      <c r="AE657">
        <v>0.48333300000000001</v>
      </c>
      <c r="AF657">
        <v>0</v>
      </c>
      <c r="AG657">
        <v>2.0666660000000001</v>
      </c>
      <c r="AH657">
        <v>2.0666660000000001</v>
      </c>
      <c r="AI657">
        <v>0.9</v>
      </c>
      <c r="AJ657">
        <v>1.166666</v>
      </c>
      <c r="AK657">
        <v>0</v>
      </c>
      <c r="AL657" s="76">
        <v>44707</v>
      </c>
      <c r="AM657" s="75">
        <v>1377</v>
      </c>
      <c r="AN657" t="s">
        <v>65</v>
      </c>
      <c r="AO657" t="s">
        <v>3187</v>
      </c>
      <c r="AP657" t="s">
        <v>67</v>
      </c>
      <c r="AQ657" t="s">
        <v>68</v>
      </c>
      <c r="AR657" t="s">
        <v>69</v>
      </c>
      <c r="AS657" s="79"/>
      <c r="AT657" s="82" t="s">
        <v>3021</v>
      </c>
      <c r="AU657" s="78">
        <v>2026</v>
      </c>
      <c r="AV657" s="78">
        <v>3</v>
      </c>
      <c r="AW657" s="78" t="s">
        <v>137</v>
      </c>
      <c r="AX657" s="78">
        <v>1</v>
      </c>
      <c r="AY657" s="78">
        <v>0</v>
      </c>
      <c r="BT657" s="3" t="s">
        <v>137</v>
      </c>
      <c r="BU657" s="3">
        <v>1</v>
      </c>
      <c r="BV657" s="3">
        <v>0</v>
      </c>
    </row>
    <row r="658" spans="1:74" ht="15" customHeight="1" x14ac:dyDescent="0.25">
      <c r="A658" s="75">
        <v>5854093</v>
      </c>
      <c r="B658" t="s">
        <v>3188</v>
      </c>
      <c r="C658" t="s">
        <v>3189</v>
      </c>
      <c r="D658" t="s">
        <v>162</v>
      </c>
      <c r="E658" t="s">
        <v>87</v>
      </c>
      <c r="F658" s="75">
        <v>57</v>
      </c>
      <c r="G658" s="75">
        <v>280115</v>
      </c>
      <c r="H658">
        <v>623.5</v>
      </c>
      <c r="I658" t="s">
        <v>266</v>
      </c>
      <c r="J658" s="75">
        <v>203659</v>
      </c>
      <c r="K658" t="s">
        <v>1090</v>
      </c>
      <c r="L658" t="s">
        <v>1091</v>
      </c>
      <c r="M658" s="81">
        <v>46084.104456018518</v>
      </c>
      <c r="N658" s="81">
        <v>46086.52480324074</v>
      </c>
      <c r="O658" t="s">
        <v>58</v>
      </c>
      <c r="P658" t="s">
        <v>59</v>
      </c>
      <c r="Q658" t="s">
        <v>90</v>
      </c>
      <c r="R658" t="s">
        <v>131</v>
      </c>
      <c r="S658" t="s">
        <v>1273</v>
      </c>
      <c r="U658" s="75">
        <v>202397</v>
      </c>
      <c r="V658" t="s">
        <v>3190</v>
      </c>
      <c r="W658" t="s">
        <v>3191</v>
      </c>
      <c r="X658" t="s">
        <v>62</v>
      </c>
      <c r="Y658" t="s">
        <v>63</v>
      </c>
      <c r="AA658" t="s">
        <v>416</v>
      </c>
      <c r="AB658">
        <v>57.95</v>
      </c>
      <c r="AC658">
        <v>34.950000000000003</v>
      </c>
      <c r="AD658">
        <v>23</v>
      </c>
      <c r="AE658">
        <v>0.11666600000000001</v>
      </c>
      <c r="AF658">
        <v>0</v>
      </c>
      <c r="AG658">
        <v>22.883334000000001</v>
      </c>
      <c r="AH658">
        <v>22.883334000000001</v>
      </c>
      <c r="AI658">
        <v>21.716667000000001</v>
      </c>
      <c r="AJ658">
        <v>1.1666669999999999</v>
      </c>
      <c r="AK658">
        <v>0</v>
      </c>
      <c r="AL658" s="76">
        <v>44781</v>
      </c>
      <c r="AM658" s="75">
        <v>1303</v>
      </c>
      <c r="AN658" t="s">
        <v>65</v>
      </c>
      <c r="AO658" t="s">
        <v>3192</v>
      </c>
      <c r="AP658" t="s">
        <v>67</v>
      </c>
      <c r="AQ658" t="s">
        <v>68</v>
      </c>
      <c r="AR658" t="s">
        <v>69</v>
      </c>
      <c r="AS658" s="78"/>
      <c r="AT658" s="82" t="s">
        <v>3021</v>
      </c>
      <c r="AU658" s="78">
        <v>2026</v>
      </c>
      <c r="AV658" s="78">
        <v>3</v>
      </c>
      <c r="AW658" s="78" t="s">
        <v>71</v>
      </c>
      <c r="AX658" s="78">
        <v>0</v>
      </c>
      <c r="AY658" s="78">
        <v>0</v>
      </c>
      <c r="BT658" s="2" t="s">
        <v>71</v>
      </c>
      <c r="BU658" s="2">
        <v>0</v>
      </c>
      <c r="BV658" s="2">
        <v>0</v>
      </c>
    </row>
    <row r="659" spans="1:74" ht="15" customHeight="1" x14ac:dyDescent="0.25">
      <c r="A659" s="75">
        <v>5858645</v>
      </c>
      <c r="B659" t="s">
        <v>3193</v>
      </c>
      <c r="C659" t="s">
        <v>1524</v>
      </c>
      <c r="D659" t="s">
        <v>527</v>
      </c>
      <c r="E659" t="s">
        <v>87</v>
      </c>
      <c r="F659" s="75">
        <v>539</v>
      </c>
      <c r="G659" s="75">
        <v>295553</v>
      </c>
      <c r="H659">
        <v>382.47</v>
      </c>
      <c r="I659" t="s">
        <v>55</v>
      </c>
      <c r="J659" s="75">
        <v>216233</v>
      </c>
      <c r="K659" t="s">
        <v>88</v>
      </c>
      <c r="L659" t="s">
        <v>89</v>
      </c>
      <c r="M659" s="81">
        <v>46086.007511574076</v>
      </c>
      <c r="N659" s="81">
        <v>46086.525381944448</v>
      </c>
      <c r="O659" t="s">
        <v>58</v>
      </c>
      <c r="P659" t="s">
        <v>59</v>
      </c>
      <c r="Q659" t="s">
        <v>90</v>
      </c>
      <c r="R659" t="s">
        <v>60</v>
      </c>
      <c r="S659" t="s">
        <v>583</v>
      </c>
      <c r="U659" s="75">
        <v>204231</v>
      </c>
      <c r="V659" t="s">
        <v>3194</v>
      </c>
      <c r="W659" t="s">
        <v>3194</v>
      </c>
      <c r="X659" t="s">
        <v>62</v>
      </c>
      <c r="Y659" t="s">
        <v>63</v>
      </c>
      <c r="AA659" t="s">
        <v>81</v>
      </c>
      <c r="AB659">
        <v>12.366666</v>
      </c>
      <c r="AC659">
        <v>9.1</v>
      </c>
      <c r="AD659">
        <v>3.2666659999999998</v>
      </c>
      <c r="AE659">
        <v>0.2</v>
      </c>
      <c r="AF659">
        <v>0</v>
      </c>
      <c r="AG659">
        <v>3.0666660000000001</v>
      </c>
      <c r="AH659">
        <v>3.0666660000000001</v>
      </c>
      <c r="AI659">
        <v>2.7833329999999998</v>
      </c>
      <c r="AJ659">
        <v>0.283333</v>
      </c>
      <c r="AK659">
        <v>0</v>
      </c>
      <c r="AL659" s="76">
        <v>45342</v>
      </c>
      <c r="AM659" s="75">
        <v>744</v>
      </c>
      <c r="AN659" t="s">
        <v>65</v>
      </c>
      <c r="AO659" t="s">
        <v>1526</v>
      </c>
      <c r="AP659" t="s">
        <v>67</v>
      </c>
      <c r="AQ659" t="s">
        <v>68</v>
      </c>
      <c r="AR659" t="s">
        <v>69</v>
      </c>
      <c r="AS659" s="79"/>
      <c r="AT659" s="82" t="s">
        <v>3021</v>
      </c>
      <c r="AU659" s="78">
        <v>2026</v>
      </c>
      <c r="AV659" s="78">
        <v>3</v>
      </c>
      <c r="AW659" s="78" t="s">
        <v>71</v>
      </c>
      <c r="AX659" s="78">
        <v>1</v>
      </c>
      <c r="AY659" s="78">
        <v>0</v>
      </c>
      <c r="BT659" s="3" t="s">
        <v>71</v>
      </c>
      <c r="BU659" s="3">
        <v>1</v>
      </c>
      <c r="BV659" s="3">
        <v>0</v>
      </c>
    </row>
    <row r="660" spans="1:74" ht="15" customHeight="1" x14ac:dyDescent="0.25">
      <c r="A660" s="75">
        <v>5853725</v>
      </c>
      <c r="B660" t="s">
        <v>3195</v>
      </c>
      <c r="C660" t="s">
        <v>325</v>
      </c>
      <c r="D660" t="s">
        <v>527</v>
      </c>
      <c r="E660" t="s">
        <v>87</v>
      </c>
      <c r="F660" s="75">
        <v>393</v>
      </c>
      <c r="G660" s="75">
        <v>286891</v>
      </c>
      <c r="H660">
        <v>364.96</v>
      </c>
      <c r="I660" t="s">
        <v>55</v>
      </c>
      <c r="J660" s="75">
        <v>218787</v>
      </c>
      <c r="K660" t="s">
        <v>96</v>
      </c>
      <c r="L660" t="s">
        <v>97</v>
      </c>
      <c r="M660" s="81">
        <v>46083.778171296297</v>
      </c>
      <c r="N660" s="81">
        <v>46086.526412037027</v>
      </c>
      <c r="O660" t="s">
        <v>58</v>
      </c>
      <c r="P660" t="s">
        <v>59</v>
      </c>
      <c r="Q660" t="s">
        <v>98</v>
      </c>
      <c r="R660" t="s">
        <v>60</v>
      </c>
      <c r="S660" t="s">
        <v>583</v>
      </c>
      <c r="U660" s="75">
        <v>202465</v>
      </c>
      <c r="V660" t="s">
        <v>3196</v>
      </c>
      <c r="W660" t="s">
        <v>3197</v>
      </c>
      <c r="X660" t="s">
        <v>62</v>
      </c>
      <c r="Y660" t="s">
        <v>63</v>
      </c>
      <c r="AA660" t="s">
        <v>416</v>
      </c>
      <c r="AB660">
        <v>65.850001000000006</v>
      </c>
      <c r="AC660">
        <v>46.450001</v>
      </c>
      <c r="AD660">
        <v>19.399999999999999</v>
      </c>
      <c r="AE660">
        <v>0.566666</v>
      </c>
      <c r="AF660">
        <v>0</v>
      </c>
      <c r="AG660">
        <v>18.833334000000001</v>
      </c>
      <c r="AH660">
        <v>18.833334000000001</v>
      </c>
      <c r="AI660">
        <v>18.416667</v>
      </c>
      <c r="AJ660">
        <v>0.41666700000000001</v>
      </c>
      <c r="AK660">
        <v>0</v>
      </c>
      <c r="AL660" s="76">
        <v>44974</v>
      </c>
      <c r="AM660" s="75">
        <v>1109</v>
      </c>
      <c r="AN660" t="s">
        <v>65</v>
      </c>
      <c r="AO660" t="s">
        <v>328</v>
      </c>
      <c r="AP660" t="s">
        <v>67</v>
      </c>
      <c r="AQ660" t="s">
        <v>68</v>
      </c>
      <c r="AR660" t="s">
        <v>69</v>
      </c>
      <c r="AS660" s="78"/>
      <c r="AT660" s="82" t="s">
        <v>3021</v>
      </c>
      <c r="AU660" s="78">
        <v>2026</v>
      </c>
      <c r="AV660" s="78">
        <v>3</v>
      </c>
      <c r="AW660" s="78" t="s">
        <v>71</v>
      </c>
      <c r="AX660" s="78">
        <v>0</v>
      </c>
      <c r="AY660" s="78">
        <v>0</v>
      </c>
      <c r="BT660" s="2" t="s">
        <v>71</v>
      </c>
      <c r="BU660" s="2">
        <v>0</v>
      </c>
      <c r="BV660" s="2">
        <v>0</v>
      </c>
    </row>
    <row r="661" spans="1:74" ht="15" customHeight="1" x14ac:dyDescent="0.25">
      <c r="A661" s="75">
        <v>5855781</v>
      </c>
      <c r="B661" t="s">
        <v>3198</v>
      </c>
      <c r="C661" t="s">
        <v>3199</v>
      </c>
      <c r="D661" t="s">
        <v>527</v>
      </c>
      <c r="E661" t="s">
        <v>87</v>
      </c>
      <c r="F661" s="75">
        <v>169</v>
      </c>
      <c r="G661" s="75">
        <v>285823</v>
      </c>
      <c r="H661">
        <v>365.95</v>
      </c>
      <c r="I661" t="s">
        <v>55</v>
      </c>
      <c r="J661" s="75">
        <v>218787</v>
      </c>
      <c r="K661" t="s">
        <v>96</v>
      </c>
      <c r="L661" t="s">
        <v>97</v>
      </c>
      <c r="M661" s="81">
        <v>46084.709004629629</v>
      </c>
      <c r="N661" s="81">
        <v>46086.52679398148</v>
      </c>
      <c r="O661" t="s">
        <v>58</v>
      </c>
      <c r="P661" t="s">
        <v>59</v>
      </c>
      <c r="Q661" t="s">
        <v>90</v>
      </c>
      <c r="R661" t="s">
        <v>60</v>
      </c>
      <c r="S661" t="s">
        <v>1268</v>
      </c>
      <c r="U661" s="75">
        <v>203201</v>
      </c>
      <c r="V661" t="s">
        <v>3200</v>
      </c>
      <c r="W661" t="s">
        <v>3200</v>
      </c>
      <c r="X661" t="s">
        <v>62</v>
      </c>
      <c r="Y661" t="s">
        <v>63</v>
      </c>
      <c r="AA661" t="s">
        <v>101</v>
      </c>
      <c r="AB661">
        <v>43.566665999999998</v>
      </c>
      <c r="AC661">
        <v>31.216666</v>
      </c>
      <c r="AD661">
        <v>12.35</v>
      </c>
      <c r="AE661">
        <v>1.45</v>
      </c>
      <c r="AF661">
        <v>0</v>
      </c>
      <c r="AG661">
        <v>10.9</v>
      </c>
      <c r="AH661">
        <v>10.9</v>
      </c>
      <c r="AI661">
        <v>10.516667</v>
      </c>
      <c r="AJ661">
        <v>0.38333299999999998</v>
      </c>
      <c r="AK661">
        <v>0</v>
      </c>
      <c r="AL661" s="76">
        <v>44869</v>
      </c>
      <c r="AM661" s="75">
        <v>1215</v>
      </c>
      <c r="AN661" t="s">
        <v>65</v>
      </c>
      <c r="AO661" t="s">
        <v>3201</v>
      </c>
      <c r="AP661" t="s">
        <v>67</v>
      </c>
      <c r="AQ661" t="s">
        <v>68</v>
      </c>
      <c r="AR661" t="s">
        <v>69</v>
      </c>
      <c r="AS661" s="79"/>
      <c r="AT661" s="82" t="s">
        <v>3021</v>
      </c>
      <c r="AU661" s="78">
        <v>2026</v>
      </c>
      <c r="AV661" s="78">
        <v>3</v>
      </c>
      <c r="AW661" s="78" t="s">
        <v>71</v>
      </c>
      <c r="AX661" s="78">
        <v>0</v>
      </c>
      <c r="AY661" s="78">
        <v>0</v>
      </c>
      <c r="BT661" s="3" t="s">
        <v>71</v>
      </c>
      <c r="BU661" s="3">
        <v>0</v>
      </c>
      <c r="BV661" s="3">
        <v>0</v>
      </c>
    </row>
    <row r="662" spans="1:74" ht="15" customHeight="1" x14ac:dyDescent="0.25">
      <c r="A662" s="75">
        <v>5857483</v>
      </c>
      <c r="B662" t="s">
        <v>3202</v>
      </c>
      <c r="C662" t="s">
        <v>3203</v>
      </c>
      <c r="D662" t="s">
        <v>527</v>
      </c>
      <c r="E662" t="s">
        <v>87</v>
      </c>
      <c r="F662" s="75">
        <v>194</v>
      </c>
      <c r="G662" s="75">
        <v>285937</v>
      </c>
      <c r="H662">
        <v>364.95</v>
      </c>
      <c r="I662" t="s">
        <v>55</v>
      </c>
      <c r="J662" s="75">
        <v>218787</v>
      </c>
      <c r="K662" t="s">
        <v>96</v>
      </c>
      <c r="L662" t="s">
        <v>97</v>
      </c>
      <c r="M662" s="81">
        <v>46085.465729166674</v>
      </c>
      <c r="N662" s="81">
        <v>46086.527708333328</v>
      </c>
      <c r="O662" t="s">
        <v>58</v>
      </c>
      <c r="P662" t="s">
        <v>59</v>
      </c>
      <c r="Q662" t="s">
        <v>90</v>
      </c>
      <c r="R662" t="s">
        <v>60</v>
      </c>
      <c r="S662" t="s">
        <v>583</v>
      </c>
      <c r="U662" s="75">
        <v>203761</v>
      </c>
      <c r="V662" t="s">
        <v>3204</v>
      </c>
      <c r="W662" t="s">
        <v>3204</v>
      </c>
      <c r="X662" t="s">
        <v>62</v>
      </c>
      <c r="Y662" t="s">
        <v>63</v>
      </c>
      <c r="AA662" t="s">
        <v>64</v>
      </c>
      <c r="AB662">
        <v>25.466666</v>
      </c>
      <c r="AC662">
        <v>19.733332999999998</v>
      </c>
      <c r="AD662">
        <v>5.733333</v>
      </c>
      <c r="AE662">
        <v>0.8</v>
      </c>
      <c r="AF662">
        <v>0</v>
      </c>
      <c r="AG662">
        <v>4.9333330000000002</v>
      </c>
      <c r="AH662">
        <v>4.9333330000000002</v>
      </c>
      <c r="AI662">
        <v>4.9000000000000004</v>
      </c>
      <c r="AJ662">
        <v>3.3333000000000002E-2</v>
      </c>
      <c r="AK662">
        <v>0</v>
      </c>
      <c r="AL662" s="76">
        <v>44960</v>
      </c>
      <c r="AM662" s="75">
        <v>1125</v>
      </c>
      <c r="AN662" t="s">
        <v>65</v>
      </c>
      <c r="AO662" t="s">
        <v>3205</v>
      </c>
      <c r="AP662" t="s">
        <v>67</v>
      </c>
      <c r="AQ662" t="s">
        <v>68</v>
      </c>
      <c r="AR662" t="s">
        <v>69</v>
      </c>
      <c r="AS662" s="78"/>
      <c r="AT662" s="82" t="s">
        <v>3021</v>
      </c>
      <c r="AU662" s="78">
        <v>2026</v>
      </c>
      <c r="AV662" s="78">
        <v>3</v>
      </c>
      <c r="AW662" s="78" t="s">
        <v>71</v>
      </c>
      <c r="AX662" s="78">
        <v>1</v>
      </c>
      <c r="AY662" s="78">
        <v>0</v>
      </c>
      <c r="BT662" s="2" t="s">
        <v>71</v>
      </c>
      <c r="BU662" s="2">
        <v>1</v>
      </c>
      <c r="BV662" s="2">
        <v>0</v>
      </c>
    </row>
    <row r="663" spans="1:74" ht="15" customHeight="1" x14ac:dyDescent="0.25">
      <c r="A663" s="75">
        <v>5855459</v>
      </c>
      <c r="B663" t="s">
        <v>3206</v>
      </c>
      <c r="C663" t="s">
        <v>3207</v>
      </c>
      <c r="D663" t="s">
        <v>1555</v>
      </c>
      <c r="E663" t="s">
        <v>87</v>
      </c>
      <c r="F663" s="75">
        <v>410</v>
      </c>
      <c r="G663" s="75">
        <v>287887</v>
      </c>
      <c r="H663">
        <v>182.89</v>
      </c>
      <c r="I663" t="s">
        <v>853</v>
      </c>
      <c r="J663" s="75">
        <v>49495</v>
      </c>
      <c r="K663" t="s">
        <v>460</v>
      </c>
      <c r="L663" t="s">
        <v>461</v>
      </c>
      <c r="M663" s="81">
        <v>46084.611550925933</v>
      </c>
      <c r="N663" s="81">
        <v>46086.52783564815</v>
      </c>
      <c r="O663" t="s">
        <v>58</v>
      </c>
      <c r="P663" t="s">
        <v>59</v>
      </c>
      <c r="Q663" t="s">
        <v>90</v>
      </c>
      <c r="R663" t="s">
        <v>60</v>
      </c>
      <c r="S663" t="s">
        <v>583</v>
      </c>
      <c r="U663" s="75">
        <v>203099</v>
      </c>
      <c r="V663" t="s">
        <v>3208</v>
      </c>
      <c r="W663" t="s">
        <v>3208</v>
      </c>
      <c r="X663" t="s">
        <v>62</v>
      </c>
      <c r="Y663" t="s">
        <v>931</v>
      </c>
      <c r="AA663" t="s">
        <v>81</v>
      </c>
      <c r="AB663">
        <v>45.916666999999997</v>
      </c>
      <c r="AC663">
        <v>43.683332999999998</v>
      </c>
      <c r="AD663">
        <v>2.2333340000000002</v>
      </c>
      <c r="AE663">
        <v>0.5</v>
      </c>
      <c r="AF663">
        <v>0</v>
      </c>
      <c r="AG663">
        <v>1.7333339999999999</v>
      </c>
      <c r="AH663">
        <v>1.7333339999999999</v>
      </c>
      <c r="AI663">
        <v>1.566667</v>
      </c>
      <c r="AJ663">
        <v>0.16666700000000001</v>
      </c>
      <c r="AK663">
        <v>0</v>
      </c>
      <c r="AL663" s="76">
        <v>45233.725370370368</v>
      </c>
      <c r="AM663" s="75">
        <v>850</v>
      </c>
      <c r="AN663" t="s">
        <v>65</v>
      </c>
      <c r="AO663" t="s">
        <v>3209</v>
      </c>
      <c r="AP663" t="s">
        <v>67</v>
      </c>
      <c r="AQ663" t="s">
        <v>68</v>
      </c>
      <c r="AR663" t="s">
        <v>69</v>
      </c>
      <c r="AS663" s="79"/>
      <c r="AT663" s="82" t="s">
        <v>3021</v>
      </c>
      <c r="AU663" s="78">
        <v>2026</v>
      </c>
      <c r="AV663" s="78">
        <v>3</v>
      </c>
      <c r="AW663" s="78" t="s">
        <v>71</v>
      </c>
      <c r="AX663" s="78">
        <v>1</v>
      </c>
      <c r="AY663" s="78">
        <v>0</v>
      </c>
      <c r="BT663" s="3" t="s">
        <v>71</v>
      </c>
      <c r="BU663" s="3">
        <v>1</v>
      </c>
      <c r="BV663" s="3">
        <v>0</v>
      </c>
    </row>
    <row r="664" spans="1:74" ht="15" customHeight="1" x14ac:dyDescent="0.25">
      <c r="A664" s="75">
        <v>5856527</v>
      </c>
      <c r="B664" t="s">
        <v>3210</v>
      </c>
      <c r="C664" t="s">
        <v>1067</v>
      </c>
      <c r="D664" t="s">
        <v>527</v>
      </c>
      <c r="E664" t="s">
        <v>87</v>
      </c>
      <c r="F664" s="75">
        <v>426</v>
      </c>
      <c r="G664" s="75">
        <v>289277</v>
      </c>
      <c r="H664">
        <v>382.47</v>
      </c>
      <c r="I664" t="s">
        <v>55</v>
      </c>
      <c r="J664" s="75">
        <v>216233</v>
      </c>
      <c r="K664" t="s">
        <v>88</v>
      </c>
      <c r="L664" t="s">
        <v>89</v>
      </c>
      <c r="M664" s="81">
        <v>46084.73641203704</v>
      </c>
      <c r="N664" s="81">
        <v>46086.527962962973</v>
      </c>
      <c r="O664" t="s">
        <v>58</v>
      </c>
      <c r="P664" t="s">
        <v>59</v>
      </c>
      <c r="Q664" t="s">
        <v>90</v>
      </c>
      <c r="R664" t="s">
        <v>60</v>
      </c>
      <c r="S664" t="s">
        <v>583</v>
      </c>
      <c r="U664" s="75">
        <v>203183</v>
      </c>
      <c r="V664" t="s">
        <v>3211</v>
      </c>
      <c r="W664" t="s">
        <v>3211</v>
      </c>
      <c r="X664" t="s">
        <v>62</v>
      </c>
      <c r="Y664" t="s">
        <v>63</v>
      </c>
      <c r="AA664" t="s">
        <v>101</v>
      </c>
      <c r="AB664">
        <v>42.900001000000003</v>
      </c>
      <c r="AC664">
        <v>32.35</v>
      </c>
      <c r="AD664">
        <v>10.550001</v>
      </c>
      <c r="AE664">
        <v>0.183334</v>
      </c>
      <c r="AF664">
        <v>0</v>
      </c>
      <c r="AG664">
        <v>10.366667</v>
      </c>
      <c r="AH664">
        <v>10.366667</v>
      </c>
      <c r="AI664">
        <v>10.016667</v>
      </c>
      <c r="AJ664">
        <v>0.35</v>
      </c>
      <c r="AK664">
        <v>0</v>
      </c>
      <c r="AL664" s="76">
        <v>44998</v>
      </c>
      <c r="AM664" s="75">
        <v>1086</v>
      </c>
      <c r="AN664" t="s">
        <v>65</v>
      </c>
      <c r="AO664" t="s">
        <v>1070</v>
      </c>
      <c r="AP664" t="s">
        <v>67</v>
      </c>
      <c r="AQ664" t="s">
        <v>68</v>
      </c>
      <c r="AR664" t="s">
        <v>69</v>
      </c>
      <c r="AS664" s="78"/>
      <c r="AT664" s="82" t="s">
        <v>3021</v>
      </c>
      <c r="AU664" s="78">
        <v>2026</v>
      </c>
      <c r="AV664" s="78">
        <v>3</v>
      </c>
      <c r="AW664" s="78" t="s">
        <v>71</v>
      </c>
      <c r="AX664" s="78">
        <v>0</v>
      </c>
      <c r="AY664" s="78">
        <v>0</v>
      </c>
      <c r="BT664" s="2" t="s">
        <v>71</v>
      </c>
      <c r="BU664" s="2">
        <v>0</v>
      </c>
      <c r="BV664" s="2">
        <v>0</v>
      </c>
    </row>
    <row r="665" spans="1:74" ht="15" customHeight="1" x14ac:dyDescent="0.25">
      <c r="A665" s="75">
        <v>5856491</v>
      </c>
      <c r="B665" t="s">
        <v>3212</v>
      </c>
      <c r="C665" t="s">
        <v>582</v>
      </c>
      <c r="D665" t="s">
        <v>150</v>
      </c>
      <c r="E665" t="s">
        <v>87</v>
      </c>
      <c r="F665" s="75">
        <v>544</v>
      </c>
      <c r="G665" s="75">
        <v>297135</v>
      </c>
      <c r="H665">
        <v>346.37</v>
      </c>
      <c r="I665" t="s">
        <v>55</v>
      </c>
      <c r="J665" s="75">
        <v>216233</v>
      </c>
      <c r="K665" t="s">
        <v>88</v>
      </c>
      <c r="L665" t="s">
        <v>89</v>
      </c>
      <c r="M665" s="81">
        <v>46084.722662037027</v>
      </c>
      <c r="N665" s="81">
        <v>46086.530509259261</v>
      </c>
      <c r="O665" t="s">
        <v>58</v>
      </c>
      <c r="P665" t="s">
        <v>59</v>
      </c>
      <c r="Q665" t="s">
        <v>90</v>
      </c>
      <c r="R665" t="s">
        <v>131</v>
      </c>
      <c r="S665" t="s">
        <v>1695</v>
      </c>
      <c r="U665" s="75">
        <v>204249</v>
      </c>
      <c r="V665" t="s">
        <v>3213</v>
      </c>
      <c r="W665" t="s">
        <v>3214</v>
      </c>
      <c r="X665" t="s">
        <v>62</v>
      </c>
      <c r="Y665" t="s">
        <v>63</v>
      </c>
      <c r="AA665" t="s">
        <v>101</v>
      </c>
      <c r="AB665">
        <v>43.3</v>
      </c>
      <c r="AC665">
        <v>33.833333000000003</v>
      </c>
      <c r="AD665">
        <v>9.4666669999999993</v>
      </c>
      <c r="AE665">
        <v>0.16666700000000001</v>
      </c>
      <c r="AF665">
        <v>0</v>
      </c>
      <c r="AG665">
        <v>9.3000000000000007</v>
      </c>
      <c r="AH665">
        <v>9.3000000000000007</v>
      </c>
      <c r="AI665">
        <v>8.016667</v>
      </c>
      <c r="AJ665">
        <v>1.2833330000000001</v>
      </c>
      <c r="AK665">
        <v>0</v>
      </c>
      <c r="AL665" s="76">
        <v>45254.689884259264</v>
      </c>
      <c r="AM665" s="75">
        <v>830</v>
      </c>
      <c r="AN665" t="s">
        <v>65</v>
      </c>
      <c r="AO665" t="s">
        <v>585</v>
      </c>
      <c r="AP665" t="s">
        <v>67</v>
      </c>
      <c r="AQ665" t="s">
        <v>68</v>
      </c>
      <c r="AR665" t="s">
        <v>69</v>
      </c>
      <c r="AS665" s="79"/>
      <c r="AT665" s="82" t="s">
        <v>3021</v>
      </c>
      <c r="AU665" s="78">
        <v>2026</v>
      </c>
      <c r="AV665" s="78">
        <v>3</v>
      </c>
      <c r="AW665" s="78" t="s">
        <v>71</v>
      </c>
      <c r="AX665" s="78">
        <v>0</v>
      </c>
      <c r="AY665" s="78">
        <v>0</v>
      </c>
      <c r="BT665" s="3" t="s">
        <v>71</v>
      </c>
      <c r="BU665" s="3">
        <v>0</v>
      </c>
      <c r="BV665" s="3">
        <v>0</v>
      </c>
    </row>
    <row r="666" spans="1:74" ht="15" customHeight="1" x14ac:dyDescent="0.25">
      <c r="A666" s="75">
        <v>5850057</v>
      </c>
      <c r="B666" t="s">
        <v>3215</v>
      </c>
      <c r="C666" t="s">
        <v>922</v>
      </c>
      <c r="D666" t="s">
        <v>1555</v>
      </c>
      <c r="E666" t="s">
        <v>87</v>
      </c>
      <c r="F666" s="75">
        <v>481</v>
      </c>
      <c r="G666" s="75">
        <v>301959</v>
      </c>
      <c r="H666">
        <v>512.08000000000004</v>
      </c>
      <c r="I666" t="s">
        <v>55</v>
      </c>
      <c r="J666" s="75">
        <v>49495</v>
      </c>
      <c r="K666" t="s">
        <v>460</v>
      </c>
      <c r="L666" t="s">
        <v>461</v>
      </c>
      <c r="M666" s="81">
        <v>46082.28502314815</v>
      </c>
      <c r="N666" s="81">
        <v>46086.533067129632</v>
      </c>
      <c r="O666" t="s">
        <v>58</v>
      </c>
      <c r="P666" t="s">
        <v>59</v>
      </c>
      <c r="Q666" t="s">
        <v>90</v>
      </c>
      <c r="R666" t="s">
        <v>99</v>
      </c>
      <c r="S666" t="s">
        <v>1244</v>
      </c>
      <c r="U666" s="75"/>
      <c r="X666" t="s">
        <v>62</v>
      </c>
      <c r="Y666" t="s">
        <v>63</v>
      </c>
      <c r="AA666" t="s">
        <v>81</v>
      </c>
      <c r="AB666">
        <v>101.89999899999999</v>
      </c>
      <c r="AC666">
        <v>100.066666</v>
      </c>
      <c r="AD666">
        <v>1.8333330000000001</v>
      </c>
      <c r="AE666">
        <v>1.8166659999999999</v>
      </c>
      <c r="AF666">
        <v>0</v>
      </c>
      <c r="AG666">
        <v>1.6667000000000001E-2</v>
      </c>
      <c r="AH666">
        <v>1.6667000000000001E-2</v>
      </c>
      <c r="AI666">
        <v>0</v>
      </c>
      <c r="AJ666">
        <v>1.6667000000000001E-2</v>
      </c>
      <c r="AK666">
        <v>0</v>
      </c>
      <c r="AL666" s="76">
        <v>45387</v>
      </c>
      <c r="AM666" s="75">
        <v>695</v>
      </c>
      <c r="AN666" t="s">
        <v>65</v>
      </c>
      <c r="AO666" t="s">
        <v>923</v>
      </c>
      <c r="AP666" t="s">
        <v>67</v>
      </c>
      <c r="AQ666" t="s">
        <v>68</v>
      </c>
      <c r="AR666" t="s">
        <v>69</v>
      </c>
      <c r="AS666" s="78"/>
      <c r="AT666" s="82" t="s">
        <v>3021</v>
      </c>
      <c r="AU666" s="78">
        <v>2026</v>
      </c>
      <c r="AV666" s="78">
        <v>3</v>
      </c>
      <c r="AW666" s="78" t="s">
        <v>71</v>
      </c>
      <c r="AX666" s="78">
        <v>1</v>
      </c>
      <c r="AY666" s="78">
        <v>0</v>
      </c>
      <c r="BT666" s="2" t="s">
        <v>71</v>
      </c>
      <c r="BU666" s="2">
        <v>1</v>
      </c>
      <c r="BV666" s="2">
        <v>0</v>
      </c>
    </row>
    <row r="667" spans="1:74" ht="15" customHeight="1" x14ac:dyDescent="0.25">
      <c r="A667" s="75">
        <v>5857987</v>
      </c>
      <c r="B667" t="s">
        <v>3216</v>
      </c>
      <c r="C667" t="s">
        <v>3217</v>
      </c>
      <c r="D667" t="s">
        <v>2379</v>
      </c>
      <c r="E667" t="s">
        <v>126</v>
      </c>
      <c r="F667" s="75">
        <v>12</v>
      </c>
      <c r="G667" s="75">
        <v>301631</v>
      </c>
      <c r="H667">
        <v>2700</v>
      </c>
      <c r="I667" t="s">
        <v>114</v>
      </c>
      <c r="J667" s="75">
        <v>19489</v>
      </c>
      <c r="K667" t="s">
        <v>935</v>
      </c>
      <c r="L667" t="s">
        <v>936</v>
      </c>
      <c r="M667" s="81">
        <v>46085.618750000001</v>
      </c>
      <c r="N667" s="81">
        <v>46086.535949074067</v>
      </c>
      <c r="O667" t="s">
        <v>58</v>
      </c>
      <c r="P667" t="s">
        <v>59</v>
      </c>
      <c r="Q667" t="s">
        <v>90</v>
      </c>
      <c r="R667" t="s">
        <v>60</v>
      </c>
      <c r="S667" t="s">
        <v>583</v>
      </c>
      <c r="U667" s="75">
        <v>204193</v>
      </c>
      <c r="V667" t="s">
        <v>3218</v>
      </c>
      <c r="W667" t="s">
        <v>3218</v>
      </c>
      <c r="X667" t="s">
        <v>79</v>
      </c>
      <c r="Y667" t="s">
        <v>224</v>
      </c>
      <c r="AA667" t="s">
        <v>81</v>
      </c>
      <c r="AB667">
        <v>21.983332000000001</v>
      </c>
      <c r="AC667">
        <v>16.649999999999999</v>
      </c>
      <c r="AD667">
        <v>5.3333320000000004</v>
      </c>
      <c r="AE667">
        <v>4.1666660000000002</v>
      </c>
      <c r="AF667">
        <v>0</v>
      </c>
      <c r="AG667">
        <v>1.166666</v>
      </c>
      <c r="AH667">
        <v>1.166666</v>
      </c>
      <c r="AI667">
        <v>0.816666</v>
      </c>
      <c r="AJ667">
        <v>0.35</v>
      </c>
      <c r="AK667">
        <v>0</v>
      </c>
      <c r="AL667" s="76">
        <v>45443</v>
      </c>
      <c r="AM667" s="75">
        <v>642</v>
      </c>
      <c r="AN667" t="s">
        <v>65</v>
      </c>
      <c r="AO667" t="s">
        <v>3219</v>
      </c>
      <c r="AP667" t="s">
        <v>67</v>
      </c>
      <c r="AQ667" t="s">
        <v>83</v>
      </c>
      <c r="AR667" t="s">
        <v>69</v>
      </c>
      <c r="AS667" s="79"/>
      <c r="AT667" s="82" t="s">
        <v>3021</v>
      </c>
      <c r="AU667" s="78">
        <v>2026</v>
      </c>
      <c r="AV667" s="78">
        <v>3</v>
      </c>
      <c r="AW667" s="78" t="s">
        <v>226</v>
      </c>
      <c r="AX667" s="78">
        <v>1</v>
      </c>
      <c r="AY667" s="78">
        <v>0</v>
      </c>
      <c r="BT667" s="3" t="s">
        <v>226</v>
      </c>
      <c r="BU667" s="3">
        <v>1</v>
      </c>
      <c r="BV667" s="3">
        <v>0</v>
      </c>
    </row>
    <row r="668" spans="1:74" ht="15" customHeight="1" x14ac:dyDescent="0.25">
      <c r="A668" s="75">
        <v>5857685</v>
      </c>
      <c r="B668" t="s">
        <v>3220</v>
      </c>
      <c r="C668" t="s">
        <v>3221</v>
      </c>
      <c r="D668" t="s">
        <v>527</v>
      </c>
      <c r="E668" t="s">
        <v>54</v>
      </c>
      <c r="F668" s="75">
        <v>1</v>
      </c>
      <c r="G668" s="75">
        <v>322413</v>
      </c>
      <c r="H668">
        <v>700</v>
      </c>
      <c r="I668" t="s">
        <v>114</v>
      </c>
      <c r="J668" s="75">
        <v>225511</v>
      </c>
      <c r="K668" t="s">
        <v>3222</v>
      </c>
      <c r="L668" t="s">
        <v>3223</v>
      </c>
      <c r="M668" s="81">
        <v>46085.524155092593</v>
      </c>
      <c r="N668" s="81">
        <v>46086.551180555558</v>
      </c>
      <c r="O668" t="s">
        <v>58</v>
      </c>
      <c r="P668" t="s">
        <v>59</v>
      </c>
      <c r="Q668" t="s">
        <v>130</v>
      </c>
      <c r="R668" t="s">
        <v>131</v>
      </c>
      <c r="S668" t="s">
        <v>1316</v>
      </c>
      <c r="U668" s="75">
        <v>203809</v>
      </c>
      <c r="V668" t="s">
        <v>3224</v>
      </c>
      <c r="W668" t="s">
        <v>3224</v>
      </c>
      <c r="X668" t="s">
        <v>62</v>
      </c>
      <c r="Y668" t="s">
        <v>63</v>
      </c>
      <c r="AA668" t="s">
        <v>64</v>
      </c>
      <c r="AB668">
        <v>24.583333</v>
      </c>
      <c r="AC668">
        <v>17.283332999999999</v>
      </c>
      <c r="AD668">
        <v>7.3</v>
      </c>
      <c r="AE668">
        <v>0.16666700000000001</v>
      </c>
      <c r="AF668">
        <v>0</v>
      </c>
      <c r="AG668">
        <v>7.1333330000000004</v>
      </c>
      <c r="AH668">
        <v>7.1333330000000004</v>
      </c>
      <c r="AI668">
        <v>7.1166660000000004</v>
      </c>
      <c r="AJ668">
        <v>1.6667000000000001E-2</v>
      </c>
      <c r="AK668">
        <v>0</v>
      </c>
      <c r="AL668" s="76">
        <v>45497.894270833327</v>
      </c>
      <c r="AM668" s="75">
        <v>587</v>
      </c>
      <c r="AN668" t="s">
        <v>65</v>
      </c>
      <c r="AO668" t="s">
        <v>3225</v>
      </c>
      <c r="AP668" t="s">
        <v>67</v>
      </c>
      <c r="AQ668" t="s">
        <v>68</v>
      </c>
      <c r="AR668" t="s">
        <v>69</v>
      </c>
      <c r="AS668" s="78"/>
      <c r="AT668" s="82" t="s">
        <v>3021</v>
      </c>
      <c r="AU668" s="78">
        <v>2026</v>
      </c>
      <c r="AV668" s="78">
        <v>3</v>
      </c>
      <c r="AW668" s="78" t="s">
        <v>71</v>
      </c>
      <c r="AX668" s="78">
        <v>1</v>
      </c>
      <c r="AY668" s="78">
        <v>0</v>
      </c>
      <c r="BT668" s="2" t="s">
        <v>71</v>
      </c>
      <c r="BU668" s="2">
        <v>1</v>
      </c>
      <c r="BV668" s="2">
        <v>0</v>
      </c>
    </row>
    <row r="669" spans="1:74" ht="15" customHeight="1" x14ac:dyDescent="0.25">
      <c r="A669" s="75">
        <v>5855539</v>
      </c>
      <c r="B669" t="s">
        <v>3226</v>
      </c>
      <c r="C669" t="s">
        <v>3227</v>
      </c>
      <c r="D669" t="s">
        <v>2379</v>
      </c>
      <c r="E669" t="s">
        <v>105</v>
      </c>
      <c r="F669" s="75">
        <v>62</v>
      </c>
      <c r="G669" s="75">
        <v>301111</v>
      </c>
      <c r="H669">
        <v>109.9</v>
      </c>
      <c r="I669" t="s">
        <v>195</v>
      </c>
      <c r="J669" s="75">
        <v>214913</v>
      </c>
      <c r="K669" t="s">
        <v>1057</v>
      </c>
      <c r="L669" t="s">
        <v>1058</v>
      </c>
      <c r="M669" s="81">
        <v>46084.632210648153</v>
      </c>
      <c r="N669" s="81">
        <v>46086.600856481477</v>
      </c>
      <c r="O669" t="s">
        <v>58</v>
      </c>
      <c r="P669" t="s">
        <v>59</v>
      </c>
      <c r="R669" t="s">
        <v>60</v>
      </c>
      <c r="S669" t="s">
        <v>583</v>
      </c>
      <c r="U669" s="75">
        <v>203557</v>
      </c>
      <c r="V669" t="s">
        <v>3228</v>
      </c>
      <c r="W669" t="s">
        <v>3229</v>
      </c>
      <c r="X669" t="s">
        <v>62</v>
      </c>
      <c r="Y669" t="s">
        <v>63</v>
      </c>
      <c r="AA669" t="s">
        <v>416</v>
      </c>
      <c r="AB669">
        <v>47.183334000000002</v>
      </c>
      <c r="AC669">
        <v>34.516666000000001</v>
      </c>
      <c r="AD669">
        <v>12.666668</v>
      </c>
      <c r="AE669">
        <v>0.23333400000000001</v>
      </c>
      <c r="AF669">
        <v>0</v>
      </c>
      <c r="AG669">
        <v>12.433334</v>
      </c>
      <c r="AH669">
        <v>12.433334</v>
      </c>
      <c r="AI669">
        <v>11.766667</v>
      </c>
      <c r="AJ669">
        <v>0.66666700000000001</v>
      </c>
      <c r="AK669">
        <v>0</v>
      </c>
      <c r="AL669" s="76">
        <v>45448.506192129629</v>
      </c>
      <c r="AM669" s="75">
        <v>636</v>
      </c>
      <c r="AN669" t="s">
        <v>65</v>
      </c>
      <c r="AO669" t="s">
        <v>3230</v>
      </c>
      <c r="AP669" t="s">
        <v>67</v>
      </c>
      <c r="AQ669" t="s">
        <v>68</v>
      </c>
      <c r="AR669" t="s">
        <v>69</v>
      </c>
      <c r="AS669" s="79"/>
      <c r="AT669" s="82" t="s">
        <v>3021</v>
      </c>
      <c r="AU669" s="78">
        <v>2026</v>
      </c>
      <c r="AV669" s="78">
        <v>3</v>
      </c>
      <c r="AW669" s="78" t="s">
        <v>71</v>
      </c>
      <c r="AX669" s="78">
        <v>0</v>
      </c>
      <c r="AY669" s="78">
        <v>0</v>
      </c>
      <c r="BT669" s="3" t="s">
        <v>71</v>
      </c>
      <c r="BU669" s="3">
        <v>0</v>
      </c>
      <c r="BV669" s="3">
        <v>0</v>
      </c>
    </row>
    <row r="670" spans="1:74" ht="15" customHeight="1" x14ac:dyDescent="0.25">
      <c r="A670" s="75">
        <v>5859399</v>
      </c>
      <c r="B670" t="s">
        <v>3231</v>
      </c>
      <c r="C670" t="s">
        <v>671</v>
      </c>
      <c r="D670" t="s">
        <v>527</v>
      </c>
      <c r="E670" t="s">
        <v>87</v>
      </c>
      <c r="F670" s="75">
        <v>8</v>
      </c>
      <c r="G670" s="75">
        <v>279647</v>
      </c>
      <c r="H670">
        <v>516.22</v>
      </c>
      <c r="I670" t="s">
        <v>266</v>
      </c>
      <c r="J670" s="75">
        <v>149307</v>
      </c>
      <c r="K670" t="s">
        <v>350</v>
      </c>
      <c r="L670" t="s">
        <v>351</v>
      </c>
      <c r="M670" s="81">
        <v>46086.472534722219</v>
      </c>
      <c r="N670" s="81">
        <v>46087.392962962957</v>
      </c>
      <c r="O670" t="s">
        <v>58</v>
      </c>
      <c r="P670" t="s">
        <v>59</v>
      </c>
      <c r="Q670" t="s">
        <v>90</v>
      </c>
      <c r="R670" t="s">
        <v>99</v>
      </c>
      <c r="S670" t="s">
        <v>1244</v>
      </c>
      <c r="T670" t="s">
        <v>672</v>
      </c>
      <c r="U670" s="75">
        <v>204733</v>
      </c>
      <c r="V670" t="s">
        <v>3232</v>
      </c>
      <c r="W670" t="s">
        <v>3233</v>
      </c>
      <c r="X670" t="s">
        <v>62</v>
      </c>
      <c r="Y670" t="s">
        <v>674</v>
      </c>
      <c r="AA670" t="s">
        <v>64</v>
      </c>
      <c r="AB670">
        <v>22.033332999999999</v>
      </c>
      <c r="AC670">
        <v>16.25</v>
      </c>
      <c r="AD670">
        <v>5.7833329999999998</v>
      </c>
      <c r="AE670">
        <v>0.3</v>
      </c>
      <c r="AF670">
        <v>0</v>
      </c>
      <c r="AG670">
        <v>5.483333</v>
      </c>
      <c r="AH670">
        <v>5.483333</v>
      </c>
      <c r="AI670">
        <v>5.233333</v>
      </c>
      <c r="AJ670">
        <v>0.25</v>
      </c>
      <c r="AK670">
        <v>0</v>
      </c>
      <c r="AL670" s="76">
        <v>44804</v>
      </c>
      <c r="AM670" s="75">
        <v>1282</v>
      </c>
      <c r="AN670" t="s">
        <v>65</v>
      </c>
      <c r="AO670" t="s">
        <v>675</v>
      </c>
      <c r="AP670" t="s">
        <v>67</v>
      </c>
      <c r="AQ670" t="s">
        <v>68</v>
      </c>
      <c r="AR670" t="s">
        <v>69</v>
      </c>
      <c r="AS670" s="78"/>
      <c r="AT670" s="82" t="s">
        <v>3021</v>
      </c>
      <c r="AU670" s="78">
        <v>2026</v>
      </c>
      <c r="AV670" s="78">
        <v>3</v>
      </c>
      <c r="AW670" s="78" t="s">
        <v>137</v>
      </c>
      <c r="AX670" s="78">
        <v>1</v>
      </c>
      <c r="AY670" s="78">
        <v>0</v>
      </c>
      <c r="BT670" s="2" t="s">
        <v>137</v>
      </c>
      <c r="BU670" s="2">
        <v>1</v>
      </c>
      <c r="BV670" s="2">
        <v>0</v>
      </c>
    </row>
    <row r="671" spans="1:74" ht="15" customHeight="1" x14ac:dyDescent="0.25">
      <c r="A671" s="75">
        <v>5859293</v>
      </c>
      <c r="B671" t="s">
        <v>3234</v>
      </c>
      <c r="C671" t="s">
        <v>3235</v>
      </c>
      <c r="D671" t="s">
        <v>809</v>
      </c>
      <c r="E671" t="s">
        <v>126</v>
      </c>
      <c r="F671" s="75">
        <v>33</v>
      </c>
      <c r="G671" s="75">
        <v>345359</v>
      </c>
      <c r="H671">
        <v>250</v>
      </c>
      <c r="I671" t="s">
        <v>175</v>
      </c>
      <c r="J671" s="75">
        <v>133341</v>
      </c>
      <c r="K671" t="s">
        <v>176</v>
      </c>
      <c r="L671" t="s">
        <v>177</v>
      </c>
      <c r="M671" s="81">
        <v>46086.447129629632</v>
      </c>
      <c r="N671" s="81">
        <v>46087.4372337963</v>
      </c>
      <c r="O671" t="s">
        <v>391</v>
      </c>
      <c r="P671" t="s">
        <v>59</v>
      </c>
      <c r="Q671" t="s">
        <v>130</v>
      </c>
      <c r="R671" t="s">
        <v>60</v>
      </c>
      <c r="S671" t="s">
        <v>583</v>
      </c>
      <c r="U671" s="75">
        <v>204637</v>
      </c>
      <c r="V671" t="s">
        <v>3236</v>
      </c>
      <c r="W671" t="s">
        <v>3236</v>
      </c>
      <c r="X671" t="s">
        <v>62</v>
      </c>
      <c r="Y671" t="s">
        <v>63</v>
      </c>
      <c r="AA671" t="s">
        <v>64</v>
      </c>
      <c r="AB671">
        <v>23.716667000000001</v>
      </c>
      <c r="AC671">
        <v>17.633333</v>
      </c>
      <c r="AD671">
        <v>6.0833339999999998</v>
      </c>
      <c r="AE671">
        <v>6.6667000000000004E-2</v>
      </c>
      <c r="AF671">
        <v>0</v>
      </c>
      <c r="AG671">
        <v>6.016667</v>
      </c>
      <c r="AH671">
        <v>6.016667</v>
      </c>
      <c r="AI671">
        <v>5.9166670000000003</v>
      </c>
      <c r="AJ671">
        <v>0.1</v>
      </c>
      <c r="AK671">
        <v>0</v>
      </c>
      <c r="AL671" s="76">
        <v>45932.686863425923</v>
      </c>
      <c r="AM671" s="75">
        <v>153</v>
      </c>
      <c r="AN671" t="s">
        <v>65</v>
      </c>
      <c r="AO671" t="s">
        <v>3237</v>
      </c>
      <c r="AP671" t="s">
        <v>67</v>
      </c>
      <c r="AQ671" t="s">
        <v>68</v>
      </c>
      <c r="AR671" t="s">
        <v>69</v>
      </c>
      <c r="AS671" s="79"/>
      <c r="AT671" s="82" t="s">
        <v>3021</v>
      </c>
      <c r="AU671" s="78">
        <v>2026</v>
      </c>
      <c r="AV671" s="78">
        <v>3</v>
      </c>
      <c r="AW671" s="78" t="s">
        <v>71</v>
      </c>
      <c r="AX671" s="78">
        <v>1</v>
      </c>
      <c r="AY671" s="78">
        <v>0</v>
      </c>
      <c r="BT671" s="3" t="s">
        <v>71</v>
      </c>
      <c r="BU671" s="3">
        <v>1</v>
      </c>
      <c r="BV671" s="3">
        <v>0</v>
      </c>
    </row>
    <row r="672" spans="1:74" ht="15" customHeight="1" x14ac:dyDescent="0.25">
      <c r="A672" s="75">
        <v>5858503</v>
      </c>
      <c r="B672" t="s">
        <v>3238</v>
      </c>
      <c r="C672" t="s">
        <v>1223</v>
      </c>
      <c r="D672" t="s">
        <v>1388</v>
      </c>
      <c r="E672" t="s">
        <v>87</v>
      </c>
      <c r="F672" s="75">
        <v>205</v>
      </c>
      <c r="G672" s="75">
        <v>286083</v>
      </c>
      <c r="H672">
        <v>398.82</v>
      </c>
      <c r="I672" t="s">
        <v>55</v>
      </c>
      <c r="J672" s="75">
        <v>216233</v>
      </c>
      <c r="K672" t="s">
        <v>88</v>
      </c>
      <c r="L672" t="s">
        <v>89</v>
      </c>
      <c r="M672" s="81">
        <v>46085.812951388893</v>
      </c>
      <c r="N672" s="81">
        <v>46087.4840625</v>
      </c>
      <c r="O672" t="s">
        <v>58</v>
      </c>
      <c r="P672" t="s">
        <v>59</v>
      </c>
      <c r="Q672" t="s">
        <v>98</v>
      </c>
      <c r="R672" t="s">
        <v>131</v>
      </c>
      <c r="S672" t="s">
        <v>1273</v>
      </c>
      <c r="U672" s="75">
        <v>204263</v>
      </c>
      <c r="V672" t="s">
        <v>3239</v>
      </c>
      <c r="W672" t="s">
        <v>3239</v>
      </c>
      <c r="X672" t="s">
        <v>62</v>
      </c>
      <c r="Y672" t="s">
        <v>63</v>
      </c>
      <c r="AA672" t="s">
        <v>101</v>
      </c>
      <c r="AB672">
        <v>40.049999999999997</v>
      </c>
      <c r="AC672">
        <v>30.6</v>
      </c>
      <c r="AD672">
        <v>9.4499999999999993</v>
      </c>
      <c r="AE672">
        <v>0.7</v>
      </c>
      <c r="AF672">
        <v>0</v>
      </c>
      <c r="AG672">
        <v>8.75</v>
      </c>
      <c r="AH672">
        <v>8.75</v>
      </c>
      <c r="AI672">
        <v>8.6333330000000004</v>
      </c>
      <c r="AJ672">
        <v>0.11666700000000001</v>
      </c>
      <c r="AK672">
        <v>0</v>
      </c>
      <c r="AL672" s="76">
        <v>44873</v>
      </c>
      <c r="AM672" s="75">
        <v>1212</v>
      </c>
      <c r="AN672" t="s">
        <v>65</v>
      </c>
      <c r="AO672" t="s">
        <v>1226</v>
      </c>
      <c r="AP672" t="s">
        <v>67</v>
      </c>
      <c r="AQ672" t="s">
        <v>68</v>
      </c>
      <c r="AR672" t="s">
        <v>69</v>
      </c>
      <c r="AS672" s="78"/>
      <c r="AT672" s="82" t="s">
        <v>3021</v>
      </c>
      <c r="AU672" s="78">
        <v>2026</v>
      </c>
      <c r="AV672" s="78">
        <v>3</v>
      </c>
      <c r="AW672" s="78" t="s">
        <v>71</v>
      </c>
      <c r="AX672" s="78">
        <v>0</v>
      </c>
      <c r="AY672" s="78">
        <v>0</v>
      </c>
      <c r="BT672" s="2" t="s">
        <v>71</v>
      </c>
      <c r="BU672" s="2">
        <v>0</v>
      </c>
      <c r="BV672" s="2">
        <v>0</v>
      </c>
    </row>
    <row r="673" spans="1:74" ht="15" customHeight="1" x14ac:dyDescent="0.25">
      <c r="A673" s="75">
        <v>5859029</v>
      </c>
      <c r="B673" t="s">
        <v>3240</v>
      </c>
      <c r="C673" t="s">
        <v>3241</v>
      </c>
      <c r="D673" t="s">
        <v>1388</v>
      </c>
      <c r="E673" t="s">
        <v>87</v>
      </c>
      <c r="F673" s="75">
        <v>353</v>
      </c>
      <c r="G673" s="75">
        <v>286727</v>
      </c>
      <c r="H673">
        <v>364.96</v>
      </c>
      <c r="I673" t="s">
        <v>55</v>
      </c>
      <c r="J673" s="75">
        <v>218787</v>
      </c>
      <c r="K673" t="s">
        <v>96</v>
      </c>
      <c r="L673" t="s">
        <v>97</v>
      </c>
      <c r="M673" s="81">
        <v>46086.384965277779</v>
      </c>
      <c r="N673" s="81">
        <v>46087.489872685182</v>
      </c>
      <c r="O673" t="s">
        <v>58</v>
      </c>
      <c r="P673" t="s">
        <v>59</v>
      </c>
      <c r="Q673" t="s">
        <v>130</v>
      </c>
      <c r="R673" t="s">
        <v>60</v>
      </c>
      <c r="S673" t="s">
        <v>583</v>
      </c>
      <c r="U673" s="75">
        <v>204539</v>
      </c>
      <c r="V673" t="s">
        <v>3242</v>
      </c>
      <c r="W673" t="s">
        <v>3242</v>
      </c>
      <c r="X673" t="s">
        <v>62</v>
      </c>
      <c r="Y673" t="s">
        <v>63</v>
      </c>
      <c r="AA673" t="s">
        <v>64</v>
      </c>
      <c r="AB673">
        <v>26.466667000000001</v>
      </c>
      <c r="AC673">
        <v>19.883333</v>
      </c>
      <c r="AD673">
        <v>6.5833339999999998</v>
      </c>
      <c r="AE673">
        <v>6.6667000000000004E-2</v>
      </c>
      <c r="AF673">
        <v>0</v>
      </c>
      <c r="AG673">
        <v>6.516667</v>
      </c>
      <c r="AH673">
        <v>6.516667</v>
      </c>
      <c r="AI673">
        <v>6.2</v>
      </c>
      <c r="AJ673">
        <v>0.31666699999999998</v>
      </c>
      <c r="AK673">
        <v>0</v>
      </c>
      <c r="AL673" s="76">
        <v>44890</v>
      </c>
      <c r="AM673" s="75">
        <v>1196</v>
      </c>
      <c r="AN673" t="s">
        <v>65</v>
      </c>
      <c r="AO673" t="s">
        <v>2780</v>
      </c>
      <c r="AP673" t="s">
        <v>67</v>
      </c>
      <c r="AQ673" t="s">
        <v>68</v>
      </c>
      <c r="AR673" t="s">
        <v>69</v>
      </c>
      <c r="AS673" s="79"/>
      <c r="AT673" s="82" t="s">
        <v>3021</v>
      </c>
      <c r="AU673" s="78">
        <v>2026</v>
      </c>
      <c r="AV673" s="78">
        <v>3</v>
      </c>
      <c r="AW673" s="78" t="s">
        <v>71</v>
      </c>
      <c r="AX673" s="78">
        <v>1</v>
      </c>
      <c r="AY673" s="78">
        <v>0</v>
      </c>
      <c r="BT673" s="3" t="s">
        <v>71</v>
      </c>
      <c r="BU673" s="3">
        <v>1</v>
      </c>
      <c r="BV673" s="3">
        <v>0</v>
      </c>
    </row>
    <row r="674" spans="1:74" ht="15" customHeight="1" x14ac:dyDescent="0.25">
      <c r="A674" s="75">
        <v>5858027</v>
      </c>
      <c r="B674" t="s">
        <v>3243</v>
      </c>
      <c r="C674" t="s">
        <v>3244</v>
      </c>
      <c r="D674" t="s">
        <v>2379</v>
      </c>
      <c r="E674" t="s">
        <v>54</v>
      </c>
      <c r="F674" s="75">
        <v>2</v>
      </c>
      <c r="G674" s="75">
        <v>113733</v>
      </c>
      <c r="H674">
        <v>0</v>
      </c>
      <c r="I674" t="s">
        <v>1405</v>
      </c>
      <c r="J674" s="75">
        <v>94921</v>
      </c>
      <c r="K674" t="s">
        <v>1775</v>
      </c>
      <c r="L674" t="s">
        <v>1776</v>
      </c>
      <c r="M674" s="81">
        <v>46085.62703703704</v>
      </c>
      <c r="N674" s="81">
        <v>46087.525185185194</v>
      </c>
      <c r="O674" t="s">
        <v>58</v>
      </c>
      <c r="P674" t="s">
        <v>59</v>
      </c>
      <c r="Q674" t="s">
        <v>130</v>
      </c>
      <c r="R674" t="s">
        <v>60</v>
      </c>
      <c r="S674" t="s">
        <v>583</v>
      </c>
      <c r="T674" t="s">
        <v>970</v>
      </c>
      <c r="U674" s="75">
        <v>204075</v>
      </c>
      <c r="V674" t="s">
        <v>3245</v>
      </c>
      <c r="W674" t="s">
        <v>3245</v>
      </c>
      <c r="X674" t="s">
        <v>79</v>
      </c>
      <c r="Y674" t="s">
        <v>224</v>
      </c>
      <c r="AA674" t="s">
        <v>81</v>
      </c>
      <c r="AB674">
        <v>45.516666999999998</v>
      </c>
      <c r="AC674">
        <v>40.966667000000001</v>
      </c>
      <c r="AD674">
        <v>4.55</v>
      </c>
      <c r="AE674">
        <v>1.7</v>
      </c>
      <c r="AF674">
        <v>0</v>
      </c>
      <c r="AG674">
        <v>2.85</v>
      </c>
      <c r="AH674">
        <v>2.85</v>
      </c>
      <c r="AI674">
        <v>2.5499999999999998</v>
      </c>
      <c r="AJ674">
        <v>0.3</v>
      </c>
      <c r="AK674">
        <v>0</v>
      </c>
      <c r="AL674" s="76">
        <v>43558.600914351853</v>
      </c>
      <c r="AM674" s="75">
        <v>2527</v>
      </c>
      <c r="AN674" t="s">
        <v>65</v>
      </c>
      <c r="AO674" t="s">
        <v>1778</v>
      </c>
      <c r="AP674" t="s">
        <v>67</v>
      </c>
      <c r="AQ674" t="s">
        <v>83</v>
      </c>
      <c r="AR674" t="s">
        <v>69</v>
      </c>
      <c r="AS674" s="78"/>
      <c r="AT674" s="82" t="s">
        <v>3021</v>
      </c>
      <c r="AU674" s="78">
        <v>2026</v>
      </c>
      <c r="AV674" s="78">
        <v>3</v>
      </c>
      <c r="AW674" s="78" t="s">
        <v>226</v>
      </c>
      <c r="AX674" s="78">
        <v>1</v>
      </c>
      <c r="AY674" s="78">
        <v>0</v>
      </c>
      <c r="BT674" s="2" t="s">
        <v>226</v>
      </c>
      <c r="BU674" s="2">
        <v>1</v>
      </c>
      <c r="BV674" s="2">
        <v>0</v>
      </c>
    </row>
    <row r="675" spans="1:74" ht="15" customHeight="1" x14ac:dyDescent="0.25">
      <c r="A675" s="75">
        <v>5857935</v>
      </c>
      <c r="B675" t="s">
        <v>3246</v>
      </c>
      <c r="C675" t="s">
        <v>3247</v>
      </c>
      <c r="D675" t="s">
        <v>2379</v>
      </c>
      <c r="E675" t="s">
        <v>54</v>
      </c>
      <c r="F675" s="75">
        <v>7</v>
      </c>
      <c r="G675" s="75">
        <v>325039</v>
      </c>
      <c r="H675">
        <v>800</v>
      </c>
      <c r="I675" t="s">
        <v>114</v>
      </c>
      <c r="J675" s="75">
        <v>201963</v>
      </c>
      <c r="K675" t="s">
        <v>3248</v>
      </c>
      <c r="L675" t="s">
        <v>3249</v>
      </c>
      <c r="M675" s="81">
        <v>46085.605682870373</v>
      </c>
      <c r="N675" s="81">
        <v>46087.529039351852</v>
      </c>
      <c r="O675" t="s">
        <v>58</v>
      </c>
      <c r="P675" t="s">
        <v>59</v>
      </c>
      <c r="Q675" t="s">
        <v>130</v>
      </c>
      <c r="R675" t="s">
        <v>156</v>
      </c>
      <c r="S675" t="s">
        <v>1320</v>
      </c>
      <c r="U675" s="75">
        <v>204593</v>
      </c>
      <c r="V675" t="s">
        <v>3250</v>
      </c>
      <c r="W675" t="s">
        <v>3250</v>
      </c>
      <c r="X675" t="s">
        <v>79</v>
      </c>
      <c r="Y675" t="s">
        <v>224</v>
      </c>
      <c r="AA675" t="s">
        <v>81</v>
      </c>
      <c r="AB675">
        <v>46.116666000000002</v>
      </c>
      <c r="AC675">
        <v>43.616666000000002</v>
      </c>
      <c r="AD675">
        <v>2.5</v>
      </c>
      <c r="AE675">
        <v>0.8</v>
      </c>
      <c r="AF675">
        <v>0</v>
      </c>
      <c r="AG675">
        <v>1.7</v>
      </c>
      <c r="AH675">
        <v>1.7</v>
      </c>
      <c r="AI675">
        <v>1.6166670000000001</v>
      </c>
      <c r="AJ675">
        <v>8.3333000000000004E-2</v>
      </c>
      <c r="AK675">
        <v>0</v>
      </c>
      <c r="AL675" s="76">
        <v>45531.894155092603</v>
      </c>
      <c r="AM675" s="75">
        <v>553</v>
      </c>
      <c r="AN675" t="s">
        <v>65</v>
      </c>
      <c r="AO675" t="s">
        <v>3251</v>
      </c>
      <c r="AP675" t="s">
        <v>67</v>
      </c>
      <c r="AQ675" t="s">
        <v>83</v>
      </c>
      <c r="AR675" t="s">
        <v>69</v>
      </c>
      <c r="AS675" s="79"/>
      <c r="AT675" s="82" t="s">
        <v>3021</v>
      </c>
      <c r="AU675" s="78">
        <v>2026</v>
      </c>
      <c r="AV675" s="78">
        <v>3</v>
      </c>
      <c r="AW675" s="78" t="s">
        <v>226</v>
      </c>
      <c r="AX675" s="78">
        <v>1</v>
      </c>
      <c r="AY675" s="78">
        <v>0</v>
      </c>
      <c r="BT675" s="3" t="s">
        <v>226</v>
      </c>
      <c r="BU675" s="3">
        <v>1</v>
      </c>
      <c r="BV675" s="3">
        <v>0</v>
      </c>
    </row>
    <row r="676" spans="1:74" ht="15" customHeight="1" x14ac:dyDescent="0.25">
      <c r="A676" s="75">
        <v>5858177</v>
      </c>
      <c r="B676" t="s">
        <v>3252</v>
      </c>
      <c r="C676" t="s">
        <v>3253</v>
      </c>
      <c r="D676" t="s">
        <v>2379</v>
      </c>
      <c r="E676" t="s">
        <v>105</v>
      </c>
      <c r="F676" s="75">
        <v>8</v>
      </c>
      <c r="G676" s="75">
        <v>295199</v>
      </c>
      <c r="H676">
        <v>3330.9</v>
      </c>
      <c r="I676" t="s">
        <v>55</v>
      </c>
      <c r="J676" s="75">
        <v>229111</v>
      </c>
      <c r="K676" t="s">
        <v>389</v>
      </c>
      <c r="L676" t="s">
        <v>390</v>
      </c>
      <c r="M676" s="81">
        <v>46085.667013888888</v>
      </c>
      <c r="N676" s="81">
        <v>46087.532106481478</v>
      </c>
      <c r="O676" t="s">
        <v>58</v>
      </c>
      <c r="P676" t="s">
        <v>59</v>
      </c>
      <c r="Q676" t="s">
        <v>90</v>
      </c>
      <c r="R676" t="s">
        <v>60</v>
      </c>
      <c r="S676" t="s">
        <v>583</v>
      </c>
      <c r="U676" s="75">
        <v>204199</v>
      </c>
      <c r="V676" t="s">
        <v>3254</v>
      </c>
      <c r="W676" t="s">
        <v>3254</v>
      </c>
      <c r="X676" t="s">
        <v>79</v>
      </c>
      <c r="Y676" t="s">
        <v>224</v>
      </c>
      <c r="AA676" t="s">
        <v>81</v>
      </c>
      <c r="AB676">
        <v>44.683334000000002</v>
      </c>
      <c r="AC676">
        <v>40.6</v>
      </c>
      <c r="AD676">
        <v>4.0833339999999998</v>
      </c>
      <c r="AE676">
        <v>3.4166669999999999</v>
      </c>
      <c r="AF676">
        <v>0</v>
      </c>
      <c r="AG676">
        <v>0.66666700000000001</v>
      </c>
      <c r="AH676">
        <v>0.66666700000000001</v>
      </c>
      <c r="AI676">
        <v>0.58333400000000002</v>
      </c>
      <c r="AJ676">
        <v>8.3333000000000004E-2</v>
      </c>
      <c r="AK676">
        <v>0</v>
      </c>
      <c r="AL676" s="76">
        <v>45227</v>
      </c>
      <c r="AM676" s="75">
        <v>858</v>
      </c>
      <c r="AN676" t="s">
        <v>65</v>
      </c>
      <c r="AO676" t="s">
        <v>3255</v>
      </c>
      <c r="AP676" t="s">
        <v>67</v>
      </c>
      <c r="AQ676" t="s">
        <v>83</v>
      </c>
      <c r="AR676" t="s">
        <v>69</v>
      </c>
      <c r="AS676" s="78"/>
      <c r="AT676" s="82" t="s">
        <v>3021</v>
      </c>
      <c r="AU676" s="78">
        <v>2026</v>
      </c>
      <c r="AV676" s="78">
        <v>3</v>
      </c>
      <c r="AW676" s="78" t="s">
        <v>226</v>
      </c>
      <c r="AX676" s="78">
        <v>1</v>
      </c>
      <c r="AY676" s="78">
        <v>0</v>
      </c>
      <c r="BT676" s="2" t="s">
        <v>226</v>
      </c>
      <c r="BU676" s="2">
        <v>1</v>
      </c>
      <c r="BV676" s="2">
        <v>0</v>
      </c>
    </row>
    <row r="677" spans="1:74" ht="15" customHeight="1" x14ac:dyDescent="0.25">
      <c r="A677" s="75">
        <v>5860051</v>
      </c>
      <c r="B677" t="s">
        <v>3256</v>
      </c>
      <c r="C677" t="s">
        <v>3257</v>
      </c>
      <c r="D677" t="s">
        <v>2379</v>
      </c>
      <c r="E677" t="s">
        <v>105</v>
      </c>
      <c r="F677" s="75">
        <v>624</v>
      </c>
      <c r="G677" s="75">
        <v>342901</v>
      </c>
      <c r="H677">
        <v>225</v>
      </c>
      <c r="I677" t="s">
        <v>163</v>
      </c>
      <c r="J677" s="75">
        <v>48887</v>
      </c>
      <c r="K677" t="s">
        <v>164</v>
      </c>
      <c r="L677" t="s">
        <v>165</v>
      </c>
      <c r="M677" s="81">
        <v>46086.657916666663</v>
      </c>
      <c r="N677" s="81">
        <v>46087.616689814808</v>
      </c>
      <c r="O677" t="s">
        <v>58</v>
      </c>
      <c r="P677" t="s">
        <v>59</v>
      </c>
      <c r="R677" t="s">
        <v>60</v>
      </c>
      <c r="S677" t="s">
        <v>583</v>
      </c>
      <c r="U677" s="75">
        <v>205029</v>
      </c>
      <c r="V677" t="s">
        <v>3258</v>
      </c>
      <c r="W677" t="s">
        <v>3258</v>
      </c>
      <c r="X677" t="s">
        <v>62</v>
      </c>
      <c r="Y677" t="s">
        <v>63</v>
      </c>
      <c r="AA677" t="s">
        <v>81</v>
      </c>
      <c r="AB677">
        <v>22.950001</v>
      </c>
      <c r="AC677">
        <v>20.266667000000002</v>
      </c>
      <c r="AD677">
        <v>2.6833339999999999</v>
      </c>
      <c r="AE677">
        <v>0.216667</v>
      </c>
      <c r="AF677">
        <v>0</v>
      </c>
      <c r="AG677">
        <v>2.4666670000000002</v>
      </c>
      <c r="AH677">
        <v>2.4666670000000002</v>
      </c>
      <c r="AI677">
        <v>0.466667</v>
      </c>
      <c r="AJ677">
        <v>2</v>
      </c>
      <c r="AK677">
        <v>0</v>
      </c>
      <c r="AL677" s="76">
        <v>45894</v>
      </c>
      <c r="AM677" s="75">
        <v>192</v>
      </c>
      <c r="AN677" t="s">
        <v>65</v>
      </c>
      <c r="AO677" t="s">
        <v>3259</v>
      </c>
      <c r="AP677" t="s">
        <v>67</v>
      </c>
      <c r="AQ677" t="s">
        <v>68</v>
      </c>
      <c r="AR677" t="s">
        <v>69</v>
      </c>
      <c r="AS677" s="79"/>
      <c r="AT677" s="82" t="s">
        <v>3021</v>
      </c>
      <c r="AU677" s="78">
        <v>2026</v>
      </c>
      <c r="AV677" s="78">
        <v>3</v>
      </c>
      <c r="AW677" s="78" t="s">
        <v>71</v>
      </c>
      <c r="AX677" s="78">
        <v>1</v>
      </c>
      <c r="AY677" s="78">
        <v>0</v>
      </c>
      <c r="BT677" s="3" t="s">
        <v>71</v>
      </c>
      <c r="BU677" s="3">
        <v>1</v>
      </c>
      <c r="BV677" s="3">
        <v>0</v>
      </c>
    </row>
    <row r="678" spans="1:74" ht="15" customHeight="1" x14ac:dyDescent="0.25">
      <c r="A678" s="75">
        <v>5860531</v>
      </c>
      <c r="B678" t="s">
        <v>3260</v>
      </c>
      <c r="C678" t="s">
        <v>3261</v>
      </c>
      <c r="D678" t="s">
        <v>2379</v>
      </c>
      <c r="E678" t="s">
        <v>126</v>
      </c>
      <c r="F678" s="75">
        <v>2</v>
      </c>
      <c r="G678" s="75">
        <v>159367</v>
      </c>
      <c r="H678">
        <v>40000</v>
      </c>
      <c r="I678" t="s">
        <v>114</v>
      </c>
      <c r="J678" s="75">
        <v>41079</v>
      </c>
      <c r="K678" t="s">
        <v>3262</v>
      </c>
      <c r="L678" t="s">
        <v>3263</v>
      </c>
      <c r="M678" s="81">
        <v>46086.915173611109</v>
      </c>
      <c r="N678" s="81">
        <v>46087.669479166667</v>
      </c>
      <c r="O678" t="s">
        <v>58</v>
      </c>
      <c r="P678" t="s">
        <v>59</v>
      </c>
      <c r="Q678" t="s">
        <v>130</v>
      </c>
      <c r="R678" t="s">
        <v>60</v>
      </c>
      <c r="S678" t="s">
        <v>583</v>
      </c>
      <c r="U678" s="75">
        <v>205233</v>
      </c>
      <c r="V678" t="s">
        <v>3264</v>
      </c>
      <c r="W678" t="s">
        <v>3264</v>
      </c>
      <c r="X678" t="s">
        <v>118</v>
      </c>
      <c r="Y678" t="s">
        <v>400</v>
      </c>
      <c r="AA678" t="s">
        <v>101</v>
      </c>
      <c r="AB678">
        <v>18.05</v>
      </c>
      <c r="AC678">
        <v>2.9166669999999999</v>
      </c>
      <c r="AD678">
        <v>15.133333</v>
      </c>
      <c r="AE678">
        <v>4.4000000000000004</v>
      </c>
      <c r="AF678">
        <v>0</v>
      </c>
      <c r="AG678">
        <v>10.733333</v>
      </c>
      <c r="AH678">
        <v>10.733333</v>
      </c>
      <c r="AI678">
        <v>8.8333329999999997</v>
      </c>
      <c r="AJ678">
        <v>1.9</v>
      </c>
      <c r="AK678">
        <v>0</v>
      </c>
      <c r="AL678" s="76">
        <v>43829.750405092593</v>
      </c>
      <c r="AM678" s="75">
        <v>2257</v>
      </c>
      <c r="AN678" t="s">
        <v>65</v>
      </c>
      <c r="AO678" t="s">
        <v>3265</v>
      </c>
      <c r="AP678" t="s">
        <v>67</v>
      </c>
      <c r="AQ678" t="s">
        <v>121</v>
      </c>
      <c r="AR678" t="s">
        <v>69</v>
      </c>
      <c r="AS678" s="78"/>
      <c r="AT678" s="82" t="s">
        <v>3021</v>
      </c>
      <c r="AU678" s="78">
        <v>2026</v>
      </c>
      <c r="AV678" s="78">
        <v>3</v>
      </c>
      <c r="AW678" s="78" t="s">
        <v>122</v>
      </c>
      <c r="AX678" s="78">
        <v>0</v>
      </c>
      <c r="AY678" s="78">
        <v>0</v>
      </c>
      <c r="BT678" s="2" t="s">
        <v>122</v>
      </c>
      <c r="BU678" s="2">
        <v>0</v>
      </c>
      <c r="BV678" s="2">
        <v>0</v>
      </c>
    </row>
    <row r="679" spans="1:74" ht="15" customHeight="1" x14ac:dyDescent="0.25">
      <c r="A679" s="75">
        <v>5854965</v>
      </c>
      <c r="B679" t="s">
        <v>3266</v>
      </c>
      <c r="C679" t="s">
        <v>3267</v>
      </c>
      <c r="D679" t="s">
        <v>2379</v>
      </c>
      <c r="E679" t="s">
        <v>54</v>
      </c>
      <c r="F679" s="75">
        <v>1</v>
      </c>
      <c r="G679" s="75">
        <v>349701</v>
      </c>
      <c r="H679">
        <v>280</v>
      </c>
      <c r="I679" t="s">
        <v>203</v>
      </c>
      <c r="J679" s="75">
        <v>229497</v>
      </c>
      <c r="K679" t="s">
        <v>3268</v>
      </c>
      <c r="L679" t="s">
        <v>3269</v>
      </c>
      <c r="M679" s="81">
        <v>46084.459097222221</v>
      </c>
      <c r="N679" s="81">
        <v>46087.71292824074</v>
      </c>
      <c r="O679" t="s">
        <v>58</v>
      </c>
      <c r="P679" t="s">
        <v>59</v>
      </c>
      <c r="Q679" t="s">
        <v>77</v>
      </c>
      <c r="R679" t="s">
        <v>156</v>
      </c>
      <c r="S679" t="s">
        <v>1320</v>
      </c>
      <c r="U679" s="75">
        <v>204393</v>
      </c>
      <c r="V679" t="s">
        <v>3270</v>
      </c>
      <c r="W679" t="s">
        <v>3271</v>
      </c>
      <c r="X679" t="s">
        <v>62</v>
      </c>
      <c r="Y679" t="s">
        <v>63</v>
      </c>
      <c r="AA679" t="s">
        <v>416</v>
      </c>
      <c r="AB679">
        <v>77.950001</v>
      </c>
      <c r="AC679">
        <v>60.783332999999999</v>
      </c>
      <c r="AD679">
        <v>17.166668000000001</v>
      </c>
      <c r="AE679">
        <v>0.58333400000000002</v>
      </c>
      <c r="AF679">
        <v>0</v>
      </c>
      <c r="AG679">
        <v>16.583334000000001</v>
      </c>
      <c r="AH679">
        <v>16.583334000000001</v>
      </c>
      <c r="AI679">
        <v>15.966666999999999</v>
      </c>
      <c r="AJ679">
        <v>0.61666699999999997</v>
      </c>
      <c r="AK679">
        <v>0</v>
      </c>
      <c r="AL679" s="76">
        <v>46049</v>
      </c>
      <c r="AM679" s="75">
        <v>35</v>
      </c>
      <c r="AN679" t="s">
        <v>65</v>
      </c>
      <c r="AO679" t="s">
        <v>3272</v>
      </c>
      <c r="AP679" t="s">
        <v>67</v>
      </c>
      <c r="AQ679" t="s">
        <v>68</v>
      </c>
      <c r="AR679" t="s">
        <v>69</v>
      </c>
      <c r="AS679" s="79"/>
      <c r="AT679" s="82" t="s">
        <v>3021</v>
      </c>
      <c r="AU679" s="78">
        <v>2026</v>
      </c>
      <c r="AV679" s="78">
        <v>3</v>
      </c>
      <c r="AW679" s="78" t="s">
        <v>71</v>
      </c>
      <c r="AX679" s="78">
        <v>0</v>
      </c>
      <c r="AY679" s="78">
        <v>0</v>
      </c>
      <c r="BT679" s="3" t="s">
        <v>71</v>
      </c>
      <c r="BU679" s="3">
        <v>0</v>
      </c>
      <c r="BV679" s="3">
        <v>0</v>
      </c>
    </row>
    <row r="680" spans="1:74" ht="15" customHeight="1" x14ac:dyDescent="0.25">
      <c r="A680" s="75">
        <v>5861539</v>
      </c>
      <c r="B680" t="s">
        <v>3273</v>
      </c>
      <c r="C680" t="s">
        <v>256</v>
      </c>
      <c r="D680" t="s">
        <v>527</v>
      </c>
      <c r="E680" t="s">
        <v>54</v>
      </c>
      <c r="F680" s="75">
        <v>11</v>
      </c>
      <c r="G680" s="75">
        <v>295427</v>
      </c>
      <c r="H680">
        <v>200</v>
      </c>
      <c r="I680" t="s">
        <v>55</v>
      </c>
      <c r="J680" s="75">
        <v>218297</v>
      </c>
      <c r="K680" t="s">
        <v>258</v>
      </c>
      <c r="L680" t="s">
        <v>259</v>
      </c>
      <c r="M680" s="81">
        <v>46087.636423611111</v>
      </c>
      <c r="N680" s="81">
        <v>46088.532060185193</v>
      </c>
      <c r="O680" t="s">
        <v>58</v>
      </c>
      <c r="P680" t="s">
        <v>59</v>
      </c>
      <c r="Q680" t="s">
        <v>77</v>
      </c>
      <c r="R680" t="s">
        <v>60</v>
      </c>
      <c r="S680" t="s">
        <v>583</v>
      </c>
      <c r="U680" s="75">
        <v>205835</v>
      </c>
      <c r="V680" t="s">
        <v>3274</v>
      </c>
      <c r="W680" t="s">
        <v>3274</v>
      </c>
      <c r="X680" t="s">
        <v>62</v>
      </c>
      <c r="Y680" t="s">
        <v>63</v>
      </c>
      <c r="AA680" t="s">
        <v>101</v>
      </c>
      <c r="AB680">
        <v>21.433333000000001</v>
      </c>
      <c r="AC680">
        <v>13.3</v>
      </c>
      <c r="AD680">
        <v>8.1333330000000004</v>
      </c>
      <c r="AE680">
        <v>0.1</v>
      </c>
      <c r="AF680">
        <v>0</v>
      </c>
      <c r="AG680">
        <v>8.0333330000000007</v>
      </c>
      <c r="AH680">
        <v>8.0333330000000007</v>
      </c>
      <c r="AI680">
        <v>6.516667</v>
      </c>
      <c r="AJ680">
        <v>1.5166660000000001</v>
      </c>
      <c r="AK680">
        <v>0</v>
      </c>
      <c r="AL680" s="76">
        <v>45293.488159722219</v>
      </c>
      <c r="AM680" s="75">
        <v>794</v>
      </c>
      <c r="AN680" t="s">
        <v>65</v>
      </c>
      <c r="AO680" t="s">
        <v>262</v>
      </c>
      <c r="AP680" t="s">
        <v>67</v>
      </c>
      <c r="AQ680" t="s">
        <v>68</v>
      </c>
      <c r="AR680" t="s">
        <v>69</v>
      </c>
      <c r="AS680" s="78"/>
      <c r="AT680" s="82" t="s">
        <v>3021</v>
      </c>
      <c r="AU680" s="78">
        <v>2026</v>
      </c>
      <c r="AV680" s="78">
        <v>3</v>
      </c>
      <c r="AW680" s="78" t="s">
        <v>71</v>
      </c>
      <c r="AX680" s="78">
        <v>0</v>
      </c>
      <c r="AY680" s="78">
        <v>0</v>
      </c>
      <c r="BT680" s="2" t="s">
        <v>71</v>
      </c>
      <c r="BU680" s="2">
        <v>0</v>
      </c>
      <c r="BV680" s="2">
        <v>0</v>
      </c>
    </row>
    <row r="681" spans="1:74" ht="15" customHeight="1" x14ac:dyDescent="0.25">
      <c r="A681" s="75">
        <v>5862155</v>
      </c>
      <c r="B681" t="s">
        <v>3275</v>
      </c>
      <c r="C681" t="s">
        <v>3276</v>
      </c>
      <c r="D681" t="s">
        <v>53</v>
      </c>
      <c r="E681" t="s">
        <v>54</v>
      </c>
      <c r="F681" s="75">
        <v>32</v>
      </c>
      <c r="G681" s="75">
        <v>335861</v>
      </c>
      <c r="H681">
        <v>99.9</v>
      </c>
      <c r="I681" t="s">
        <v>1591</v>
      </c>
      <c r="J681" s="75">
        <v>88921</v>
      </c>
      <c r="K681" t="s">
        <v>1177</v>
      </c>
      <c r="L681" t="s">
        <v>1178</v>
      </c>
      <c r="M681" s="81">
        <v>46088.459976851853</v>
      </c>
      <c r="N681" s="81">
        <v>46088.667743055557</v>
      </c>
      <c r="O681" t="s">
        <v>58</v>
      </c>
      <c r="P681" t="s">
        <v>59</v>
      </c>
      <c r="Q681" t="s">
        <v>130</v>
      </c>
      <c r="R681" t="s">
        <v>156</v>
      </c>
      <c r="S681" t="s">
        <v>1682</v>
      </c>
      <c r="U681" s="75">
        <v>206031</v>
      </c>
      <c r="V681" t="s">
        <v>3277</v>
      </c>
      <c r="X681" t="s">
        <v>62</v>
      </c>
      <c r="Y681" t="s">
        <v>1447</v>
      </c>
      <c r="AA681" t="s">
        <v>64</v>
      </c>
      <c r="AB681">
        <v>4.95</v>
      </c>
      <c r="AC681">
        <v>0.38333299999999998</v>
      </c>
      <c r="AD681">
        <v>4.5666669999999998</v>
      </c>
      <c r="AE681">
        <v>0.41666700000000001</v>
      </c>
      <c r="AF681">
        <v>0</v>
      </c>
      <c r="AG681">
        <v>4.1500000000000004</v>
      </c>
      <c r="AH681">
        <v>4.1500000000000004</v>
      </c>
      <c r="AI681">
        <v>3.983333</v>
      </c>
      <c r="AJ681">
        <v>0.16666700000000001</v>
      </c>
      <c r="AK681">
        <v>0</v>
      </c>
      <c r="AL681" s="76"/>
      <c r="AM681" s="75"/>
      <c r="AN681" t="s">
        <v>135</v>
      </c>
      <c r="AO681" t="s">
        <v>2019</v>
      </c>
      <c r="AP681" t="s">
        <v>67</v>
      </c>
      <c r="AQ681" t="s">
        <v>68</v>
      </c>
      <c r="AR681" t="s">
        <v>69</v>
      </c>
      <c r="AS681" s="79"/>
      <c r="AT681" s="82" t="s">
        <v>3021</v>
      </c>
      <c r="AU681" s="78">
        <v>2026</v>
      </c>
      <c r="AV681" s="78">
        <v>3</v>
      </c>
      <c r="AW681" s="78" t="s">
        <v>137</v>
      </c>
      <c r="AX681" s="78">
        <v>1</v>
      </c>
      <c r="AY681" s="78">
        <v>0</v>
      </c>
      <c r="BT681" s="3" t="s">
        <v>137</v>
      </c>
      <c r="BU681" s="3">
        <v>1</v>
      </c>
      <c r="BV681" s="3">
        <v>0</v>
      </c>
    </row>
    <row r="682" spans="1:74" ht="15" customHeight="1" x14ac:dyDescent="0.25">
      <c r="A682" s="75">
        <v>5862781</v>
      </c>
      <c r="B682" t="s">
        <v>3278</v>
      </c>
      <c r="C682" t="s">
        <v>2107</v>
      </c>
      <c r="D682" t="s">
        <v>527</v>
      </c>
      <c r="E682" t="s">
        <v>87</v>
      </c>
      <c r="F682" s="75">
        <v>5</v>
      </c>
      <c r="G682" s="75">
        <v>278131</v>
      </c>
      <c r="H682">
        <v>0</v>
      </c>
      <c r="I682" t="s">
        <v>242</v>
      </c>
      <c r="J682" s="75">
        <v>203659</v>
      </c>
      <c r="K682" t="s">
        <v>1090</v>
      </c>
      <c r="L682" t="s">
        <v>1091</v>
      </c>
      <c r="M682" s="81">
        <v>46089.569837962961</v>
      </c>
      <c r="N682" s="81">
        <v>46090.32130787037</v>
      </c>
      <c r="O682" t="s">
        <v>624</v>
      </c>
      <c r="P682" t="s">
        <v>59</v>
      </c>
      <c r="Q682" t="s">
        <v>90</v>
      </c>
      <c r="R682" t="s">
        <v>99</v>
      </c>
      <c r="S682" t="s">
        <v>1244</v>
      </c>
      <c r="U682" s="75"/>
      <c r="X682" t="s">
        <v>62</v>
      </c>
      <c r="Y682" t="s">
        <v>63</v>
      </c>
      <c r="AA682" t="s">
        <v>81</v>
      </c>
      <c r="AB682">
        <v>17.999998999999999</v>
      </c>
      <c r="AC682">
        <v>17.3</v>
      </c>
      <c r="AD682">
        <v>0.69999900000000004</v>
      </c>
      <c r="AE682">
        <v>0.46666600000000003</v>
      </c>
      <c r="AF682">
        <v>0</v>
      </c>
      <c r="AG682">
        <v>0.23333300000000001</v>
      </c>
      <c r="AH682">
        <v>0.23333300000000001</v>
      </c>
      <c r="AI682">
        <v>0</v>
      </c>
      <c r="AJ682">
        <v>0.23333300000000001</v>
      </c>
      <c r="AK682">
        <v>0</v>
      </c>
      <c r="AL682" s="76">
        <v>44711</v>
      </c>
      <c r="AM682" s="75">
        <v>1378</v>
      </c>
      <c r="AN682" t="s">
        <v>65</v>
      </c>
      <c r="AO682" t="s">
        <v>2109</v>
      </c>
      <c r="AP682" t="s">
        <v>67</v>
      </c>
      <c r="AQ682" t="s">
        <v>68</v>
      </c>
      <c r="AR682" t="s">
        <v>69</v>
      </c>
      <c r="AS682" s="78"/>
      <c r="AT682" s="82" t="s">
        <v>3279</v>
      </c>
      <c r="AU682" s="78">
        <v>2026</v>
      </c>
      <c r="AV682" s="78">
        <v>3</v>
      </c>
      <c r="AW682" s="78" t="s">
        <v>71</v>
      </c>
      <c r="AX682" s="78">
        <v>1</v>
      </c>
      <c r="AY682" s="78">
        <v>0</v>
      </c>
      <c r="BT682" s="2" t="s">
        <v>71</v>
      </c>
      <c r="BU682" s="2">
        <v>1</v>
      </c>
      <c r="BV682" s="2">
        <v>0</v>
      </c>
    </row>
    <row r="683" spans="1:74" ht="15" customHeight="1" x14ac:dyDescent="0.25">
      <c r="A683" s="75">
        <v>5862777</v>
      </c>
      <c r="B683" t="s">
        <v>3280</v>
      </c>
      <c r="C683" t="s">
        <v>2111</v>
      </c>
      <c r="D683" t="s">
        <v>527</v>
      </c>
      <c r="E683" t="s">
        <v>87</v>
      </c>
      <c r="F683" s="75">
        <v>1</v>
      </c>
      <c r="G683" s="75">
        <v>251521</v>
      </c>
      <c r="H683">
        <v>12500</v>
      </c>
      <c r="I683" t="s">
        <v>880</v>
      </c>
      <c r="J683" s="75">
        <v>203659</v>
      </c>
      <c r="K683" t="s">
        <v>1090</v>
      </c>
      <c r="L683" t="s">
        <v>1091</v>
      </c>
      <c r="M683" s="81">
        <v>46089.569803240738</v>
      </c>
      <c r="N683" s="81">
        <v>46090.321504629632</v>
      </c>
      <c r="O683" t="s">
        <v>58</v>
      </c>
      <c r="P683" t="s">
        <v>59</v>
      </c>
      <c r="Q683" t="s">
        <v>90</v>
      </c>
      <c r="R683" t="s">
        <v>99</v>
      </c>
      <c r="S683" t="s">
        <v>1244</v>
      </c>
      <c r="T683" t="s">
        <v>507</v>
      </c>
      <c r="U683" s="75"/>
      <c r="X683" t="s">
        <v>62</v>
      </c>
      <c r="Y683" t="s">
        <v>63</v>
      </c>
      <c r="AA683" t="s">
        <v>81</v>
      </c>
      <c r="AB683">
        <v>17.983333999999999</v>
      </c>
      <c r="AC683">
        <v>17.283334</v>
      </c>
      <c r="AD683">
        <v>0.7</v>
      </c>
      <c r="AE683">
        <v>0.283333</v>
      </c>
      <c r="AF683">
        <v>0</v>
      </c>
      <c r="AG683">
        <v>0.41666700000000001</v>
      </c>
      <c r="AH683">
        <v>0.41666700000000001</v>
      </c>
      <c r="AI683">
        <v>0</v>
      </c>
      <c r="AJ683">
        <v>0.41666700000000001</v>
      </c>
      <c r="AK683">
        <v>0</v>
      </c>
      <c r="AL683" s="76">
        <v>44657</v>
      </c>
      <c r="AM683" s="75">
        <v>1432</v>
      </c>
      <c r="AN683" t="s">
        <v>65</v>
      </c>
      <c r="AO683" t="s">
        <v>2114</v>
      </c>
      <c r="AP683" t="s">
        <v>67</v>
      </c>
      <c r="AQ683" t="s">
        <v>68</v>
      </c>
      <c r="AR683" t="s">
        <v>69</v>
      </c>
      <c r="AS683" s="79"/>
      <c r="AT683" s="82" t="s">
        <v>3279</v>
      </c>
      <c r="AU683" s="78">
        <v>2026</v>
      </c>
      <c r="AV683" s="78">
        <v>3</v>
      </c>
      <c r="AW683" s="78" t="s">
        <v>71</v>
      </c>
      <c r="AX683" s="78">
        <v>1</v>
      </c>
      <c r="AY683" s="78">
        <v>0</v>
      </c>
      <c r="BT683" s="3" t="s">
        <v>71</v>
      </c>
      <c r="BU683" s="3">
        <v>1</v>
      </c>
      <c r="BV683" s="3">
        <v>0</v>
      </c>
    </row>
    <row r="684" spans="1:74" ht="15" customHeight="1" x14ac:dyDescent="0.25">
      <c r="A684" s="75">
        <v>5862843</v>
      </c>
      <c r="B684" t="s">
        <v>3281</v>
      </c>
      <c r="C684" t="s">
        <v>3282</v>
      </c>
      <c r="D684" t="s">
        <v>527</v>
      </c>
      <c r="E684" t="s">
        <v>87</v>
      </c>
      <c r="F684" s="75">
        <v>590</v>
      </c>
      <c r="G684" s="75">
        <v>344521</v>
      </c>
      <c r="H684">
        <v>796.78</v>
      </c>
      <c r="I684" t="s">
        <v>141</v>
      </c>
      <c r="J684" s="75">
        <v>6971</v>
      </c>
      <c r="K684" t="s">
        <v>369</v>
      </c>
      <c r="L684" t="s">
        <v>370</v>
      </c>
      <c r="M684" s="81">
        <v>46089.708703703713</v>
      </c>
      <c r="N684" s="81">
        <v>46090.358796296299</v>
      </c>
      <c r="O684" t="s">
        <v>58</v>
      </c>
      <c r="P684" t="s">
        <v>59</v>
      </c>
      <c r="Q684" t="s">
        <v>90</v>
      </c>
      <c r="R684" t="s">
        <v>99</v>
      </c>
      <c r="S684" t="s">
        <v>1244</v>
      </c>
      <c r="U684" s="75">
        <v>206215</v>
      </c>
      <c r="V684" t="s">
        <v>3283</v>
      </c>
      <c r="X684" t="s">
        <v>79</v>
      </c>
      <c r="Y684" t="s">
        <v>3139</v>
      </c>
      <c r="AA684" t="s">
        <v>81</v>
      </c>
      <c r="AB684">
        <v>15.55</v>
      </c>
      <c r="AC684">
        <v>14.666667</v>
      </c>
      <c r="AD684">
        <v>0.88333300000000003</v>
      </c>
      <c r="AE684">
        <v>0.7</v>
      </c>
      <c r="AF684">
        <v>0</v>
      </c>
      <c r="AG684">
        <v>0.183333</v>
      </c>
      <c r="AH684">
        <v>0.183333</v>
      </c>
      <c r="AI684">
        <v>0.13333300000000001</v>
      </c>
      <c r="AJ684">
        <v>0.05</v>
      </c>
      <c r="AK684">
        <v>0</v>
      </c>
      <c r="AL684" s="76"/>
      <c r="AM684" s="75"/>
      <c r="AN684" t="s">
        <v>135</v>
      </c>
      <c r="AO684" t="s">
        <v>3140</v>
      </c>
      <c r="AP684" t="s">
        <v>67</v>
      </c>
      <c r="AQ684" t="s">
        <v>83</v>
      </c>
      <c r="AR684" t="s">
        <v>69</v>
      </c>
      <c r="AS684" s="78"/>
      <c r="AT684" s="82" t="s">
        <v>3279</v>
      </c>
      <c r="AU684" s="78">
        <v>2026</v>
      </c>
      <c r="AV684" s="78">
        <v>3</v>
      </c>
      <c r="AW684" s="78" t="s">
        <v>84</v>
      </c>
      <c r="AX684" s="78">
        <v>1</v>
      </c>
      <c r="AY684" s="78">
        <v>0</v>
      </c>
      <c r="BT684" s="2" t="s">
        <v>84</v>
      </c>
      <c r="BU684" s="2">
        <v>1</v>
      </c>
      <c r="BV684" s="2">
        <v>0</v>
      </c>
    </row>
    <row r="685" spans="1:74" ht="15" customHeight="1" x14ac:dyDescent="0.25">
      <c r="A685" s="75">
        <v>5862611</v>
      </c>
      <c r="B685" t="s">
        <v>3284</v>
      </c>
      <c r="C685" t="s">
        <v>3285</v>
      </c>
      <c r="D685" t="s">
        <v>1388</v>
      </c>
      <c r="E685" t="s">
        <v>87</v>
      </c>
      <c r="F685" s="75">
        <v>147</v>
      </c>
      <c r="G685" s="75">
        <v>285635</v>
      </c>
      <c r="H685">
        <v>398.82</v>
      </c>
      <c r="I685" t="s">
        <v>55</v>
      </c>
      <c r="J685" s="75">
        <v>216233</v>
      </c>
      <c r="K685" t="s">
        <v>88</v>
      </c>
      <c r="L685" t="s">
        <v>89</v>
      </c>
      <c r="M685" s="81">
        <v>46089.243425925917</v>
      </c>
      <c r="N685" s="81">
        <v>46090.36619212963</v>
      </c>
      <c r="O685" t="s">
        <v>58</v>
      </c>
      <c r="P685" t="s">
        <v>59</v>
      </c>
      <c r="Q685" t="s">
        <v>90</v>
      </c>
      <c r="R685" t="s">
        <v>99</v>
      </c>
      <c r="S685" t="s">
        <v>1244</v>
      </c>
      <c r="U685" s="75">
        <v>206325</v>
      </c>
      <c r="V685" t="s">
        <v>3286</v>
      </c>
      <c r="X685" t="s">
        <v>62</v>
      </c>
      <c r="Y685" t="s">
        <v>63</v>
      </c>
      <c r="AA685" t="s">
        <v>81</v>
      </c>
      <c r="AB685">
        <v>26.883334000000001</v>
      </c>
      <c r="AC685">
        <v>24.55</v>
      </c>
      <c r="AD685">
        <v>2.3333339999999998</v>
      </c>
      <c r="AE685">
        <v>1.433333</v>
      </c>
      <c r="AF685">
        <v>0</v>
      </c>
      <c r="AG685">
        <v>0.90000100000000005</v>
      </c>
      <c r="AH685">
        <v>0.90000100000000005</v>
      </c>
      <c r="AI685">
        <v>0.53333399999999997</v>
      </c>
      <c r="AJ685">
        <v>0.36666700000000002</v>
      </c>
      <c r="AK685">
        <v>0</v>
      </c>
      <c r="AL685" s="76">
        <v>44873</v>
      </c>
      <c r="AM685" s="75">
        <v>1216</v>
      </c>
      <c r="AN685" t="s">
        <v>65</v>
      </c>
      <c r="AO685" t="s">
        <v>3287</v>
      </c>
      <c r="AP685" t="s">
        <v>67</v>
      </c>
      <c r="AQ685" t="s">
        <v>68</v>
      </c>
      <c r="AR685" t="s">
        <v>69</v>
      </c>
      <c r="AS685" s="79"/>
      <c r="AT685" s="82" t="s">
        <v>3279</v>
      </c>
      <c r="AU685" s="78">
        <v>2026</v>
      </c>
      <c r="AV685" s="78">
        <v>3</v>
      </c>
      <c r="AW685" s="78" t="s">
        <v>71</v>
      </c>
      <c r="AX685" s="78">
        <v>1</v>
      </c>
      <c r="AY685" s="78">
        <v>0</v>
      </c>
      <c r="BT685" s="3" t="s">
        <v>71</v>
      </c>
      <c r="BU685" s="3">
        <v>1</v>
      </c>
      <c r="BV685" s="3">
        <v>0</v>
      </c>
    </row>
    <row r="686" spans="1:74" ht="15" customHeight="1" x14ac:dyDescent="0.25">
      <c r="A686" s="75">
        <v>5862353</v>
      </c>
      <c r="B686" t="s">
        <v>3288</v>
      </c>
      <c r="C686" t="s">
        <v>3289</v>
      </c>
      <c r="D686" t="s">
        <v>1388</v>
      </c>
      <c r="E686" t="s">
        <v>87</v>
      </c>
      <c r="F686" s="75">
        <v>225</v>
      </c>
      <c r="G686" s="75">
        <v>286247</v>
      </c>
      <c r="H686">
        <v>368.16</v>
      </c>
      <c r="I686" t="s">
        <v>55</v>
      </c>
      <c r="J686" s="75">
        <v>218791</v>
      </c>
      <c r="K686" t="s">
        <v>312</v>
      </c>
      <c r="L686" t="s">
        <v>313</v>
      </c>
      <c r="M686" s="81">
        <v>46088.701817129629</v>
      </c>
      <c r="N686" s="81">
        <v>46090.367280092592</v>
      </c>
      <c r="O686" t="s">
        <v>58</v>
      </c>
      <c r="P686" t="s">
        <v>59</v>
      </c>
      <c r="Q686" t="s">
        <v>90</v>
      </c>
      <c r="R686" t="s">
        <v>99</v>
      </c>
      <c r="S686" t="s">
        <v>1244</v>
      </c>
      <c r="U686" s="75">
        <v>206309</v>
      </c>
      <c r="V686" t="s">
        <v>3290</v>
      </c>
      <c r="X686" t="s">
        <v>62</v>
      </c>
      <c r="Y686" t="s">
        <v>63</v>
      </c>
      <c r="AA686" t="s">
        <v>81</v>
      </c>
      <c r="AB686">
        <v>39.900001000000003</v>
      </c>
      <c r="AC686">
        <v>38.950000000000003</v>
      </c>
      <c r="AD686">
        <v>0.95000099999999998</v>
      </c>
      <c r="AE686">
        <v>0.1</v>
      </c>
      <c r="AF686">
        <v>0</v>
      </c>
      <c r="AG686">
        <v>0.85000100000000001</v>
      </c>
      <c r="AH686">
        <v>0.85000100000000001</v>
      </c>
      <c r="AI686">
        <v>0.56666700000000003</v>
      </c>
      <c r="AJ686">
        <v>0.28333399999999997</v>
      </c>
      <c r="AK686">
        <v>0</v>
      </c>
      <c r="AL686" s="76">
        <v>44876.622743055559</v>
      </c>
      <c r="AM686" s="75">
        <v>1212</v>
      </c>
      <c r="AN686" t="s">
        <v>65</v>
      </c>
      <c r="AO686" t="s">
        <v>660</v>
      </c>
      <c r="AP686" t="s">
        <v>67</v>
      </c>
      <c r="AQ686" t="s">
        <v>68</v>
      </c>
      <c r="AR686" t="s">
        <v>69</v>
      </c>
      <c r="AS686" s="78"/>
      <c r="AT686" s="82" t="s">
        <v>3279</v>
      </c>
      <c r="AU686" s="78">
        <v>2026</v>
      </c>
      <c r="AV686" s="78">
        <v>3</v>
      </c>
      <c r="AW686" s="78" t="s">
        <v>71</v>
      </c>
      <c r="AX686" s="78">
        <v>1</v>
      </c>
      <c r="AY686" s="78">
        <v>0</v>
      </c>
      <c r="BT686" s="2" t="s">
        <v>71</v>
      </c>
      <c r="BU686" s="2">
        <v>1</v>
      </c>
      <c r="BV686" s="2">
        <v>0</v>
      </c>
    </row>
    <row r="687" spans="1:74" ht="15" customHeight="1" x14ac:dyDescent="0.25">
      <c r="A687" s="75">
        <v>5860517</v>
      </c>
      <c r="B687" t="s">
        <v>3291</v>
      </c>
      <c r="C687" t="s">
        <v>3292</v>
      </c>
      <c r="D687" t="s">
        <v>150</v>
      </c>
      <c r="E687" t="s">
        <v>105</v>
      </c>
      <c r="F687" s="75">
        <v>617</v>
      </c>
      <c r="G687" s="75">
        <v>342883</v>
      </c>
      <c r="H687">
        <v>225</v>
      </c>
      <c r="I687" t="s">
        <v>163</v>
      </c>
      <c r="J687" s="75">
        <v>48887</v>
      </c>
      <c r="K687" t="s">
        <v>164</v>
      </c>
      <c r="L687" t="s">
        <v>165</v>
      </c>
      <c r="M687" s="81">
        <v>46086.89439814815</v>
      </c>
      <c r="N687" s="81">
        <v>46090.397673611107</v>
      </c>
      <c r="O687" t="s">
        <v>624</v>
      </c>
      <c r="P687" t="s">
        <v>59</v>
      </c>
      <c r="Q687" t="s">
        <v>130</v>
      </c>
      <c r="R687" t="s">
        <v>99</v>
      </c>
      <c r="S687" t="s">
        <v>1244</v>
      </c>
      <c r="U687" s="75">
        <v>205239</v>
      </c>
      <c r="V687" t="s">
        <v>3293</v>
      </c>
      <c r="X687" t="s">
        <v>62</v>
      </c>
      <c r="Y687" t="s">
        <v>233</v>
      </c>
      <c r="AA687" t="s">
        <v>295</v>
      </c>
      <c r="AB687">
        <v>83.983333000000002</v>
      </c>
      <c r="AC687">
        <v>50.633333</v>
      </c>
      <c r="AD687">
        <v>33.35</v>
      </c>
      <c r="AE687">
        <v>2.5333329999999998</v>
      </c>
      <c r="AF687">
        <v>0</v>
      </c>
      <c r="AG687">
        <v>30.816666999999999</v>
      </c>
      <c r="AH687">
        <v>30.816666999999999</v>
      </c>
      <c r="AI687">
        <v>10.7</v>
      </c>
      <c r="AJ687">
        <v>20.116667</v>
      </c>
      <c r="AK687">
        <v>0</v>
      </c>
      <c r="AL687" s="76">
        <v>45866</v>
      </c>
      <c r="AM687" s="75">
        <v>220</v>
      </c>
      <c r="AN687" t="s">
        <v>65</v>
      </c>
      <c r="AO687" t="s">
        <v>3294</v>
      </c>
      <c r="AP687" t="s">
        <v>67</v>
      </c>
      <c r="AQ687" t="s">
        <v>68</v>
      </c>
      <c r="AR687" t="s">
        <v>69</v>
      </c>
      <c r="AS687" s="79"/>
      <c r="AT687" s="82" t="s">
        <v>3279</v>
      </c>
      <c r="AU687" s="78">
        <v>2026</v>
      </c>
      <c r="AV687" s="78">
        <v>3</v>
      </c>
      <c r="AW687" s="78" t="s">
        <v>137</v>
      </c>
      <c r="AX687" s="78">
        <v>0</v>
      </c>
      <c r="AY687" s="78">
        <v>1</v>
      </c>
      <c r="BT687" s="3" t="s">
        <v>137</v>
      </c>
      <c r="BU687" s="3">
        <v>0</v>
      </c>
      <c r="BV687" s="3">
        <v>1</v>
      </c>
    </row>
    <row r="688" spans="1:74" ht="15" customHeight="1" x14ac:dyDescent="0.25">
      <c r="A688" s="75">
        <v>5854911</v>
      </c>
      <c r="B688" t="s">
        <v>3295</v>
      </c>
      <c r="C688" t="s">
        <v>3296</v>
      </c>
      <c r="D688" t="s">
        <v>2379</v>
      </c>
      <c r="E688" t="s">
        <v>54</v>
      </c>
      <c r="F688" s="75">
        <v>1</v>
      </c>
      <c r="G688" s="75">
        <v>266547</v>
      </c>
      <c r="H688">
        <v>900</v>
      </c>
      <c r="I688" t="s">
        <v>242</v>
      </c>
      <c r="J688" s="75">
        <v>209717</v>
      </c>
      <c r="K688" t="s">
        <v>3297</v>
      </c>
      <c r="L688" t="s">
        <v>3298</v>
      </c>
      <c r="M688" s="81">
        <v>46084.44908564815</v>
      </c>
      <c r="N688" s="81">
        <v>46090.415543981479</v>
      </c>
      <c r="O688" t="s">
        <v>58</v>
      </c>
      <c r="P688" t="s">
        <v>59</v>
      </c>
      <c r="Q688" t="s">
        <v>130</v>
      </c>
      <c r="R688" t="s">
        <v>156</v>
      </c>
      <c r="S688" t="s">
        <v>1320</v>
      </c>
      <c r="U688" s="75">
        <v>202907</v>
      </c>
      <c r="V688" t="s">
        <v>3299</v>
      </c>
      <c r="X688" t="s">
        <v>79</v>
      </c>
      <c r="Y688" t="s">
        <v>3300</v>
      </c>
      <c r="AA688" t="s">
        <v>64</v>
      </c>
      <c r="AB688">
        <v>143.11666600000001</v>
      </c>
      <c r="AC688">
        <v>136.283334</v>
      </c>
      <c r="AD688">
        <v>6.8333320000000004</v>
      </c>
      <c r="AE688">
        <v>0.33333299999999999</v>
      </c>
      <c r="AF688">
        <v>0</v>
      </c>
      <c r="AG688">
        <v>6.4999989999999999</v>
      </c>
      <c r="AH688">
        <v>6.4999989999999999</v>
      </c>
      <c r="AI688">
        <v>6.2666659999999998</v>
      </c>
      <c r="AJ688">
        <v>0.23333300000000001</v>
      </c>
      <c r="AK688">
        <v>0</v>
      </c>
      <c r="AL688" s="76">
        <v>36526</v>
      </c>
      <c r="AM688" s="75">
        <v>9558</v>
      </c>
      <c r="AN688" t="s">
        <v>65</v>
      </c>
      <c r="AO688" t="s">
        <v>3301</v>
      </c>
      <c r="AP688" t="s">
        <v>67</v>
      </c>
      <c r="AQ688" t="s">
        <v>83</v>
      </c>
      <c r="AR688" t="s">
        <v>69</v>
      </c>
      <c r="AS688" s="78"/>
      <c r="AT688" s="82" t="s">
        <v>3279</v>
      </c>
      <c r="AU688" s="78">
        <v>2026</v>
      </c>
      <c r="AV688" s="78">
        <v>3</v>
      </c>
      <c r="AW688" s="78" t="s">
        <v>84</v>
      </c>
      <c r="AX688" s="78">
        <v>1</v>
      </c>
      <c r="AY688" s="78">
        <v>0</v>
      </c>
      <c r="BT688" s="2" t="s">
        <v>84</v>
      </c>
      <c r="BU688" s="2">
        <v>1</v>
      </c>
      <c r="BV688" s="2">
        <v>0</v>
      </c>
    </row>
    <row r="689" spans="1:74" ht="15" customHeight="1" x14ac:dyDescent="0.25">
      <c r="A689" s="75">
        <v>5863375</v>
      </c>
      <c r="B689" t="s">
        <v>3302</v>
      </c>
      <c r="C689" t="s">
        <v>1067</v>
      </c>
      <c r="D689" t="s">
        <v>527</v>
      </c>
      <c r="E689" t="s">
        <v>87</v>
      </c>
      <c r="F689" s="75">
        <v>426</v>
      </c>
      <c r="G689" s="75">
        <v>289277</v>
      </c>
      <c r="H689">
        <v>382.47</v>
      </c>
      <c r="I689" t="s">
        <v>55</v>
      </c>
      <c r="J689" s="75">
        <v>216233</v>
      </c>
      <c r="K689" t="s">
        <v>88</v>
      </c>
      <c r="L689" t="s">
        <v>89</v>
      </c>
      <c r="M689" s="81">
        <v>46090.389398148152</v>
      </c>
      <c r="N689" s="81">
        <v>46090.468043981477</v>
      </c>
      <c r="O689" t="s">
        <v>277</v>
      </c>
      <c r="P689" t="s">
        <v>59</v>
      </c>
      <c r="Q689" t="s">
        <v>90</v>
      </c>
      <c r="R689" t="s">
        <v>99</v>
      </c>
      <c r="S689" t="s">
        <v>1244</v>
      </c>
      <c r="U689" s="75">
        <v>206591</v>
      </c>
      <c r="V689" t="s">
        <v>3303</v>
      </c>
      <c r="X689" t="s">
        <v>62</v>
      </c>
      <c r="Y689" t="s">
        <v>63</v>
      </c>
      <c r="AA689" t="s">
        <v>81</v>
      </c>
      <c r="AB689">
        <v>1.85</v>
      </c>
      <c r="AC689">
        <v>0</v>
      </c>
      <c r="AD689">
        <v>1.85</v>
      </c>
      <c r="AE689">
        <v>0.05</v>
      </c>
      <c r="AF689">
        <v>0</v>
      </c>
      <c r="AG689">
        <v>1.8</v>
      </c>
      <c r="AI689">
        <v>1.683333</v>
      </c>
      <c r="AJ689">
        <v>0.11666700000000001</v>
      </c>
      <c r="AK689">
        <v>0</v>
      </c>
      <c r="AL689" s="76">
        <v>44998</v>
      </c>
      <c r="AM689" s="75">
        <v>1092</v>
      </c>
      <c r="AN689" t="s">
        <v>65</v>
      </c>
      <c r="AO689" t="s">
        <v>1070</v>
      </c>
      <c r="AP689" t="s">
        <v>67</v>
      </c>
      <c r="AQ689" t="s">
        <v>68</v>
      </c>
      <c r="AR689" t="s">
        <v>69</v>
      </c>
      <c r="AS689" s="79"/>
      <c r="AT689" s="82" t="s">
        <v>3279</v>
      </c>
      <c r="AU689" s="78">
        <v>2026</v>
      </c>
      <c r="AV689" s="78">
        <v>3</v>
      </c>
      <c r="AW689" s="78" t="s">
        <v>71</v>
      </c>
      <c r="AX689" s="78">
        <v>1</v>
      </c>
      <c r="AY689" s="78">
        <v>0</v>
      </c>
      <c r="BT689" s="3" t="s">
        <v>71</v>
      </c>
      <c r="BU689" s="3">
        <v>1</v>
      </c>
      <c r="BV689" s="3">
        <v>0</v>
      </c>
    </row>
    <row r="690" spans="1:74" ht="15" customHeight="1" x14ac:dyDescent="0.25">
      <c r="A690" s="75">
        <v>5862217</v>
      </c>
      <c r="B690" t="s">
        <v>3304</v>
      </c>
      <c r="C690" t="s">
        <v>3305</v>
      </c>
      <c r="D690" t="s">
        <v>53</v>
      </c>
      <c r="E690" t="s">
        <v>54</v>
      </c>
      <c r="F690" s="75">
        <v>1</v>
      </c>
      <c r="G690" s="75">
        <v>266547</v>
      </c>
      <c r="H690">
        <v>900</v>
      </c>
      <c r="I690" t="s">
        <v>242</v>
      </c>
      <c r="J690" s="75">
        <v>209717</v>
      </c>
      <c r="K690" t="s">
        <v>3297</v>
      </c>
      <c r="L690" t="s">
        <v>3298</v>
      </c>
      <c r="M690" s="81">
        <v>46088.535243055558</v>
      </c>
      <c r="N690" s="81">
        <v>46090.56082175926</v>
      </c>
      <c r="O690" t="s">
        <v>58</v>
      </c>
      <c r="P690" t="s">
        <v>59</v>
      </c>
      <c r="Q690" t="s">
        <v>90</v>
      </c>
      <c r="R690" t="s">
        <v>99</v>
      </c>
      <c r="S690" t="s">
        <v>1244</v>
      </c>
      <c r="U690" s="75">
        <v>206305</v>
      </c>
      <c r="V690" t="s">
        <v>3306</v>
      </c>
      <c r="X690" t="s">
        <v>79</v>
      </c>
      <c r="Y690" t="s">
        <v>3300</v>
      </c>
      <c r="AA690" t="s">
        <v>64</v>
      </c>
      <c r="AB690">
        <v>48.566665999999998</v>
      </c>
      <c r="AC690">
        <v>43.416666999999997</v>
      </c>
      <c r="AD690">
        <v>5.1499990000000002</v>
      </c>
      <c r="AE690">
        <v>0.88333300000000003</v>
      </c>
      <c r="AF690">
        <v>0</v>
      </c>
      <c r="AG690">
        <v>4.2666659999999998</v>
      </c>
      <c r="AH690">
        <v>4.2666659999999998</v>
      </c>
      <c r="AI690">
        <v>3.55</v>
      </c>
      <c r="AJ690">
        <v>0.71666600000000003</v>
      </c>
      <c r="AK690">
        <v>0</v>
      </c>
      <c r="AL690" s="76">
        <v>36526</v>
      </c>
      <c r="AM690" s="75">
        <v>9562</v>
      </c>
      <c r="AN690" t="s">
        <v>65</v>
      </c>
      <c r="AO690" t="s">
        <v>3301</v>
      </c>
      <c r="AP690" t="s">
        <v>67</v>
      </c>
      <c r="AQ690" t="s">
        <v>83</v>
      </c>
      <c r="AR690" t="s">
        <v>69</v>
      </c>
      <c r="AS690" s="78"/>
      <c r="AT690" s="82" t="s">
        <v>3279</v>
      </c>
      <c r="AU690" s="78">
        <v>2026</v>
      </c>
      <c r="AV690" s="78">
        <v>3</v>
      </c>
      <c r="AW690" s="78" t="s">
        <v>84</v>
      </c>
      <c r="AX690" s="78">
        <v>1</v>
      </c>
      <c r="AY690" s="78">
        <v>0</v>
      </c>
      <c r="BT690" s="2" t="s">
        <v>84</v>
      </c>
      <c r="BU690" s="2">
        <v>1</v>
      </c>
      <c r="BV690" s="2">
        <v>0</v>
      </c>
    </row>
    <row r="691" spans="1:74" ht="15" customHeight="1" x14ac:dyDescent="0.25">
      <c r="A691" s="75">
        <v>5862195</v>
      </c>
      <c r="B691" t="s">
        <v>3307</v>
      </c>
      <c r="C691" t="s">
        <v>1079</v>
      </c>
      <c r="D691" t="s">
        <v>150</v>
      </c>
      <c r="E691" t="s">
        <v>87</v>
      </c>
      <c r="F691" s="75">
        <v>187</v>
      </c>
      <c r="G691" s="75">
        <v>285899</v>
      </c>
      <c r="H691">
        <v>398.82</v>
      </c>
      <c r="I691" t="s">
        <v>55</v>
      </c>
      <c r="J691" s="75">
        <v>216233</v>
      </c>
      <c r="K691" t="s">
        <v>88</v>
      </c>
      <c r="L691" t="s">
        <v>89</v>
      </c>
      <c r="M691" s="81">
        <v>46088.521307870367</v>
      </c>
      <c r="N691" s="81">
        <v>46090.596817129634</v>
      </c>
      <c r="O691" t="s">
        <v>58</v>
      </c>
      <c r="P691" t="s">
        <v>59</v>
      </c>
      <c r="Q691" t="s">
        <v>90</v>
      </c>
      <c r="R691" t="s">
        <v>131</v>
      </c>
      <c r="S691" t="s">
        <v>1316</v>
      </c>
      <c r="U691" s="75">
        <v>206295</v>
      </c>
      <c r="V691" t="s">
        <v>3308</v>
      </c>
      <c r="W691" t="s">
        <v>3308</v>
      </c>
      <c r="X691" t="s">
        <v>62</v>
      </c>
      <c r="Y691" t="s">
        <v>63</v>
      </c>
      <c r="AA691" t="s">
        <v>64</v>
      </c>
      <c r="AB691">
        <v>49.716667000000001</v>
      </c>
      <c r="AC691">
        <v>45.05</v>
      </c>
      <c r="AD691">
        <v>4.6666670000000003</v>
      </c>
      <c r="AE691">
        <v>0.3</v>
      </c>
      <c r="AF691">
        <v>0</v>
      </c>
      <c r="AG691">
        <v>4.3666669999999996</v>
      </c>
      <c r="AH691">
        <v>4.3666669999999996</v>
      </c>
      <c r="AI691">
        <v>3.9166669999999999</v>
      </c>
      <c r="AJ691">
        <v>0.45</v>
      </c>
      <c r="AK691">
        <v>0</v>
      </c>
      <c r="AL691" s="76">
        <v>44875</v>
      </c>
      <c r="AM691" s="75">
        <v>1213</v>
      </c>
      <c r="AN691" t="s">
        <v>65</v>
      </c>
      <c r="AO691" t="s">
        <v>1081</v>
      </c>
      <c r="AP691" t="s">
        <v>67</v>
      </c>
      <c r="AQ691" t="s">
        <v>68</v>
      </c>
      <c r="AR691" t="s">
        <v>69</v>
      </c>
      <c r="AS691" s="79"/>
      <c r="AT691" s="82" t="s">
        <v>3279</v>
      </c>
      <c r="AU691" s="78">
        <v>2026</v>
      </c>
      <c r="AV691" s="78">
        <v>3</v>
      </c>
      <c r="AW691" s="78" t="s">
        <v>71</v>
      </c>
      <c r="AX691" s="78">
        <v>1</v>
      </c>
      <c r="AY691" s="78">
        <v>0</v>
      </c>
      <c r="BT691" s="3" t="s">
        <v>71</v>
      </c>
      <c r="BU691" s="3">
        <v>1</v>
      </c>
      <c r="BV691" s="3">
        <v>0</v>
      </c>
    </row>
    <row r="692" spans="1:74" ht="15" customHeight="1" x14ac:dyDescent="0.25">
      <c r="A692" s="75">
        <v>5863023</v>
      </c>
      <c r="B692" t="s">
        <v>3309</v>
      </c>
      <c r="C692" t="s">
        <v>3310</v>
      </c>
      <c r="D692" t="s">
        <v>527</v>
      </c>
      <c r="E692" t="s">
        <v>87</v>
      </c>
      <c r="F692" s="75">
        <v>18</v>
      </c>
      <c r="G692" s="75">
        <v>279667</v>
      </c>
      <c r="H692">
        <v>516.22</v>
      </c>
      <c r="I692" t="s">
        <v>266</v>
      </c>
      <c r="J692" s="75">
        <v>149307</v>
      </c>
      <c r="K692" t="s">
        <v>350</v>
      </c>
      <c r="L692" t="s">
        <v>351</v>
      </c>
      <c r="M692" s="81">
        <v>46090.243344907409</v>
      </c>
      <c r="N692" s="81">
        <v>46090.629745370366</v>
      </c>
      <c r="O692" t="s">
        <v>554</v>
      </c>
      <c r="P692" t="s">
        <v>59</v>
      </c>
      <c r="Q692" t="s">
        <v>90</v>
      </c>
      <c r="R692" t="s">
        <v>99</v>
      </c>
      <c r="S692" t="s">
        <v>1244</v>
      </c>
      <c r="U692" s="75">
        <v>206345</v>
      </c>
      <c r="V692" t="s">
        <v>3311</v>
      </c>
      <c r="X692" t="s">
        <v>62</v>
      </c>
      <c r="Y692" t="s">
        <v>1049</v>
      </c>
      <c r="AA692" t="s">
        <v>64</v>
      </c>
      <c r="AB692">
        <v>9.1833340000000003</v>
      </c>
      <c r="AC692">
        <v>1.1000000000000001</v>
      </c>
      <c r="AD692">
        <v>8.0833340000000007</v>
      </c>
      <c r="AE692">
        <v>1.016667</v>
      </c>
      <c r="AF692">
        <v>0</v>
      </c>
      <c r="AG692">
        <v>7.0666669999999998</v>
      </c>
      <c r="AH692">
        <v>7.0666669999999998</v>
      </c>
      <c r="AI692">
        <v>6.266667</v>
      </c>
      <c r="AJ692">
        <v>0.8</v>
      </c>
      <c r="AK692">
        <v>0</v>
      </c>
      <c r="AL692" s="76">
        <v>44803</v>
      </c>
      <c r="AM692" s="75">
        <v>1287</v>
      </c>
      <c r="AN692" t="s">
        <v>65</v>
      </c>
      <c r="AO692" t="s">
        <v>3312</v>
      </c>
      <c r="AP692" t="s">
        <v>67</v>
      </c>
      <c r="AQ692" t="s">
        <v>68</v>
      </c>
      <c r="AR692" t="s">
        <v>69</v>
      </c>
      <c r="AS692" s="78"/>
      <c r="AT692" s="82" t="s">
        <v>3279</v>
      </c>
      <c r="AU692" s="78">
        <v>2026</v>
      </c>
      <c r="AV692" s="78">
        <v>3</v>
      </c>
      <c r="AW692" s="78" t="s">
        <v>137</v>
      </c>
      <c r="AX692" s="78">
        <v>1</v>
      </c>
      <c r="AY692" s="78">
        <v>0</v>
      </c>
      <c r="BT692" s="2" t="s">
        <v>137</v>
      </c>
      <c r="BU692" s="2">
        <v>1</v>
      </c>
      <c r="BV692" s="2">
        <v>0</v>
      </c>
    </row>
    <row r="693" spans="1:74" ht="15" customHeight="1" x14ac:dyDescent="0.25">
      <c r="A693" s="75">
        <v>5859081</v>
      </c>
      <c r="B693" t="s">
        <v>3313</v>
      </c>
      <c r="C693" t="s">
        <v>3314</v>
      </c>
      <c r="D693" t="s">
        <v>2379</v>
      </c>
      <c r="E693" t="s">
        <v>54</v>
      </c>
      <c r="F693" s="75">
        <v>2</v>
      </c>
      <c r="G693" s="75">
        <v>350925</v>
      </c>
      <c r="H693">
        <v>650</v>
      </c>
      <c r="I693" t="s">
        <v>141</v>
      </c>
      <c r="J693" s="75">
        <v>227681</v>
      </c>
      <c r="K693" t="s">
        <v>2153</v>
      </c>
      <c r="L693" t="s">
        <v>2154</v>
      </c>
      <c r="M693" s="81">
        <v>46086.396874999999</v>
      </c>
      <c r="N693" s="81">
        <v>46090.717013888891</v>
      </c>
      <c r="O693" t="s">
        <v>58</v>
      </c>
      <c r="P693" t="s">
        <v>59</v>
      </c>
      <c r="R693" t="s">
        <v>60</v>
      </c>
      <c r="S693" t="s">
        <v>583</v>
      </c>
      <c r="U693" s="75">
        <v>204567</v>
      </c>
      <c r="V693" t="s">
        <v>3315</v>
      </c>
      <c r="W693" t="s">
        <v>3315</v>
      </c>
      <c r="X693" t="s">
        <v>62</v>
      </c>
      <c r="Y693" t="s">
        <v>63</v>
      </c>
      <c r="AA693" t="s">
        <v>416</v>
      </c>
      <c r="AB693">
        <v>103.63333299999999</v>
      </c>
      <c r="AC693">
        <v>89.1</v>
      </c>
      <c r="AD693">
        <v>14.533333000000001</v>
      </c>
      <c r="AE693">
        <v>0.2</v>
      </c>
      <c r="AF693">
        <v>0</v>
      </c>
      <c r="AG693">
        <v>14.333333</v>
      </c>
      <c r="AH693">
        <v>14.333333</v>
      </c>
      <c r="AI693">
        <v>14.25</v>
      </c>
      <c r="AJ693">
        <v>8.3333000000000004E-2</v>
      </c>
      <c r="AK693">
        <v>0</v>
      </c>
      <c r="AL693" s="76">
        <v>46059.394803240742</v>
      </c>
      <c r="AM693" s="75">
        <v>27</v>
      </c>
      <c r="AN693" t="s">
        <v>65</v>
      </c>
      <c r="AO693" t="s">
        <v>3316</v>
      </c>
      <c r="AP693" t="s">
        <v>67</v>
      </c>
      <c r="AQ693" t="s">
        <v>68</v>
      </c>
      <c r="AR693" t="s">
        <v>69</v>
      </c>
      <c r="AS693" s="79"/>
      <c r="AT693" s="82" t="s">
        <v>3279</v>
      </c>
      <c r="AU693" s="78">
        <v>2026</v>
      </c>
      <c r="AV693" s="78">
        <v>3</v>
      </c>
      <c r="AW693" s="78" t="s">
        <v>71</v>
      </c>
      <c r="AX693" s="78">
        <v>0</v>
      </c>
      <c r="AY693" s="78">
        <v>0</v>
      </c>
      <c r="BT693" s="3" t="s">
        <v>71</v>
      </c>
      <c r="BU693" s="3">
        <v>0</v>
      </c>
      <c r="BV693" s="3">
        <v>0</v>
      </c>
    </row>
    <row r="694" spans="1:74" ht="15" customHeight="1" x14ac:dyDescent="0.25">
      <c r="A694" s="75">
        <v>5860111</v>
      </c>
      <c r="B694" t="s">
        <v>3317</v>
      </c>
      <c r="C694" t="s">
        <v>3318</v>
      </c>
      <c r="D694" t="s">
        <v>1555</v>
      </c>
      <c r="E694" t="s">
        <v>105</v>
      </c>
      <c r="F694" s="75">
        <v>2</v>
      </c>
      <c r="G694" s="75">
        <v>332691</v>
      </c>
      <c r="H694">
        <v>882.2</v>
      </c>
      <c r="I694" t="s">
        <v>175</v>
      </c>
      <c r="J694" s="75">
        <v>225537</v>
      </c>
      <c r="K694" t="s">
        <v>994</v>
      </c>
      <c r="L694" t="s">
        <v>995</v>
      </c>
      <c r="M694" s="81">
        <v>46086.674143518518</v>
      </c>
      <c r="N694" s="81">
        <v>46090.768171296288</v>
      </c>
      <c r="O694" t="s">
        <v>58</v>
      </c>
      <c r="P694" t="s">
        <v>59</v>
      </c>
      <c r="Q694" t="s">
        <v>90</v>
      </c>
      <c r="R694" t="s">
        <v>99</v>
      </c>
      <c r="S694" t="s">
        <v>1244</v>
      </c>
      <c r="U694" s="75">
        <v>205629</v>
      </c>
      <c r="V694" t="s">
        <v>3319</v>
      </c>
      <c r="W694" t="s">
        <v>3319</v>
      </c>
      <c r="X694" t="s">
        <v>62</v>
      </c>
      <c r="Y694" t="s">
        <v>271</v>
      </c>
      <c r="AA694" t="s">
        <v>81</v>
      </c>
      <c r="AB694">
        <v>98.183331999999993</v>
      </c>
      <c r="AC694">
        <v>94.916666000000006</v>
      </c>
      <c r="AD694">
        <v>3.2666659999999998</v>
      </c>
      <c r="AE694">
        <v>1.449999</v>
      </c>
      <c r="AF694">
        <v>0</v>
      </c>
      <c r="AG694">
        <v>1.816667</v>
      </c>
      <c r="AH694">
        <v>1.816667</v>
      </c>
      <c r="AI694">
        <v>1.65</v>
      </c>
      <c r="AJ694">
        <v>0.16666700000000001</v>
      </c>
      <c r="AK694">
        <v>0</v>
      </c>
      <c r="AL694" s="76">
        <v>45803.47896990741</v>
      </c>
      <c r="AM694" s="75">
        <v>283</v>
      </c>
      <c r="AN694" t="s">
        <v>65</v>
      </c>
      <c r="AO694" t="s">
        <v>997</v>
      </c>
      <c r="AP694" t="s">
        <v>67</v>
      </c>
      <c r="AQ694" t="s">
        <v>68</v>
      </c>
      <c r="AR694" t="s">
        <v>69</v>
      </c>
      <c r="AS694" s="78"/>
      <c r="AT694" s="82" t="s">
        <v>3279</v>
      </c>
      <c r="AU694" s="78">
        <v>2026</v>
      </c>
      <c r="AV694" s="78">
        <v>3</v>
      </c>
      <c r="AW694" s="78" t="s">
        <v>137</v>
      </c>
      <c r="AX694" s="78">
        <v>1</v>
      </c>
      <c r="AY694" s="78">
        <v>0</v>
      </c>
      <c r="BT694" s="2" t="s">
        <v>137</v>
      </c>
      <c r="BU694" s="2">
        <v>1</v>
      </c>
      <c r="BV694" s="2">
        <v>0</v>
      </c>
    </row>
    <row r="695" spans="1:74" ht="15" customHeight="1" x14ac:dyDescent="0.25">
      <c r="A695" s="75">
        <v>5864271</v>
      </c>
      <c r="B695" t="s">
        <v>3320</v>
      </c>
      <c r="C695" t="s">
        <v>3321</v>
      </c>
      <c r="D695" t="s">
        <v>1052</v>
      </c>
      <c r="E695" t="s">
        <v>54</v>
      </c>
      <c r="F695" s="75">
        <v>944</v>
      </c>
      <c r="G695" s="75">
        <v>340801</v>
      </c>
      <c r="H695">
        <v>449</v>
      </c>
      <c r="I695" t="s">
        <v>141</v>
      </c>
      <c r="J695" s="75">
        <v>4341</v>
      </c>
      <c r="K695" t="s">
        <v>2092</v>
      </c>
      <c r="L695" t="s">
        <v>2093</v>
      </c>
      <c r="M695" s="81">
        <v>46090.663252314807</v>
      </c>
      <c r="N695" s="81">
        <v>46090.782835648148</v>
      </c>
      <c r="O695" t="s">
        <v>58</v>
      </c>
      <c r="P695" t="s">
        <v>59</v>
      </c>
      <c r="Q695" t="s">
        <v>130</v>
      </c>
      <c r="R695" t="s">
        <v>60</v>
      </c>
      <c r="S695" t="s">
        <v>583</v>
      </c>
      <c r="U695" s="75">
        <v>207103</v>
      </c>
      <c r="V695" t="s">
        <v>3322</v>
      </c>
      <c r="X695" t="s">
        <v>118</v>
      </c>
      <c r="Y695" t="s">
        <v>400</v>
      </c>
      <c r="AA695" t="s">
        <v>81</v>
      </c>
      <c r="AB695">
        <v>2.8333330000000001</v>
      </c>
      <c r="AC695">
        <v>0.35</v>
      </c>
      <c r="AD695">
        <v>2.483333</v>
      </c>
      <c r="AE695">
        <v>8.3333000000000004E-2</v>
      </c>
      <c r="AF695">
        <v>0</v>
      </c>
      <c r="AG695">
        <v>2.4</v>
      </c>
      <c r="AH695">
        <v>2.4</v>
      </c>
      <c r="AI695">
        <v>1.516667</v>
      </c>
      <c r="AJ695">
        <v>0.88333300000000003</v>
      </c>
      <c r="AK695">
        <v>0</v>
      </c>
      <c r="AL695" s="76">
        <v>45803</v>
      </c>
      <c r="AM695" s="75">
        <v>287</v>
      </c>
      <c r="AN695" t="s">
        <v>65</v>
      </c>
      <c r="AO695" t="s">
        <v>2095</v>
      </c>
      <c r="AP695" t="s">
        <v>67</v>
      </c>
      <c r="AQ695" t="s">
        <v>121</v>
      </c>
      <c r="AR695" t="s">
        <v>69</v>
      </c>
      <c r="AS695" s="79"/>
      <c r="AT695" s="82" t="s">
        <v>3279</v>
      </c>
      <c r="AU695" s="78">
        <v>2026</v>
      </c>
      <c r="AV695" s="78">
        <v>3</v>
      </c>
      <c r="AW695" s="78" t="s">
        <v>122</v>
      </c>
      <c r="AX695" s="78">
        <v>1</v>
      </c>
      <c r="AY695" s="78">
        <v>0</v>
      </c>
      <c r="BT695" s="3" t="s">
        <v>122</v>
      </c>
      <c r="BU695" s="3">
        <v>1</v>
      </c>
      <c r="BV695" s="3">
        <v>0</v>
      </c>
    </row>
    <row r="696" spans="1:74" ht="15" customHeight="1" x14ac:dyDescent="0.25">
      <c r="A696" s="75">
        <v>5861643</v>
      </c>
      <c r="B696" t="s">
        <v>3323</v>
      </c>
      <c r="C696" t="s">
        <v>3324</v>
      </c>
      <c r="D696" t="s">
        <v>1052</v>
      </c>
      <c r="E696" t="s">
        <v>54</v>
      </c>
      <c r="F696" s="75">
        <v>933</v>
      </c>
      <c r="G696" s="75">
        <v>301435</v>
      </c>
      <c r="H696">
        <v>449</v>
      </c>
      <c r="I696" t="s">
        <v>114</v>
      </c>
      <c r="J696" s="75">
        <v>4341</v>
      </c>
      <c r="K696" t="s">
        <v>2092</v>
      </c>
      <c r="L696" t="s">
        <v>2093</v>
      </c>
      <c r="M696" s="81">
        <v>46087.670590277783</v>
      </c>
      <c r="N696" s="81">
        <v>46090.784282407411</v>
      </c>
      <c r="O696" t="s">
        <v>58</v>
      </c>
      <c r="P696" t="s">
        <v>59</v>
      </c>
      <c r="Q696" t="s">
        <v>130</v>
      </c>
      <c r="R696" t="s">
        <v>60</v>
      </c>
      <c r="S696" t="s">
        <v>583</v>
      </c>
      <c r="U696" s="75">
        <v>206425</v>
      </c>
      <c r="V696" t="s">
        <v>3325</v>
      </c>
      <c r="W696" t="s">
        <v>3326</v>
      </c>
      <c r="X696" t="s">
        <v>118</v>
      </c>
      <c r="Y696" t="s">
        <v>400</v>
      </c>
      <c r="AA696" t="s">
        <v>101</v>
      </c>
      <c r="AB696">
        <v>74.650001000000003</v>
      </c>
      <c r="AC696">
        <v>65.483333999999999</v>
      </c>
      <c r="AD696">
        <v>9.1666670000000003</v>
      </c>
      <c r="AE696">
        <v>0.1</v>
      </c>
      <c r="AF696">
        <v>0</v>
      </c>
      <c r="AG696">
        <v>9.0666670000000007</v>
      </c>
      <c r="AH696">
        <v>9.0666670000000007</v>
      </c>
      <c r="AI696">
        <v>8.4333329999999993</v>
      </c>
      <c r="AJ696">
        <v>0.63333399999999995</v>
      </c>
      <c r="AK696">
        <v>0</v>
      </c>
      <c r="AL696" s="76">
        <v>45429</v>
      </c>
      <c r="AM696" s="75">
        <v>658</v>
      </c>
      <c r="AN696" t="s">
        <v>65</v>
      </c>
      <c r="AO696" t="s">
        <v>3327</v>
      </c>
      <c r="AP696" t="s">
        <v>67</v>
      </c>
      <c r="AQ696" t="s">
        <v>121</v>
      </c>
      <c r="AR696" t="s">
        <v>69</v>
      </c>
      <c r="AS696" s="78"/>
      <c r="AT696" s="82" t="s">
        <v>3279</v>
      </c>
      <c r="AU696" s="78">
        <v>2026</v>
      </c>
      <c r="AV696" s="78">
        <v>3</v>
      </c>
      <c r="AW696" s="78" t="s">
        <v>122</v>
      </c>
      <c r="AX696" s="78">
        <v>0</v>
      </c>
      <c r="AY696" s="78">
        <v>0</v>
      </c>
      <c r="BT696" s="2" t="s">
        <v>122</v>
      </c>
      <c r="BU696" s="2">
        <v>0</v>
      </c>
      <c r="BV696" s="2">
        <v>0</v>
      </c>
    </row>
    <row r="697" spans="1:74" ht="15" customHeight="1" x14ac:dyDescent="0.25">
      <c r="A697" s="75">
        <v>5860485</v>
      </c>
      <c r="B697" t="s">
        <v>3328</v>
      </c>
      <c r="C697" t="s">
        <v>3329</v>
      </c>
      <c r="D697" t="s">
        <v>1555</v>
      </c>
      <c r="E697" t="s">
        <v>87</v>
      </c>
      <c r="F697" s="75">
        <v>304</v>
      </c>
      <c r="G697" s="75">
        <v>286493</v>
      </c>
      <c r="H697">
        <v>364.96</v>
      </c>
      <c r="I697" t="s">
        <v>55</v>
      </c>
      <c r="J697" s="75">
        <v>218787</v>
      </c>
      <c r="K697" t="s">
        <v>96</v>
      </c>
      <c r="L697" t="s">
        <v>97</v>
      </c>
      <c r="M697" s="81">
        <v>46086.826817129629</v>
      </c>
      <c r="N697" s="81">
        <v>46090.785960648151</v>
      </c>
      <c r="O697" t="s">
        <v>58</v>
      </c>
      <c r="P697" t="s">
        <v>59</v>
      </c>
      <c r="Q697" t="s">
        <v>90</v>
      </c>
      <c r="R697" t="s">
        <v>144</v>
      </c>
      <c r="S697" t="s">
        <v>1491</v>
      </c>
      <c r="U697" s="75">
        <v>205245</v>
      </c>
      <c r="V697" t="s">
        <v>3330</v>
      </c>
      <c r="W697" t="s">
        <v>3330</v>
      </c>
      <c r="X697" t="s">
        <v>62</v>
      </c>
      <c r="Y697" t="s">
        <v>63</v>
      </c>
      <c r="AA697" t="s">
        <v>81</v>
      </c>
      <c r="AB697">
        <v>94.949999000000005</v>
      </c>
      <c r="AC697">
        <v>92.283332999999999</v>
      </c>
      <c r="AD697">
        <v>2.6666660000000002</v>
      </c>
      <c r="AE697">
        <v>0.31666699999999998</v>
      </c>
      <c r="AF697">
        <v>0</v>
      </c>
      <c r="AG697">
        <v>2.3499989999999999</v>
      </c>
      <c r="AH697">
        <v>2.3499989999999999</v>
      </c>
      <c r="AI697">
        <v>2.2666659999999998</v>
      </c>
      <c r="AJ697">
        <v>8.3333000000000004E-2</v>
      </c>
      <c r="AK697">
        <v>0</v>
      </c>
      <c r="AL697" s="76">
        <v>44958</v>
      </c>
      <c r="AM697" s="75">
        <v>1128</v>
      </c>
      <c r="AN697" t="s">
        <v>65</v>
      </c>
      <c r="AO697" t="s">
        <v>3331</v>
      </c>
      <c r="AP697" t="s">
        <v>67</v>
      </c>
      <c r="AQ697" t="s">
        <v>68</v>
      </c>
      <c r="AR697" t="s">
        <v>69</v>
      </c>
      <c r="AS697" s="79"/>
      <c r="AT697" s="82" t="s">
        <v>3279</v>
      </c>
      <c r="AU697" s="78">
        <v>2026</v>
      </c>
      <c r="AV697" s="78">
        <v>3</v>
      </c>
      <c r="AW697" s="78" t="s">
        <v>71</v>
      </c>
      <c r="AX697" s="78">
        <v>1</v>
      </c>
      <c r="AY697" s="78">
        <v>0</v>
      </c>
      <c r="BT697" s="3" t="s">
        <v>71</v>
      </c>
      <c r="BU697" s="3">
        <v>1</v>
      </c>
      <c r="BV697" s="3">
        <v>0</v>
      </c>
    </row>
    <row r="698" spans="1:74" ht="15" customHeight="1" x14ac:dyDescent="0.25">
      <c r="A698" s="75">
        <v>5863563</v>
      </c>
      <c r="B698" t="s">
        <v>3332</v>
      </c>
      <c r="C698" t="s">
        <v>519</v>
      </c>
      <c r="D698" t="s">
        <v>527</v>
      </c>
      <c r="E698" t="s">
        <v>87</v>
      </c>
      <c r="F698" s="75">
        <v>29</v>
      </c>
      <c r="G698" s="75">
        <v>251445</v>
      </c>
      <c r="H698">
        <v>3090</v>
      </c>
      <c r="I698" t="s">
        <v>114</v>
      </c>
      <c r="J698" s="75">
        <v>203645</v>
      </c>
      <c r="K698" t="s">
        <v>520</v>
      </c>
      <c r="L698" t="s">
        <v>521</v>
      </c>
      <c r="M698" s="81">
        <v>46090.433125000003</v>
      </c>
      <c r="N698" s="81">
        <v>46091.355833333328</v>
      </c>
      <c r="P698" t="s">
        <v>59</v>
      </c>
      <c r="Q698" t="s">
        <v>77</v>
      </c>
      <c r="R698" t="s">
        <v>60</v>
      </c>
      <c r="S698" t="s">
        <v>583</v>
      </c>
      <c r="U698" s="75">
        <v>206713</v>
      </c>
      <c r="V698" t="s">
        <v>3333</v>
      </c>
      <c r="W698" t="s">
        <v>3333</v>
      </c>
      <c r="X698" t="s">
        <v>118</v>
      </c>
      <c r="Y698" t="s">
        <v>119</v>
      </c>
      <c r="AA698" t="s">
        <v>81</v>
      </c>
      <c r="AB698">
        <v>22.083334000000001</v>
      </c>
      <c r="AC698">
        <v>18.466667000000001</v>
      </c>
      <c r="AD698">
        <v>3.6166670000000001</v>
      </c>
      <c r="AE698">
        <v>3.3333000000000002E-2</v>
      </c>
      <c r="AF698">
        <v>0</v>
      </c>
      <c r="AG698">
        <v>3.5833339999999998</v>
      </c>
      <c r="AH698">
        <v>3.5833339999999998</v>
      </c>
      <c r="AI698">
        <v>3.4833340000000002</v>
      </c>
      <c r="AJ698">
        <v>0.1</v>
      </c>
      <c r="AK698">
        <v>0</v>
      </c>
      <c r="AL698" s="76">
        <v>44798.7187962963</v>
      </c>
      <c r="AM698" s="75">
        <v>1291</v>
      </c>
      <c r="AN698" t="s">
        <v>65</v>
      </c>
      <c r="AO698" t="s">
        <v>1948</v>
      </c>
      <c r="AP698" t="s">
        <v>67</v>
      </c>
      <c r="AQ698" t="s">
        <v>121</v>
      </c>
      <c r="AR698" t="s">
        <v>69</v>
      </c>
      <c r="AS698" s="78"/>
      <c r="AT698" s="82" t="s">
        <v>3279</v>
      </c>
      <c r="AU698" s="78">
        <v>2026</v>
      </c>
      <c r="AV698" s="78">
        <v>3</v>
      </c>
      <c r="AW698" s="78" t="s">
        <v>122</v>
      </c>
      <c r="AX698" s="78">
        <v>1</v>
      </c>
      <c r="AY698" s="78">
        <v>0</v>
      </c>
      <c r="BT698" s="2" t="s">
        <v>122</v>
      </c>
      <c r="BU698" s="2">
        <v>1</v>
      </c>
      <c r="BV698" s="2">
        <v>0</v>
      </c>
    </row>
    <row r="699" spans="1:74" ht="15" customHeight="1" x14ac:dyDescent="0.25">
      <c r="A699" s="75">
        <v>5860139</v>
      </c>
      <c r="B699" t="s">
        <v>3334</v>
      </c>
      <c r="C699" t="s">
        <v>3335</v>
      </c>
      <c r="D699" t="s">
        <v>1388</v>
      </c>
      <c r="E699" t="s">
        <v>105</v>
      </c>
      <c r="F699" s="75">
        <v>1223</v>
      </c>
      <c r="G699" s="75">
        <v>340855</v>
      </c>
      <c r="H699">
        <v>442.11</v>
      </c>
      <c r="I699" t="s">
        <v>175</v>
      </c>
      <c r="J699" s="75">
        <v>83605</v>
      </c>
      <c r="K699" t="s">
        <v>844</v>
      </c>
      <c r="L699" t="s">
        <v>845</v>
      </c>
      <c r="M699" s="81">
        <v>46086.681180555563</v>
      </c>
      <c r="N699" s="81">
        <v>46091.388425925928</v>
      </c>
      <c r="O699" t="s">
        <v>475</v>
      </c>
      <c r="P699" t="s">
        <v>59</v>
      </c>
      <c r="Q699" t="s">
        <v>130</v>
      </c>
      <c r="R699" t="s">
        <v>99</v>
      </c>
      <c r="S699" t="s">
        <v>1375</v>
      </c>
      <c r="U699" s="75">
        <v>205243</v>
      </c>
      <c r="V699" t="s">
        <v>3336</v>
      </c>
      <c r="W699" t="s">
        <v>3337</v>
      </c>
      <c r="X699" t="s">
        <v>62</v>
      </c>
      <c r="Y699" t="s">
        <v>63</v>
      </c>
      <c r="AA699" t="s">
        <v>416</v>
      </c>
      <c r="AB699">
        <v>112.883332</v>
      </c>
      <c r="AC699">
        <v>100.66666600000001</v>
      </c>
      <c r="AD699">
        <v>12.216666</v>
      </c>
      <c r="AE699">
        <v>6.6667000000000004E-2</v>
      </c>
      <c r="AF699">
        <v>0</v>
      </c>
      <c r="AG699">
        <v>12.149998999999999</v>
      </c>
      <c r="AH699">
        <v>12.149998999999999</v>
      </c>
      <c r="AI699">
        <v>11.349999</v>
      </c>
      <c r="AJ699">
        <v>0.8</v>
      </c>
      <c r="AK699">
        <v>0</v>
      </c>
      <c r="AL699" s="76">
        <v>45900</v>
      </c>
      <c r="AM699" s="75">
        <v>186</v>
      </c>
      <c r="AN699" t="s">
        <v>65</v>
      </c>
      <c r="AO699" t="s">
        <v>3338</v>
      </c>
      <c r="AP699" t="s">
        <v>67</v>
      </c>
      <c r="AQ699" t="s">
        <v>68</v>
      </c>
      <c r="AR699" t="s">
        <v>69</v>
      </c>
      <c r="AS699" s="79"/>
      <c r="AT699" s="82" t="s">
        <v>3279</v>
      </c>
      <c r="AU699" s="78">
        <v>2026</v>
      </c>
      <c r="AV699" s="78">
        <v>3</v>
      </c>
      <c r="AW699" s="78" t="s">
        <v>71</v>
      </c>
      <c r="AX699" s="78">
        <v>0</v>
      </c>
      <c r="AY699" s="78">
        <v>0</v>
      </c>
      <c r="BT699" s="3" t="s">
        <v>71</v>
      </c>
      <c r="BU699" s="3">
        <v>0</v>
      </c>
      <c r="BV699" s="3">
        <v>0</v>
      </c>
    </row>
    <row r="700" spans="1:74" ht="15" customHeight="1" x14ac:dyDescent="0.25">
      <c r="A700" s="75">
        <v>5863087</v>
      </c>
      <c r="B700" t="s">
        <v>3339</v>
      </c>
      <c r="C700" t="s">
        <v>698</v>
      </c>
      <c r="D700" t="s">
        <v>527</v>
      </c>
      <c r="E700" t="s">
        <v>54</v>
      </c>
      <c r="F700" s="75">
        <v>1</v>
      </c>
      <c r="G700" s="75">
        <v>268195</v>
      </c>
      <c r="H700">
        <v>255</v>
      </c>
      <c r="I700" t="s">
        <v>242</v>
      </c>
      <c r="J700" s="75">
        <v>215197</v>
      </c>
      <c r="K700" t="s">
        <v>3340</v>
      </c>
      <c r="L700" t="s">
        <v>3341</v>
      </c>
      <c r="M700" s="81">
        <v>46090.326747685183</v>
      </c>
      <c r="N700" s="81">
        <v>46091.399143518523</v>
      </c>
      <c r="O700" t="s">
        <v>58</v>
      </c>
      <c r="P700" t="s">
        <v>59</v>
      </c>
      <c r="Q700" t="s">
        <v>90</v>
      </c>
      <c r="R700" t="s">
        <v>60</v>
      </c>
      <c r="S700" t="s">
        <v>583</v>
      </c>
      <c r="U700" s="75">
        <v>206393</v>
      </c>
      <c r="V700" t="s">
        <v>3342</v>
      </c>
      <c r="W700" t="s">
        <v>3342</v>
      </c>
      <c r="X700" t="s">
        <v>62</v>
      </c>
      <c r="Y700" t="s">
        <v>448</v>
      </c>
      <c r="AA700" t="s">
        <v>295</v>
      </c>
      <c r="AB700">
        <v>25.683333999999999</v>
      </c>
      <c r="AC700">
        <v>0.45</v>
      </c>
      <c r="AD700">
        <v>25.233333999999999</v>
      </c>
      <c r="AE700">
        <v>0.3</v>
      </c>
      <c r="AF700">
        <v>0</v>
      </c>
      <c r="AG700">
        <v>24.933333999999999</v>
      </c>
      <c r="AH700">
        <v>24.933333999999999</v>
      </c>
      <c r="AI700">
        <v>24.916667</v>
      </c>
      <c r="AJ700">
        <v>1.6667000000000001E-2</v>
      </c>
      <c r="AK700">
        <v>0</v>
      </c>
      <c r="AL700" s="76">
        <v>44375</v>
      </c>
      <c r="AM700" s="75">
        <v>1715</v>
      </c>
      <c r="AN700" t="s">
        <v>65</v>
      </c>
      <c r="AO700" t="s">
        <v>3343</v>
      </c>
      <c r="AP700" t="s">
        <v>67</v>
      </c>
      <c r="AQ700" t="s">
        <v>68</v>
      </c>
      <c r="AR700" t="s">
        <v>69</v>
      </c>
      <c r="AS700" s="78"/>
      <c r="AT700" s="82" t="s">
        <v>3279</v>
      </c>
      <c r="AU700" s="78">
        <v>2026</v>
      </c>
      <c r="AV700" s="78">
        <v>3</v>
      </c>
      <c r="AW700" s="78" t="s">
        <v>137</v>
      </c>
      <c r="AX700" s="78">
        <v>0</v>
      </c>
      <c r="AY700" s="78">
        <v>1</v>
      </c>
      <c r="BT700" s="2" t="s">
        <v>137</v>
      </c>
      <c r="BU700" s="2">
        <v>0</v>
      </c>
      <c r="BV700" s="2">
        <v>1</v>
      </c>
    </row>
    <row r="701" spans="1:74" ht="15" customHeight="1" x14ac:dyDescent="0.25">
      <c r="A701" s="75">
        <v>5863869</v>
      </c>
      <c r="B701" t="s">
        <v>3344</v>
      </c>
      <c r="C701" t="s">
        <v>3345</v>
      </c>
      <c r="D701" t="s">
        <v>3346</v>
      </c>
      <c r="E701" t="s">
        <v>54</v>
      </c>
      <c r="F701" s="75">
        <v>1</v>
      </c>
      <c r="G701" s="75">
        <v>351693</v>
      </c>
      <c r="H701">
        <v>1849.9</v>
      </c>
      <c r="I701" t="s">
        <v>141</v>
      </c>
      <c r="J701" s="75">
        <v>229925</v>
      </c>
      <c r="K701" t="s">
        <v>3347</v>
      </c>
      <c r="L701" t="s">
        <v>3348</v>
      </c>
      <c r="M701" s="81">
        <v>46090.513078703712</v>
      </c>
      <c r="N701" s="81">
        <v>46091.458738425928</v>
      </c>
      <c r="O701" t="s">
        <v>58</v>
      </c>
      <c r="P701" t="s">
        <v>59</v>
      </c>
      <c r="Q701" t="s">
        <v>130</v>
      </c>
      <c r="R701" t="s">
        <v>156</v>
      </c>
      <c r="S701" t="s">
        <v>1712</v>
      </c>
      <c r="U701" s="75">
        <v>206819</v>
      </c>
      <c r="V701" t="s">
        <v>3349</v>
      </c>
      <c r="W701" t="s">
        <v>3349</v>
      </c>
      <c r="X701" t="s">
        <v>62</v>
      </c>
      <c r="Y701" t="s">
        <v>63</v>
      </c>
      <c r="AA701" t="s">
        <v>64</v>
      </c>
      <c r="AB701">
        <v>22.633334000000001</v>
      </c>
      <c r="AC701">
        <v>17.416667</v>
      </c>
      <c r="AD701">
        <v>5.2166670000000002</v>
      </c>
      <c r="AE701">
        <v>0.15</v>
      </c>
      <c r="AF701">
        <v>0</v>
      </c>
      <c r="AG701">
        <v>5.0666669999999998</v>
      </c>
      <c r="AH701">
        <v>5.0666669999999998</v>
      </c>
      <c r="AI701">
        <v>5</v>
      </c>
      <c r="AJ701">
        <v>6.6667000000000004E-2</v>
      </c>
      <c r="AK701">
        <v>0</v>
      </c>
      <c r="AL701" s="76">
        <v>46085.742523148147</v>
      </c>
      <c r="AM701" s="75">
        <v>4</v>
      </c>
      <c r="AN701" t="s">
        <v>1220</v>
      </c>
      <c r="AO701" t="s">
        <v>3350</v>
      </c>
      <c r="AP701" t="s">
        <v>67</v>
      </c>
      <c r="AQ701" t="s">
        <v>68</v>
      </c>
      <c r="AR701" t="s">
        <v>69</v>
      </c>
      <c r="AS701" s="79"/>
      <c r="AT701" s="82" t="s">
        <v>3279</v>
      </c>
      <c r="AU701" s="78">
        <v>2026</v>
      </c>
      <c r="AV701" s="78">
        <v>3</v>
      </c>
      <c r="AW701" s="78" t="s">
        <v>71</v>
      </c>
      <c r="AX701" s="78">
        <v>1</v>
      </c>
      <c r="AY701" s="78">
        <v>0</v>
      </c>
      <c r="BT701" s="3" t="s">
        <v>71</v>
      </c>
      <c r="BU701" s="3">
        <v>1</v>
      </c>
      <c r="BV701" s="3">
        <v>0</v>
      </c>
    </row>
    <row r="702" spans="1:74" ht="15" customHeight="1" x14ac:dyDescent="0.25">
      <c r="A702" s="75">
        <v>5863719</v>
      </c>
      <c r="B702" t="s">
        <v>3351</v>
      </c>
      <c r="C702" t="s">
        <v>3352</v>
      </c>
      <c r="D702" t="s">
        <v>1555</v>
      </c>
      <c r="E702" t="s">
        <v>54</v>
      </c>
      <c r="F702" s="75">
        <v>24</v>
      </c>
      <c r="G702" s="75">
        <v>333087</v>
      </c>
      <c r="H702">
        <v>250</v>
      </c>
      <c r="I702" t="s">
        <v>141</v>
      </c>
      <c r="J702" s="75">
        <v>88921</v>
      </c>
      <c r="K702" t="s">
        <v>1177</v>
      </c>
      <c r="L702" t="s">
        <v>1178</v>
      </c>
      <c r="M702" s="81">
        <v>46090.467627314807</v>
      </c>
      <c r="N702" s="81">
        <v>46091.475752314807</v>
      </c>
      <c r="O702" t="s">
        <v>58</v>
      </c>
      <c r="P702" t="s">
        <v>59</v>
      </c>
      <c r="Q702" t="s">
        <v>130</v>
      </c>
      <c r="R702" t="s">
        <v>99</v>
      </c>
      <c r="S702" t="s">
        <v>1244</v>
      </c>
      <c r="U702" s="75">
        <v>206793</v>
      </c>
      <c r="V702" t="s">
        <v>3353</v>
      </c>
      <c r="X702" t="s">
        <v>118</v>
      </c>
      <c r="Y702" t="s">
        <v>119</v>
      </c>
      <c r="AA702" t="s">
        <v>81</v>
      </c>
      <c r="AB702">
        <v>24.15</v>
      </c>
      <c r="AC702">
        <v>22.133333</v>
      </c>
      <c r="AD702">
        <v>2.016667</v>
      </c>
      <c r="AE702">
        <v>0.15</v>
      </c>
      <c r="AF702">
        <v>0</v>
      </c>
      <c r="AG702">
        <v>1.8666670000000001</v>
      </c>
      <c r="AH702">
        <v>1.8666670000000001</v>
      </c>
      <c r="AI702">
        <v>1.75</v>
      </c>
      <c r="AJ702">
        <v>0.11666700000000001</v>
      </c>
      <c r="AK702">
        <v>0</v>
      </c>
      <c r="AL702" s="76">
        <v>45784.574988425928</v>
      </c>
      <c r="AM702" s="75">
        <v>305</v>
      </c>
      <c r="AN702" t="s">
        <v>65</v>
      </c>
      <c r="AO702" t="s">
        <v>3354</v>
      </c>
      <c r="AP702" t="s">
        <v>67</v>
      </c>
      <c r="AQ702" t="s">
        <v>121</v>
      </c>
      <c r="AR702" t="s">
        <v>69</v>
      </c>
      <c r="AS702" s="78"/>
      <c r="AT702" s="82" t="s">
        <v>3279</v>
      </c>
      <c r="AU702" s="78">
        <v>2026</v>
      </c>
      <c r="AV702" s="78">
        <v>3</v>
      </c>
      <c r="AW702" s="78" t="s">
        <v>122</v>
      </c>
      <c r="AX702" s="78">
        <v>1</v>
      </c>
      <c r="AY702" s="78">
        <v>0</v>
      </c>
      <c r="BT702" s="2" t="s">
        <v>122</v>
      </c>
      <c r="BU702" s="2">
        <v>1</v>
      </c>
      <c r="BV702" s="2">
        <v>0</v>
      </c>
    </row>
    <row r="703" spans="1:74" ht="15" customHeight="1" x14ac:dyDescent="0.25">
      <c r="A703" s="75">
        <v>5862807</v>
      </c>
      <c r="B703" t="s">
        <v>3355</v>
      </c>
      <c r="C703" t="s">
        <v>3356</v>
      </c>
      <c r="D703" t="s">
        <v>1555</v>
      </c>
      <c r="E703" t="s">
        <v>105</v>
      </c>
      <c r="F703" s="75">
        <v>220</v>
      </c>
      <c r="G703" s="75">
        <v>321075</v>
      </c>
      <c r="H703">
        <v>489.73</v>
      </c>
      <c r="I703" t="s">
        <v>55</v>
      </c>
      <c r="J703" s="75">
        <v>71001</v>
      </c>
      <c r="K703" t="s">
        <v>1193</v>
      </c>
      <c r="L703" t="s">
        <v>1194</v>
      </c>
      <c r="M703" s="81">
        <v>46089.639247685183</v>
      </c>
      <c r="N703" s="81">
        <v>46091.522847222222</v>
      </c>
      <c r="O703" t="s">
        <v>58</v>
      </c>
      <c r="P703" t="s">
        <v>59</v>
      </c>
      <c r="Q703" t="s">
        <v>90</v>
      </c>
      <c r="R703" t="s">
        <v>60</v>
      </c>
      <c r="S703" t="s">
        <v>583</v>
      </c>
      <c r="U703" s="75">
        <v>206253</v>
      </c>
      <c r="V703" t="s">
        <v>3357</v>
      </c>
      <c r="W703" t="s">
        <v>3357</v>
      </c>
      <c r="X703" t="s">
        <v>118</v>
      </c>
      <c r="Y703" t="s">
        <v>119</v>
      </c>
      <c r="AA703" t="s">
        <v>64</v>
      </c>
      <c r="AB703">
        <v>45.133335000000002</v>
      </c>
      <c r="AC703">
        <v>38.016666999999998</v>
      </c>
      <c r="AD703">
        <v>7.1166679999999998</v>
      </c>
      <c r="AE703">
        <v>0.35</v>
      </c>
      <c r="AF703">
        <v>0</v>
      </c>
      <c r="AG703">
        <v>6.7666680000000001</v>
      </c>
      <c r="AH703">
        <v>6.7666680000000001</v>
      </c>
      <c r="AI703">
        <v>5.3833339999999996</v>
      </c>
      <c r="AJ703">
        <v>1.3833340000000001</v>
      </c>
      <c r="AK703">
        <v>0</v>
      </c>
      <c r="AL703" s="76">
        <v>45593</v>
      </c>
      <c r="AM703" s="75">
        <v>496</v>
      </c>
      <c r="AN703" t="s">
        <v>65</v>
      </c>
      <c r="AO703" t="s">
        <v>3358</v>
      </c>
      <c r="AP703" t="s">
        <v>67</v>
      </c>
      <c r="AQ703" t="s">
        <v>121</v>
      </c>
      <c r="AR703" t="s">
        <v>69</v>
      </c>
      <c r="AS703" s="79"/>
      <c r="AT703" s="82" t="s">
        <v>3279</v>
      </c>
      <c r="AU703" s="78">
        <v>2026</v>
      </c>
      <c r="AV703" s="78">
        <v>3</v>
      </c>
      <c r="AW703" s="78" t="s">
        <v>122</v>
      </c>
      <c r="AX703" s="78">
        <v>1</v>
      </c>
      <c r="AY703" s="78">
        <v>0</v>
      </c>
      <c r="BT703" s="3" t="s">
        <v>122</v>
      </c>
      <c r="BU703" s="3">
        <v>1</v>
      </c>
      <c r="BV703" s="3">
        <v>0</v>
      </c>
    </row>
    <row r="704" spans="1:74" ht="15" customHeight="1" x14ac:dyDescent="0.25">
      <c r="A704" s="75">
        <v>5864059</v>
      </c>
      <c r="B704" t="s">
        <v>3359</v>
      </c>
      <c r="C704" t="s">
        <v>3056</v>
      </c>
      <c r="D704" t="s">
        <v>527</v>
      </c>
      <c r="E704" t="s">
        <v>87</v>
      </c>
      <c r="F704" s="75">
        <v>501</v>
      </c>
      <c r="G704" s="75">
        <v>291225</v>
      </c>
      <c r="H704">
        <v>364.95</v>
      </c>
      <c r="I704" t="s">
        <v>55</v>
      </c>
      <c r="J704" s="75">
        <v>218787</v>
      </c>
      <c r="K704" t="s">
        <v>96</v>
      </c>
      <c r="L704" t="s">
        <v>97</v>
      </c>
      <c r="M704" s="81">
        <v>46090.59778935185</v>
      </c>
      <c r="N704" s="81">
        <v>46091.565324074072</v>
      </c>
      <c r="O704" t="s">
        <v>58</v>
      </c>
      <c r="P704" t="s">
        <v>59</v>
      </c>
      <c r="Q704" t="s">
        <v>90</v>
      </c>
      <c r="R704" t="s">
        <v>131</v>
      </c>
      <c r="S704" t="s">
        <v>1273</v>
      </c>
      <c r="U704" s="75">
        <v>207205</v>
      </c>
      <c r="V704" t="s">
        <v>3360</v>
      </c>
      <c r="W704" t="s">
        <v>3361</v>
      </c>
      <c r="X704" t="s">
        <v>62</v>
      </c>
      <c r="Y704" t="s">
        <v>63</v>
      </c>
      <c r="AA704" t="s">
        <v>64</v>
      </c>
      <c r="AB704">
        <v>23.15</v>
      </c>
      <c r="AC704">
        <v>15.683332999999999</v>
      </c>
      <c r="AD704">
        <v>7.4666670000000002</v>
      </c>
      <c r="AE704">
        <v>0.25</v>
      </c>
      <c r="AF704">
        <v>0</v>
      </c>
      <c r="AG704">
        <v>7.2166670000000002</v>
      </c>
      <c r="AH704">
        <v>7.2166670000000002</v>
      </c>
      <c r="AI704">
        <v>6.55</v>
      </c>
      <c r="AJ704">
        <v>0.66666700000000001</v>
      </c>
      <c r="AK704">
        <v>0</v>
      </c>
      <c r="AL704" s="76">
        <v>45118</v>
      </c>
      <c r="AM704" s="75">
        <v>972</v>
      </c>
      <c r="AN704" t="s">
        <v>65</v>
      </c>
      <c r="AO704" t="s">
        <v>3058</v>
      </c>
      <c r="AP704" t="s">
        <v>67</v>
      </c>
      <c r="AQ704" t="s">
        <v>68</v>
      </c>
      <c r="AR704" t="s">
        <v>69</v>
      </c>
      <c r="AS704" s="78"/>
      <c r="AT704" s="82" t="s">
        <v>3279</v>
      </c>
      <c r="AU704" s="78">
        <v>2026</v>
      </c>
      <c r="AV704" s="78">
        <v>3</v>
      </c>
      <c r="AW704" s="78" t="s">
        <v>71</v>
      </c>
      <c r="AX704" s="78">
        <v>1</v>
      </c>
      <c r="AY704" s="78">
        <v>0</v>
      </c>
      <c r="BT704" s="2" t="s">
        <v>71</v>
      </c>
      <c r="BU704" s="2">
        <v>1</v>
      </c>
      <c r="BV704" s="2">
        <v>0</v>
      </c>
    </row>
    <row r="705" spans="1:74" ht="15" customHeight="1" x14ac:dyDescent="0.25">
      <c r="A705" s="75">
        <v>5862171</v>
      </c>
      <c r="B705" t="s">
        <v>3362</v>
      </c>
      <c r="C705" t="s">
        <v>3363</v>
      </c>
      <c r="D705" t="s">
        <v>1555</v>
      </c>
      <c r="E705" t="s">
        <v>54</v>
      </c>
      <c r="F705" s="75">
        <v>12</v>
      </c>
      <c r="G705" s="75">
        <v>350357</v>
      </c>
      <c r="H705">
        <v>400</v>
      </c>
      <c r="I705" t="s">
        <v>141</v>
      </c>
      <c r="J705" s="75">
        <v>204321</v>
      </c>
      <c r="K705" t="s">
        <v>376</v>
      </c>
      <c r="L705" t="s">
        <v>377</v>
      </c>
      <c r="M705" s="81">
        <v>46088.49590277778</v>
      </c>
      <c r="N705" s="81">
        <v>46091.57271990741</v>
      </c>
      <c r="O705" t="s">
        <v>58</v>
      </c>
      <c r="P705" t="s">
        <v>59</v>
      </c>
      <c r="Q705" t="s">
        <v>130</v>
      </c>
      <c r="R705" t="s">
        <v>60</v>
      </c>
      <c r="S705" t="s">
        <v>583</v>
      </c>
      <c r="U705" s="75">
        <v>206081</v>
      </c>
      <c r="V705" t="s">
        <v>3364</v>
      </c>
      <c r="W705" t="s">
        <v>3364</v>
      </c>
      <c r="X705" t="s">
        <v>62</v>
      </c>
      <c r="Y705" t="s">
        <v>63</v>
      </c>
      <c r="AA705" t="s">
        <v>81</v>
      </c>
      <c r="AB705">
        <v>73.766668999999993</v>
      </c>
      <c r="AC705">
        <v>62.15</v>
      </c>
      <c r="AD705">
        <v>11.616669</v>
      </c>
      <c r="AE705">
        <v>8.1166680000000007</v>
      </c>
      <c r="AF705">
        <v>0</v>
      </c>
      <c r="AG705">
        <v>3.5000010000000001</v>
      </c>
      <c r="AH705">
        <v>3.5000010000000001</v>
      </c>
      <c r="AI705">
        <v>2.6</v>
      </c>
      <c r="AJ705">
        <v>0.90000100000000005</v>
      </c>
      <c r="AK705">
        <v>0</v>
      </c>
      <c r="AL705" s="76">
        <v>46031.452673611107</v>
      </c>
      <c r="AM705" s="75">
        <v>57</v>
      </c>
      <c r="AN705" t="s">
        <v>65</v>
      </c>
      <c r="AO705" t="s">
        <v>3365</v>
      </c>
      <c r="AP705" t="s">
        <v>67</v>
      </c>
      <c r="AQ705" t="s">
        <v>68</v>
      </c>
      <c r="AR705" t="s">
        <v>69</v>
      </c>
      <c r="AS705" s="79"/>
      <c r="AT705" s="82" t="s">
        <v>3279</v>
      </c>
      <c r="AU705" s="78">
        <v>2026</v>
      </c>
      <c r="AV705" s="78">
        <v>3</v>
      </c>
      <c r="AW705" s="78" t="s">
        <v>71</v>
      </c>
      <c r="AX705" s="78">
        <v>1</v>
      </c>
      <c r="AY705" s="78">
        <v>0</v>
      </c>
      <c r="BT705" s="3" t="s">
        <v>71</v>
      </c>
      <c r="BU705" s="3">
        <v>1</v>
      </c>
      <c r="BV705" s="3">
        <v>0</v>
      </c>
    </row>
    <row r="706" spans="1:74" ht="15" customHeight="1" x14ac:dyDescent="0.25">
      <c r="A706" s="75">
        <v>5862151</v>
      </c>
      <c r="B706" t="s">
        <v>3366</v>
      </c>
      <c r="C706" t="s">
        <v>3367</v>
      </c>
      <c r="D706" t="s">
        <v>1555</v>
      </c>
      <c r="E706" t="s">
        <v>87</v>
      </c>
      <c r="F706" s="75">
        <v>3</v>
      </c>
      <c r="G706" s="75">
        <v>275193</v>
      </c>
      <c r="H706">
        <v>740.61</v>
      </c>
      <c r="I706" t="s">
        <v>55</v>
      </c>
      <c r="J706" s="75">
        <v>216233</v>
      </c>
      <c r="K706" t="s">
        <v>88</v>
      </c>
      <c r="L706" t="s">
        <v>89</v>
      </c>
      <c r="M706" s="81">
        <v>46088.451782407406</v>
      </c>
      <c r="N706" s="81">
        <v>46091.576574074083</v>
      </c>
      <c r="O706" t="s">
        <v>58</v>
      </c>
      <c r="P706" t="s">
        <v>59</v>
      </c>
      <c r="Q706" t="s">
        <v>98</v>
      </c>
      <c r="R706" t="s">
        <v>60</v>
      </c>
      <c r="S706" t="s">
        <v>583</v>
      </c>
      <c r="U706" s="75">
        <v>206617</v>
      </c>
      <c r="V706" t="s">
        <v>3368</v>
      </c>
      <c r="W706" t="s">
        <v>3368</v>
      </c>
      <c r="X706" t="s">
        <v>62</v>
      </c>
      <c r="Y706" t="s">
        <v>63</v>
      </c>
      <c r="Z706" t="s">
        <v>3369</v>
      </c>
      <c r="AA706" t="s">
        <v>81</v>
      </c>
      <c r="AB706">
        <v>74.900001000000003</v>
      </c>
      <c r="AC706">
        <v>50.483333999999999</v>
      </c>
      <c r="AD706">
        <v>24.416667</v>
      </c>
      <c r="AE706">
        <v>22.616667</v>
      </c>
      <c r="AF706">
        <v>22.4</v>
      </c>
      <c r="AG706">
        <v>1.8</v>
      </c>
      <c r="AH706">
        <v>24.2</v>
      </c>
      <c r="AI706">
        <v>1.5333330000000001</v>
      </c>
      <c r="AJ706">
        <v>0.26666699999999999</v>
      </c>
      <c r="AK706">
        <v>0</v>
      </c>
      <c r="AL706" s="76">
        <v>44838</v>
      </c>
      <c r="AM706" s="75">
        <v>1250</v>
      </c>
      <c r="AN706" t="s">
        <v>65</v>
      </c>
      <c r="AO706" t="s">
        <v>3370</v>
      </c>
      <c r="AP706" t="s">
        <v>67</v>
      </c>
      <c r="AQ706" t="s">
        <v>68</v>
      </c>
      <c r="AR706" t="s">
        <v>69</v>
      </c>
      <c r="AS706" s="78"/>
      <c r="AT706" s="82" t="s">
        <v>3279</v>
      </c>
      <c r="AU706" s="78">
        <v>2026</v>
      </c>
      <c r="AV706" s="78">
        <v>3</v>
      </c>
      <c r="AW706" s="78" t="s">
        <v>71</v>
      </c>
      <c r="AX706" s="78">
        <v>1</v>
      </c>
      <c r="AY706" s="78">
        <v>0</v>
      </c>
      <c r="BT706" s="2" t="s">
        <v>71</v>
      </c>
      <c r="BU706" s="2">
        <v>1</v>
      </c>
      <c r="BV706" s="2">
        <v>0</v>
      </c>
    </row>
    <row r="707" spans="1:74" ht="15" customHeight="1" x14ac:dyDescent="0.25">
      <c r="A707" s="75">
        <v>5861949</v>
      </c>
      <c r="B707" t="s">
        <v>3371</v>
      </c>
      <c r="C707" t="s">
        <v>3372</v>
      </c>
      <c r="D707" t="s">
        <v>1555</v>
      </c>
      <c r="E707" t="s">
        <v>126</v>
      </c>
      <c r="F707" s="75">
        <v>31</v>
      </c>
      <c r="G707" s="75">
        <v>329599</v>
      </c>
      <c r="H707">
        <v>0.01</v>
      </c>
      <c r="I707" t="s">
        <v>175</v>
      </c>
      <c r="J707" s="75">
        <v>19489</v>
      </c>
      <c r="K707" t="s">
        <v>935</v>
      </c>
      <c r="L707" t="s">
        <v>936</v>
      </c>
      <c r="M707" s="81">
        <v>46088.014270833337</v>
      </c>
      <c r="N707" s="81">
        <v>46091.578159722223</v>
      </c>
      <c r="O707" t="s">
        <v>58</v>
      </c>
      <c r="P707" t="s">
        <v>59</v>
      </c>
      <c r="Q707" t="s">
        <v>90</v>
      </c>
      <c r="R707" t="s">
        <v>60</v>
      </c>
      <c r="S707" t="s">
        <v>583</v>
      </c>
      <c r="T707" t="s">
        <v>937</v>
      </c>
      <c r="U707" s="75">
        <v>205913</v>
      </c>
      <c r="V707" t="s">
        <v>3373</v>
      </c>
      <c r="W707" t="s">
        <v>3373</v>
      </c>
      <c r="X707" t="s">
        <v>62</v>
      </c>
      <c r="Y707" t="s">
        <v>63</v>
      </c>
      <c r="AA707" t="s">
        <v>64</v>
      </c>
      <c r="AB707">
        <v>85.399998999999994</v>
      </c>
      <c r="AC707">
        <v>78.333332999999996</v>
      </c>
      <c r="AD707">
        <v>7.0666659999999997</v>
      </c>
      <c r="AE707">
        <v>0.55000000000000004</v>
      </c>
      <c r="AF707">
        <v>0</v>
      </c>
      <c r="AG707">
        <v>6.5166659999999998</v>
      </c>
      <c r="AH707">
        <v>6.5166659999999998</v>
      </c>
      <c r="AI707">
        <v>4.8833330000000004</v>
      </c>
      <c r="AJ707">
        <v>1.6333329999999999</v>
      </c>
      <c r="AK707">
        <v>0</v>
      </c>
      <c r="AL707" s="76">
        <v>45901</v>
      </c>
      <c r="AM707" s="75">
        <v>187</v>
      </c>
      <c r="AN707" t="s">
        <v>65</v>
      </c>
      <c r="AO707" t="s">
        <v>940</v>
      </c>
      <c r="AP707" t="s">
        <v>67</v>
      </c>
      <c r="AQ707" t="s">
        <v>68</v>
      </c>
      <c r="AR707" t="s">
        <v>69</v>
      </c>
      <c r="AS707" s="79"/>
      <c r="AT707" s="82" t="s">
        <v>3279</v>
      </c>
      <c r="AU707" s="78">
        <v>2026</v>
      </c>
      <c r="AV707" s="78">
        <v>3</v>
      </c>
      <c r="AW707" s="78" t="s">
        <v>71</v>
      </c>
      <c r="AX707" s="78">
        <v>1</v>
      </c>
      <c r="AY707" s="78">
        <v>0</v>
      </c>
      <c r="BT707" s="3" t="s">
        <v>71</v>
      </c>
      <c r="BU707" s="3">
        <v>1</v>
      </c>
      <c r="BV707" s="3">
        <v>0</v>
      </c>
    </row>
    <row r="708" spans="1:74" ht="15" customHeight="1" x14ac:dyDescent="0.25">
      <c r="A708" s="75">
        <v>5860987</v>
      </c>
      <c r="B708" t="s">
        <v>3374</v>
      </c>
      <c r="C708" t="s">
        <v>1424</v>
      </c>
      <c r="D708" t="s">
        <v>1555</v>
      </c>
      <c r="E708" t="s">
        <v>87</v>
      </c>
      <c r="F708" s="75">
        <v>19</v>
      </c>
      <c r="G708" s="75">
        <v>251423</v>
      </c>
      <c r="H708">
        <v>510</v>
      </c>
      <c r="I708" t="s">
        <v>114</v>
      </c>
      <c r="J708" s="75">
        <v>203645</v>
      </c>
      <c r="K708" t="s">
        <v>520</v>
      </c>
      <c r="L708" t="s">
        <v>521</v>
      </c>
      <c r="M708" s="81">
        <v>46087.428819444453</v>
      </c>
      <c r="N708" s="81">
        <v>46091.592847222222</v>
      </c>
      <c r="O708" t="s">
        <v>58</v>
      </c>
      <c r="P708" t="s">
        <v>59</v>
      </c>
      <c r="Q708" t="s">
        <v>77</v>
      </c>
      <c r="R708" t="s">
        <v>60</v>
      </c>
      <c r="S708" t="s">
        <v>583</v>
      </c>
      <c r="U708" s="75">
        <v>205495</v>
      </c>
      <c r="V708" t="s">
        <v>3375</v>
      </c>
      <c r="X708" t="s">
        <v>118</v>
      </c>
      <c r="Y708" t="s">
        <v>119</v>
      </c>
      <c r="AA708" t="s">
        <v>81</v>
      </c>
      <c r="AB708">
        <v>99.883332999999993</v>
      </c>
      <c r="AC708">
        <v>96.683333000000005</v>
      </c>
      <c r="AD708">
        <v>3.2</v>
      </c>
      <c r="AE708">
        <v>0.1</v>
      </c>
      <c r="AF708">
        <v>0</v>
      </c>
      <c r="AG708">
        <v>3.1</v>
      </c>
      <c r="AH708">
        <v>3.1</v>
      </c>
      <c r="AI708">
        <v>2.983333</v>
      </c>
      <c r="AJ708">
        <v>0.11666700000000001</v>
      </c>
      <c r="AK708">
        <v>0</v>
      </c>
      <c r="AL708" s="76">
        <v>44973.7580787037</v>
      </c>
      <c r="AM708" s="75">
        <v>1113</v>
      </c>
      <c r="AN708" t="s">
        <v>65</v>
      </c>
      <c r="AO708" t="s">
        <v>2143</v>
      </c>
      <c r="AP708" t="s">
        <v>67</v>
      </c>
      <c r="AQ708" t="s">
        <v>121</v>
      </c>
      <c r="AR708" t="s">
        <v>69</v>
      </c>
      <c r="AS708" s="78"/>
      <c r="AT708" s="82" t="s">
        <v>3279</v>
      </c>
      <c r="AU708" s="78">
        <v>2026</v>
      </c>
      <c r="AV708" s="78">
        <v>3</v>
      </c>
      <c r="AW708" s="78" t="s">
        <v>122</v>
      </c>
      <c r="AX708" s="78">
        <v>1</v>
      </c>
      <c r="AY708" s="78">
        <v>0</v>
      </c>
      <c r="BT708" s="2" t="s">
        <v>122</v>
      </c>
      <c r="BU708" s="2">
        <v>1</v>
      </c>
      <c r="BV708" s="2">
        <v>0</v>
      </c>
    </row>
    <row r="709" spans="1:74" ht="15" customHeight="1" x14ac:dyDescent="0.25">
      <c r="A709" s="75">
        <v>5860471</v>
      </c>
      <c r="B709" t="s">
        <v>3376</v>
      </c>
      <c r="C709" t="s">
        <v>3377</v>
      </c>
      <c r="D709" t="s">
        <v>527</v>
      </c>
      <c r="E709" t="s">
        <v>54</v>
      </c>
      <c r="F709" s="75">
        <v>1</v>
      </c>
      <c r="G709" s="75">
        <v>266019</v>
      </c>
      <c r="H709">
        <v>330</v>
      </c>
      <c r="I709" t="s">
        <v>242</v>
      </c>
      <c r="J709" s="75">
        <v>212737</v>
      </c>
      <c r="K709" t="s">
        <v>3378</v>
      </c>
      <c r="L709" t="s">
        <v>3379</v>
      </c>
      <c r="M709" s="81">
        <v>46086.82</v>
      </c>
      <c r="N709" s="81">
        <v>46091.60738425926</v>
      </c>
      <c r="O709" t="s">
        <v>58</v>
      </c>
      <c r="P709" t="s">
        <v>59</v>
      </c>
      <c r="Q709" t="s">
        <v>90</v>
      </c>
      <c r="R709" t="s">
        <v>131</v>
      </c>
      <c r="S709" t="s">
        <v>1316</v>
      </c>
      <c r="T709" t="s">
        <v>970</v>
      </c>
      <c r="U709" s="75">
        <v>207191</v>
      </c>
      <c r="V709" t="s">
        <v>3380</v>
      </c>
      <c r="W709" t="s">
        <v>3380</v>
      </c>
      <c r="X709" t="s">
        <v>79</v>
      </c>
      <c r="Y709" t="s">
        <v>224</v>
      </c>
      <c r="AA709" t="s">
        <v>64</v>
      </c>
      <c r="AB709">
        <v>114.816667</v>
      </c>
      <c r="AC709">
        <v>110.15</v>
      </c>
      <c r="AD709">
        <v>4.6666670000000003</v>
      </c>
      <c r="AE709">
        <v>0.38333299999999998</v>
      </c>
      <c r="AF709">
        <v>0</v>
      </c>
      <c r="AG709">
        <v>4.283334</v>
      </c>
      <c r="AH709">
        <v>4.283334</v>
      </c>
      <c r="AI709">
        <v>4.05</v>
      </c>
      <c r="AJ709">
        <v>0.23333400000000001</v>
      </c>
      <c r="AK709">
        <v>0</v>
      </c>
      <c r="AL709" s="76">
        <v>36526</v>
      </c>
      <c r="AM709" s="75">
        <v>9560</v>
      </c>
      <c r="AN709" t="s">
        <v>65</v>
      </c>
      <c r="AO709" t="s">
        <v>3381</v>
      </c>
      <c r="AP709" t="s">
        <v>67</v>
      </c>
      <c r="AQ709" t="s">
        <v>83</v>
      </c>
      <c r="AR709" t="s">
        <v>69</v>
      </c>
      <c r="AS709" s="79"/>
      <c r="AT709" s="82" t="s">
        <v>3279</v>
      </c>
      <c r="AU709" s="78">
        <v>2026</v>
      </c>
      <c r="AV709" s="78">
        <v>3</v>
      </c>
      <c r="AW709" s="78" t="s">
        <v>226</v>
      </c>
      <c r="AX709" s="78">
        <v>1</v>
      </c>
      <c r="AY709" s="78">
        <v>0</v>
      </c>
      <c r="BT709" s="3" t="s">
        <v>226</v>
      </c>
      <c r="BU709" s="3">
        <v>1</v>
      </c>
      <c r="BV709" s="3">
        <v>0</v>
      </c>
    </row>
    <row r="710" spans="1:74" ht="15" customHeight="1" x14ac:dyDescent="0.25">
      <c r="A710" s="75">
        <v>5864029</v>
      </c>
      <c r="B710" t="s">
        <v>3382</v>
      </c>
      <c r="C710" t="s">
        <v>3383</v>
      </c>
      <c r="D710" t="s">
        <v>53</v>
      </c>
      <c r="E710" t="s">
        <v>105</v>
      </c>
      <c r="F710" s="75">
        <v>617</v>
      </c>
      <c r="G710" s="75">
        <v>342883</v>
      </c>
      <c r="H710">
        <v>225</v>
      </c>
      <c r="I710" t="s">
        <v>163</v>
      </c>
      <c r="J710" s="75">
        <v>48887</v>
      </c>
      <c r="K710" t="s">
        <v>164</v>
      </c>
      <c r="L710" t="s">
        <v>165</v>
      </c>
      <c r="M710" s="81">
        <v>46090.583993055552</v>
      </c>
      <c r="N710" s="81">
        <v>46091.663865740738</v>
      </c>
      <c r="O710" t="s">
        <v>58</v>
      </c>
      <c r="P710" t="s">
        <v>59</v>
      </c>
      <c r="Q710" t="s">
        <v>130</v>
      </c>
      <c r="R710" t="s">
        <v>156</v>
      </c>
      <c r="S710" t="s">
        <v>2227</v>
      </c>
      <c r="U710" s="75">
        <v>207087</v>
      </c>
      <c r="V710" t="s">
        <v>3384</v>
      </c>
      <c r="X710" t="s">
        <v>62</v>
      </c>
      <c r="Y710" t="s">
        <v>233</v>
      </c>
      <c r="AA710" t="s">
        <v>101</v>
      </c>
      <c r="AB710">
        <v>25.833333</v>
      </c>
      <c r="AC710">
        <v>16.016666000000001</v>
      </c>
      <c r="AD710">
        <v>9.8166670000000007</v>
      </c>
      <c r="AE710">
        <v>1.2</v>
      </c>
      <c r="AF710">
        <v>0</v>
      </c>
      <c r="AG710">
        <v>8.6166669999999996</v>
      </c>
      <c r="AH710">
        <v>8.6166669999999996</v>
      </c>
      <c r="AI710">
        <v>7.6</v>
      </c>
      <c r="AJ710">
        <v>1.016667</v>
      </c>
      <c r="AK710">
        <v>0</v>
      </c>
      <c r="AL710" s="76">
        <v>45866</v>
      </c>
      <c r="AM710" s="75">
        <v>224</v>
      </c>
      <c r="AN710" t="s">
        <v>65</v>
      </c>
      <c r="AO710" t="s">
        <v>3294</v>
      </c>
      <c r="AP710" t="s">
        <v>67</v>
      </c>
      <c r="AQ710" t="s">
        <v>68</v>
      </c>
      <c r="AR710" t="s">
        <v>69</v>
      </c>
      <c r="AS710" s="78"/>
      <c r="AT710" s="82" t="s">
        <v>3279</v>
      </c>
      <c r="AU710" s="78">
        <v>2026</v>
      </c>
      <c r="AV710" s="78">
        <v>3</v>
      </c>
      <c r="AW710" s="78" t="s">
        <v>137</v>
      </c>
      <c r="AX710" s="78">
        <v>0</v>
      </c>
      <c r="AY710" s="78">
        <v>0</v>
      </c>
      <c r="BT710" s="2" t="s">
        <v>137</v>
      </c>
      <c r="BU710" s="2">
        <v>0</v>
      </c>
      <c r="BV710" s="2">
        <v>0</v>
      </c>
    </row>
    <row r="711" spans="1:74" ht="15" customHeight="1" x14ac:dyDescent="0.25">
      <c r="A711" s="75">
        <v>5860601</v>
      </c>
      <c r="B711" t="s">
        <v>3385</v>
      </c>
      <c r="C711" t="s">
        <v>3386</v>
      </c>
      <c r="D711" t="s">
        <v>1555</v>
      </c>
      <c r="E711" t="s">
        <v>54</v>
      </c>
      <c r="F711" s="75">
        <v>1</v>
      </c>
      <c r="G711" s="75">
        <v>321851</v>
      </c>
      <c r="H711">
        <v>950</v>
      </c>
      <c r="I711" t="s">
        <v>114</v>
      </c>
      <c r="J711" s="75">
        <v>223293</v>
      </c>
      <c r="K711" t="s">
        <v>3387</v>
      </c>
      <c r="L711" t="s">
        <v>3388</v>
      </c>
      <c r="M711" s="81">
        <v>46087.036030092589</v>
      </c>
      <c r="N711" s="81">
        <v>46091.764444444438</v>
      </c>
      <c r="O711" t="s">
        <v>58</v>
      </c>
      <c r="P711" t="s">
        <v>59</v>
      </c>
      <c r="Q711" t="s">
        <v>130</v>
      </c>
      <c r="R711" t="s">
        <v>60</v>
      </c>
      <c r="S711" t="s">
        <v>583</v>
      </c>
      <c r="U711" s="75">
        <v>206415</v>
      </c>
      <c r="V711" t="s">
        <v>3389</v>
      </c>
      <c r="W711" t="s">
        <v>3390</v>
      </c>
      <c r="X711" t="s">
        <v>118</v>
      </c>
      <c r="Y711" t="s">
        <v>400</v>
      </c>
      <c r="AA711" t="s">
        <v>416</v>
      </c>
      <c r="AB711">
        <v>113.383334</v>
      </c>
      <c r="AC711">
        <v>95.083333999999994</v>
      </c>
      <c r="AD711">
        <v>18.3</v>
      </c>
      <c r="AE711">
        <v>3.6166670000000001</v>
      </c>
      <c r="AF711">
        <v>0</v>
      </c>
      <c r="AG711">
        <v>14.683332999999999</v>
      </c>
      <c r="AH711">
        <v>14.683332999999999</v>
      </c>
      <c r="AI711">
        <v>14.233333</v>
      </c>
      <c r="AJ711">
        <v>0.45</v>
      </c>
      <c r="AK711">
        <v>0</v>
      </c>
      <c r="AL711" s="76">
        <v>45534</v>
      </c>
      <c r="AM711" s="75">
        <v>553</v>
      </c>
      <c r="AN711" t="s">
        <v>65</v>
      </c>
      <c r="AO711" t="s">
        <v>3391</v>
      </c>
      <c r="AP711" t="s">
        <v>67</v>
      </c>
      <c r="AQ711" t="s">
        <v>121</v>
      </c>
      <c r="AR711" t="s">
        <v>69</v>
      </c>
      <c r="AS711" s="79"/>
      <c r="AT711" s="82" t="s">
        <v>3279</v>
      </c>
      <c r="AU711" s="78">
        <v>2026</v>
      </c>
      <c r="AV711" s="78">
        <v>3</v>
      </c>
      <c r="AW711" s="78" t="s">
        <v>122</v>
      </c>
      <c r="AX711" s="78">
        <v>0</v>
      </c>
      <c r="AY711" s="78">
        <v>0</v>
      </c>
      <c r="BT711" s="3" t="s">
        <v>122</v>
      </c>
      <c r="BU711" s="3">
        <v>0</v>
      </c>
      <c r="BV711" s="3">
        <v>0</v>
      </c>
    </row>
    <row r="712" spans="1:74" ht="15" customHeight="1" x14ac:dyDescent="0.25">
      <c r="A712" s="75">
        <v>5862161</v>
      </c>
      <c r="B712" t="s">
        <v>3392</v>
      </c>
      <c r="C712" t="s">
        <v>3393</v>
      </c>
      <c r="D712" t="s">
        <v>1555</v>
      </c>
      <c r="E712" t="s">
        <v>87</v>
      </c>
      <c r="F712" s="75">
        <v>339</v>
      </c>
      <c r="G712" s="75">
        <v>286683</v>
      </c>
      <c r="H712">
        <v>364.96</v>
      </c>
      <c r="I712" t="s">
        <v>55</v>
      </c>
      <c r="J712" s="75">
        <v>218787</v>
      </c>
      <c r="K712" t="s">
        <v>96</v>
      </c>
      <c r="L712" t="s">
        <v>97</v>
      </c>
      <c r="M712" s="81">
        <v>46088.486435185187</v>
      </c>
      <c r="N712" s="81">
        <v>46091.766840277778</v>
      </c>
      <c r="O712" t="s">
        <v>58</v>
      </c>
      <c r="P712" t="s">
        <v>59</v>
      </c>
      <c r="Q712" t="s">
        <v>90</v>
      </c>
      <c r="R712" t="s">
        <v>60</v>
      </c>
      <c r="S712" t="s">
        <v>583</v>
      </c>
      <c r="U712" s="75">
        <v>206287</v>
      </c>
      <c r="V712" t="s">
        <v>3394</v>
      </c>
      <c r="W712" t="s">
        <v>3394</v>
      </c>
      <c r="X712" t="s">
        <v>62</v>
      </c>
      <c r="Y712" t="s">
        <v>63</v>
      </c>
      <c r="AA712" t="s">
        <v>81</v>
      </c>
      <c r="AB712">
        <v>78.650000000000006</v>
      </c>
      <c r="AC712">
        <v>74.816666999999995</v>
      </c>
      <c r="AD712">
        <v>3.8333330000000001</v>
      </c>
      <c r="AE712">
        <v>0.15</v>
      </c>
      <c r="AF712">
        <v>0</v>
      </c>
      <c r="AG712">
        <v>3.6833330000000002</v>
      </c>
      <c r="AH712">
        <v>3.6833330000000002</v>
      </c>
      <c r="AI712">
        <v>3.233333</v>
      </c>
      <c r="AJ712">
        <v>0.45</v>
      </c>
      <c r="AK712">
        <v>0</v>
      </c>
      <c r="AL712" s="76">
        <v>44921</v>
      </c>
      <c r="AM712" s="75">
        <v>1167</v>
      </c>
      <c r="AN712" t="s">
        <v>65</v>
      </c>
      <c r="AO712" t="s">
        <v>3395</v>
      </c>
      <c r="AP712" t="s">
        <v>67</v>
      </c>
      <c r="AQ712" t="s">
        <v>68</v>
      </c>
      <c r="AR712" t="s">
        <v>69</v>
      </c>
      <c r="AS712" s="78"/>
      <c r="AT712" s="82" t="s">
        <v>3279</v>
      </c>
      <c r="AU712" s="78">
        <v>2026</v>
      </c>
      <c r="AV712" s="78">
        <v>3</v>
      </c>
      <c r="AW712" s="78" t="s">
        <v>71</v>
      </c>
      <c r="AX712" s="78">
        <v>1</v>
      </c>
      <c r="AY712" s="78">
        <v>0</v>
      </c>
      <c r="BT712" s="2" t="s">
        <v>71</v>
      </c>
      <c r="BU712" s="2">
        <v>1</v>
      </c>
      <c r="BV712" s="2">
        <v>0</v>
      </c>
    </row>
    <row r="713" spans="1:74" ht="15" customHeight="1" x14ac:dyDescent="0.25">
      <c r="A713" s="75">
        <v>5862749</v>
      </c>
      <c r="B713" t="s">
        <v>3396</v>
      </c>
      <c r="C713" t="s">
        <v>3397</v>
      </c>
      <c r="D713" t="s">
        <v>1555</v>
      </c>
      <c r="E713" t="s">
        <v>87</v>
      </c>
      <c r="F713" s="75">
        <v>36</v>
      </c>
      <c r="G713" s="75">
        <v>295807</v>
      </c>
      <c r="H713">
        <v>1010</v>
      </c>
      <c r="I713" t="s">
        <v>853</v>
      </c>
      <c r="J713" s="75">
        <v>202555</v>
      </c>
      <c r="K713" t="s">
        <v>2216</v>
      </c>
      <c r="L713" t="s">
        <v>2217</v>
      </c>
      <c r="M713" s="81">
        <v>46089.514247685183</v>
      </c>
      <c r="N713" s="81">
        <v>46091.772361111107</v>
      </c>
      <c r="O713" t="s">
        <v>58</v>
      </c>
      <c r="P713" t="s">
        <v>59</v>
      </c>
      <c r="Q713" t="s">
        <v>90</v>
      </c>
      <c r="R713" t="s">
        <v>60</v>
      </c>
      <c r="S713" t="s">
        <v>583</v>
      </c>
      <c r="U713" s="75">
        <v>206341</v>
      </c>
      <c r="V713" t="s">
        <v>3398</v>
      </c>
      <c r="W713" t="s">
        <v>3399</v>
      </c>
      <c r="X713" t="s">
        <v>62</v>
      </c>
      <c r="Y713" t="s">
        <v>702</v>
      </c>
      <c r="AA713" t="s">
        <v>64</v>
      </c>
      <c r="AB713">
        <v>54.15</v>
      </c>
      <c r="AC713">
        <v>45.883333</v>
      </c>
      <c r="AD713">
        <v>8.266667</v>
      </c>
      <c r="AE713">
        <v>0.73333300000000001</v>
      </c>
      <c r="AF713">
        <v>0</v>
      </c>
      <c r="AG713">
        <v>7.533334</v>
      </c>
      <c r="AH713">
        <v>7.533334</v>
      </c>
      <c r="AI713">
        <v>6.9</v>
      </c>
      <c r="AJ713">
        <v>0.63333399999999995</v>
      </c>
      <c r="AK713">
        <v>0</v>
      </c>
      <c r="AL713" s="76">
        <v>45485</v>
      </c>
      <c r="AM713" s="75">
        <v>604</v>
      </c>
      <c r="AN713" t="s">
        <v>65</v>
      </c>
      <c r="AO713" t="s">
        <v>3400</v>
      </c>
      <c r="AP713" t="s">
        <v>67</v>
      </c>
      <c r="AQ713" t="s">
        <v>68</v>
      </c>
      <c r="AR713" t="s">
        <v>69</v>
      </c>
      <c r="AS713" s="79"/>
      <c r="AT713" s="82" t="s">
        <v>3279</v>
      </c>
      <c r="AU713" s="78">
        <v>2026</v>
      </c>
      <c r="AV713" s="78">
        <v>3</v>
      </c>
      <c r="AW713" s="78" t="s">
        <v>137</v>
      </c>
      <c r="AX713" s="78">
        <v>1</v>
      </c>
      <c r="AY713" s="78">
        <v>0</v>
      </c>
      <c r="BT713" s="3" t="s">
        <v>137</v>
      </c>
      <c r="BU713" s="3">
        <v>1</v>
      </c>
      <c r="BV713" s="3">
        <v>0</v>
      </c>
    </row>
    <row r="714" spans="1:74" ht="15" customHeight="1" x14ac:dyDescent="0.25">
      <c r="A714" s="75">
        <v>5866341</v>
      </c>
      <c r="B714" t="s">
        <v>3401</v>
      </c>
      <c r="C714" t="s">
        <v>1067</v>
      </c>
      <c r="D714" t="s">
        <v>1388</v>
      </c>
      <c r="E714" t="s">
        <v>87</v>
      </c>
      <c r="F714" s="75">
        <v>426</v>
      </c>
      <c r="G714" s="75">
        <v>289277</v>
      </c>
      <c r="H714">
        <v>382.47</v>
      </c>
      <c r="I714" t="s">
        <v>55</v>
      </c>
      <c r="J714" s="75">
        <v>216233</v>
      </c>
      <c r="K714" t="s">
        <v>88</v>
      </c>
      <c r="L714" t="s">
        <v>89</v>
      </c>
      <c r="M714" s="81">
        <v>46092.014305555553</v>
      </c>
      <c r="N714" s="81">
        <v>46092.364618055559</v>
      </c>
      <c r="O714" t="s">
        <v>58</v>
      </c>
      <c r="P714" t="s">
        <v>59</v>
      </c>
      <c r="Q714" t="s">
        <v>90</v>
      </c>
      <c r="R714" t="s">
        <v>99</v>
      </c>
      <c r="S714" t="s">
        <v>1244</v>
      </c>
      <c r="U714" s="75">
        <v>208067</v>
      </c>
      <c r="V714" t="s">
        <v>3402</v>
      </c>
      <c r="X714" t="s">
        <v>62</v>
      </c>
      <c r="Y714" t="s">
        <v>63</v>
      </c>
      <c r="AA714" t="s">
        <v>81</v>
      </c>
      <c r="AB714">
        <v>8.3499990000000004</v>
      </c>
      <c r="AC714">
        <v>7.55</v>
      </c>
      <c r="AD714">
        <v>0.79999900000000002</v>
      </c>
      <c r="AE714">
        <v>0.1</v>
      </c>
      <c r="AF714">
        <v>0</v>
      </c>
      <c r="AG714">
        <v>0.69999900000000004</v>
      </c>
      <c r="AH714">
        <v>0.69999900000000004</v>
      </c>
      <c r="AI714">
        <v>0.38333299999999998</v>
      </c>
      <c r="AJ714">
        <v>0.316666</v>
      </c>
      <c r="AK714">
        <v>0</v>
      </c>
      <c r="AL714" s="76">
        <v>44998</v>
      </c>
      <c r="AM714" s="75">
        <v>1094</v>
      </c>
      <c r="AN714" t="s">
        <v>65</v>
      </c>
      <c r="AO714" t="s">
        <v>1070</v>
      </c>
      <c r="AP714" t="s">
        <v>67</v>
      </c>
      <c r="AQ714" t="s">
        <v>68</v>
      </c>
      <c r="AR714" t="s">
        <v>69</v>
      </c>
      <c r="AS714" s="78"/>
      <c r="AT714" s="82" t="s">
        <v>3279</v>
      </c>
      <c r="AU714" s="78">
        <v>2026</v>
      </c>
      <c r="AV714" s="78">
        <v>3</v>
      </c>
      <c r="AW714" s="78" t="s">
        <v>71</v>
      </c>
      <c r="AX714" s="78">
        <v>1</v>
      </c>
      <c r="AY714" s="78">
        <v>0</v>
      </c>
      <c r="BT714" s="2" t="s">
        <v>71</v>
      </c>
      <c r="BU714" s="2">
        <v>1</v>
      </c>
      <c r="BV714" s="2">
        <v>0</v>
      </c>
    </row>
    <row r="715" spans="1:74" ht="15" customHeight="1" x14ac:dyDescent="0.25">
      <c r="A715" s="75">
        <v>5865557</v>
      </c>
      <c r="B715" t="s">
        <v>3403</v>
      </c>
      <c r="C715" t="s">
        <v>3404</v>
      </c>
      <c r="D715" t="s">
        <v>527</v>
      </c>
      <c r="E715" t="s">
        <v>87</v>
      </c>
      <c r="F715" s="75">
        <v>358</v>
      </c>
      <c r="G715" s="75">
        <v>286749</v>
      </c>
      <c r="H715">
        <v>364.96</v>
      </c>
      <c r="I715" t="s">
        <v>55</v>
      </c>
      <c r="J715" s="75">
        <v>218787</v>
      </c>
      <c r="K715" t="s">
        <v>96</v>
      </c>
      <c r="L715" t="s">
        <v>97</v>
      </c>
      <c r="M715" s="81">
        <v>46091.507511574076</v>
      </c>
      <c r="N715" s="81">
        <v>46092.459560185183</v>
      </c>
      <c r="O715" t="s">
        <v>58</v>
      </c>
      <c r="P715" t="s">
        <v>59</v>
      </c>
      <c r="Q715" t="s">
        <v>2562</v>
      </c>
      <c r="R715" t="s">
        <v>60</v>
      </c>
      <c r="S715" t="s">
        <v>583</v>
      </c>
      <c r="U715" s="75">
        <v>207733</v>
      </c>
      <c r="V715" t="s">
        <v>3405</v>
      </c>
      <c r="W715" t="s">
        <v>3405</v>
      </c>
      <c r="X715" t="s">
        <v>62</v>
      </c>
      <c r="Y715" t="s">
        <v>63</v>
      </c>
      <c r="AA715" t="s">
        <v>64</v>
      </c>
      <c r="AB715">
        <v>22.766666000000001</v>
      </c>
      <c r="AC715">
        <v>15.766666000000001</v>
      </c>
      <c r="AD715">
        <v>7</v>
      </c>
      <c r="AE715">
        <v>0.1</v>
      </c>
      <c r="AF715">
        <v>0</v>
      </c>
      <c r="AG715">
        <v>6.9</v>
      </c>
      <c r="AH715">
        <v>6.9</v>
      </c>
      <c r="AI715">
        <v>6.55</v>
      </c>
      <c r="AJ715">
        <v>0.35</v>
      </c>
      <c r="AK715">
        <v>0</v>
      </c>
      <c r="AL715" s="76">
        <v>44973</v>
      </c>
      <c r="AM715" s="75">
        <v>1118</v>
      </c>
      <c r="AN715" t="s">
        <v>65</v>
      </c>
      <c r="AO715" t="s">
        <v>1174</v>
      </c>
      <c r="AP715" t="s">
        <v>67</v>
      </c>
      <c r="AQ715" t="s">
        <v>68</v>
      </c>
      <c r="AR715" t="s">
        <v>69</v>
      </c>
      <c r="AS715" s="79"/>
      <c r="AT715" s="82" t="s">
        <v>3279</v>
      </c>
      <c r="AU715" s="78">
        <v>2026</v>
      </c>
      <c r="AV715" s="78">
        <v>3</v>
      </c>
      <c r="AW715" s="78" t="s">
        <v>71</v>
      </c>
      <c r="AX715" s="78">
        <v>1</v>
      </c>
      <c r="AY715" s="78">
        <v>0</v>
      </c>
      <c r="BT715" s="3" t="s">
        <v>71</v>
      </c>
      <c r="BU715" s="3">
        <v>1</v>
      </c>
      <c r="BV715" s="3">
        <v>0</v>
      </c>
    </row>
    <row r="716" spans="1:74" ht="15" customHeight="1" x14ac:dyDescent="0.25">
      <c r="A716" s="75">
        <v>5861867</v>
      </c>
      <c r="B716" t="s">
        <v>3406</v>
      </c>
      <c r="C716" t="s">
        <v>3407</v>
      </c>
      <c r="D716" t="s">
        <v>2379</v>
      </c>
      <c r="E716" t="s">
        <v>87</v>
      </c>
      <c r="F716" s="75">
        <v>155</v>
      </c>
      <c r="G716" s="75">
        <v>285767</v>
      </c>
      <c r="H716">
        <v>382.47</v>
      </c>
      <c r="I716" t="s">
        <v>55</v>
      </c>
      <c r="J716" s="75">
        <v>216233</v>
      </c>
      <c r="K716" t="s">
        <v>88</v>
      </c>
      <c r="L716" t="s">
        <v>89</v>
      </c>
      <c r="M716" s="81">
        <v>46087.805914351848</v>
      </c>
      <c r="N716" s="81">
        <v>46092.494363425933</v>
      </c>
      <c r="O716" t="s">
        <v>58</v>
      </c>
      <c r="P716" t="s">
        <v>59</v>
      </c>
      <c r="Q716" t="s">
        <v>90</v>
      </c>
      <c r="R716" t="s">
        <v>99</v>
      </c>
      <c r="S716" t="s">
        <v>1244</v>
      </c>
      <c r="U716" s="75">
        <v>205901</v>
      </c>
      <c r="V716" t="s">
        <v>3408</v>
      </c>
      <c r="W716" t="s">
        <v>3408</v>
      </c>
      <c r="X716" t="s">
        <v>62</v>
      </c>
      <c r="Y716" t="s">
        <v>63</v>
      </c>
      <c r="AA716" t="s">
        <v>81</v>
      </c>
      <c r="AB716">
        <v>112.433333</v>
      </c>
      <c r="AC716">
        <v>108.983333</v>
      </c>
      <c r="AD716">
        <v>3.45</v>
      </c>
      <c r="AE716">
        <v>0.25</v>
      </c>
      <c r="AF716">
        <v>0</v>
      </c>
      <c r="AG716">
        <v>3.2</v>
      </c>
      <c r="AH716">
        <v>3.2</v>
      </c>
      <c r="AI716">
        <v>2.95</v>
      </c>
      <c r="AJ716">
        <v>0.25</v>
      </c>
      <c r="AK716">
        <v>0</v>
      </c>
      <c r="AL716" s="76">
        <v>44946</v>
      </c>
      <c r="AM716" s="75">
        <v>1141</v>
      </c>
      <c r="AN716" t="s">
        <v>65</v>
      </c>
      <c r="AO716" t="s">
        <v>646</v>
      </c>
      <c r="AP716" t="s">
        <v>67</v>
      </c>
      <c r="AQ716" t="s">
        <v>68</v>
      </c>
      <c r="AR716" t="s">
        <v>69</v>
      </c>
      <c r="AS716" s="78"/>
      <c r="AT716" s="82" t="s">
        <v>3279</v>
      </c>
      <c r="AU716" s="78">
        <v>2026</v>
      </c>
      <c r="AV716" s="78">
        <v>3</v>
      </c>
      <c r="AW716" s="78" t="s">
        <v>71</v>
      </c>
      <c r="AX716" s="78">
        <v>1</v>
      </c>
      <c r="AY716" s="78">
        <v>0</v>
      </c>
      <c r="BT716" s="2" t="s">
        <v>71</v>
      </c>
      <c r="BU716" s="2">
        <v>1</v>
      </c>
      <c r="BV716" s="2">
        <v>0</v>
      </c>
    </row>
    <row r="717" spans="1:74" ht="15" customHeight="1" x14ac:dyDescent="0.25">
      <c r="A717" s="75">
        <v>5863893</v>
      </c>
      <c r="B717" t="s">
        <v>3409</v>
      </c>
      <c r="C717" t="s">
        <v>2984</v>
      </c>
      <c r="D717" t="s">
        <v>1555</v>
      </c>
      <c r="E717" t="s">
        <v>87</v>
      </c>
      <c r="F717" s="75">
        <v>481</v>
      </c>
      <c r="G717" s="75">
        <v>290465</v>
      </c>
      <c r="H717">
        <v>398.82</v>
      </c>
      <c r="I717" t="s">
        <v>55</v>
      </c>
      <c r="J717" s="75">
        <v>216233</v>
      </c>
      <c r="K717" t="s">
        <v>88</v>
      </c>
      <c r="L717" t="s">
        <v>89</v>
      </c>
      <c r="M717" s="81">
        <v>46090.521377314813</v>
      </c>
      <c r="N717" s="81">
        <v>46092.514178240737</v>
      </c>
      <c r="O717" t="s">
        <v>58</v>
      </c>
      <c r="P717" t="s">
        <v>59</v>
      </c>
      <c r="Q717" t="s">
        <v>90</v>
      </c>
      <c r="R717" t="s">
        <v>60</v>
      </c>
      <c r="S717" t="s">
        <v>583</v>
      </c>
      <c r="U717" s="75">
        <v>207259</v>
      </c>
      <c r="V717" t="s">
        <v>3410</v>
      </c>
      <c r="W717" t="s">
        <v>3411</v>
      </c>
      <c r="X717" t="s">
        <v>62</v>
      </c>
      <c r="Y717" t="s">
        <v>63</v>
      </c>
      <c r="AA717" t="s">
        <v>101</v>
      </c>
      <c r="AB717">
        <v>47.733333999999999</v>
      </c>
      <c r="AC717">
        <v>34.933334000000002</v>
      </c>
      <c r="AD717">
        <v>12.8</v>
      </c>
      <c r="AE717">
        <v>1.3</v>
      </c>
      <c r="AF717">
        <v>0</v>
      </c>
      <c r="AG717">
        <v>11.5</v>
      </c>
      <c r="AH717">
        <v>11.5</v>
      </c>
      <c r="AI717">
        <v>11.483333</v>
      </c>
      <c r="AJ717">
        <v>1.6667000000000001E-2</v>
      </c>
      <c r="AK717">
        <v>0</v>
      </c>
      <c r="AL717" s="76">
        <v>45117</v>
      </c>
      <c r="AM717" s="75">
        <v>973</v>
      </c>
      <c r="AN717" t="s">
        <v>65</v>
      </c>
      <c r="AO717" t="s">
        <v>2986</v>
      </c>
      <c r="AP717" t="s">
        <v>67</v>
      </c>
      <c r="AQ717" t="s">
        <v>68</v>
      </c>
      <c r="AR717" t="s">
        <v>69</v>
      </c>
      <c r="AS717" s="79"/>
      <c r="AT717" s="82" t="s">
        <v>3279</v>
      </c>
      <c r="AU717" s="78">
        <v>2026</v>
      </c>
      <c r="AV717" s="78">
        <v>3</v>
      </c>
      <c r="AW717" s="78" t="s">
        <v>71</v>
      </c>
      <c r="AX717" s="78">
        <v>0</v>
      </c>
      <c r="AY717" s="78">
        <v>0</v>
      </c>
      <c r="BT717" s="3" t="s">
        <v>71</v>
      </c>
      <c r="BU717" s="3">
        <v>0</v>
      </c>
      <c r="BV717" s="3">
        <v>0</v>
      </c>
    </row>
    <row r="718" spans="1:74" ht="15" customHeight="1" x14ac:dyDescent="0.25">
      <c r="A718" s="75">
        <v>5865071</v>
      </c>
      <c r="B718" t="s">
        <v>3412</v>
      </c>
      <c r="C718" t="s">
        <v>3413</v>
      </c>
      <c r="D718" t="s">
        <v>527</v>
      </c>
      <c r="E718" t="s">
        <v>87</v>
      </c>
      <c r="F718" s="75">
        <v>344</v>
      </c>
      <c r="G718" s="75">
        <v>286701</v>
      </c>
      <c r="H718">
        <v>364.96</v>
      </c>
      <c r="I718" t="s">
        <v>55</v>
      </c>
      <c r="J718" s="75">
        <v>218787</v>
      </c>
      <c r="K718" t="s">
        <v>96</v>
      </c>
      <c r="L718" t="s">
        <v>97</v>
      </c>
      <c r="M718" s="81">
        <v>46091.375543981478</v>
      </c>
      <c r="N718" s="81">
        <v>46092.517199074071</v>
      </c>
      <c r="O718" t="s">
        <v>58</v>
      </c>
      <c r="P718" t="s">
        <v>59</v>
      </c>
      <c r="Q718" t="s">
        <v>90</v>
      </c>
      <c r="R718" t="s">
        <v>60</v>
      </c>
      <c r="S718" t="s">
        <v>583</v>
      </c>
      <c r="U718" s="75">
        <v>207507</v>
      </c>
      <c r="V718" t="s">
        <v>3414</v>
      </c>
      <c r="W718" t="s">
        <v>3414</v>
      </c>
      <c r="X718" t="s">
        <v>62</v>
      </c>
      <c r="Y718" t="s">
        <v>63</v>
      </c>
      <c r="AA718" t="s">
        <v>101</v>
      </c>
      <c r="AB718">
        <v>27.333333</v>
      </c>
      <c r="AC718">
        <v>15.866667</v>
      </c>
      <c r="AD718">
        <v>11.466666</v>
      </c>
      <c r="AE718">
        <v>0.316666</v>
      </c>
      <c r="AF718">
        <v>0</v>
      </c>
      <c r="AG718">
        <v>11.15</v>
      </c>
      <c r="AH718">
        <v>11.15</v>
      </c>
      <c r="AI718">
        <v>10.966666999999999</v>
      </c>
      <c r="AJ718">
        <v>0.183333</v>
      </c>
      <c r="AK718">
        <v>0</v>
      </c>
      <c r="AL718" s="76">
        <v>44943</v>
      </c>
      <c r="AM718" s="75">
        <v>1148</v>
      </c>
      <c r="AN718" t="s">
        <v>65</v>
      </c>
      <c r="AO718" t="s">
        <v>3415</v>
      </c>
      <c r="AP718" t="s">
        <v>67</v>
      </c>
      <c r="AQ718" t="s">
        <v>68</v>
      </c>
      <c r="AR718" t="s">
        <v>69</v>
      </c>
      <c r="AS718" s="78"/>
      <c r="AT718" s="82" t="s">
        <v>3279</v>
      </c>
      <c r="AU718" s="78">
        <v>2026</v>
      </c>
      <c r="AV718" s="78">
        <v>3</v>
      </c>
      <c r="AW718" s="78" t="s">
        <v>71</v>
      </c>
      <c r="AX718" s="78">
        <v>0</v>
      </c>
      <c r="AY718" s="78">
        <v>0</v>
      </c>
      <c r="BT718" s="2" t="s">
        <v>71</v>
      </c>
      <c r="BU718" s="2">
        <v>0</v>
      </c>
      <c r="BV718" s="2">
        <v>0</v>
      </c>
    </row>
    <row r="719" spans="1:74" ht="15" customHeight="1" x14ac:dyDescent="0.25">
      <c r="A719" s="75">
        <v>5863857</v>
      </c>
      <c r="B719" t="s">
        <v>3416</v>
      </c>
      <c r="C719" t="s">
        <v>3417</v>
      </c>
      <c r="D719" t="s">
        <v>1555</v>
      </c>
      <c r="E719" t="s">
        <v>87</v>
      </c>
      <c r="F719" s="75">
        <v>527</v>
      </c>
      <c r="G719" s="75">
        <v>333135</v>
      </c>
      <c r="H719">
        <v>710.28</v>
      </c>
      <c r="I719" t="s">
        <v>818</v>
      </c>
      <c r="J719" s="75">
        <v>218791</v>
      </c>
      <c r="K719" t="s">
        <v>312</v>
      </c>
      <c r="L719" t="s">
        <v>313</v>
      </c>
      <c r="M719" s="81">
        <v>46090.506504629629</v>
      </c>
      <c r="N719" s="81">
        <v>46092.517511574071</v>
      </c>
      <c r="O719" t="s">
        <v>58</v>
      </c>
      <c r="P719" t="s">
        <v>59</v>
      </c>
      <c r="Q719" t="s">
        <v>2562</v>
      </c>
      <c r="R719" t="s">
        <v>60</v>
      </c>
      <c r="S719" t="s">
        <v>583</v>
      </c>
      <c r="U719" s="75">
        <v>206837</v>
      </c>
      <c r="V719" t="s">
        <v>3418</v>
      </c>
      <c r="W719" t="s">
        <v>3418</v>
      </c>
      <c r="X719" t="s">
        <v>62</v>
      </c>
      <c r="Y719" t="s">
        <v>63</v>
      </c>
      <c r="AA719" t="s">
        <v>64</v>
      </c>
      <c r="AB719">
        <v>48.233333000000002</v>
      </c>
      <c r="AC719">
        <v>43.216667000000001</v>
      </c>
      <c r="AD719">
        <v>5.0166659999999998</v>
      </c>
      <c r="AE719">
        <v>0.16666600000000001</v>
      </c>
      <c r="AF719">
        <v>0</v>
      </c>
      <c r="AG719">
        <v>4.8499999999999996</v>
      </c>
      <c r="AH719">
        <v>4.8499999999999996</v>
      </c>
      <c r="AI719">
        <v>4.7166670000000002</v>
      </c>
      <c r="AJ719">
        <v>0.13333300000000001</v>
      </c>
      <c r="AK719">
        <v>0</v>
      </c>
      <c r="AL719" s="76">
        <v>45790.381724537037</v>
      </c>
      <c r="AM719" s="75">
        <v>300</v>
      </c>
      <c r="AN719" t="s">
        <v>65</v>
      </c>
      <c r="AO719" t="s">
        <v>820</v>
      </c>
      <c r="AP719" t="s">
        <v>67</v>
      </c>
      <c r="AQ719" t="s">
        <v>68</v>
      </c>
      <c r="AR719" t="s">
        <v>69</v>
      </c>
      <c r="AS719" s="79"/>
      <c r="AT719" s="82" t="s">
        <v>3279</v>
      </c>
      <c r="AU719" s="78">
        <v>2026</v>
      </c>
      <c r="AV719" s="78">
        <v>3</v>
      </c>
      <c r="AW719" s="78" t="s">
        <v>71</v>
      </c>
      <c r="AX719" s="78">
        <v>1</v>
      </c>
      <c r="AY719" s="78">
        <v>0</v>
      </c>
      <c r="BT719" s="3" t="s">
        <v>71</v>
      </c>
      <c r="BU719" s="3">
        <v>1</v>
      </c>
      <c r="BV719" s="3">
        <v>0</v>
      </c>
    </row>
    <row r="720" spans="1:74" ht="15" customHeight="1" x14ac:dyDescent="0.25">
      <c r="A720" s="75">
        <v>5861895</v>
      </c>
      <c r="B720" t="s">
        <v>3419</v>
      </c>
      <c r="C720" t="s">
        <v>3420</v>
      </c>
      <c r="D720" t="s">
        <v>2379</v>
      </c>
      <c r="E720" t="s">
        <v>87</v>
      </c>
      <c r="F720" s="75">
        <v>431</v>
      </c>
      <c r="G720" s="75">
        <v>286821</v>
      </c>
      <c r="H720">
        <v>398.82</v>
      </c>
      <c r="I720" t="s">
        <v>55</v>
      </c>
      <c r="J720" s="75">
        <v>216233</v>
      </c>
      <c r="K720" t="s">
        <v>88</v>
      </c>
      <c r="L720" t="s">
        <v>89</v>
      </c>
      <c r="M720" s="81">
        <v>46087.827581018522</v>
      </c>
      <c r="N720" s="81">
        <v>46092.539594907408</v>
      </c>
      <c r="O720" t="s">
        <v>58</v>
      </c>
      <c r="P720" t="s">
        <v>59</v>
      </c>
      <c r="Q720" t="s">
        <v>90</v>
      </c>
      <c r="R720" t="s">
        <v>60</v>
      </c>
      <c r="S720" t="s">
        <v>583</v>
      </c>
      <c r="U720" s="75">
        <v>206277</v>
      </c>
      <c r="V720" t="s">
        <v>3421</v>
      </c>
      <c r="W720" t="s">
        <v>3421</v>
      </c>
      <c r="X720" t="s">
        <v>62</v>
      </c>
      <c r="Y720" t="s">
        <v>63</v>
      </c>
      <c r="AA720" t="s">
        <v>81</v>
      </c>
      <c r="AB720">
        <v>113.033333</v>
      </c>
      <c r="AC720">
        <v>108.783333</v>
      </c>
      <c r="AD720">
        <v>4.25</v>
      </c>
      <c r="AE720">
        <v>0.66666700000000001</v>
      </c>
      <c r="AF720">
        <v>0</v>
      </c>
      <c r="AG720">
        <v>3.5833330000000001</v>
      </c>
      <c r="AH720">
        <v>3.5833330000000001</v>
      </c>
      <c r="AI720">
        <v>3.1</v>
      </c>
      <c r="AJ720">
        <v>0.48333300000000001</v>
      </c>
      <c r="AK720">
        <v>0</v>
      </c>
      <c r="AL720" s="76">
        <v>45007</v>
      </c>
      <c r="AM720" s="75">
        <v>1080</v>
      </c>
      <c r="AN720" t="s">
        <v>65</v>
      </c>
      <c r="AO720" t="s">
        <v>3422</v>
      </c>
      <c r="AP720" t="s">
        <v>67</v>
      </c>
      <c r="AQ720" t="s">
        <v>68</v>
      </c>
      <c r="AR720" t="s">
        <v>69</v>
      </c>
      <c r="AS720" s="78"/>
      <c r="AT720" s="82" t="s">
        <v>3279</v>
      </c>
      <c r="AU720" s="78">
        <v>2026</v>
      </c>
      <c r="AV720" s="78">
        <v>3</v>
      </c>
      <c r="AW720" s="78" t="s">
        <v>71</v>
      </c>
      <c r="AX720" s="78">
        <v>1</v>
      </c>
      <c r="AY720" s="78">
        <v>0</v>
      </c>
      <c r="BT720" s="2" t="s">
        <v>71</v>
      </c>
      <c r="BU720" s="2">
        <v>1</v>
      </c>
      <c r="BV720" s="2">
        <v>0</v>
      </c>
    </row>
    <row r="721" spans="1:74" ht="15" customHeight="1" x14ac:dyDescent="0.25">
      <c r="A721" s="75">
        <v>5862431</v>
      </c>
      <c r="B721" t="s">
        <v>3423</v>
      </c>
      <c r="C721" t="s">
        <v>3424</v>
      </c>
      <c r="D721" t="s">
        <v>1555</v>
      </c>
      <c r="E721" t="s">
        <v>126</v>
      </c>
      <c r="F721" s="75">
        <v>2</v>
      </c>
      <c r="G721" s="75">
        <v>332533</v>
      </c>
      <c r="H721">
        <v>1390</v>
      </c>
      <c r="I721" t="s">
        <v>141</v>
      </c>
      <c r="J721" s="75">
        <v>225007</v>
      </c>
      <c r="K721" t="s">
        <v>532</v>
      </c>
      <c r="L721" t="s">
        <v>533</v>
      </c>
      <c r="M721" s="81">
        <v>46088.822418981479</v>
      </c>
      <c r="N721" s="81">
        <v>46092.548530092587</v>
      </c>
      <c r="O721" t="s">
        <v>58</v>
      </c>
      <c r="P721" t="s">
        <v>59</v>
      </c>
      <c r="Q721" t="s">
        <v>130</v>
      </c>
      <c r="R721" t="s">
        <v>99</v>
      </c>
      <c r="S721" t="s">
        <v>1244</v>
      </c>
      <c r="U721" s="75">
        <v>207789</v>
      </c>
      <c r="V721" t="s">
        <v>3425</v>
      </c>
      <c r="W721" t="s">
        <v>3426</v>
      </c>
      <c r="X721" t="s">
        <v>118</v>
      </c>
      <c r="Y721" t="s">
        <v>400</v>
      </c>
      <c r="AA721" t="s">
        <v>101</v>
      </c>
      <c r="AB721">
        <v>89.316665999999998</v>
      </c>
      <c r="AC721">
        <v>78.666666000000006</v>
      </c>
      <c r="AD721">
        <v>10.65</v>
      </c>
      <c r="AE721">
        <v>0.1</v>
      </c>
      <c r="AF721">
        <v>0</v>
      </c>
      <c r="AG721">
        <v>10.55</v>
      </c>
      <c r="AH721">
        <v>10.55</v>
      </c>
      <c r="AI721">
        <v>9.65</v>
      </c>
      <c r="AJ721">
        <v>0.9</v>
      </c>
      <c r="AK721">
        <v>0</v>
      </c>
      <c r="AL721" s="76">
        <v>45757.473807870367</v>
      </c>
      <c r="AM721" s="75">
        <v>331</v>
      </c>
      <c r="AN721" t="s">
        <v>65</v>
      </c>
      <c r="AO721" t="s">
        <v>535</v>
      </c>
      <c r="AP721" t="s">
        <v>67</v>
      </c>
      <c r="AQ721" t="s">
        <v>121</v>
      </c>
      <c r="AR721" t="s">
        <v>69</v>
      </c>
      <c r="AS721" s="79"/>
      <c r="AT721" s="82" t="s">
        <v>3279</v>
      </c>
      <c r="AU721" s="78">
        <v>2026</v>
      </c>
      <c r="AV721" s="78">
        <v>3</v>
      </c>
      <c r="AW721" s="78" t="s">
        <v>122</v>
      </c>
      <c r="AX721" s="78">
        <v>0</v>
      </c>
      <c r="AY721" s="78">
        <v>0</v>
      </c>
      <c r="BT721" s="3" t="s">
        <v>122</v>
      </c>
      <c r="BU721" s="3">
        <v>0</v>
      </c>
      <c r="BV721" s="3">
        <v>0</v>
      </c>
    </row>
    <row r="722" spans="1:74" ht="15" customHeight="1" x14ac:dyDescent="0.25">
      <c r="A722" s="75">
        <v>5862163</v>
      </c>
      <c r="B722" t="s">
        <v>3427</v>
      </c>
      <c r="C722" t="s">
        <v>3428</v>
      </c>
      <c r="D722" t="s">
        <v>1555</v>
      </c>
      <c r="E722" t="s">
        <v>87</v>
      </c>
      <c r="F722" s="75">
        <v>323</v>
      </c>
      <c r="G722" s="75">
        <v>286595</v>
      </c>
      <c r="H722">
        <v>350</v>
      </c>
      <c r="I722" t="s">
        <v>55</v>
      </c>
      <c r="J722" s="75">
        <v>218787</v>
      </c>
      <c r="K722" t="s">
        <v>96</v>
      </c>
      <c r="L722" t="s">
        <v>97</v>
      </c>
      <c r="M722" s="81">
        <v>46088.486481481479</v>
      </c>
      <c r="N722" s="81">
        <v>46092.555914351848</v>
      </c>
      <c r="O722" t="s">
        <v>58</v>
      </c>
      <c r="P722" t="s">
        <v>59</v>
      </c>
      <c r="Q722" t="s">
        <v>90</v>
      </c>
      <c r="R722" t="s">
        <v>131</v>
      </c>
      <c r="S722" t="s">
        <v>1316</v>
      </c>
      <c r="U722" s="75">
        <v>206291</v>
      </c>
      <c r="V722" t="s">
        <v>3429</v>
      </c>
      <c r="W722" t="s">
        <v>3429</v>
      </c>
      <c r="X722" t="s">
        <v>62</v>
      </c>
      <c r="Y722" t="s">
        <v>63</v>
      </c>
      <c r="AA722" t="s">
        <v>64</v>
      </c>
      <c r="AB722">
        <v>97.583332999999996</v>
      </c>
      <c r="AC722">
        <v>90.85</v>
      </c>
      <c r="AD722">
        <v>6.733333</v>
      </c>
      <c r="AE722">
        <v>0.16666600000000001</v>
      </c>
      <c r="AF722">
        <v>0</v>
      </c>
      <c r="AG722">
        <v>6.5666669999999998</v>
      </c>
      <c r="AH722">
        <v>6.5666669999999998</v>
      </c>
      <c r="AI722">
        <v>6.3833339999999996</v>
      </c>
      <c r="AJ722">
        <v>0.183333</v>
      </c>
      <c r="AK722">
        <v>0</v>
      </c>
      <c r="AL722" s="76">
        <v>44921.468854166669</v>
      </c>
      <c r="AM722" s="75">
        <v>1167</v>
      </c>
      <c r="AN722" t="s">
        <v>65</v>
      </c>
      <c r="AO722" t="s">
        <v>3430</v>
      </c>
      <c r="AP722" t="s">
        <v>67</v>
      </c>
      <c r="AQ722" t="s">
        <v>68</v>
      </c>
      <c r="AR722" t="s">
        <v>69</v>
      </c>
      <c r="AS722" s="78"/>
      <c r="AT722" s="82" t="s">
        <v>3279</v>
      </c>
      <c r="AU722" s="78">
        <v>2026</v>
      </c>
      <c r="AV722" s="78">
        <v>3</v>
      </c>
      <c r="AW722" s="78" t="s">
        <v>71</v>
      </c>
      <c r="AX722" s="78">
        <v>1</v>
      </c>
      <c r="AY722" s="78">
        <v>0</v>
      </c>
      <c r="BT722" s="2" t="s">
        <v>71</v>
      </c>
      <c r="BU722" s="2">
        <v>1</v>
      </c>
      <c r="BV722" s="2">
        <v>0</v>
      </c>
    </row>
    <row r="723" spans="1:74" ht="15" customHeight="1" x14ac:dyDescent="0.25">
      <c r="A723" s="75">
        <v>5865627</v>
      </c>
      <c r="B723" t="s">
        <v>3431</v>
      </c>
      <c r="C723" t="s">
        <v>3432</v>
      </c>
      <c r="D723" t="s">
        <v>1400</v>
      </c>
      <c r="E723" t="s">
        <v>87</v>
      </c>
      <c r="F723" s="75">
        <v>503</v>
      </c>
      <c r="G723" s="75">
        <v>291391</v>
      </c>
      <c r="H723">
        <v>398.82</v>
      </c>
      <c r="I723" t="s">
        <v>55</v>
      </c>
      <c r="J723" s="75">
        <v>216233</v>
      </c>
      <c r="K723" t="s">
        <v>88</v>
      </c>
      <c r="L723" t="s">
        <v>89</v>
      </c>
      <c r="M723" s="81">
        <v>46091.549166666657</v>
      </c>
      <c r="N723" s="81">
        <v>46092.571516203701</v>
      </c>
      <c r="O723" t="s">
        <v>58</v>
      </c>
      <c r="P723" t="s">
        <v>59</v>
      </c>
      <c r="Q723" t="s">
        <v>90</v>
      </c>
      <c r="R723" t="s">
        <v>60</v>
      </c>
      <c r="S723" t="s">
        <v>583</v>
      </c>
      <c r="U723" s="75">
        <v>207779</v>
      </c>
      <c r="V723" t="s">
        <v>3433</v>
      </c>
      <c r="W723" t="s">
        <v>3433</v>
      </c>
      <c r="X723" t="s">
        <v>62</v>
      </c>
      <c r="Y723" t="s">
        <v>63</v>
      </c>
      <c r="AA723" t="s">
        <v>101</v>
      </c>
      <c r="AB723">
        <v>24.433333999999999</v>
      </c>
      <c r="AC723">
        <v>15.366667</v>
      </c>
      <c r="AD723">
        <v>9.0666670000000007</v>
      </c>
      <c r="AE723">
        <v>0.1</v>
      </c>
      <c r="AF723">
        <v>0</v>
      </c>
      <c r="AG723">
        <v>8.9666669999999993</v>
      </c>
      <c r="AH723">
        <v>8.9666669999999993</v>
      </c>
      <c r="AI723">
        <v>8.7833330000000007</v>
      </c>
      <c r="AJ723">
        <v>0.183334</v>
      </c>
      <c r="AK723">
        <v>0</v>
      </c>
      <c r="AL723" s="76">
        <v>45118</v>
      </c>
      <c r="AM723" s="75">
        <v>973</v>
      </c>
      <c r="AN723" t="s">
        <v>65</v>
      </c>
      <c r="AO723" t="s">
        <v>3434</v>
      </c>
      <c r="AP723" t="s">
        <v>67</v>
      </c>
      <c r="AQ723" t="s">
        <v>68</v>
      </c>
      <c r="AR723" t="s">
        <v>69</v>
      </c>
      <c r="AS723" s="79"/>
      <c r="AT723" s="82" t="s">
        <v>3279</v>
      </c>
      <c r="AU723" s="78">
        <v>2026</v>
      </c>
      <c r="AV723" s="78">
        <v>3</v>
      </c>
      <c r="AW723" s="78" t="s">
        <v>71</v>
      </c>
      <c r="AX723" s="78">
        <v>0</v>
      </c>
      <c r="AY723" s="78">
        <v>0</v>
      </c>
      <c r="BT723" s="3" t="s">
        <v>71</v>
      </c>
      <c r="BU723" s="3">
        <v>0</v>
      </c>
      <c r="BV723" s="3">
        <v>0</v>
      </c>
    </row>
    <row r="724" spans="1:74" ht="15" customHeight="1" x14ac:dyDescent="0.25">
      <c r="A724" s="75">
        <v>5866755</v>
      </c>
      <c r="B724" t="s">
        <v>3435</v>
      </c>
      <c r="C724" t="s">
        <v>60</v>
      </c>
      <c r="D724" t="s">
        <v>527</v>
      </c>
      <c r="E724" t="s">
        <v>54</v>
      </c>
      <c r="F724" s="75">
        <v>23</v>
      </c>
      <c r="G724" s="75">
        <v>271629</v>
      </c>
      <c r="H724">
        <v>1034.1500000000001</v>
      </c>
      <c r="I724" t="s">
        <v>3117</v>
      </c>
      <c r="J724" s="75">
        <v>13175</v>
      </c>
      <c r="K724" t="s">
        <v>3436</v>
      </c>
      <c r="L724" t="s">
        <v>3437</v>
      </c>
      <c r="M724" s="81">
        <v>46092.418009259258</v>
      </c>
      <c r="N724" s="81">
        <v>46092.585532407407</v>
      </c>
      <c r="O724" t="s">
        <v>58</v>
      </c>
      <c r="P724" t="s">
        <v>59</v>
      </c>
      <c r="Q724" t="s">
        <v>77</v>
      </c>
      <c r="R724" t="s">
        <v>60</v>
      </c>
      <c r="S724" t="s">
        <v>1268</v>
      </c>
      <c r="U724" s="75">
        <v>208445</v>
      </c>
      <c r="V724" t="s">
        <v>3438</v>
      </c>
      <c r="W724" t="s">
        <v>3438</v>
      </c>
      <c r="X724" t="s">
        <v>79</v>
      </c>
      <c r="Y724" t="s">
        <v>224</v>
      </c>
      <c r="AA724" t="s">
        <v>81</v>
      </c>
      <c r="AB724">
        <v>3.9666679999999999</v>
      </c>
      <c r="AC724">
        <v>3.766667</v>
      </c>
      <c r="AD724">
        <v>0.20000100000000001</v>
      </c>
      <c r="AE724">
        <v>0.11666700000000001</v>
      </c>
      <c r="AF724">
        <v>0</v>
      </c>
      <c r="AG724">
        <v>8.3334000000000005E-2</v>
      </c>
      <c r="AH724">
        <v>8.3334000000000005E-2</v>
      </c>
      <c r="AI724">
        <v>6.6667000000000004E-2</v>
      </c>
      <c r="AJ724">
        <v>1.6667000000000001E-2</v>
      </c>
      <c r="AK724">
        <v>0</v>
      </c>
      <c r="AL724" s="76">
        <v>36526</v>
      </c>
      <c r="AM724" s="75">
        <v>9566</v>
      </c>
      <c r="AN724" t="s">
        <v>65</v>
      </c>
      <c r="AO724" t="s">
        <v>3439</v>
      </c>
      <c r="AP724" t="s">
        <v>67</v>
      </c>
      <c r="AQ724" t="s">
        <v>83</v>
      </c>
      <c r="AR724" t="s">
        <v>69</v>
      </c>
      <c r="AS724" s="78"/>
      <c r="AT724" s="82" t="s">
        <v>3279</v>
      </c>
      <c r="AU724" s="78">
        <v>2026</v>
      </c>
      <c r="AV724" s="78">
        <v>3</v>
      </c>
      <c r="AW724" s="78" t="s">
        <v>226</v>
      </c>
      <c r="AX724" s="78">
        <v>1</v>
      </c>
      <c r="AY724" s="78">
        <v>0</v>
      </c>
      <c r="BT724" s="2" t="s">
        <v>226</v>
      </c>
      <c r="BU724" s="2">
        <v>1</v>
      </c>
      <c r="BV724" s="2">
        <v>0</v>
      </c>
    </row>
    <row r="725" spans="1:74" ht="15" customHeight="1" x14ac:dyDescent="0.25">
      <c r="A725" s="75">
        <v>5862639</v>
      </c>
      <c r="B725" t="s">
        <v>3440</v>
      </c>
      <c r="C725" t="s">
        <v>3441</v>
      </c>
      <c r="D725" t="s">
        <v>2379</v>
      </c>
      <c r="E725" t="s">
        <v>87</v>
      </c>
      <c r="F725" s="75">
        <v>345</v>
      </c>
      <c r="G725" s="75">
        <v>286705</v>
      </c>
      <c r="H725">
        <v>364.96</v>
      </c>
      <c r="I725" t="s">
        <v>55</v>
      </c>
      <c r="J725" s="75">
        <v>218787</v>
      </c>
      <c r="K725" t="s">
        <v>96</v>
      </c>
      <c r="L725" t="s">
        <v>97</v>
      </c>
      <c r="M725" s="81">
        <v>46089.326689814807</v>
      </c>
      <c r="N725" s="81">
        <v>46092.598622685182</v>
      </c>
      <c r="O725" t="s">
        <v>58</v>
      </c>
      <c r="P725" t="s">
        <v>59</v>
      </c>
      <c r="Q725" t="s">
        <v>90</v>
      </c>
      <c r="R725" t="s">
        <v>60</v>
      </c>
      <c r="S725" t="s">
        <v>583</v>
      </c>
      <c r="U725" s="75">
        <v>206329</v>
      </c>
      <c r="V725" t="s">
        <v>3442</v>
      </c>
      <c r="W725" t="s">
        <v>3443</v>
      </c>
      <c r="X725" t="s">
        <v>62</v>
      </c>
      <c r="Y725" t="s">
        <v>63</v>
      </c>
      <c r="AA725" t="s">
        <v>295</v>
      </c>
      <c r="AB725">
        <v>78.483333999999999</v>
      </c>
      <c r="AC725">
        <v>46.766666999999998</v>
      </c>
      <c r="AD725">
        <v>31.716667000000001</v>
      </c>
      <c r="AE725">
        <v>0.6</v>
      </c>
      <c r="AF725">
        <v>0</v>
      </c>
      <c r="AG725">
        <v>31.116667</v>
      </c>
      <c r="AH725">
        <v>31.116667</v>
      </c>
      <c r="AI725">
        <v>29.533332999999999</v>
      </c>
      <c r="AJ725">
        <v>1.583334</v>
      </c>
      <c r="AK725">
        <v>0</v>
      </c>
      <c r="AL725" s="76">
        <v>44917</v>
      </c>
      <c r="AM725" s="75">
        <v>1172</v>
      </c>
      <c r="AN725" t="s">
        <v>65</v>
      </c>
      <c r="AO725" t="s">
        <v>3444</v>
      </c>
      <c r="AP725" t="s">
        <v>67</v>
      </c>
      <c r="AQ725" t="s">
        <v>68</v>
      </c>
      <c r="AR725" t="s">
        <v>69</v>
      </c>
      <c r="AS725" s="79"/>
      <c r="AT725" s="82" t="s">
        <v>3279</v>
      </c>
      <c r="AU725" s="78">
        <v>2026</v>
      </c>
      <c r="AV725" s="78">
        <v>3</v>
      </c>
      <c r="AW725" s="78" t="s">
        <v>71</v>
      </c>
      <c r="AX725" s="78">
        <v>0</v>
      </c>
      <c r="AY725" s="78">
        <v>1</v>
      </c>
      <c r="BT725" s="3" t="s">
        <v>71</v>
      </c>
      <c r="BU725" s="3">
        <v>0</v>
      </c>
      <c r="BV725" s="3">
        <v>1</v>
      </c>
    </row>
    <row r="726" spans="1:74" ht="15" customHeight="1" x14ac:dyDescent="0.25">
      <c r="A726" s="75">
        <v>5862577</v>
      </c>
      <c r="B726" t="s">
        <v>3445</v>
      </c>
      <c r="C726" t="s">
        <v>3446</v>
      </c>
      <c r="D726" t="s">
        <v>1555</v>
      </c>
      <c r="E726" t="s">
        <v>87</v>
      </c>
      <c r="F726" s="75">
        <v>478</v>
      </c>
      <c r="G726" s="75">
        <v>290459</v>
      </c>
      <c r="H726">
        <v>398.82</v>
      </c>
      <c r="I726" t="s">
        <v>55</v>
      </c>
      <c r="J726" s="75">
        <v>216233</v>
      </c>
      <c r="K726" t="s">
        <v>88</v>
      </c>
      <c r="L726" t="s">
        <v>89</v>
      </c>
      <c r="M726" s="81">
        <v>46089.13925925926</v>
      </c>
      <c r="N726" s="81">
        <v>46092.675115740742</v>
      </c>
      <c r="O726" t="s">
        <v>58</v>
      </c>
      <c r="P726" t="s">
        <v>59</v>
      </c>
      <c r="Q726" t="s">
        <v>90</v>
      </c>
      <c r="R726" t="s">
        <v>60</v>
      </c>
      <c r="S726" t="s">
        <v>583</v>
      </c>
      <c r="U726" s="75">
        <v>207195</v>
      </c>
      <c r="V726" t="s">
        <v>3447</v>
      </c>
      <c r="W726" t="s">
        <v>3448</v>
      </c>
      <c r="X726" t="s">
        <v>62</v>
      </c>
      <c r="Y726" t="s">
        <v>63</v>
      </c>
      <c r="AA726" t="s">
        <v>416</v>
      </c>
      <c r="AB726">
        <v>84.783332999999999</v>
      </c>
      <c r="AC726">
        <v>62.05</v>
      </c>
      <c r="AD726">
        <v>22.733332999999998</v>
      </c>
      <c r="AE726">
        <v>4.55</v>
      </c>
      <c r="AF726">
        <v>0</v>
      </c>
      <c r="AG726">
        <v>18.183333000000001</v>
      </c>
      <c r="AH726">
        <v>18.183333000000001</v>
      </c>
      <c r="AI726">
        <v>16.7</v>
      </c>
      <c r="AJ726">
        <v>1.483333</v>
      </c>
      <c r="AK726">
        <v>0</v>
      </c>
      <c r="AL726" s="76">
        <v>45064</v>
      </c>
      <c r="AM726" s="75">
        <v>1025</v>
      </c>
      <c r="AN726" t="s">
        <v>65</v>
      </c>
      <c r="AO726" t="s">
        <v>3449</v>
      </c>
      <c r="AP726" t="s">
        <v>67</v>
      </c>
      <c r="AQ726" t="s">
        <v>68</v>
      </c>
      <c r="AR726" t="s">
        <v>69</v>
      </c>
      <c r="AS726" s="78"/>
      <c r="AT726" s="82" t="s">
        <v>3279</v>
      </c>
      <c r="AU726" s="78">
        <v>2026</v>
      </c>
      <c r="AV726" s="78">
        <v>3</v>
      </c>
      <c r="AW726" s="78" t="s">
        <v>71</v>
      </c>
      <c r="AX726" s="78">
        <v>0</v>
      </c>
      <c r="AY726" s="78">
        <v>0</v>
      </c>
      <c r="BT726" s="2" t="s">
        <v>71</v>
      </c>
      <c r="BU726" s="2">
        <v>0</v>
      </c>
      <c r="BV726" s="2">
        <v>0</v>
      </c>
    </row>
    <row r="727" spans="1:74" ht="15" customHeight="1" x14ac:dyDescent="0.25">
      <c r="A727" s="75">
        <v>5864577</v>
      </c>
      <c r="B727" t="s">
        <v>3450</v>
      </c>
      <c r="C727" t="s">
        <v>3451</v>
      </c>
      <c r="D727" t="s">
        <v>1555</v>
      </c>
      <c r="E727" t="s">
        <v>105</v>
      </c>
      <c r="F727" s="75">
        <v>167</v>
      </c>
      <c r="G727" s="75">
        <v>290261</v>
      </c>
      <c r="H727">
        <v>838.61</v>
      </c>
      <c r="I727" t="s">
        <v>55</v>
      </c>
      <c r="J727" s="75">
        <v>71001</v>
      </c>
      <c r="K727" t="s">
        <v>1193</v>
      </c>
      <c r="L727" t="s">
        <v>1194</v>
      </c>
      <c r="M727" s="81">
        <v>46090.775810185187</v>
      </c>
      <c r="N727" s="81">
        <v>46092.679791666669</v>
      </c>
      <c r="O727" t="s">
        <v>58</v>
      </c>
      <c r="P727" t="s">
        <v>59</v>
      </c>
      <c r="Q727" t="s">
        <v>130</v>
      </c>
      <c r="R727" t="s">
        <v>60</v>
      </c>
      <c r="S727" t="s">
        <v>583</v>
      </c>
      <c r="U727" s="75">
        <v>207139</v>
      </c>
      <c r="V727" t="s">
        <v>3452</v>
      </c>
      <c r="W727" t="s">
        <v>3452</v>
      </c>
      <c r="X727" t="s">
        <v>79</v>
      </c>
      <c r="Y727" t="s">
        <v>224</v>
      </c>
      <c r="AA727" t="s">
        <v>81</v>
      </c>
      <c r="AB727">
        <v>45.65</v>
      </c>
      <c r="AC727">
        <v>43.85</v>
      </c>
      <c r="AD727">
        <v>1.8</v>
      </c>
      <c r="AE727">
        <v>0.05</v>
      </c>
      <c r="AF727">
        <v>0</v>
      </c>
      <c r="AG727">
        <v>1.75</v>
      </c>
      <c r="AH727">
        <v>1.75</v>
      </c>
      <c r="AI727">
        <v>1.2833330000000001</v>
      </c>
      <c r="AJ727">
        <v>0.466667</v>
      </c>
      <c r="AK727">
        <v>0</v>
      </c>
      <c r="AL727" s="76">
        <v>45070.702199074083</v>
      </c>
      <c r="AM727" s="75">
        <v>1020</v>
      </c>
      <c r="AN727" t="s">
        <v>65</v>
      </c>
      <c r="AO727" t="s">
        <v>3453</v>
      </c>
      <c r="AP727" t="s">
        <v>67</v>
      </c>
      <c r="AQ727" t="s">
        <v>83</v>
      </c>
      <c r="AR727" t="s">
        <v>69</v>
      </c>
      <c r="AS727" s="79"/>
      <c r="AT727" s="82" t="s">
        <v>3279</v>
      </c>
      <c r="AU727" s="78">
        <v>2026</v>
      </c>
      <c r="AV727" s="78">
        <v>3</v>
      </c>
      <c r="AW727" s="78" t="s">
        <v>226</v>
      </c>
      <c r="AX727" s="78">
        <v>1</v>
      </c>
      <c r="AY727" s="78">
        <v>0</v>
      </c>
      <c r="BT727" s="3" t="s">
        <v>226</v>
      </c>
      <c r="BU727" s="3">
        <v>1</v>
      </c>
      <c r="BV727" s="3">
        <v>0</v>
      </c>
    </row>
    <row r="728" spans="1:74" ht="15" customHeight="1" x14ac:dyDescent="0.25">
      <c r="A728" s="75">
        <v>5863163</v>
      </c>
      <c r="B728" t="s">
        <v>3454</v>
      </c>
      <c r="C728" t="s">
        <v>3455</v>
      </c>
      <c r="D728" t="s">
        <v>1555</v>
      </c>
      <c r="E728" t="s">
        <v>54</v>
      </c>
      <c r="F728" s="75">
        <v>1</v>
      </c>
      <c r="G728" s="75">
        <v>292855</v>
      </c>
      <c r="H728">
        <v>1047.25</v>
      </c>
      <c r="I728" t="s">
        <v>114</v>
      </c>
      <c r="J728" s="75">
        <v>217945</v>
      </c>
      <c r="K728" t="s">
        <v>1343</v>
      </c>
      <c r="L728" t="s">
        <v>1344</v>
      </c>
      <c r="M728" s="81">
        <v>46090.3434837963</v>
      </c>
      <c r="N728" s="81">
        <v>46092.766203703701</v>
      </c>
      <c r="O728" t="s">
        <v>58</v>
      </c>
      <c r="P728" t="s">
        <v>59</v>
      </c>
      <c r="Q728" t="s">
        <v>130</v>
      </c>
      <c r="R728" t="s">
        <v>99</v>
      </c>
      <c r="S728" t="s">
        <v>1375</v>
      </c>
      <c r="U728" s="75">
        <v>207109</v>
      </c>
      <c r="V728" t="s">
        <v>3456</v>
      </c>
      <c r="W728" t="s">
        <v>3456</v>
      </c>
      <c r="X728" t="s">
        <v>118</v>
      </c>
      <c r="Y728" t="s">
        <v>1346</v>
      </c>
      <c r="AA728" t="s">
        <v>81</v>
      </c>
      <c r="AB728">
        <v>58.066665999999998</v>
      </c>
      <c r="AC728">
        <v>54.15</v>
      </c>
      <c r="AD728">
        <v>3.9166660000000002</v>
      </c>
      <c r="AE728">
        <v>1.3</v>
      </c>
      <c r="AF728">
        <v>0</v>
      </c>
      <c r="AG728">
        <v>2.6166659999999999</v>
      </c>
      <c r="AH728">
        <v>2.6166659999999999</v>
      </c>
      <c r="AI728">
        <v>1.483333</v>
      </c>
      <c r="AJ728">
        <v>1.1333329999999999</v>
      </c>
      <c r="AK728">
        <v>0</v>
      </c>
      <c r="AL728" s="76">
        <v>45201.729178240741</v>
      </c>
      <c r="AM728" s="75">
        <v>888</v>
      </c>
      <c r="AN728" t="s">
        <v>65</v>
      </c>
      <c r="AO728" t="s">
        <v>1347</v>
      </c>
      <c r="AP728" t="s">
        <v>67</v>
      </c>
      <c r="AQ728" t="s">
        <v>121</v>
      </c>
      <c r="AR728" t="s">
        <v>69</v>
      </c>
      <c r="AS728" s="78"/>
      <c r="AT728" s="82" t="s">
        <v>3279</v>
      </c>
      <c r="AU728" s="78">
        <v>2026</v>
      </c>
      <c r="AV728" s="78">
        <v>3</v>
      </c>
      <c r="AW728" s="78" t="s">
        <v>347</v>
      </c>
      <c r="AX728" s="78">
        <v>1</v>
      </c>
      <c r="AY728" s="78">
        <v>0</v>
      </c>
      <c r="BT728" s="2" t="s">
        <v>347</v>
      </c>
      <c r="BU728" s="2">
        <v>1</v>
      </c>
      <c r="BV728" s="2">
        <v>0</v>
      </c>
    </row>
    <row r="729" spans="1:74" ht="15" customHeight="1" x14ac:dyDescent="0.25">
      <c r="A729" s="75">
        <v>5864623</v>
      </c>
      <c r="B729" t="s">
        <v>3457</v>
      </c>
      <c r="C729" t="s">
        <v>3458</v>
      </c>
      <c r="D729" t="s">
        <v>1555</v>
      </c>
      <c r="E729" t="s">
        <v>105</v>
      </c>
      <c r="F729" s="75">
        <v>630</v>
      </c>
      <c r="G729" s="75">
        <v>342915</v>
      </c>
      <c r="H729">
        <v>225</v>
      </c>
      <c r="I729" t="s">
        <v>1591</v>
      </c>
      <c r="J729" s="75">
        <v>48887</v>
      </c>
      <c r="K729" t="s">
        <v>164</v>
      </c>
      <c r="L729" t="s">
        <v>165</v>
      </c>
      <c r="M729" s="81">
        <v>46090.813206018523</v>
      </c>
      <c r="N729" s="81">
        <v>46092.779895833337</v>
      </c>
      <c r="O729" t="s">
        <v>58</v>
      </c>
      <c r="P729" t="s">
        <v>59</v>
      </c>
      <c r="R729" t="s">
        <v>156</v>
      </c>
      <c r="S729" t="s">
        <v>1320</v>
      </c>
      <c r="U729" s="75">
        <v>207183</v>
      </c>
      <c r="V729" t="s">
        <v>3459</v>
      </c>
      <c r="W729" t="s">
        <v>3459</v>
      </c>
      <c r="X729" t="s">
        <v>62</v>
      </c>
      <c r="Y729" t="s">
        <v>541</v>
      </c>
      <c r="AA729" t="s">
        <v>81</v>
      </c>
      <c r="AB729">
        <v>47.15</v>
      </c>
      <c r="AC729">
        <v>43.85</v>
      </c>
      <c r="AD729">
        <v>3.3</v>
      </c>
      <c r="AE729">
        <v>0.8</v>
      </c>
      <c r="AF729">
        <v>0</v>
      </c>
      <c r="AG729">
        <v>2.5</v>
      </c>
      <c r="AH729">
        <v>2.5</v>
      </c>
      <c r="AI729">
        <v>2.1166659999999999</v>
      </c>
      <c r="AJ729">
        <v>0.38333400000000001</v>
      </c>
      <c r="AK729">
        <v>0</v>
      </c>
      <c r="AL729" s="76">
        <v>45975.687384259261</v>
      </c>
      <c r="AM729" s="75">
        <v>115</v>
      </c>
      <c r="AN729" t="s">
        <v>65</v>
      </c>
      <c r="AO729" t="s">
        <v>3460</v>
      </c>
      <c r="AP729" t="s">
        <v>67</v>
      </c>
      <c r="AQ729" t="s">
        <v>68</v>
      </c>
      <c r="AR729" t="s">
        <v>69</v>
      </c>
      <c r="AS729" s="79"/>
      <c r="AT729" s="82" t="s">
        <v>3279</v>
      </c>
      <c r="AU729" s="78">
        <v>2026</v>
      </c>
      <c r="AV729" s="78">
        <v>3</v>
      </c>
      <c r="AW729" s="78" t="s">
        <v>137</v>
      </c>
      <c r="AX729" s="78">
        <v>1</v>
      </c>
      <c r="AY729" s="78">
        <v>0</v>
      </c>
      <c r="BT729" s="3" t="s">
        <v>137</v>
      </c>
      <c r="BU729" s="3">
        <v>1</v>
      </c>
      <c r="BV729" s="3">
        <v>0</v>
      </c>
    </row>
    <row r="730" spans="1:74" ht="15" customHeight="1" x14ac:dyDescent="0.25">
      <c r="A730" s="75">
        <v>5867465</v>
      </c>
      <c r="B730" t="s">
        <v>3461</v>
      </c>
      <c r="C730" t="s">
        <v>1621</v>
      </c>
      <c r="D730" t="s">
        <v>150</v>
      </c>
      <c r="E730" t="s">
        <v>87</v>
      </c>
      <c r="F730" s="75">
        <v>209</v>
      </c>
      <c r="G730" s="75">
        <v>286095</v>
      </c>
      <c r="H730">
        <v>396.96</v>
      </c>
      <c r="I730" t="s">
        <v>55</v>
      </c>
      <c r="J730" s="75">
        <v>218787</v>
      </c>
      <c r="K730" t="s">
        <v>96</v>
      </c>
      <c r="L730" t="s">
        <v>97</v>
      </c>
      <c r="M730" s="81">
        <v>46092.674108796287</v>
      </c>
      <c r="N730" s="81">
        <v>46093.385972222219</v>
      </c>
      <c r="O730" t="s">
        <v>58</v>
      </c>
      <c r="P730" t="s">
        <v>59</v>
      </c>
      <c r="Q730" t="s">
        <v>90</v>
      </c>
      <c r="R730" t="s">
        <v>99</v>
      </c>
      <c r="S730" t="s">
        <v>1244</v>
      </c>
      <c r="U730" s="75">
        <v>208953</v>
      </c>
      <c r="V730" t="s">
        <v>3462</v>
      </c>
      <c r="W730" t="s">
        <v>3462</v>
      </c>
      <c r="X730" t="s">
        <v>62</v>
      </c>
      <c r="Y730" t="s">
        <v>63</v>
      </c>
      <c r="AA730" t="s">
        <v>81</v>
      </c>
      <c r="AB730">
        <v>17.016667000000002</v>
      </c>
      <c r="AC730">
        <v>15.25</v>
      </c>
      <c r="AD730">
        <v>1.766667</v>
      </c>
      <c r="AE730">
        <v>0.05</v>
      </c>
      <c r="AF730">
        <v>0</v>
      </c>
      <c r="AG730">
        <v>1.7166669999999999</v>
      </c>
      <c r="AH730">
        <v>1.7166669999999999</v>
      </c>
      <c r="AI730">
        <v>1.066667</v>
      </c>
      <c r="AJ730">
        <v>0.65</v>
      </c>
      <c r="AK730">
        <v>0</v>
      </c>
      <c r="AL730" s="76">
        <v>44872</v>
      </c>
      <c r="AM730" s="75">
        <v>1220</v>
      </c>
      <c r="AN730" t="s">
        <v>65</v>
      </c>
      <c r="AO730" t="s">
        <v>1624</v>
      </c>
      <c r="AP730" t="s">
        <v>67</v>
      </c>
      <c r="AQ730" t="s">
        <v>68</v>
      </c>
      <c r="AR730" t="s">
        <v>69</v>
      </c>
      <c r="AS730" s="78"/>
      <c r="AT730" s="82" t="s">
        <v>3279</v>
      </c>
      <c r="AU730" s="78">
        <v>2026</v>
      </c>
      <c r="AV730" s="78">
        <v>3</v>
      </c>
      <c r="AW730" s="78" t="s">
        <v>71</v>
      </c>
      <c r="AX730" s="78">
        <v>1</v>
      </c>
      <c r="AY730" s="78">
        <v>0</v>
      </c>
      <c r="BT730" s="2" t="s">
        <v>71</v>
      </c>
      <c r="BU730" s="2">
        <v>1</v>
      </c>
      <c r="BV730" s="2">
        <v>0</v>
      </c>
    </row>
    <row r="731" spans="1:74" ht="15" customHeight="1" x14ac:dyDescent="0.25">
      <c r="A731" s="75">
        <v>5864781</v>
      </c>
      <c r="B731" t="s">
        <v>3463</v>
      </c>
      <c r="C731" t="s">
        <v>3464</v>
      </c>
      <c r="D731" t="s">
        <v>150</v>
      </c>
      <c r="E731" t="s">
        <v>87</v>
      </c>
      <c r="F731" s="75">
        <v>494</v>
      </c>
      <c r="G731" s="75">
        <v>290885</v>
      </c>
      <c r="H731">
        <v>364.96</v>
      </c>
      <c r="I731" t="s">
        <v>55</v>
      </c>
      <c r="J731" s="75">
        <v>218787</v>
      </c>
      <c r="K731" t="s">
        <v>96</v>
      </c>
      <c r="L731" t="s">
        <v>97</v>
      </c>
      <c r="M731" s="81">
        <v>46091.229780092603</v>
      </c>
      <c r="N731" s="81">
        <v>46093.396574074082</v>
      </c>
      <c r="O731" t="s">
        <v>58</v>
      </c>
      <c r="P731" t="s">
        <v>59</v>
      </c>
      <c r="Q731" t="s">
        <v>90</v>
      </c>
      <c r="R731" t="s">
        <v>99</v>
      </c>
      <c r="S731" t="s">
        <v>1244</v>
      </c>
      <c r="U731" s="75">
        <v>208559</v>
      </c>
      <c r="V731" t="s">
        <v>3465</v>
      </c>
      <c r="W731" t="s">
        <v>3465</v>
      </c>
      <c r="X731" t="s">
        <v>62</v>
      </c>
      <c r="Y731" t="s">
        <v>63</v>
      </c>
      <c r="Z731" t="s">
        <v>3466</v>
      </c>
      <c r="AA731" t="s">
        <v>101</v>
      </c>
      <c r="AB731">
        <v>51.883333999999998</v>
      </c>
      <c r="AC731">
        <v>18.05</v>
      </c>
      <c r="AD731">
        <v>33.833334000000001</v>
      </c>
      <c r="AE731">
        <v>25.766667000000002</v>
      </c>
      <c r="AF731">
        <v>24.333334000000001</v>
      </c>
      <c r="AG731">
        <v>8.0666670000000007</v>
      </c>
      <c r="AH731">
        <v>32.400001000000003</v>
      </c>
      <c r="AI731">
        <v>7.6833330000000002</v>
      </c>
      <c r="AJ731">
        <v>0.38333400000000001</v>
      </c>
      <c r="AK731">
        <v>0</v>
      </c>
      <c r="AL731" s="76">
        <v>45075</v>
      </c>
      <c r="AM731" s="75">
        <v>1016</v>
      </c>
      <c r="AN731" t="s">
        <v>65</v>
      </c>
      <c r="AO731" t="s">
        <v>3467</v>
      </c>
      <c r="AP731" t="s">
        <v>67</v>
      </c>
      <c r="AQ731" t="s">
        <v>68</v>
      </c>
      <c r="AR731" t="s">
        <v>69</v>
      </c>
      <c r="AS731" s="79"/>
      <c r="AT731" s="82" t="s">
        <v>3279</v>
      </c>
      <c r="AU731" s="78">
        <v>2026</v>
      </c>
      <c r="AV731" s="78">
        <v>3</v>
      </c>
      <c r="AW731" s="78" t="s">
        <v>71</v>
      </c>
      <c r="AX731" s="78">
        <v>0</v>
      </c>
      <c r="AY731" s="78">
        <v>0</v>
      </c>
      <c r="BT731" s="3" t="s">
        <v>71</v>
      </c>
      <c r="BU731" s="3">
        <v>0</v>
      </c>
      <c r="BV731" s="3">
        <v>0</v>
      </c>
    </row>
    <row r="732" spans="1:74" ht="15" customHeight="1" x14ac:dyDescent="0.25">
      <c r="A732" s="75">
        <v>5865881</v>
      </c>
      <c r="B732" t="s">
        <v>3468</v>
      </c>
      <c r="C732" t="s">
        <v>3469</v>
      </c>
      <c r="D732" t="s">
        <v>527</v>
      </c>
      <c r="E732" t="s">
        <v>87</v>
      </c>
      <c r="F732" s="75">
        <v>12</v>
      </c>
      <c r="G732" s="75">
        <v>293759</v>
      </c>
      <c r="H732">
        <v>683.87</v>
      </c>
      <c r="I732" t="s">
        <v>55</v>
      </c>
      <c r="J732" s="75">
        <v>216065</v>
      </c>
      <c r="K732" t="s">
        <v>3470</v>
      </c>
      <c r="L732" t="s">
        <v>3471</v>
      </c>
      <c r="M732" s="81">
        <v>46091.636874999997</v>
      </c>
      <c r="N732" s="81">
        <v>46093.427685185183</v>
      </c>
      <c r="O732" t="s">
        <v>391</v>
      </c>
      <c r="P732" t="s">
        <v>59</v>
      </c>
      <c r="Q732" t="s">
        <v>77</v>
      </c>
      <c r="R732" t="s">
        <v>60</v>
      </c>
      <c r="S732" t="s">
        <v>583</v>
      </c>
      <c r="U732" s="75">
        <v>208113</v>
      </c>
      <c r="V732" t="s">
        <v>3472</v>
      </c>
      <c r="W732" t="s">
        <v>3472</v>
      </c>
      <c r="X732" t="s">
        <v>62</v>
      </c>
      <c r="Y732" t="s">
        <v>63</v>
      </c>
      <c r="AA732" t="s">
        <v>101</v>
      </c>
      <c r="AB732">
        <v>42.9</v>
      </c>
      <c r="AC732">
        <v>31.966667000000001</v>
      </c>
      <c r="AD732">
        <v>10.933332999999999</v>
      </c>
      <c r="AE732">
        <v>0.98333300000000001</v>
      </c>
      <c r="AF732">
        <v>0</v>
      </c>
      <c r="AG732">
        <v>9.9499999999999993</v>
      </c>
      <c r="AH732">
        <v>9.9499999999999993</v>
      </c>
      <c r="AI732">
        <v>9.35</v>
      </c>
      <c r="AJ732">
        <v>0.6</v>
      </c>
      <c r="AK732">
        <v>0</v>
      </c>
      <c r="AL732" s="76">
        <v>45191</v>
      </c>
      <c r="AM732" s="75">
        <v>900</v>
      </c>
      <c r="AN732" t="s">
        <v>65</v>
      </c>
      <c r="AO732" t="s">
        <v>3473</v>
      </c>
      <c r="AP732" t="s">
        <v>67</v>
      </c>
      <c r="AQ732" t="s">
        <v>68</v>
      </c>
      <c r="AR732" t="s">
        <v>69</v>
      </c>
      <c r="AS732" s="78"/>
      <c r="AT732" s="82" t="s">
        <v>3279</v>
      </c>
      <c r="AU732" s="78">
        <v>2026</v>
      </c>
      <c r="AV732" s="78">
        <v>3</v>
      </c>
      <c r="AW732" s="78" t="s">
        <v>71</v>
      </c>
      <c r="AX732" s="78">
        <v>0</v>
      </c>
      <c r="AY732" s="78">
        <v>0</v>
      </c>
      <c r="BT732" s="2" t="s">
        <v>71</v>
      </c>
      <c r="BU732" s="2">
        <v>0</v>
      </c>
      <c r="BV732" s="2">
        <v>0</v>
      </c>
    </row>
    <row r="733" spans="1:74" ht="15" customHeight="1" x14ac:dyDescent="0.25">
      <c r="A733" s="75">
        <v>5867299</v>
      </c>
      <c r="B733" t="s">
        <v>3474</v>
      </c>
      <c r="C733" t="s">
        <v>3475</v>
      </c>
      <c r="D733" t="s">
        <v>1388</v>
      </c>
      <c r="E733" t="s">
        <v>87</v>
      </c>
      <c r="F733" s="75">
        <v>356</v>
      </c>
      <c r="G733" s="75">
        <v>286741</v>
      </c>
      <c r="H733">
        <v>364.96</v>
      </c>
      <c r="I733" t="s">
        <v>55</v>
      </c>
      <c r="J733" s="75">
        <v>218787</v>
      </c>
      <c r="K733" t="s">
        <v>96</v>
      </c>
      <c r="L733" t="s">
        <v>97</v>
      </c>
      <c r="M733" s="81">
        <v>46092.625555555547</v>
      </c>
      <c r="N733" s="81">
        <v>46093.46733796296</v>
      </c>
      <c r="O733" t="s">
        <v>58</v>
      </c>
      <c r="P733" t="s">
        <v>59</v>
      </c>
      <c r="Q733" t="s">
        <v>90</v>
      </c>
      <c r="R733" t="s">
        <v>60</v>
      </c>
      <c r="S733" t="s">
        <v>583</v>
      </c>
      <c r="U733" s="75">
        <v>208945</v>
      </c>
      <c r="V733" t="s">
        <v>3476</v>
      </c>
      <c r="W733" t="s">
        <v>3476</v>
      </c>
      <c r="X733" t="s">
        <v>62</v>
      </c>
      <c r="Y733" t="s">
        <v>63</v>
      </c>
      <c r="AA733" t="s">
        <v>64</v>
      </c>
      <c r="AB733">
        <v>20.133331999999999</v>
      </c>
      <c r="AC733">
        <v>15.316666</v>
      </c>
      <c r="AD733">
        <v>4.8166659999999997</v>
      </c>
      <c r="AE733">
        <v>0.13333300000000001</v>
      </c>
      <c r="AF733">
        <v>0</v>
      </c>
      <c r="AG733">
        <v>4.6833330000000002</v>
      </c>
      <c r="AH733">
        <v>4.6833330000000002</v>
      </c>
      <c r="AI733">
        <v>2.9</v>
      </c>
      <c r="AJ733">
        <v>1.7833330000000001</v>
      </c>
      <c r="AK733">
        <v>0</v>
      </c>
      <c r="AL733" s="76">
        <v>44981</v>
      </c>
      <c r="AM733" s="75">
        <v>1111</v>
      </c>
      <c r="AN733" t="s">
        <v>65</v>
      </c>
      <c r="AO733" t="s">
        <v>3477</v>
      </c>
      <c r="AP733" t="s">
        <v>67</v>
      </c>
      <c r="AQ733" t="s">
        <v>68</v>
      </c>
      <c r="AR733" t="s">
        <v>69</v>
      </c>
      <c r="AS733" s="79"/>
      <c r="AT733" s="82" t="s">
        <v>3279</v>
      </c>
      <c r="AU733" s="78">
        <v>2026</v>
      </c>
      <c r="AV733" s="78">
        <v>3</v>
      </c>
      <c r="AW733" s="78" t="s">
        <v>71</v>
      </c>
      <c r="AX733" s="78">
        <v>1</v>
      </c>
      <c r="AY733" s="78">
        <v>0</v>
      </c>
      <c r="BT733" s="3" t="s">
        <v>71</v>
      </c>
      <c r="BU733" s="3">
        <v>1</v>
      </c>
      <c r="BV733" s="3">
        <v>0</v>
      </c>
    </row>
    <row r="734" spans="1:74" ht="15" customHeight="1" x14ac:dyDescent="0.25">
      <c r="A734" s="75">
        <v>5863233</v>
      </c>
      <c r="B734" t="s">
        <v>3478</v>
      </c>
      <c r="C734" t="s">
        <v>3479</v>
      </c>
      <c r="D734" t="s">
        <v>1555</v>
      </c>
      <c r="E734" t="s">
        <v>87</v>
      </c>
      <c r="F734" s="75">
        <v>5</v>
      </c>
      <c r="G734" s="75">
        <v>255613</v>
      </c>
      <c r="H734">
        <v>621.57000000000005</v>
      </c>
      <c r="I734" t="s">
        <v>55</v>
      </c>
      <c r="J734" s="75">
        <v>149307</v>
      </c>
      <c r="K734" t="s">
        <v>350</v>
      </c>
      <c r="L734" t="s">
        <v>351</v>
      </c>
      <c r="M734" s="81">
        <v>46090.361597222232</v>
      </c>
      <c r="N734" s="81">
        <v>46093.472071759257</v>
      </c>
      <c r="O734" t="s">
        <v>58</v>
      </c>
      <c r="P734" t="s">
        <v>59</v>
      </c>
      <c r="Q734" t="s">
        <v>90</v>
      </c>
      <c r="R734" t="s">
        <v>156</v>
      </c>
      <c r="S734" t="s">
        <v>1320</v>
      </c>
      <c r="U734" s="75">
        <v>208437</v>
      </c>
      <c r="V734" t="s">
        <v>3480</v>
      </c>
      <c r="W734" t="s">
        <v>3481</v>
      </c>
      <c r="X734" t="s">
        <v>62</v>
      </c>
      <c r="Y734" t="s">
        <v>271</v>
      </c>
      <c r="Z734" t="s">
        <v>3482</v>
      </c>
      <c r="AA734" t="s">
        <v>81</v>
      </c>
      <c r="AB734">
        <v>74.533336000000006</v>
      </c>
      <c r="AC734">
        <v>24.683333999999999</v>
      </c>
      <c r="AD734">
        <v>49.850002000000003</v>
      </c>
      <c r="AE734">
        <v>46.116667999999997</v>
      </c>
      <c r="AF734">
        <v>45.433334000000002</v>
      </c>
      <c r="AG734">
        <v>3.7333340000000002</v>
      </c>
      <c r="AH734">
        <v>49.166668000000001</v>
      </c>
      <c r="AI734">
        <v>3.4666670000000002</v>
      </c>
      <c r="AJ734">
        <v>0.26666699999999999</v>
      </c>
      <c r="AK734">
        <v>0</v>
      </c>
      <c r="AL734" s="76">
        <v>44824</v>
      </c>
      <c r="AM734" s="75">
        <v>1266</v>
      </c>
      <c r="AN734" t="s">
        <v>65</v>
      </c>
      <c r="AO734" t="s">
        <v>3483</v>
      </c>
      <c r="AP734" t="s">
        <v>67</v>
      </c>
      <c r="AQ734" t="s">
        <v>68</v>
      </c>
      <c r="AR734" t="s">
        <v>69</v>
      </c>
      <c r="AS734" s="78"/>
      <c r="AT734" s="82" t="s">
        <v>3279</v>
      </c>
      <c r="AU734" s="78">
        <v>2026</v>
      </c>
      <c r="AV734" s="78">
        <v>3</v>
      </c>
      <c r="AW734" s="78" t="s">
        <v>137</v>
      </c>
      <c r="AX734" s="78">
        <v>1</v>
      </c>
      <c r="AY734" s="78">
        <v>0</v>
      </c>
      <c r="BT734" s="2" t="s">
        <v>137</v>
      </c>
      <c r="BU734" s="2">
        <v>1</v>
      </c>
      <c r="BV734" s="2">
        <v>0</v>
      </c>
    </row>
    <row r="735" spans="1:74" ht="15" customHeight="1" x14ac:dyDescent="0.25">
      <c r="A735" s="75">
        <v>5864775</v>
      </c>
      <c r="B735" t="s">
        <v>3484</v>
      </c>
      <c r="C735" t="s">
        <v>3485</v>
      </c>
      <c r="D735" t="s">
        <v>2379</v>
      </c>
      <c r="E735" t="s">
        <v>87</v>
      </c>
      <c r="F735" s="75">
        <v>437</v>
      </c>
      <c r="G735" s="75">
        <v>289301</v>
      </c>
      <c r="H735">
        <v>398.82</v>
      </c>
      <c r="I735" t="s">
        <v>55</v>
      </c>
      <c r="J735" s="75">
        <v>216233</v>
      </c>
      <c r="K735" t="s">
        <v>88</v>
      </c>
      <c r="L735" t="s">
        <v>89</v>
      </c>
      <c r="M735" s="81">
        <v>46091.229710648149</v>
      </c>
      <c r="N735" s="81">
        <v>46093.483425925922</v>
      </c>
      <c r="O735" t="s">
        <v>58</v>
      </c>
      <c r="P735" t="s">
        <v>59</v>
      </c>
      <c r="Q735" t="s">
        <v>90</v>
      </c>
      <c r="R735" t="s">
        <v>60</v>
      </c>
      <c r="S735" t="s">
        <v>583</v>
      </c>
      <c r="U735" s="75">
        <v>208303</v>
      </c>
      <c r="V735" t="s">
        <v>3486</v>
      </c>
      <c r="W735" t="s">
        <v>3486</v>
      </c>
      <c r="X735" t="s">
        <v>62</v>
      </c>
      <c r="Y735" t="s">
        <v>63</v>
      </c>
      <c r="Z735" t="s">
        <v>3466</v>
      </c>
      <c r="AA735" t="s">
        <v>101</v>
      </c>
      <c r="AB735">
        <v>54.016666999999998</v>
      </c>
      <c r="AC735">
        <v>19.399999999999999</v>
      </c>
      <c r="AD735">
        <v>34.616667</v>
      </c>
      <c r="AE735">
        <v>25.866668000000001</v>
      </c>
      <c r="AF735">
        <v>24.500001000000001</v>
      </c>
      <c r="AG735">
        <v>8.7499990000000007</v>
      </c>
      <c r="AH735">
        <v>33.25</v>
      </c>
      <c r="AI735">
        <v>8.6666659999999993</v>
      </c>
      <c r="AJ735">
        <v>8.3333000000000004E-2</v>
      </c>
      <c r="AK735">
        <v>0</v>
      </c>
      <c r="AL735" s="76">
        <v>45012</v>
      </c>
      <c r="AM735" s="75">
        <v>1079</v>
      </c>
      <c r="AN735" t="s">
        <v>65</v>
      </c>
      <c r="AO735" t="s">
        <v>3487</v>
      </c>
      <c r="AP735" t="s">
        <v>67</v>
      </c>
      <c r="AQ735" t="s">
        <v>68</v>
      </c>
      <c r="AR735" t="s">
        <v>69</v>
      </c>
      <c r="AS735" s="79"/>
      <c r="AT735" s="82" t="s">
        <v>3279</v>
      </c>
      <c r="AU735" s="78">
        <v>2026</v>
      </c>
      <c r="AV735" s="78">
        <v>3</v>
      </c>
      <c r="AW735" s="78" t="s">
        <v>71</v>
      </c>
      <c r="AX735" s="78">
        <v>0</v>
      </c>
      <c r="AY735" s="78">
        <v>0</v>
      </c>
      <c r="BT735" s="3" t="s">
        <v>71</v>
      </c>
      <c r="BU735" s="3">
        <v>0</v>
      </c>
      <c r="BV735" s="3">
        <v>0</v>
      </c>
    </row>
    <row r="736" spans="1:74" ht="15" customHeight="1" x14ac:dyDescent="0.25">
      <c r="A736" s="75">
        <v>5863451</v>
      </c>
      <c r="B736" t="s">
        <v>3488</v>
      </c>
      <c r="C736" t="s">
        <v>3489</v>
      </c>
      <c r="D736" t="s">
        <v>1555</v>
      </c>
      <c r="E736" t="s">
        <v>54</v>
      </c>
      <c r="F736" s="75">
        <v>4</v>
      </c>
      <c r="G736" s="75">
        <v>294743</v>
      </c>
      <c r="H736">
        <v>800</v>
      </c>
      <c r="I736" t="s">
        <v>114</v>
      </c>
      <c r="J736" s="75">
        <v>201963</v>
      </c>
      <c r="K736" t="s">
        <v>3248</v>
      </c>
      <c r="L736" t="s">
        <v>3249</v>
      </c>
      <c r="M736" s="81">
        <v>46090.403784722221</v>
      </c>
      <c r="N736" s="81">
        <v>46093.586562500001</v>
      </c>
      <c r="O736" t="s">
        <v>58</v>
      </c>
      <c r="P736" t="s">
        <v>59</v>
      </c>
      <c r="Q736" t="s">
        <v>130</v>
      </c>
      <c r="R736" t="s">
        <v>131</v>
      </c>
      <c r="S736" t="s">
        <v>1273</v>
      </c>
      <c r="U736" s="75">
        <v>208099</v>
      </c>
      <c r="V736" t="s">
        <v>3490</v>
      </c>
      <c r="W736" t="s">
        <v>3491</v>
      </c>
      <c r="X736" t="s">
        <v>62</v>
      </c>
      <c r="Y736" t="s">
        <v>63</v>
      </c>
      <c r="AA736" t="s">
        <v>416</v>
      </c>
      <c r="AB736">
        <v>76.250001999999995</v>
      </c>
      <c r="AC736">
        <v>55.900001000000003</v>
      </c>
      <c r="AD736">
        <v>20.350000999999999</v>
      </c>
      <c r="AE736">
        <v>0.466667</v>
      </c>
      <c r="AF736">
        <v>0</v>
      </c>
      <c r="AG736">
        <v>19.883334000000001</v>
      </c>
      <c r="AH736">
        <v>19.883334000000001</v>
      </c>
      <c r="AI736">
        <v>19.25</v>
      </c>
      <c r="AJ736">
        <v>0.63333399999999995</v>
      </c>
      <c r="AK736">
        <v>0</v>
      </c>
      <c r="AL736" s="76">
        <v>45408.519479166673</v>
      </c>
      <c r="AM736" s="75">
        <v>681</v>
      </c>
      <c r="AN736" t="s">
        <v>65</v>
      </c>
      <c r="AO736" t="s">
        <v>3492</v>
      </c>
      <c r="AP736" t="s">
        <v>67</v>
      </c>
      <c r="AQ736" t="s">
        <v>68</v>
      </c>
      <c r="AR736" t="s">
        <v>69</v>
      </c>
      <c r="AS736" s="78"/>
      <c r="AT736" s="82" t="s">
        <v>3279</v>
      </c>
      <c r="AU736" s="78">
        <v>2026</v>
      </c>
      <c r="AV736" s="78">
        <v>3</v>
      </c>
      <c r="AW736" s="78" t="s">
        <v>71</v>
      </c>
      <c r="AX736" s="78">
        <v>0</v>
      </c>
      <c r="AY736" s="78">
        <v>0</v>
      </c>
      <c r="BT736" s="2" t="s">
        <v>71</v>
      </c>
      <c r="BU736" s="2">
        <v>0</v>
      </c>
      <c r="BV736" s="2">
        <v>0</v>
      </c>
    </row>
    <row r="737" spans="1:74" ht="15" customHeight="1" x14ac:dyDescent="0.25">
      <c r="A737" s="75">
        <v>5864821</v>
      </c>
      <c r="B737" t="s">
        <v>3493</v>
      </c>
      <c r="C737" t="s">
        <v>3305</v>
      </c>
      <c r="D737" t="s">
        <v>1555</v>
      </c>
      <c r="E737" t="s">
        <v>54</v>
      </c>
      <c r="F737" s="75">
        <v>1</v>
      </c>
      <c r="G737" s="75">
        <v>266547</v>
      </c>
      <c r="H737">
        <v>900</v>
      </c>
      <c r="I737" t="s">
        <v>242</v>
      </c>
      <c r="J737" s="75">
        <v>209717</v>
      </c>
      <c r="K737" t="s">
        <v>3297</v>
      </c>
      <c r="L737" t="s">
        <v>3298</v>
      </c>
      <c r="M737" s="81">
        <v>46091.250532407408</v>
      </c>
      <c r="N737" s="81">
        <v>46093.589618055557</v>
      </c>
      <c r="O737" t="s">
        <v>58</v>
      </c>
      <c r="P737" t="s">
        <v>59</v>
      </c>
      <c r="Q737" t="s">
        <v>90</v>
      </c>
      <c r="R737" t="s">
        <v>131</v>
      </c>
      <c r="S737" t="s">
        <v>1273</v>
      </c>
      <c r="U737" s="75">
        <v>207245</v>
      </c>
      <c r="V737" t="s">
        <v>3494</v>
      </c>
      <c r="X737" t="s">
        <v>79</v>
      </c>
      <c r="Y737" t="s">
        <v>3300</v>
      </c>
      <c r="AA737" t="s">
        <v>416</v>
      </c>
      <c r="AB737">
        <v>56.033335999999998</v>
      </c>
      <c r="AC737">
        <v>33.016668000000003</v>
      </c>
      <c r="AD737">
        <v>23.016667999999999</v>
      </c>
      <c r="AE737">
        <v>1.316667</v>
      </c>
      <c r="AF737">
        <v>0</v>
      </c>
      <c r="AG737">
        <v>21.700001</v>
      </c>
      <c r="AH737">
        <v>21.700001</v>
      </c>
      <c r="AI737">
        <v>21.533334</v>
      </c>
      <c r="AJ737">
        <v>0.16666700000000001</v>
      </c>
      <c r="AK737">
        <v>0</v>
      </c>
      <c r="AL737" s="76">
        <v>36526</v>
      </c>
      <c r="AM737" s="75">
        <v>9565</v>
      </c>
      <c r="AN737" t="s">
        <v>65</v>
      </c>
      <c r="AO737" t="s">
        <v>3301</v>
      </c>
      <c r="AP737" t="s">
        <v>67</v>
      </c>
      <c r="AQ737" t="s">
        <v>83</v>
      </c>
      <c r="AR737" t="s">
        <v>69</v>
      </c>
      <c r="AS737" s="79"/>
      <c r="AT737" s="82" t="s">
        <v>3279</v>
      </c>
      <c r="AU737" s="78">
        <v>2026</v>
      </c>
      <c r="AV737" s="78">
        <v>3</v>
      </c>
      <c r="AW737" s="78" t="s">
        <v>84</v>
      </c>
      <c r="AX737" s="78">
        <v>0</v>
      </c>
      <c r="AY737" s="78">
        <v>0</v>
      </c>
      <c r="BT737" s="3" t="s">
        <v>84</v>
      </c>
      <c r="BU737" s="3">
        <v>0</v>
      </c>
      <c r="BV737" s="3">
        <v>0</v>
      </c>
    </row>
    <row r="738" spans="1:74" ht="15" customHeight="1" x14ac:dyDescent="0.25">
      <c r="A738" s="75">
        <v>5865431</v>
      </c>
      <c r="B738" t="s">
        <v>3495</v>
      </c>
      <c r="C738" t="s">
        <v>943</v>
      </c>
      <c r="D738" t="s">
        <v>1555</v>
      </c>
      <c r="E738" t="s">
        <v>54</v>
      </c>
      <c r="F738" s="75">
        <v>1</v>
      </c>
      <c r="G738" s="75">
        <v>254945</v>
      </c>
      <c r="H738">
        <v>1047.25</v>
      </c>
      <c r="I738" t="s">
        <v>114</v>
      </c>
      <c r="J738" s="75">
        <v>204493</v>
      </c>
      <c r="K738" t="s">
        <v>943</v>
      </c>
      <c r="L738" t="s">
        <v>944</v>
      </c>
      <c r="M738" s="81">
        <v>46091.46435185185</v>
      </c>
      <c r="N738" s="81">
        <v>46093.597361111111</v>
      </c>
      <c r="O738" t="s">
        <v>58</v>
      </c>
      <c r="P738" t="s">
        <v>59</v>
      </c>
      <c r="Q738" t="s">
        <v>130</v>
      </c>
      <c r="R738" t="s">
        <v>99</v>
      </c>
      <c r="S738" t="s">
        <v>1244</v>
      </c>
      <c r="U738" s="75">
        <v>207701</v>
      </c>
      <c r="V738" t="s">
        <v>3496</v>
      </c>
      <c r="W738" t="s">
        <v>3496</v>
      </c>
      <c r="X738" t="s">
        <v>62</v>
      </c>
      <c r="Y738" t="s">
        <v>63</v>
      </c>
      <c r="AA738" t="s">
        <v>64</v>
      </c>
      <c r="AB738">
        <v>51.116667</v>
      </c>
      <c r="AC738">
        <v>43.166666999999997</v>
      </c>
      <c r="AD738">
        <v>7.95</v>
      </c>
      <c r="AE738">
        <v>0.15</v>
      </c>
      <c r="AF738">
        <v>0</v>
      </c>
      <c r="AG738">
        <v>7.8</v>
      </c>
      <c r="AH738">
        <v>7.8</v>
      </c>
      <c r="AI738">
        <v>7.5</v>
      </c>
      <c r="AJ738">
        <v>0.3</v>
      </c>
      <c r="AK738">
        <v>0</v>
      </c>
      <c r="AL738" s="76">
        <v>44844.379606481481</v>
      </c>
      <c r="AM738" s="75">
        <v>1247</v>
      </c>
      <c r="AN738" t="s">
        <v>65</v>
      </c>
      <c r="AO738" t="s">
        <v>946</v>
      </c>
      <c r="AP738" t="s">
        <v>67</v>
      </c>
      <c r="AQ738" t="s">
        <v>68</v>
      </c>
      <c r="AR738" t="s">
        <v>69</v>
      </c>
      <c r="AS738" s="78"/>
      <c r="AT738" s="82" t="s">
        <v>3279</v>
      </c>
      <c r="AU738" s="78">
        <v>2026</v>
      </c>
      <c r="AV738" s="78">
        <v>3</v>
      </c>
      <c r="AW738" s="78" t="s">
        <v>71</v>
      </c>
      <c r="AX738" s="78">
        <v>1</v>
      </c>
      <c r="AY738" s="78">
        <v>0</v>
      </c>
      <c r="BT738" s="2" t="s">
        <v>71</v>
      </c>
      <c r="BU738" s="2">
        <v>1</v>
      </c>
      <c r="BV738" s="2">
        <v>0</v>
      </c>
    </row>
    <row r="739" spans="1:74" ht="15" customHeight="1" x14ac:dyDescent="0.25">
      <c r="A739" s="75">
        <v>5867399</v>
      </c>
      <c r="B739" t="s">
        <v>3497</v>
      </c>
      <c r="C739" t="s">
        <v>3498</v>
      </c>
      <c r="D739" t="s">
        <v>527</v>
      </c>
      <c r="E739" t="s">
        <v>54</v>
      </c>
      <c r="F739" s="75">
        <v>768</v>
      </c>
      <c r="G739" s="75">
        <v>293293</v>
      </c>
      <c r="H739">
        <v>471.74</v>
      </c>
      <c r="I739" t="s">
        <v>55</v>
      </c>
      <c r="J739" s="75">
        <v>218497</v>
      </c>
      <c r="K739" t="s">
        <v>56</v>
      </c>
      <c r="L739" t="s">
        <v>57</v>
      </c>
      <c r="M739" s="81">
        <v>46092.650763888887</v>
      </c>
      <c r="N739" s="81">
        <v>46093.63753472222</v>
      </c>
      <c r="O739" t="s">
        <v>58</v>
      </c>
      <c r="P739" t="s">
        <v>59</v>
      </c>
      <c r="Q739" t="s">
        <v>77</v>
      </c>
      <c r="R739" t="s">
        <v>60</v>
      </c>
      <c r="S739" t="s">
        <v>583</v>
      </c>
      <c r="U739" s="75">
        <v>208949</v>
      </c>
      <c r="V739" t="s">
        <v>3499</v>
      </c>
      <c r="W739" t="s">
        <v>3500</v>
      </c>
      <c r="X739" t="s">
        <v>62</v>
      </c>
      <c r="Y739" t="s">
        <v>63</v>
      </c>
      <c r="AA739" t="s">
        <v>101</v>
      </c>
      <c r="AB739">
        <v>23.616667</v>
      </c>
      <c r="AC739">
        <v>13.833334000000001</v>
      </c>
      <c r="AD739">
        <v>9.7833330000000007</v>
      </c>
      <c r="AE739">
        <v>0.05</v>
      </c>
      <c r="AF739">
        <v>0</v>
      </c>
      <c r="AG739">
        <v>9.733333</v>
      </c>
      <c r="AH739">
        <v>9.733333</v>
      </c>
      <c r="AI739">
        <v>8.5</v>
      </c>
      <c r="AJ739">
        <v>1.233333</v>
      </c>
      <c r="AK739">
        <v>0</v>
      </c>
      <c r="AL739" s="76">
        <v>45191.770335648151</v>
      </c>
      <c r="AM739" s="75">
        <v>900</v>
      </c>
      <c r="AN739" t="s">
        <v>65</v>
      </c>
      <c r="AO739" t="s">
        <v>66</v>
      </c>
      <c r="AP739" t="s">
        <v>67</v>
      </c>
      <c r="AQ739" t="s">
        <v>68</v>
      </c>
      <c r="AR739" t="s">
        <v>69</v>
      </c>
      <c r="AS739" s="79"/>
      <c r="AT739" s="82" t="s">
        <v>3279</v>
      </c>
      <c r="AU739" s="78">
        <v>2026</v>
      </c>
      <c r="AV739" s="78">
        <v>3</v>
      </c>
      <c r="AW739" s="78" t="s">
        <v>71</v>
      </c>
      <c r="AX739" s="78">
        <v>0</v>
      </c>
      <c r="AY739" s="78">
        <v>0</v>
      </c>
      <c r="BT739" s="3" t="s">
        <v>71</v>
      </c>
      <c r="BU739" s="3">
        <v>0</v>
      </c>
      <c r="BV739" s="3">
        <v>0</v>
      </c>
    </row>
    <row r="740" spans="1:74" ht="15" customHeight="1" x14ac:dyDescent="0.25">
      <c r="A740" s="75">
        <v>5868117</v>
      </c>
      <c r="B740" t="s">
        <v>3501</v>
      </c>
      <c r="C740" t="s">
        <v>1893</v>
      </c>
      <c r="D740" t="s">
        <v>956</v>
      </c>
      <c r="E740" t="s">
        <v>54</v>
      </c>
      <c r="F740" s="75">
        <v>6</v>
      </c>
      <c r="G740" s="75">
        <v>48431</v>
      </c>
      <c r="H740">
        <v>480</v>
      </c>
      <c r="I740" t="s">
        <v>55</v>
      </c>
      <c r="J740" s="75">
        <v>49213</v>
      </c>
      <c r="K740" t="s">
        <v>3502</v>
      </c>
      <c r="L740" t="s">
        <v>3503</v>
      </c>
      <c r="M740" s="81">
        <v>46093.342974537038</v>
      </c>
      <c r="N740" s="81">
        <v>46093.675115740742</v>
      </c>
      <c r="O740" t="s">
        <v>475</v>
      </c>
      <c r="P740" t="s">
        <v>59</v>
      </c>
      <c r="Q740" t="s">
        <v>77</v>
      </c>
      <c r="R740" t="s">
        <v>2399</v>
      </c>
      <c r="S740" t="s">
        <v>1491</v>
      </c>
      <c r="U740" s="75">
        <v>209253</v>
      </c>
      <c r="V740" t="s">
        <v>3504</v>
      </c>
      <c r="X740" t="s">
        <v>79</v>
      </c>
      <c r="Y740" t="s">
        <v>3505</v>
      </c>
      <c r="AA740" t="s">
        <v>81</v>
      </c>
      <c r="AB740">
        <v>7.8500019999999999</v>
      </c>
      <c r="AC740">
        <v>3.8166679999999999</v>
      </c>
      <c r="AD740">
        <v>4.033334</v>
      </c>
      <c r="AE740">
        <v>0.38333400000000001</v>
      </c>
      <c r="AF740">
        <v>0</v>
      </c>
      <c r="AG740">
        <v>3.65</v>
      </c>
      <c r="AH740">
        <v>3.65</v>
      </c>
      <c r="AI740">
        <v>3</v>
      </c>
      <c r="AJ740">
        <v>0.65</v>
      </c>
      <c r="AK740">
        <v>0</v>
      </c>
      <c r="AL740" s="76">
        <v>42975</v>
      </c>
      <c r="AM740" s="75">
        <v>3118</v>
      </c>
      <c r="AN740" t="s">
        <v>65</v>
      </c>
      <c r="AO740" t="s">
        <v>3506</v>
      </c>
      <c r="AP740" t="s">
        <v>67</v>
      </c>
      <c r="AQ740" t="s">
        <v>83</v>
      </c>
      <c r="AR740" t="s">
        <v>69</v>
      </c>
      <c r="AS740" s="78"/>
      <c r="AT740" s="82" t="s">
        <v>3279</v>
      </c>
      <c r="AU740" s="78">
        <v>2026</v>
      </c>
      <c r="AV740" s="78">
        <v>3</v>
      </c>
      <c r="AW740" s="78" t="s">
        <v>84</v>
      </c>
      <c r="AX740" s="78">
        <v>1</v>
      </c>
      <c r="AY740" s="78">
        <v>0</v>
      </c>
      <c r="BT740" s="2" t="s">
        <v>84</v>
      </c>
      <c r="BU740" s="2">
        <v>1</v>
      </c>
      <c r="BV740" s="2">
        <v>0</v>
      </c>
    </row>
    <row r="741" spans="1:74" ht="15" customHeight="1" x14ac:dyDescent="0.25">
      <c r="A741" s="75">
        <v>5867703</v>
      </c>
      <c r="B741" t="s">
        <v>3507</v>
      </c>
      <c r="C741" t="s">
        <v>3508</v>
      </c>
      <c r="D741" t="s">
        <v>1052</v>
      </c>
      <c r="E741" t="s">
        <v>54</v>
      </c>
      <c r="F741" s="75">
        <v>67</v>
      </c>
      <c r="G741" s="75">
        <v>52581</v>
      </c>
      <c r="H741">
        <v>188.59</v>
      </c>
      <c r="I741" t="s">
        <v>195</v>
      </c>
      <c r="J741" s="75">
        <v>1819</v>
      </c>
      <c r="K741" t="s">
        <v>759</v>
      </c>
      <c r="L741" t="s">
        <v>760</v>
      </c>
      <c r="M741" s="81">
        <v>46092.73810185185</v>
      </c>
      <c r="N741" s="81">
        <v>46093.749884259261</v>
      </c>
      <c r="O741" t="s">
        <v>58</v>
      </c>
      <c r="P741" t="s">
        <v>59</v>
      </c>
      <c r="Q741" t="s">
        <v>77</v>
      </c>
      <c r="R741" t="s">
        <v>60</v>
      </c>
      <c r="S741" t="s">
        <v>583</v>
      </c>
      <c r="U741" s="75">
        <v>208877</v>
      </c>
      <c r="V741" t="s">
        <v>3509</v>
      </c>
      <c r="W741" t="s">
        <v>3509</v>
      </c>
      <c r="X741" t="s">
        <v>79</v>
      </c>
      <c r="Y741" t="s">
        <v>224</v>
      </c>
      <c r="AA741" t="s">
        <v>81</v>
      </c>
      <c r="AB741">
        <v>24.216667000000001</v>
      </c>
      <c r="AC741">
        <v>18.966667000000001</v>
      </c>
      <c r="AD741">
        <v>5.25</v>
      </c>
      <c r="AE741">
        <v>3.1666669999999999</v>
      </c>
      <c r="AF741">
        <v>0</v>
      </c>
      <c r="AG741">
        <v>2.0833330000000001</v>
      </c>
      <c r="AH741">
        <v>2.0833330000000001</v>
      </c>
      <c r="AI741">
        <v>1.8166659999999999</v>
      </c>
      <c r="AJ741">
        <v>0.26666699999999999</v>
      </c>
      <c r="AK741">
        <v>0</v>
      </c>
      <c r="AL741" s="76">
        <v>41964</v>
      </c>
      <c r="AM741" s="75">
        <v>4128</v>
      </c>
      <c r="AN741" t="s">
        <v>65</v>
      </c>
      <c r="AO741" t="s">
        <v>2118</v>
      </c>
      <c r="AP741" t="s">
        <v>67</v>
      </c>
      <c r="AQ741" t="s">
        <v>83</v>
      </c>
      <c r="AR741" t="s">
        <v>69</v>
      </c>
      <c r="AS741" s="79"/>
      <c r="AT741" s="82" t="s">
        <v>3279</v>
      </c>
      <c r="AU741" s="78">
        <v>2026</v>
      </c>
      <c r="AV741" s="78">
        <v>3</v>
      </c>
      <c r="AW741" s="78" t="s">
        <v>226</v>
      </c>
      <c r="AX741" s="78">
        <v>1</v>
      </c>
      <c r="AY741" s="78">
        <v>0</v>
      </c>
      <c r="BT741" s="3" t="s">
        <v>226</v>
      </c>
      <c r="BU741" s="3">
        <v>1</v>
      </c>
      <c r="BV741" s="3">
        <v>0</v>
      </c>
    </row>
    <row r="742" spans="1:74" ht="15" customHeight="1" x14ac:dyDescent="0.25">
      <c r="A742" s="75">
        <v>5868811</v>
      </c>
      <c r="B742" t="s">
        <v>3510</v>
      </c>
      <c r="C742" t="s">
        <v>3511</v>
      </c>
      <c r="D742" t="s">
        <v>1052</v>
      </c>
      <c r="E742" t="s">
        <v>126</v>
      </c>
      <c r="F742" s="75">
        <v>2</v>
      </c>
      <c r="G742" s="75">
        <v>343773</v>
      </c>
      <c r="H742">
        <v>12750</v>
      </c>
      <c r="I742" t="s">
        <v>2049</v>
      </c>
      <c r="J742" s="75">
        <v>56145</v>
      </c>
      <c r="K742" t="s">
        <v>2082</v>
      </c>
      <c r="L742" t="s">
        <v>2083</v>
      </c>
      <c r="M742" s="81">
        <v>46093.561238425929</v>
      </c>
      <c r="N742" s="81">
        <v>46093.807685185187</v>
      </c>
      <c r="O742" t="s">
        <v>58</v>
      </c>
      <c r="P742" t="s">
        <v>59</v>
      </c>
      <c r="Q742" t="s">
        <v>130</v>
      </c>
      <c r="R742" t="s">
        <v>99</v>
      </c>
      <c r="S742" t="s">
        <v>1375</v>
      </c>
      <c r="U742" s="75">
        <v>209609</v>
      </c>
      <c r="V742" t="s">
        <v>3512</v>
      </c>
      <c r="W742" t="s">
        <v>3513</v>
      </c>
      <c r="X742" t="s">
        <v>118</v>
      </c>
      <c r="Y742" t="s">
        <v>400</v>
      </c>
      <c r="AA742" t="s">
        <v>64</v>
      </c>
      <c r="AB742">
        <v>5.8666669999999996</v>
      </c>
      <c r="AC742">
        <v>0.53333299999999995</v>
      </c>
      <c r="AD742">
        <v>5.3333339999999998</v>
      </c>
      <c r="AE742">
        <v>0.5</v>
      </c>
      <c r="AF742">
        <v>0</v>
      </c>
      <c r="AG742">
        <v>4.8333339999999998</v>
      </c>
      <c r="AH742">
        <v>4.8333339999999998</v>
      </c>
      <c r="AI742">
        <v>4.7</v>
      </c>
      <c r="AJ742">
        <v>0.13333400000000001</v>
      </c>
      <c r="AK742">
        <v>0</v>
      </c>
      <c r="AL742" s="76">
        <v>45895</v>
      </c>
      <c r="AM742" s="75">
        <v>198</v>
      </c>
      <c r="AN742" t="s">
        <v>65</v>
      </c>
      <c r="AO742" t="s">
        <v>2086</v>
      </c>
      <c r="AP742" t="s">
        <v>67</v>
      </c>
      <c r="AQ742" t="s">
        <v>121</v>
      </c>
      <c r="AR742" t="s">
        <v>69</v>
      </c>
      <c r="AS742" s="78"/>
      <c r="AT742" s="82" t="s">
        <v>3279</v>
      </c>
      <c r="AU742" s="78">
        <v>2026</v>
      </c>
      <c r="AV742" s="78">
        <v>3</v>
      </c>
      <c r="AW742" s="78" t="s">
        <v>122</v>
      </c>
      <c r="AX742" s="78">
        <v>1</v>
      </c>
      <c r="AY742" s="78">
        <v>0</v>
      </c>
      <c r="BT742" s="2" t="s">
        <v>122</v>
      </c>
      <c r="BU742" s="2">
        <v>1</v>
      </c>
      <c r="BV742" s="2">
        <v>0</v>
      </c>
    </row>
    <row r="743" spans="1:74" ht="15" customHeight="1" x14ac:dyDescent="0.25">
      <c r="A743" s="75">
        <v>5864849</v>
      </c>
      <c r="B743" t="s">
        <v>3514</v>
      </c>
      <c r="C743" t="s">
        <v>3515</v>
      </c>
      <c r="D743" t="s">
        <v>2379</v>
      </c>
      <c r="E743" t="s">
        <v>87</v>
      </c>
      <c r="F743" s="75">
        <v>390</v>
      </c>
      <c r="G743" s="75">
        <v>286855</v>
      </c>
      <c r="H743">
        <v>364.96</v>
      </c>
      <c r="I743" t="s">
        <v>55</v>
      </c>
      <c r="J743" s="75">
        <v>218787</v>
      </c>
      <c r="K743" t="s">
        <v>96</v>
      </c>
      <c r="L743" t="s">
        <v>97</v>
      </c>
      <c r="M743" s="81">
        <v>46091.306018518517</v>
      </c>
      <c r="N743" s="81">
        <v>46094.442754629628</v>
      </c>
      <c r="O743" t="s">
        <v>58</v>
      </c>
      <c r="P743" t="s">
        <v>59</v>
      </c>
      <c r="Q743" t="s">
        <v>98</v>
      </c>
      <c r="R743" t="s">
        <v>131</v>
      </c>
      <c r="S743" t="s">
        <v>1273</v>
      </c>
      <c r="U743" s="75">
        <v>207911</v>
      </c>
      <c r="V743" t="s">
        <v>3516</v>
      </c>
      <c r="W743" t="s">
        <v>3516</v>
      </c>
      <c r="X743" t="s">
        <v>62</v>
      </c>
      <c r="Y743" t="s">
        <v>63</v>
      </c>
      <c r="AA743" t="s">
        <v>101</v>
      </c>
      <c r="AB743">
        <v>75.183330999999995</v>
      </c>
      <c r="AC743">
        <v>63.849998999999997</v>
      </c>
      <c r="AD743">
        <v>11.333332</v>
      </c>
      <c r="AE743">
        <v>0.55000000000000004</v>
      </c>
      <c r="AF743">
        <v>0</v>
      </c>
      <c r="AG743">
        <v>10.783332</v>
      </c>
      <c r="AH743">
        <v>10.783332</v>
      </c>
      <c r="AI743">
        <v>9.7999989999999997</v>
      </c>
      <c r="AJ743">
        <v>0.98333300000000001</v>
      </c>
      <c r="AK743">
        <v>0</v>
      </c>
      <c r="AL743" s="76">
        <v>44973</v>
      </c>
      <c r="AM743" s="75">
        <v>1118</v>
      </c>
      <c r="AN743" t="s">
        <v>65</v>
      </c>
      <c r="AO743" t="s">
        <v>3517</v>
      </c>
      <c r="AP743" t="s">
        <v>67</v>
      </c>
      <c r="AQ743" t="s">
        <v>68</v>
      </c>
      <c r="AR743" t="s">
        <v>69</v>
      </c>
      <c r="AS743" s="79"/>
      <c r="AT743" s="82" t="s">
        <v>3279</v>
      </c>
      <c r="AU743" s="78">
        <v>2026</v>
      </c>
      <c r="AV743" s="78">
        <v>3</v>
      </c>
      <c r="AW743" s="78" t="s">
        <v>71</v>
      </c>
      <c r="AX743" s="78">
        <v>0</v>
      </c>
      <c r="AY743" s="78">
        <v>0</v>
      </c>
      <c r="BT743" s="3" t="s">
        <v>71</v>
      </c>
      <c r="BU743" s="3">
        <v>0</v>
      </c>
      <c r="BV743" s="3">
        <v>0</v>
      </c>
    </row>
    <row r="744" spans="1:74" ht="15" customHeight="1" x14ac:dyDescent="0.25">
      <c r="A744" s="75">
        <v>5866419</v>
      </c>
      <c r="B744" t="s">
        <v>3518</v>
      </c>
      <c r="C744" t="s">
        <v>1075</v>
      </c>
      <c r="D744" t="s">
        <v>2379</v>
      </c>
      <c r="E744" t="s">
        <v>87</v>
      </c>
      <c r="F744" s="75">
        <v>410</v>
      </c>
      <c r="G744" s="75">
        <v>288779</v>
      </c>
      <c r="H744">
        <v>740.61</v>
      </c>
      <c r="I744" t="s">
        <v>55</v>
      </c>
      <c r="J744" s="75">
        <v>216233</v>
      </c>
      <c r="K744" t="s">
        <v>88</v>
      </c>
      <c r="L744" t="s">
        <v>89</v>
      </c>
      <c r="M744" s="81">
        <v>46092.292141203703</v>
      </c>
      <c r="N744" s="81">
        <v>46094.461608796293</v>
      </c>
      <c r="O744" t="s">
        <v>58</v>
      </c>
      <c r="P744" t="s">
        <v>59</v>
      </c>
      <c r="Q744" t="s">
        <v>90</v>
      </c>
      <c r="R744" t="s">
        <v>60</v>
      </c>
      <c r="S744" t="s">
        <v>583</v>
      </c>
      <c r="U744" s="75">
        <v>208125</v>
      </c>
      <c r="V744" t="s">
        <v>3519</v>
      </c>
      <c r="W744" t="s">
        <v>3519</v>
      </c>
      <c r="X744" t="s">
        <v>62</v>
      </c>
      <c r="Y744" t="s">
        <v>63</v>
      </c>
      <c r="AA744" t="s">
        <v>101</v>
      </c>
      <c r="AB744">
        <v>52.016665000000003</v>
      </c>
      <c r="AC744">
        <v>42.316665999999998</v>
      </c>
      <c r="AD744">
        <v>9.699999</v>
      </c>
      <c r="AE744">
        <v>0.15</v>
      </c>
      <c r="AF744">
        <v>0</v>
      </c>
      <c r="AG744">
        <v>9.5499989999999997</v>
      </c>
      <c r="AH744">
        <v>9.5499989999999997</v>
      </c>
      <c r="AI744">
        <v>9.1833329999999993</v>
      </c>
      <c r="AJ744">
        <v>0.36666599999999999</v>
      </c>
      <c r="AK744">
        <v>0</v>
      </c>
      <c r="AL744" s="76">
        <v>45016</v>
      </c>
      <c r="AM744" s="75">
        <v>1076</v>
      </c>
      <c r="AN744" t="s">
        <v>65</v>
      </c>
      <c r="AO744" t="s">
        <v>1077</v>
      </c>
      <c r="AP744" t="s">
        <v>67</v>
      </c>
      <c r="AQ744" t="s">
        <v>68</v>
      </c>
      <c r="AR744" t="s">
        <v>69</v>
      </c>
      <c r="AS744" s="78"/>
      <c r="AT744" s="82" t="s">
        <v>3279</v>
      </c>
      <c r="AU744" s="78">
        <v>2026</v>
      </c>
      <c r="AV744" s="78">
        <v>3</v>
      </c>
      <c r="AW744" s="78" t="s">
        <v>71</v>
      </c>
      <c r="AX744" s="78">
        <v>0</v>
      </c>
      <c r="AY744" s="78">
        <v>0</v>
      </c>
      <c r="BT744" s="2" t="s">
        <v>71</v>
      </c>
      <c r="BU744" s="2">
        <v>0</v>
      </c>
      <c r="BV744" s="2">
        <v>0</v>
      </c>
    </row>
    <row r="745" spans="1:74" ht="15" customHeight="1" x14ac:dyDescent="0.25">
      <c r="A745" s="75">
        <v>5867099</v>
      </c>
      <c r="B745" t="s">
        <v>3520</v>
      </c>
      <c r="C745" t="s">
        <v>3521</v>
      </c>
      <c r="D745" t="s">
        <v>2379</v>
      </c>
      <c r="E745" t="s">
        <v>87</v>
      </c>
      <c r="F745" s="75">
        <v>245</v>
      </c>
      <c r="G745" s="75">
        <v>286331</v>
      </c>
      <c r="H745">
        <v>364.96</v>
      </c>
      <c r="I745" t="s">
        <v>55</v>
      </c>
      <c r="J745" s="75">
        <v>218787</v>
      </c>
      <c r="K745" t="s">
        <v>96</v>
      </c>
      <c r="L745" t="s">
        <v>97</v>
      </c>
      <c r="M745" s="81">
        <v>46092.528263888889</v>
      </c>
      <c r="N745" s="81">
        <v>46094.466817129629</v>
      </c>
      <c r="O745" t="s">
        <v>58</v>
      </c>
      <c r="P745" t="s">
        <v>59</v>
      </c>
      <c r="Q745" t="s">
        <v>90</v>
      </c>
      <c r="R745" t="s">
        <v>60</v>
      </c>
      <c r="S745" t="s">
        <v>583</v>
      </c>
      <c r="U745" s="75">
        <v>208657</v>
      </c>
      <c r="V745" t="s">
        <v>3522</v>
      </c>
      <c r="W745" t="s">
        <v>3522</v>
      </c>
      <c r="X745" t="s">
        <v>62</v>
      </c>
      <c r="Y745" t="s">
        <v>63</v>
      </c>
      <c r="AA745" t="s">
        <v>101</v>
      </c>
      <c r="AB745">
        <v>46.433332999999998</v>
      </c>
      <c r="AC745">
        <v>37.65</v>
      </c>
      <c r="AD745">
        <v>8.7833330000000007</v>
      </c>
      <c r="AE745">
        <v>0.11666700000000001</v>
      </c>
      <c r="AF745">
        <v>0</v>
      </c>
      <c r="AG745">
        <v>8.6666659999999993</v>
      </c>
      <c r="AH745">
        <v>8.6666659999999993</v>
      </c>
      <c r="AI745">
        <v>8.4</v>
      </c>
      <c r="AJ745">
        <v>0.26666600000000001</v>
      </c>
      <c r="AK745">
        <v>0</v>
      </c>
      <c r="AL745" s="76">
        <v>44888</v>
      </c>
      <c r="AM745" s="75">
        <v>1204</v>
      </c>
      <c r="AN745" t="s">
        <v>65</v>
      </c>
      <c r="AO745" t="s">
        <v>3523</v>
      </c>
      <c r="AP745" t="s">
        <v>67</v>
      </c>
      <c r="AQ745" t="s">
        <v>68</v>
      </c>
      <c r="AR745" t="s">
        <v>69</v>
      </c>
      <c r="AS745" s="79"/>
      <c r="AT745" s="82" t="s">
        <v>3279</v>
      </c>
      <c r="AU745" s="78">
        <v>2026</v>
      </c>
      <c r="AV745" s="78">
        <v>3</v>
      </c>
      <c r="AW745" s="78" t="s">
        <v>71</v>
      </c>
      <c r="AX745" s="78">
        <v>0</v>
      </c>
      <c r="AY745" s="78">
        <v>0</v>
      </c>
      <c r="BT745" s="3" t="s">
        <v>71</v>
      </c>
      <c r="BU745" s="3">
        <v>0</v>
      </c>
      <c r="BV745" s="3">
        <v>0</v>
      </c>
    </row>
    <row r="746" spans="1:74" ht="15" customHeight="1" x14ac:dyDescent="0.25">
      <c r="A746" s="75">
        <v>5867877</v>
      </c>
      <c r="B746" t="s">
        <v>3524</v>
      </c>
      <c r="C746" t="s">
        <v>2107</v>
      </c>
      <c r="D746" t="s">
        <v>527</v>
      </c>
      <c r="E746" t="s">
        <v>87</v>
      </c>
      <c r="F746" s="75">
        <v>5</v>
      </c>
      <c r="G746" s="75">
        <v>278131</v>
      </c>
      <c r="H746">
        <v>0</v>
      </c>
      <c r="I746" t="s">
        <v>242</v>
      </c>
      <c r="J746" s="75">
        <v>203659</v>
      </c>
      <c r="K746" t="s">
        <v>1090</v>
      </c>
      <c r="L746" t="s">
        <v>1091</v>
      </c>
      <c r="M746" s="81">
        <v>46092.800347222219</v>
      </c>
      <c r="N746" s="81">
        <v>46094.569849537038</v>
      </c>
      <c r="O746" t="s">
        <v>58</v>
      </c>
      <c r="P746" t="s">
        <v>59</v>
      </c>
      <c r="Q746" t="s">
        <v>90</v>
      </c>
      <c r="R746" t="s">
        <v>131</v>
      </c>
      <c r="S746" t="s">
        <v>1316</v>
      </c>
      <c r="U746" s="75">
        <v>208893</v>
      </c>
      <c r="V746" t="s">
        <v>3525</v>
      </c>
      <c r="W746" t="s">
        <v>3525</v>
      </c>
      <c r="X746" t="s">
        <v>62</v>
      </c>
      <c r="Y746" t="s">
        <v>63</v>
      </c>
      <c r="AA746" t="s">
        <v>81</v>
      </c>
      <c r="AB746">
        <v>42.400001000000003</v>
      </c>
      <c r="AC746">
        <v>37.816665999999998</v>
      </c>
      <c r="AD746">
        <v>4.5833349999999999</v>
      </c>
      <c r="AE746">
        <v>2.3666670000000001</v>
      </c>
      <c r="AF746">
        <v>0</v>
      </c>
      <c r="AG746">
        <v>2.2166679999999999</v>
      </c>
      <c r="AH746">
        <v>2.2166679999999999</v>
      </c>
      <c r="AI746">
        <v>1.7333339999999999</v>
      </c>
      <c r="AJ746">
        <v>0.48333399999999999</v>
      </c>
      <c r="AK746">
        <v>0</v>
      </c>
      <c r="AL746" s="76">
        <v>44711</v>
      </c>
      <c r="AM746" s="75">
        <v>1381</v>
      </c>
      <c r="AN746" t="s">
        <v>65</v>
      </c>
      <c r="AO746" t="s">
        <v>2109</v>
      </c>
      <c r="AP746" t="s">
        <v>67</v>
      </c>
      <c r="AQ746" t="s">
        <v>68</v>
      </c>
      <c r="AR746" t="s">
        <v>69</v>
      </c>
      <c r="AS746" s="78"/>
      <c r="AT746" s="82" t="s">
        <v>3279</v>
      </c>
      <c r="AU746" s="78">
        <v>2026</v>
      </c>
      <c r="AV746" s="78">
        <v>3</v>
      </c>
      <c r="AW746" s="78" t="s">
        <v>71</v>
      </c>
      <c r="AX746" s="78">
        <v>1</v>
      </c>
      <c r="AY746" s="78">
        <v>0</v>
      </c>
      <c r="BT746" s="2" t="s">
        <v>71</v>
      </c>
      <c r="BU746" s="2">
        <v>1</v>
      </c>
      <c r="BV746" s="2">
        <v>0</v>
      </c>
    </row>
    <row r="747" spans="1:74" ht="15" customHeight="1" x14ac:dyDescent="0.25">
      <c r="A747" s="75">
        <v>5867873</v>
      </c>
      <c r="B747" t="s">
        <v>3526</v>
      </c>
      <c r="C747" t="s">
        <v>2111</v>
      </c>
      <c r="D747" t="s">
        <v>527</v>
      </c>
      <c r="E747" t="s">
        <v>87</v>
      </c>
      <c r="F747" s="75">
        <v>1</v>
      </c>
      <c r="G747" s="75">
        <v>251521</v>
      </c>
      <c r="H747">
        <v>12500</v>
      </c>
      <c r="I747" t="s">
        <v>880</v>
      </c>
      <c r="J747" s="75">
        <v>203659</v>
      </c>
      <c r="K747" t="s">
        <v>1090</v>
      </c>
      <c r="L747" t="s">
        <v>1091</v>
      </c>
      <c r="M747" s="81">
        <v>46092.800312500003</v>
      </c>
      <c r="N747" s="81">
        <v>46094.570023148153</v>
      </c>
      <c r="O747" t="s">
        <v>58</v>
      </c>
      <c r="P747" t="s">
        <v>59</v>
      </c>
      <c r="Q747" t="s">
        <v>90</v>
      </c>
      <c r="R747" t="s">
        <v>99</v>
      </c>
      <c r="S747" t="s">
        <v>1244</v>
      </c>
      <c r="T747" t="s">
        <v>507</v>
      </c>
      <c r="U747" s="75">
        <v>208957</v>
      </c>
      <c r="V747" t="s">
        <v>3527</v>
      </c>
      <c r="W747" t="s">
        <v>3527</v>
      </c>
      <c r="X747" t="s">
        <v>62</v>
      </c>
      <c r="Y747" t="s">
        <v>63</v>
      </c>
      <c r="AA747" t="s">
        <v>81</v>
      </c>
      <c r="AB747">
        <v>42.399999000000001</v>
      </c>
      <c r="AC747">
        <v>39.699998999999998</v>
      </c>
      <c r="AD747">
        <v>2.7</v>
      </c>
      <c r="AE747">
        <v>0.6</v>
      </c>
      <c r="AF747">
        <v>0</v>
      </c>
      <c r="AG747">
        <v>2.1</v>
      </c>
      <c r="AH747">
        <v>2.1</v>
      </c>
      <c r="AI747">
        <v>1.9</v>
      </c>
      <c r="AJ747">
        <v>0.2</v>
      </c>
      <c r="AK747">
        <v>0</v>
      </c>
      <c r="AL747" s="76">
        <v>44657</v>
      </c>
      <c r="AM747" s="75">
        <v>1435</v>
      </c>
      <c r="AN747" t="s">
        <v>65</v>
      </c>
      <c r="AO747" t="s">
        <v>2114</v>
      </c>
      <c r="AP747" t="s">
        <v>67</v>
      </c>
      <c r="AQ747" t="s">
        <v>68</v>
      </c>
      <c r="AR747" t="s">
        <v>69</v>
      </c>
      <c r="AS747" s="79"/>
      <c r="AT747" s="82" t="s">
        <v>3279</v>
      </c>
      <c r="AU747" s="78">
        <v>2026</v>
      </c>
      <c r="AV747" s="78">
        <v>3</v>
      </c>
      <c r="AW747" s="78" t="s">
        <v>71</v>
      </c>
      <c r="AX747" s="78">
        <v>1</v>
      </c>
      <c r="AY747" s="78">
        <v>0</v>
      </c>
      <c r="BT747" s="3" t="s">
        <v>71</v>
      </c>
      <c r="BU747" s="3">
        <v>1</v>
      </c>
      <c r="BV747" s="3">
        <v>0</v>
      </c>
    </row>
    <row r="748" spans="1:74" ht="15" customHeight="1" x14ac:dyDescent="0.25">
      <c r="A748" s="75">
        <v>5869403</v>
      </c>
      <c r="B748" t="s">
        <v>3528</v>
      </c>
      <c r="C748" t="s">
        <v>3529</v>
      </c>
      <c r="D748" t="s">
        <v>1052</v>
      </c>
      <c r="E748" t="s">
        <v>126</v>
      </c>
      <c r="F748" s="75">
        <v>1</v>
      </c>
      <c r="G748" s="75">
        <v>340573</v>
      </c>
      <c r="H748">
        <v>19000</v>
      </c>
      <c r="I748" t="s">
        <v>2049</v>
      </c>
      <c r="J748" s="75">
        <v>227671</v>
      </c>
      <c r="K748" t="s">
        <v>2788</v>
      </c>
      <c r="L748" t="s">
        <v>2789</v>
      </c>
      <c r="M748" s="81">
        <v>46093.769155092603</v>
      </c>
      <c r="N748" s="81">
        <v>46094.7</v>
      </c>
      <c r="O748" t="s">
        <v>58</v>
      </c>
      <c r="P748" t="s">
        <v>59</v>
      </c>
      <c r="R748" t="s">
        <v>99</v>
      </c>
      <c r="S748" t="s">
        <v>1244</v>
      </c>
      <c r="U748" s="75">
        <v>209835</v>
      </c>
      <c r="V748" t="s">
        <v>3530</v>
      </c>
      <c r="X748" t="s">
        <v>118</v>
      </c>
      <c r="Y748" t="s">
        <v>119</v>
      </c>
      <c r="AA748" t="s">
        <v>81</v>
      </c>
      <c r="AB748">
        <v>22.3</v>
      </c>
      <c r="AC748">
        <v>22.116667</v>
      </c>
      <c r="AD748">
        <v>0.183333</v>
      </c>
      <c r="AE748">
        <v>0.11666600000000001</v>
      </c>
      <c r="AF748">
        <v>0</v>
      </c>
      <c r="AG748">
        <v>6.6667000000000004E-2</v>
      </c>
      <c r="AH748">
        <v>6.6667000000000004E-2</v>
      </c>
      <c r="AI748">
        <v>0</v>
      </c>
      <c r="AJ748">
        <v>6.6667000000000004E-2</v>
      </c>
      <c r="AK748">
        <v>0</v>
      </c>
      <c r="AL748" s="76">
        <v>45838</v>
      </c>
      <c r="AM748" s="75">
        <v>255</v>
      </c>
      <c r="AN748" t="s">
        <v>65</v>
      </c>
      <c r="AO748" t="s">
        <v>2791</v>
      </c>
      <c r="AP748" t="s">
        <v>67</v>
      </c>
      <c r="AQ748" t="s">
        <v>121</v>
      </c>
      <c r="AR748" t="s">
        <v>69</v>
      </c>
      <c r="AS748" s="78"/>
      <c r="AT748" s="82" t="s">
        <v>3279</v>
      </c>
      <c r="AU748" s="78">
        <v>2026</v>
      </c>
      <c r="AV748" s="78">
        <v>3</v>
      </c>
      <c r="AW748" s="78" t="s">
        <v>122</v>
      </c>
      <c r="AX748" s="78">
        <v>1</v>
      </c>
      <c r="AY748" s="78">
        <v>0</v>
      </c>
      <c r="BT748" s="2" t="s">
        <v>122</v>
      </c>
      <c r="BU748" s="2">
        <v>1</v>
      </c>
      <c r="BV748" s="2">
        <v>0</v>
      </c>
    </row>
    <row r="749" spans="1:74" ht="15" customHeight="1" x14ac:dyDescent="0.25">
      <c r="A749" s="75">
        <v>5870053</v>
      </c>
      <c r="B749" t="s">
        <v>3531</v>
      </c>
      <c r="C749" t="s">
        <v>3532</v>
      </c>
      <c r="D749" t="s">
        <v>162</v>
      </c>
      <c r="E749" t="s">
        <v>54</v>
      </c>
      <c r="F749" s="75">
        <v>23</v>
      </c>
      <c r="G749" s="75">
        <v>300013</v>
      </c>
      <c r="H749">
        <v>640</v>
      </c>
      <c r="I749" t="s">
        <v>55</v>
      </c>
      <c r="J749" s="75">
        <v>202197</v>
      </c>
      <c r="K749" t="s">
        <v>305</v>
      </c>
      <c r="L749" t="s">
        <v>306</v>
      </c>
      <c r="M749" s="81">
        <v>46094.472685185188</v>
      </c>
      <c r="N749" s="81">
        <v>46094.712534722217</v>
      </c>
      <c r="O749" t="s">
        <v>391</v>
      </c>
      <c r="P749" t="s">
        <v>59</v>
      </c>
      <c r="Q749" t="s">
        <v>90</v>
      </c>
      <c r="R749" t="s">
        <v>60</v>
      </c>
      <c r="S749" t="s">
        <v>1268</v>
      </c>
      <c r="T749" t="s">
        <v>970</v>
      </c>
      <c r="U749" s="75">
        <v>210197</v>
      </c>
      <c r="V749" t="s">
        <v>3533</v>
      </c>
      <c r="W749" t="s">
        <v>3533</v>
      </c>
      <c r="X749" t="s">
        <v>79</v>
      </c>
      <c r="Y749" t="s">
        <v>224</v>
      </c>
      <c r="AA749" t="s">
        <v>81</v>
      </c>
      <c r="AB749">
        <v>5.716666</v>
      </c>
      <c r="AC749">
        <v>4.3499999999999996</v>
      </c>
      <c r="AD749">
        <v>1.3666659999999999</v>
      </c>
      <c r="AE749">
        <v>0.11666600000000001</v>
      </c>
      <c r="AF749">
        <v>0</v>
      </c>
      <c r="AG749">
        <v>1.25</v>
      </c>
      <c r="AH749">
        <v>1.25</v>
      </c>
      <c r="AI749">
        <v>1.2</v>
      </c>
      <c r="AJ749">
        <v>0.05</v>
      </c>
      <c r="AK749">
        <v>0</v>
      </c>
      <c r="AL749" s="76">
        <v>45316</v>
      </c>
      <c r="AM749" s="75">
        <v>778</v>
      </c>
      <c r="AN749" t="s">
        <v>65</v>
      </c>
      <c r="AO749" t="s">
        <v>3534</v>
      </c>
      <c r="AP749" t="s">
        <v>67</v>
      </c>
      <c r="AQ749" t="s">
        <v>83</v>
      </c>
      <c r="AR749" t="s">
        <v>69</v>
      </c>
      <c r="AS749" s="79"/>
      <c r="AT749" s="82" t="s">
        <v>3279</v>
      </c>
      <c r="AU749" s="78">
        <v>2026</v>
      </c>
      <c r="AV749" s="78">
        <v>3</v>
      </c>
      <c r="AW749" s="78" t="s">
        <v>226</v>
      </c>
      <c r="AX749" s="78">
        <v>1</v>
      </c>
      <c r="AY749" s="78">
        <v>0</v>
      </c>
      <c r="BT749" s="3" t="s">
        <v>226</v>
      </c>
      <c r="BU749" s="3">
        <v>1</v>
      </c>
      <c r="BV749" s="3">
        <v>0</v>
      </c>
    </row>
    <row r="750" spans="1:74" ht="15" customHeight="1" x14ac:dyDescent="0.25">
      <c r="A750" s="75">
        <v>5867595</v>
      </c>
      <c r="B750" t="s">
        <v>3535</v>
      </c>
      <c r="C750" t="s">
        <v>3536</v>
      </c>
      <c r="D750" t="s">
        <v>2379</v>
      </c>
      <c r="E750" t="s">
        <v>54</v>
      </c>
      <c r="F750" s="75">
        <v>108</v>
      </c>
      <c r="G750" s="75">
        <v>295681</v>
      </c>
      <c r="H750">
        <v>100</v>
      </c>
      <c r="I750" t="s">
        <v>195</v>
      </c>
      <c r="J750" s="75">
        <v>13955</v>
      </c>
      <c r="K750" t="s">
        <v>75</v>
      </c>
      <c r="L750" t="s">
        <v>76</v>
      </c>
      <c r="M750" s="81">
        <v>46092.698923611111</v>
      </c>
      <c r="N750" s="81">
        <v>46094.743171296293</v>
      </c>
      <c r="O750" t="s">
        <v>58</v>
      </c>
      <c r="P750" t="s">
        <v>59</v>
      </c>
      <c r="Q750" t="s">
        <v>77</v>
      </c>
      <c r="R750" t="s">
        <v>60</v>
      </c>
      <c r="S750" t="s">
        <v>583</v>
      </c>
      <c r="U750" s="75">
        <v>208955</v>
      </c>
      <c r="V750" t="s">
        <v>3537</v>
      </c>
      <c r="W750" t="s">
        <v>3537</v>
      </c>
      <c r="X750" t="s">
        <v>62</v>
      </c>
      <c r="Y750" t="s">
        <v>931</v>
      </c>
      <c r="AA750" t="s">
        <v>101</v>
      </c>
      <c r="AB750">
        <v>48.983333000000002</v>
      </c>
      <c r="AC750">
        <v>36.5</v>
      </c>
      <c r="AD750">
        <v>12.483333</v>
      </c>
      <c r="AE750">
        <v>2.7833329999999998</v>
      </c>
      <c r="AF750">
        <v>0</v>
      </c>
      <c r="AG750">
        <v>9.6999999999999993</v>
      </c>
      <c r="AH750">
        <v>9.6999999999999993</v>
      </c>
      <c r="AI750">
        <v>9.35</v>
      </c>
      <c r="AJ750">
        <v>0.35</v>
      </c>
      <c r="AK750">
        <v>0</v>
      </c>
      <c r="AL750" s="76">
        <v>45436</v>
      </c>
      <c r="AM750" s="75">
        <v>656</v>
      </c>
      <c r="AN750" t="s">
        <v>65</v>
      </c>
      <c r="AO750" t="s">
        <v>932</v>
      </c>
      <c r="AP750" t="s">
        <v>67</v>
      </c>
      <c r="AQ750" t="s">
        <v>68</v>
      </c>
      <c r="AR750" t="s">
        <v>69</v>
      </c>
      <c r="AS750" s="78"/>
      <c r="AT750" s="82" t="s">
        <v>3279</v>
      </c>
      <c r="AU750" s="78">
        <v>2026</v>
      </c>
      <c r="AV750" s="78">
        <v>3</v>
      </c>
      <c r="AW750" s="78" t="s">
        <v>71</v>
      </c>
      <c r="AX750" s="78">
        <v>0</v>
      </c>
      <c r="AY750" s="78">
        <v>0</v>
      </c>
      <c r="BT750" s="2" t="s">
        <v>71</v>
      </c>
      <c r="BU750" s="2">
        <v>0</v>
      </c>
      <c r="BV750" s="2">
        <v>0</v>
      </c>
    </row>
    <row r="751" spans="1:74" ht="15" customHeight="1" x14ac:dyDescent="0.25">
      <c r="A751" s="75">
        <v>5869909</v>
      </c>
      <c r="B751" t="s">
        <v>3538</v>
      </c>
      <c r="C751" t="s">
        <v>3377</v>
      </c>
      <c r="D751" t="s">
        <v>527</v>
      </c>
      <c r="E751" t="s">
        <v>54</v>
      </c>
      <c r="F751" s="75">
        <v>1</v>
      </c>
      <c r="G751" s="75">
        <v>266019</v>
      </c>
      <c r="H751">
        <v>330</v>
      </c>
      <c r="I751" t="s">
        <v>242</v>
      </c>
      <c r="J751" s="75">
        <v>212737</v>
      </c>
      <c r="K751" t="s">
        <v>3378</v>
      </c>
      <c r="L751" t="s">
        <v>3379</v>
      </c>
      <c r="M751" s="81">
        <v>46094.410381944443</v>
      </c>
      <c r="N751" s="81">
        <v>46095.368321759262</v>
      </c>
      <c r="O751" t="s">
        <v>58</v>
      </c>
      <c r="P751" t="s">
        <v>59</v>
      </c>
      <c r="Q751" t="s">
        <v>90</v>
      </c>
      <c r="R751" t="s">
        <v>60</v>
      </c>
      <c r="S751" t="s">
        <v>1268</v>
      </c>
      <c r="T751" t="s">
        <v>970</v>
      </c>
      <c r="U751" s="75">
        <v>210225</v>
      </c>
      <c r="V751" t="s">
        <v>3539</v>
      </c>
      <c r="W751" t="s">
        <v>3539</v>
      </c>
      <c r="X751" t="s">
        <v>79</v>
      </c>
      <c r="Y751" t="s">
        <v>224</v>
      </c>
      <c r="AA751" t="s">
        <v>64</v>
      </c>
      <c r="AB751">
        <v>22.883331999999999</v>
      </c>
      <c r="AC751">
        <v>16.649999999999999</v>
      </c>
      <c r="AD751">
        <v>6.2333319999999999</v>
      </c>
      <c r="AE751">
        <v>0.89999899999999999</v>
      </c>
      <c r="AF751">
        <v>0</v>
      </c>
      <c r="AG751">
        <v>5.3333329999999997</v>
      </c>
      <c r="AH751">
        <v>5.3333329999999997</v>
      </c>
      <c r="AI751">
        <v>5.3</v>
      </c>
      <c r="AJ751">
        <v>3.3333000000000002E-2</v>
      </c>
      <c r="AK751">
        <v>0</v>
      </c>
      <c r="AL751" s="76">
        <v>36526</v>
      </c>
      <c r="AM751" s="75">
        <v>9568</v>
      </c>
      <c r="AN751" t="s">
        <v>65</v>
      </c>
      <c r="AO751" t="s">
        <v>3381</v>
      </c>
      <c r="AP751" t="s">
        <v>67</v>
      </c>
      <c r="AQ751" t="s">
        <v>83</v>
      </c>
      <c r="AR751" t="s">
        <v>69</v>
      </c>
      <c r="AS751" s="79"/>
      <c r="AT751" s="82" t="s">
        <v>3279</v>
      </c>
      <c r="AU751" s="78">
        <v>2026</v>
      </c>
      <c r="AV751" s="78">
        <v>3</v>
      </c>
      <c r="AW751" s="78" t="s">
        <v>226</v>
      </c>
      <c r="AX751" s="78">
        <v>1</v>
      </c>
      <c r="AY751" s="78">
        <v>0</v>
      </c>
      <c r="BT751" s="3" t="s">
        <v>226</v>
      </c>
      <c r="BU751" s="3">
        <v>1</v>
      </c>
      <c r="BV751" s="3">
        <v>0</v>
      </c>
    </row>
    <row r="752" spans="1:74" ht="15" customHeight="1" x14ac:dyDescent="0.25">
      <c r="A752" s="75">
        <v>5870133</v>
      </c>
      <c r="B752" t="s">
        <v>3540</v>
      </c>
      <c r="C752" t="s">
        <v>3541</v>
      </c>
      <c r="D752" t="s">
        <v>150</v>
      </c>
      <c r="E752" t="s">
        <v>87</v>
      </c>
      <c r="F752" s="75">
        <v>241</v>
      </c>
      <c r="G752" s="75">
        <v>286323</v>
      </c>
      <c r="H752">
        <v>364.96</v>
      </c>
      <c r="I752" t="s">
        <v>55</v>
      </c>
      <c r="J752" s="75">
        <v>218787</v>
      </c>
      <c r="K752" t="s">
        <v>96</v>
      </c>
      <c r="L752" t="s">
        <v>97</v>
      </c>
      <c r="M752" s="81">
        <v>46094.51</v>
      </c>
      <c r="N752" s="81">
        <v>46095.380706018521</v>
      </c>
      <c r="O752" t="s">
        <v>58</v>
      </c>
      <c r="P752" t="s">
        <v>59</v>
      </c>
      <c r="Q752" t="s">
        <v>2562</v>
      </c>
      <c r="R752" t="s">
        <v>131</v>
      </c>
      <c r="S752" t="s">
        <v>1316</v>
      </c>
      <c r="U752" s="75">
        <v>210223</v>
      </c>
      <c r="V752" t="s">
        <v>3542</v>
      </c>
      <c r="X752" t="s">
        <v>62</v>
      </c>
      <c r="Y752" t="s">
        <v>63</v>
      </c>
      <c r="AA752" t="s">
        <v>64</v>
      </c>
      <c r="AB752">
        <v>20.866665999999999</v>
      </c>
      <c r="AC752">
        <v>14.916667</v>
      </c>
      <c r="AD752">
        <v>5.949999</v>
      </c>
      <c r="AE752">
        <v>0.183333</v>
      </c>
      <c r="AF752">
        <v>0</v>
      </c>
      <c r="AG752">
        <v>5.7666659999999998</v>
      </c>
      <c r="AH752">
        <v>5.7666659999999998</v>
      </c>
      <c r="AI752">
        <v>5.6833330000000002</v>
      </c>
      <c r="AJ752">
        <v>8.3333000000000004E-2</v>
      </c>
      <c r="AK752">
        <v>0</v>
      </c>
      <c r="AL752" s="76">
        <v>44882</v>
      </c>
      <c r="AM752" s="75">
        <v>1212</v>
      </c>
      <c r="AN752" t="s">
        <v>65</v>
      </c>
      <c r="AO752" t="s">
        <v>3543</v>
      </c>
      <c r="AP752" t="s">
        <v>67</v>
      </c>
      <c r="AQ752" t="s">
        <v>68</v>
      </c>
      <c r="AR752" t="s">
        <v>69</v>
      </c>
      <c r="AS752" s="78"/>
      <c r="AT752" s="82" t="s">
        <v>3279</v>
      </c>
      <c r="AU752" s="78">
        <v>2026</v>
      </c>
      <c r="AV752" s="78">
        <v>3</v>
      </c>
      <c r="AW752" s="78" t="s">
        <v>71</v>
      </c>
      <c r="AX752" s="78">
        <v>1</v>
      </c>
      <c r="AY752" s="78">
        <v>0</v>
      </c>
      <c r="BT752" s="2" t="s">
        <v>71</v>
      </c>
      <c r="BU752" s="2">
        <v>1</v>
      </c>
      <c r="BV752" s="2">
        <v>0</v>
      </c>
    </row>
    <row r="753" spans="1:74" ht="15" customHeight="1" x14ac:dyDescent="0.25">
      <c r="A753" s="75">
        <v>5870103</v>
      </c>
      <c r="B753" t="s">
        <v>3544</v>
      </c>
      <c r="C753" t="s">
        <v>3545</v>
      </c>
      <c r="D753" t="s">
        <v>809</v>
      </c>
      <c r="E753" t="s">
        <v>87</v>
      </c>
      <c r="F753" s="75">
        <v>443</v>
      </c>
      <c r="G753" s="75">
        <v>289315</v>
      </c>
      <c r="H753">
        <v>368.16</v>
      </c>
      <c r="I753" t="s">
        <v>55</v>
      </c>
      <c r="J753" s="75">
        <v>218791</v>
      </c>
      <c r="K753" t="s">
        <v>312</v>
      </c>
      <c r="L753" t="s">
        <v>313</v>
      </c>
      <c r="M753" s="81">
        <v>46094.493645833332</v>
      </c>
      <c r="N753" s="81">
        <v>46095.415486111109</v>
      </c>
      <c r="O753" t="s">
        <v>58</v>
      </c>
      <c r="P753" t="s">
        <v>59</v>
      </c>
      <c r="Q753" t="s">
        <v>90</v>
      </c>
      <c r="R753" t="s">
        <v>131</v>
      </c>
      <c r="S753" t="s">
        <v>1273</v>
      </c>
      <c r="U753" s="75">
        <v>210215</v>
      </c>
      <c r="V753" t="s">
        <v>3546</v>
      </c>
      <c r="W753" t="s">
        <v>3546</v>
      </c>
      <c r="X753" t="s">
        <v>62</v>
      </c>
      <c r="Y753" t="s">
        <v>63</v>
      </c>
      <c r="AA753" t="s">
        <v>64</v>
      </c>
      <c r="AB753">
        <v>22.083333</v>
      </c>
      <c r="AC753">
        <v>15.7</v>
      </c>
      <c r="AD753">
        <v>6.3833330000000004</v>
      </c>
      <c r="AE753">
        <v>0.216666</v>
      </c>
      <c r="AF753">
        <v>0</v>
      </c>
      <c r="AG753">
        <v>6.1666670000000003</v>
      </c>
      <c r="AH753">
        <v>6.1666670000000003</v>
      </c>
      <c r="AI753">
        <v>6.016667</v>
      </c>
      <c r="AJ753">
        <v>0.15</v>
      </c>
      <c r="AK753">
        <v>0</v>
      </c>
      <c r="AL753" s="76">
        <v>45012.757280092592</v>
      </c>
      <c r="AM753" s="75">
        <v>1081</v>
      </c>
      <c r="AN753" t="s">
        <v>65</v>
      </c>
      <c r="AO753" t="s">
        <v>3547</v>
      </c>
      <c r="AP753" t="s">
        <v>67</v>
      </c>
      <c r="AQ753" t="s">
        <v>68</v>
      </c>
      <c r="AR753" t="s">
        <v>69</v>
      </c>
      <c r="AS753" s="79"/>
      <c r="AT753" s="82" t="s">
        <v>3279</v>
      </c>
      <c r="AU753" s="78">
        <v>2026</v>
      </c>
      <c r="AV753" s="78">
        <v>3</v>
      </c>
      <c r="AW753" s="78" t="s">
        <v>71</v>
      </c>
      <c r="AX753" s="78">
        <v>1</v>
      </c>
      <c r="AY753" s="78">
        <v>0</v>
      </c>
      <c r="BT753" s="3" t="s">
        <v>71</v>
      </c>
      <c r="BU753" s="3">
        <v>1</v>
      </c>
      <c r="BV753" s="3">
        <v>0</v>
      </c>
    </row>
    <row r="754" spans="1:74" ht="15" customHeight="1" x14ac:dyDescent="0.25">
      <c r="A754" s="75">
        <v>5860971</v>
      </c>
      <c r="B754" t="s">
        <v>3548</v>
      </c>
      <c r="C754" t="s">
        <v>3549</v>
      </c>
      <c r="D754" t="s">
        <v>2379</v>
      </c>
      <c r="E754" t="s">
        <v>54</v>
      </c>
      <c r="F754" s="75">
        <v>1</v>
      </c>
      <c r="G754" s="75">
        <v>240997</v>
      </c>
      <c r="H754">
        <v>380</v>
      </c>
      <c r="I754" t="s">
        <v>55</v>
      </c>
      <c r="J754" s="75">
        <v>201833</v>
      </c>
      <c r="K754" t="s">
        <v>3550</v>
      </c>
      <c r="L754" t="s">
        <v>3551</v>
      </c>
      <c r="M754" s="81">
        <v>46087.417210648149</v>
      </c>
      <c r="N754" s="81">
        <v>46095.422280092593</v>
      </c>
      <c r="O754" t="s">
        <v>58</v>
      </c>
      <c r="P754" t="s">
        <v>59</v>
      </c>
      <c r="Q754" t="s">
        <v>90</v>
      </c>
      <c r="R754" t="s">
        <v>131</v>
      </c>
      <c r="S754" t="s">
        <v>1273</v>
      </c>
      <c r="U754" s="75">
        <v>208911</v>
      </c>
      <c r="V754" t="s">
        <v>3552</v>
      </c>
      <c r="W754" t="s">
        <v>3553</v>
      </c>
      <c r="X754" t="s">
        <v>79</v>
      </c>
      <c r="Y754" t="s">
        <v>224</v>
      </c>
      <c r="AA754" t="s">
        <v>416</v>
      </c>
      <c r="AB754">
        <v>191.966668</v>
      </c>
      <c r="AC754">
        <v>167.85</v>
      </c>
      <c r="AD754">
        <v>24.116668000000001</v>
      </c>
      <c r="AE754">
        <v>0.4</v>
      </c>
      <c r="AF754">
        <v>0</v>
      </c>
      <c r="AG754">
        <v>23.716667999999999</v>
      </c>
      <c r="AH754">
        <v>23.716667999999999</v>
      </c>
      <c r="AI754">
        <v>23.000001000000001</v>
      </c>
      <c r="AJ754">
        <v>0.71666700000000005</v>
      </c>
      <c r="AK754">
        <v>0</v>
      </c>
      <c r="AL754" s="76">
        <v>44204.589062500003</v>
      </c>
      <c r="AM754" s="75">
        <v>1882</v>
      </c>
      <c r="AN754" t="s">
        <v>65</v>
      </c>
      <c r="AO754" t="s">
        <v>3554</v>
      </c>
      <c r="AP754" t="s">
        <v>67</v>
      </c>
      <c r="AQ754" t="s">
        <v>83</v>
      </c>
      <c r="AR754" t="s">
        <v>69</v>
      </c>
      <c r="AS754" s="78"/>
      <c r="AT754" s="82" t="s">
        <v>3279</v>
      </c>
      <c r="AU754" s="78">
        <v>2026</v>
      </c>
      <c r="AV754" s="78">
        <v>3</v>
      </c>
      <c r="AW754" s="78" t="s">
        <v>226</v>
      </c>
      <c r="AX754" s="78">
        <v>0</v>
      </c>
      <c r="AY754" s="78">
        <v>0</v>
      </c>
      <c r="BT754" s="2" t="s">
        <v>226</v>
      </c>
      <c r="BU754" s="2">
        <v>0</v>
      </c>
      <c r="BV754" s="2">
        <v>0</v>
      </c>
    </row>
    <row r="755" spans="1:74" ht="15" customHeight="1" x14ac:dyDescent="0.25">
      <c r="A755" s="75">
        <v>5870817</v>
      </c>
      <c r="B755" t="s">
        <v>3555</v>
      </c>
      <c r="C755" t="s">
        <v>3289</v>
      </c>
      <c r="D755" t="s">
        <v>150</v>
      </c>
      <c r="E755" t="s">
        <v>87</v>
      </c>
      <c r="F755" s="75">
        <v>225</v>
      </c>
      <c r="G755" s="75">
        <v>286247</v>
      </c>
      <c r="H755">
        <v>368.16</v>
      </c>
      <c r="I755" t="s">
        <v>55</v>
      </c>
      <c r="J755" s="75">
        <v>218791</v>
      </c>
      <c r="K755" t="s">
        <v>312</v>
      </c>
      <c r="L755" t="s">
        <v>313</v>
      </c>
      <c r="M755" s="81">
        <v>46094.636608796303</v>
      </c>
      <c r="N755" s="81">
        <v>46095.424988425933</v>
      </c>
      <c r="O755" t="s">
        <v>58</v>
      </c>
      <c r="P755" t="s">
        <v>59</v>
      </c>
      <c r="Q755" t="s">
        <v>90</v>
      </c>
      <c r="R755" t="s">
        <v>131</v>
      </c>
      <c r="S755" t="s">
        <v>1316</v>
      </c>
      <c r="U755" s="75">
        <v>210467</v>
      </c>
      <c r="V755" t="s">
        <v>3556</v>
      </c>
      <c r="W755" t="s">
        <v>3557</v>
      </c>
      <c r="X755" t="s">
        <v>62</v>
      </c>
      <c r="Y755" t="s">
        <v>63</v>
      </c>
      <c r="AA755" t="s">
        <v>81</v>
      </c>
      <c r="AB755">
        <v>18.899999999999999</v>
      </c>
      <c r="AC755">
        <v>17.05</v>
      </c>
      <c r="AD755">
        <v>1.85</v>
      </c>
      <c r="AE755">
        <v>0.15</v>
      </c>
      <c r="AF755">
        <v>0</v>
      </c>
      <c r="AG755">
        <v>1.7</v>
      </c>
      <c r="AH755">
        <v>1.7</v>
      </c>
      <c r="AI755">
        <v>0.61666699999999997</v>
      </c>
      <c r="AJ755">
        <v>1.0833330000000001</v>
      </c>
      <c r="AK755">
        <v>0</v>
      </c>
      <c r="AL755" s="76">
        <v>44876.622743055559</v>
      </c>
      <c r="AM755" s="75">
        <v>1218</v>
      </c>
      <c r="AN755" t="s">
        <v>65</v>
      </c>
      <c r="AO755" t="s">
        <v>660</v>
      </c>
      <c r="AP755" t="s">
        <v>67</v>
      </c>
      <c r="AQ755" t="s">
        <v>68</v>
      </c>
      <c r="AR755" t="s">
        <v>69</v>
      </c>
      <c r="AS755" s="79"/>
      <c r="AT755" s="82" t="s">
        <v>3279</v>
      </c>
      <c r="AU755" s="78">
        <v>2026</v>
      </c>
      <c r="AV755" s="78">
        <v>3</v>
      </c>
      <c r="AW755" s="78" t="s">
        <v>71</v>
      </c>
      <c r="AX755" s="78">
        <v>1</v>
      </c>
      <c r="AY755" s="78">
        <v>0</v>
      </c>
      <c r="BT755" s="3" t="s">
        <v>71</v>
      </c>
      <c r="BU755" s="3">
        <v>1</v>
      </c>
      <c r="BV755" s="3">
        <v>0</v>
      </c>
    </row>
    <row r="756" spans="1:74" ht="15" customHeight="1" x14ac:dyDescent="0.25">
      <c r="A756" s="75">
        <v>5871533</v>
      </c>
      <c r="B756" t="s">
        <v>3558</v>
      </c>
      <c r="C756" t="s">
        <v>3559</v>
      </c>
      <c r="D756" t="s">
        <v>3560</v>
      </c>
      <c r="E756" t="s">
        <v>54</v>
      </c>
      <c r="F756" s="75">
        <v>6</v>
      </c>
      <c r="G756" s="75">
        <v>277667</v>
      </c>
      <c r="H756">
        <v>367.96</v>
      </c>
      <c r="I756" t="s">
        <v>242</v>
      </c>
      <c r="J756" s="75">
        <v>212603</v>
      </c>
      <c r="K756" t="s">
        <v>538</v>
      </c>
      <c r="L756" t="s">
        <v>539</v>
      </c>
      <c r="M756" s="81">
        <v>46095.444953703707</v>
      </c>
      <c r="N756" s="81">
        <v>46095.566724537042</v>
      </c>
      <c r="O756" t="s">
        <v>58</v>
      </c>
      <c r="P756" t="s">
        <v>59</v>
      </c>
      <c r="Q756" t="s">
        <v>90</v>
      </c>
      <c r="R756" t="s">
        <v>99</v>
      </c>
      <c r="S756" t="s">
        <v>1244</v>
      </c>
      <c r="U756" s="75">
        <v>210719</v>
      </c>
      <c r="V756" t="s">
        <v>3561</v>
      </c>
      <c r="X756" t="s">
        <v>62</v>
      </c>
      <c r="Y756" t="s">
        <v>1358</v>
      </c>
      <c r="AA756" t="s">
        <v>81</v>
      </c>
      <c r="AB756">
        <v>2.9</v>
      </c>
      <c r="AC756">
        <v>0.05</v>
      </c>
      <c r="AD756">
        <v>2.85</v>
      </c>
      <c r="AE756">
        <v>0.25</v>
      </c>
      <c r="AF756">
        <v>0</v>
      </c>
      <c r="AG756">
        <v>2.6</v>
      </c>
      <c r="AH756">
        <v>2.6</v>
      </c>
      <c r="AI756">
        <v>2.3166669999999998</v>
      </c>
      <c r="AJ756">
        <v>0.283333</v>
      </c>
      <c r="AK756">
        <v>0</v>
      </c>
      <c r="AL756" s="76">
        <v>43963</v>
      </c>
      <c r="AM756" s="75">
        <v>2132</v>
      </c>
      <c r="AN756" t="s">
        <v>65</v>
      </c>
      <c r="AO756" t="s">
        <v>3562</v>
      </c>
      <c r="AP756" t="s">
        <v>67</v>
      </c>
      <c r="AQ756" t="s">
        <v>68</v>
      </c>
      <c r="AR756" t="s">
        <v>69</v>
      </c>
      <c r="AS756" s="78"/>
      <c r="AT756" s="82" t="s">
        <v>3279</v>
      </c>
      <c r="AU756" s="78">
        <v>2026</v>
      </c>
      <c r="AV756" s="78">
        <v>3</v>
      </c>
      <c r="AW756" s="78" t="s">
        <v>137</v>
      </c>
      <c r="AX756" s="78">
        <v>1</v>
      </c>
      <c r="AY756" s="78">
        <v>0</v>
      </c>
      <c r="BT756" s="2" t="s">
        <v>137</v>
      </c>
      <c r="BU756" s="2">
        <v>1</v>
      </c>
      <c r="BV756" s="2">
        <v>0</v>
      </c>
    </row>
    <row r="757" spans="1:74" ht="15" customHeight="1" x14ac:dyDescent="0.25">
      <c r="A757" s="75">
        <v>5871443</v>
      </c>
      <c r="B757" t="s">
        <v>3563</v>
      </c>
      <c r="C757" t="s">
        <v>1133</v>
      </c>
      <c r="D757" t="s">
        <v>125</v>
      </c>
      <c r="E757" t="s">
        <v>54</v>
      </c>
      <c r="F757" s="75">
        <v>6</v>
      </c>
      <c r="G757" s="75">
        <v>295417</v>
      </c>
      <c r="H757">
        <v>200</v>
      </c>
      <c r="I757" t="s">
        <v>55</v>
      </c>
      <c r="J757" s="75">
        <v>218297</v>
      </c>
      <c r="K757" t="s">
        <v>258</v>
      </c>
      <c r="L757" t="s">
        <v>259</v>
      </c>
      <c r="M757" s="81">
        <v>46095.360173611109</v>
      </c>
      <c r="N757" s="81">
        <v>46096.563622685193</v>
      </c>
      <c r="O757" t="s">
        <v>58</v>
      </c>
      <c r="P757" t="s">
        <v>59</v>
      </c>
      <c r="Q757" t="s">
        <v>77</v>
      </c>
      <c r="R757" t="s">
        <v>60</v>
      </c>
      <c r="S757" t="s">
        <v>583</v>
      </c>
      <c r="U757" s="75">
        <v>210659</v>
      </c>
      <c r="V757" t="s">
        <v>3564</v>
      </c>
      <c r="W757" t="s">
        <v>3564</v>
      </c>
      <c r="X757" t="s">
        <v>62</v>
      </c>
      <c r="Y757" t="s">
        <v>63</v>
      </c>
      <c r="AA757" t="s">
        <v>81</v>
      </c>
      <c r="AB757">
        <v>28.833334000000001</v>
      </c>
      <c r="AC757">
        <v>24.783332999999999</v>
      </c>
      <c r="AD757">
        <v>4.050001</v>
      </c>
      <c r="AE757">
        <v>0.31666699999999998</v>
      </c>
      <c r="AF757">
        <v>0</v>
      </c>
      <c r="AG757">
        <v>3.7333340000000002</v>
      </c>
      <c r="AH757">
        <v>3.7333340000000002</v>
      </c>
      <c r="AI757">
        <v>3.6666669999999999</v>
      </c>
      <c r="AJ757">
        <v>6.6667000000000004E-2</v>
      </c>
      <c r="AK757">
        <v>0</v>
      </c>
      <c r="AL757" s="76">
        <v>45287.721863425933</v>
      </c>
      <c r="AM757" s="75">
        <v>807</v>
      </c>
      <c r="AN757" t="s">
        <v>65</v>
      </c>
      <c r="AO757" t="s">
        <v>1190</v>
      </c>
      <c r="AP757" t="s">
        <v>67</v>
      </c>
      <c r="AQ757" t="s">
        <v>68</v>
      </c>
      <c r="AR757" t="s">
        <v>69</v>
      </c>
      <c r="AS757" s="79"/>
      <c r="AT757" s="82" t="s">
        <v>3279</v>
      </c>
      <c r="AU757" s="78">
        <v>2026</v>
      </c>
      <c r="AV757" s="78">
        <v>3</v>
      </c>
      <c r="AW757" s="78" t="s">
        <v>71</v>
      </c>
      <c r="AX757" s="78">
        <v>1</v>
      </c>
      <c r="AY757" s="78">
        <v>0</v>
      </c>
      <c r="BT757" s="3" t="s">
        <v>71</v>
      </c>
      <c r="BU757" s="3">
        <v>1</v>
      </c>
      <c r="BV757" s="3">
        <v>0</v>
      </c>
    </row>
    <row r="758" spans="1:74" ht="15" customHeight="1" x14ac:dyDescent="0.25">
      <c r="A758" s="75">
        <v>5871447</v>
      </c>
      <c r="B758" t="s">
        <v>3565</v>
      </c>
      <c r="C758" t="s">
        <v>3566</v>
      </c>
      <c r="D758" t="s">
        <v>527</v>
      </c>
      <c r="E758" t="s">
        <v>126</v>
      </c>
      <c r="F758" s="75">
        <v>1</v>
      </c>
      <c r="G758" s="75">
        <v>287603</v>
      </c>
      <c r="H758">
        <v>0.01</v>
      </c>
      <c r="I758" t="s">
        <v>1405</v>
      </c>
      <c r="J758" s="75">
        <v>228511</v>
      </c>
      <c r="K758" t="s">
        <v>3567</v>
      </c>
      <c r="L758" t="s">
        <v>3568</v>
      </c>
      <c r="M758" s="81">
        <v>46095.363946759258</v>
      </c>
      <c r="N758" s="81">
        <v>46097.339120370372</v>
      </c>
      <c r="O758" t="s">
        <v>58</v>
      </c>
      <c r="P758" t="s">
        <v>59</v>
      </c>
      <c r="Q758" t="s">
        <v>130</v>
      </c>
      <c r="R758" t="s">
        <v>99</v>
      </c>
      <c r="S758" t="s">
        <v>1244</v>
      </c>
      <c r="U758" s="75">
        <v>210655</v>
      </c>
      <c r="V758" t="s">
        <v>3569</v>
      </c>
      <c r="X758" t="s">
        <v>79</v>
      </c>
      <c r="Y758" t="s">
        <v>224</v>
      </c>
      <c r="AA758" t="s">
        <v>81</v>
      </c>
      <c r="AB758">
        <v>47.35</v>
      </c>
      <c r="AC758">
        <v>45.716667000000001</v>
      </c>
      <c r="AD758">
        <v>1.6333329999999999</v>
      </c>
      <c r="AE758">
        <v>8.3333000000000004E-2</v>
      </c>
      <c r="AF758">
        <v>0</v>
      </c>
      <c r="AG758">
        <v>1.55</v>
      </c>
      <c r="AH758">
        <v>1.55</v>
      </c>
      <c r="AI758">
        <v>1.4166669999999999</v>
      </c>
      <c r="AJ758">
        <v>0.13333300000000001</v>
      </c>
      <c r="AK758">
        <v>0</v>
      </c>
      <c r="AL758" s="76"/>
      <c r="AM758" s="75"/>
      <c r="AN758" t="s">
        <v>135</v>
      </c>
      <c r="AO758" t="s">
        <v>3570</v>
      </c>
      <c r="AP758" t="s">
        <v>67</v>
      </c>
      <c r="AQ758" t="s">
        <v>83</v>
      </c>
      <c r="AR758" t="s">
        <v>69</v>
      </c>
      <c r="AS758" s="78"/>
      <c r="AT758" s="82" t="s">
        <v>3571</v>
      </c>
      <c r="AU758" s="78">
        <v>2026</v>
      </c>
      <c r="AV758" s="78">
        <v>3</v>
      </c>
      <c r="AW758" s="78" t="s">
        <v>226</v>
      </c>
      <c r="AX758" s="78">
        <v>1</v>
      </c>
      <c r="AY758" s="78">
        <v>0</v>
      </c>
      <c r="BT758" s="2" t="s">
        <v>226</v>
      </c>
      <c r="BU758" s="2">
        <v>1</v>
      </c>
      <c r="BV758" s="2">
        <v>0</v>
      </c>
    </row>
    <row r="759" spans="1:74" ht="15" customHeight="1" x14ac:dyDescent="0.25">
      <c r="A759" s="75">
        <v>5868707</v>
      </c>
      <c r="B759" t="s">
        <v>3572</v>
      </c>
      <c r="C759" t="s">
        <v>3573</v>
      </c>
      <c r="D759" t="s">
        <v>2379</v>
      </c>
      <c r="E759" t="s">
        <v>87</v>
      </c>
      <c r="F759" s="75">
        <v>733</v>
      </c>
      <c r="G759" s="75">
        <v>344983</v>
      </c>
      <c r="H759">
        <v>334.78</v>
      </c>
      <c r="I759" t="s">
        <v>203</v>
      </c>
      <c r="J759" s="75">
        <v>6971</v>
      </c>
      <c r="K759" t="s">
        <v>369</v>
      </c>
      <c r="L759" t="s">
        <v>370</v>
      </c>
      <c r="M759" s="81">
        <v>46093.528333333343</v>
      </c>
      <c r="N759" s="81">
        <v>46097.422094907408</v>
      </c>
      <c r="O759" t="s">
        <v>58</v>
      </c>
      <c r="P759" t="s">
        <v>59</v>
      </c>
      <c r="Q759" t="s">
        <v>90</v>
      </c>
      <c r="R759" t="s">
        <v>60</v>
      </c>
      <c r="S759" t="s">
        <v>1268</v>
      </c>
      <c r="U759" s="75">
        <v>210965</v>
      </c>
      <c r="V759" t="s">
        <v>3574</v>
      </c>
      <c r="W759" t="s">
        <v>3575</v>
      </c>
      <c r="X759" t="s">
        <v>62</v>
      </c>
      <c r="Y759" t="s">
        <v>2297</v>
      </c>
      <c r="AA759" t="s">
        <v>416</v>
      </c>
      <c r="AB759">
        <v>93.349998999999997</v>
      </c>
      <c r="AC759">
        <v>80.400000000000006</v>
      </c>
      <c r="AD759">
        <v>12.949999</v>
      </c>
      <c r="AE759">
        <v>0.88333300000000003</v>
      </c>
      <c r="AF759">
        <v>0.13333300000000001</v>
      </c>
      <c r="AG759">
        <v>12.066666</v>
      </c>
      <c r="AH759">
        <v>12.199999</v>
      </c>
      <c r="AI759">
        <v>11.416665999999999</v>
      </c>
      <c r="AJ759">
        <v>0.65</v>
      </c>
      <c r="AK759">
        <v>0</v>
      </c>
      <c r="AL759" s="76">
        <v>46149</v>
      </c>
      <c r="AM759" s="75">
        <v>-55</v>
      </c>
      <c r="AN759" t="s">
        <v>1436</v>
      </c>
      <c r="AO759" t="s">
        <v>3576</v>
      </c>
      <c r="AP759" t="s">
        <v>67</v>
      </c>
      <c r="AQ759" t="s">
        <v>68</v>
      </c>
      <c r="AR759" t="s">
        <v>69</v>
      </c>
      <c r="AS759" s="79"/>
      <c r="AT759" s="82" t="s">
        <v>3571</v>
      </c>
      <c r="AU759" s="78">
        <v>2026</v>
      </c>
      <c r="AV759" s="78">
        <v>3</v>
      </c>
      <c r="AW759" s="78" t="s">
        <v>137</v>
      </c>
      <c r="AX759" s="78">
        <v>0</v>
      </c>
      <c r="AY759" s="78">
        <v>0</v>
      </c>
      <c r="BT759" s="3" t="s">
        <v>137</v>
      </c>
      <c r="BU759" s="3">
        <v>0</v>
      </c>
      <c r="BV759" s="3">
        <v>0</v>
      </c>
    </row>
    <row r="760" spans="1:74" ht="15" customHeight="1" x14ac:dyDescent="0.25">
      <c r="A760" s="75">
        <v>5871417</v>
      </c>
      <c r="B760" t="s">
        <v>3577</v>
      </c>
      <c r="C760" t="s">
        <v>1075</v>
      </c>
      <c r="D760" t="s">
        <v>150</v>
      </c>
      <c r="E760" t="s">
        <v>87</v>
      </c>
      <c r="F760" s="75">
        <v>410</v>
      </c>
      <c r="G760" s="75">
        <v>288779</v>
      </c>
      <c r="H760">
        <v>740.61</v>
      </c>
      <c r="I760" t="s">
        <v>55</v>
      </c>
      <c r="J760" s="75">
        <v>216233</v>
      </c>
      <c r="K760" t="s">
        <v>88</v>
      </c>
      <c r="L760" t="s">
        <v>89</v>
      </c>
      <c r="M760" s="81">
        <v>46095.312997685192</v>
      </c>
      <c r="N760" s="81">
        <v>46097.569085648152</v>
      </c>
      <c r="O760" t="s">
        <v>58</v>
      </c>
      <c r="P760" t="s">
        <v>59</v>
      </c>
      <c r="Q760" t="s">
        <v>90</v>
      </c>
      <c r="R760" t="s">
        <v>131</v>
      </c>
      <c r="S760" t="s">
        <v>1316</v>
      </c>
      <c r="U760" s="75">
        <v>210989</v>
      </c>
      <c r="V760" t="s">
        <v>3578</v>
      </c>
      <c r="W760" t="s">
        <v>3578</v>
      </c>
      <c r="X760" t="s">
        <v>62</v>
      </c>
      <c r="Y760" t="s">
        <v>63</v>
      </c>
      <c r="AA760" t="s">
        <v>64</v>
      </c>
      <c r="AB760">
        <v>54.1</v>
      </c>
      <c r="AC760">
        <v>49.533332999999999</v>
      </c>
      <c r="AD760">
        <v>4.5666669999999998</v>
      </c>
      <c r="AE760">
        <v>0.5</v>
      </c>
      <c r="AF760">
        <v>0</v>
      </c>
      <c r="AG760">
        <v>4.0666669999999998</v>
      </c>
      <c r="AH760">
        <v>4.0666669999999998</v>
      </c>
      <c r="AI760">
        <v>3.8</v>
      </c>
      <c r="AJ760">
        <v>0.26666699999999999</v>
      </c>
      <c r="AK760">
        <v>0</v>
      </c>
      <c r="AL760" s="76">
        <v>45016</v>
      </c>
      <c r="AM760" s="75">
        <v>1079</v>
      </c>
      <c r="AN760" t="s">
        <v>65</v>
      </c>
      <c r="AO760" t="s">
        <v>1077</v>
      </c>
      <c r="AP760" t="s">
        <v>67</v>
      </c>
      <c r="AQ760" t="s">
        <v>68</v>
      </c>
      <c r="AR760" t="s">
        <v>69</v>
      </c>
      <c r="AS760" s="78"/>
      <c r="AT760" s="82" t="s">
        <v>3571</v>
      </c>
      <c r="AU760" s="78">
        <v>2026</v>
      </c>
      <c r="AV760" s="78">
        <v>3</v>
      </c>
      <c r="AW760" s="78" t="s">
        <v>71</v>
      </c>
      <c r="AX760" s="78">
        <v>1</v>
      </c>
      <c r="AY760" s="78">
        <v>0</v>
      </c>
      <c r="BT760" s="2" t="s">
        <v>71</v>
      </c>
      <c r="BU760" s="2">
        <v>1</v>
      </c>
      <c r="BV760" s="2">
        <v>0</v>
      </c>
    </row>
    <row r="761" spans="1:74" ht="15" customHeight="1" x14ac:dyDescent="0.25">
      <c r="A761" s="75">
        <v>5871955</v>
      </c>
      <c r="B761" t="s">
        <v>3579</v>
      </c>
      <c r="C761" t="s">
        <v>3580</v>
      </c>
      <c r="D761" t="s">
        <v>527</v>
      </c>
      <c r="E761" t="s">
        <v>87</v>
      </c>
      <c r="F761" s="75">
        <v>233</v>
      </c>
      <c r="G761" s="75">
        <v>286307</v>
      </c>
      <c r="H761">
        <v>364.96</v>
      </c>
      <c r="I761" t="s">
        <v>55</v>
      </c>
      <c r="J761" s="75">
        <v>218787</v>
      </c>
      <c r="K761" t="s">
        <v>96</v>
      </c>
      <c r="L761" t="s">
        <v>97</v>
      </c>
      <c r="M761" s="81">
        <v>46096.139270833337</v>
      </c>
      <c r="N761" s="81">
        <v>46097.575486111113</v>
      </c>
      <c r="O761" t="s">
        <v>58</v>
      </c>
      <c r="P761" t="s">
        <v>59</v>
      </c>
      <c r="Q761" t="s">
        <v>90</v>
      </c>
      <c r="R761" t="s">
        <v>60</v>
      </c>
      <c r="S761" t="s">
        <v>583</v>
      </c>
      <c r="U761" s="75">
        <v>210827</v>
      </c>
      <c r="V761" t="s">
        <v>3581</v>
      </c>
      <c r="W761" t="s">
        <v>3581</v>
      </c>
      <c r="X761" t="s">
        <v>62</v>
      </c>
      <c r="Y761" t="s">
        <v>63</v>
      </c>
      <c r="AA761" t="s">
        <v>81</v>
      </c>
      <c r="AB761">
        <v>34.400001000000003</v>
      </c>
      <c r="AC761">
        <v>30.6</v>
      </c>
      <c r="AD761">
        <v>3.800001</v>
      </c>
      <c r="AE761">
        <v>0.05</v>
      </c>
      <c r="AF761">
        <v>0</v>
      </c>
      <c r="AG761">
        <v>3.7500010000000001</v>
      </c>
      <c r="AH761">
        <v>3.7500010000000001</v>
      </c>
      <c r="AI761">
        <v>3.3166669999999998</v>
      </c>
      <c r="AJ761">
        <v>0.433334</v>
      </c>
      <c r="AK761">
        <v>0</v>
      </c>
      <c r="AL761" s="76">
        <v>44921</v>
      </c>
      <c r="AM761" s="75">
        <v>1175</v>
      </c>
      <c r="AN761" t="s">
        <v>65</v>
      </c>
      <c r="AO761" t="s">
        <v>637</v>
      </c>
      <c r="AP761" t="s">
        <v>67</v>
      </c>
      <c r="AQ761" t="s">
        <v>68</v>
      </c>
      <c r="AR761" t="s">
        <v>69</v>
      </c>
      <c r="AS761" s="79"/>
      <c r="AT761" s="82" t="s">
        <v>3571</v>
      </c>
      <c r="AU761" s="78">
        <v>2026</v>
      </c>
      <c r="AV761" s="78">
        <v>3</v>
      </c>
      <c r="AW761" s="78" t="s">
        <v>71</v>
      </c>
      <c r="AX761" s="78">
        <v>1</v>
      </c>
      <c r="AY761" s="78">
        <v>0</v>
      </c>
      <c r="BT761" s="3" t="s">
        <v>71</v>
      </c>
      <c r="BU761" s="3">
        <v>1</v>
      </c>
      <c r="BV761" s="3">
        <v>0</v>
      </c>
    </row>
    <row r="762" spans="1:74" ht="15" customHeight="1" x14ac:dyDescent="0.25">
      <c r="A762" s="75">
        <v>5871807</v>
      </c>
      <c r="B762" t="s">
        <v>3582</v>
      </c>
      <c r="C762" t="s">
        <v>3583</v>
      </c>
      <c r="D762" t="s">
        <v>527</v>
      </c>
      <c r="E762" t="s">
        <v>87</v>
      </c>
      <c r="F762" s="75">
        <v>215</v>
      </c>
      <c r="G762" s="75">
        <v>286105</v>
      </c>
      <c r="H762">
        <v>521.37</v>
      </c>
      <c r="I762" t="s">
        <v>55</v>
      </c>
      <c r="J762" s="75">
        <v>218787</v>
      </c>
      <c r="K762" t="s">
        <v>96</v>
      </c>
      <c r="L762" t="s">
        <v>97</v>
      </c>
      <c r="M762" s="81">
        <v>46095.736550925933</v>
      </c>
      <c r="N762" s="81">
        <v>46097.575636574067</v>
      </c>
      <c r="O762" t="s">
        <v>58</v>
      </c>
      <c r="P762" t="s">
        <v>59</v>
      </c>
      <c r="Q762" t="s">
        <v>90</v>
      </c>
      <c r="R762" t="s">
        <v>60</v>
      </c>
      <c r="S762" t="s">
        <v>583</v>
      </c>
      <c r="U762" s="75">
        <v>210815</v>
      </c>
      <c r="V762" t="s">
        <v>3584</v>
      </c>
      <c r="W762" t="s">
        <v>3584</v>
      </c>
      <c r="X762" t="s">
        <v>62</v>
      </c>
      <c r="Y762" t="s">
        <v>63</v>
      </c>
      <c r="AA762" t="s">
        <v>81</v>
      </c>
      <c r="AB762">
        <v>44.066667000000002</v>
      </c>
      <c r="AC762">
        <v>39.15</v>
      </c>
      <c r="AD762">
        <v>4.9166670000000003</v>
      </c>
      <c r="AE762">
        <v>1.566667</v>
      </c>
      <c r="AF762">
        <v>0</v>
      </c>
      <c r="AG762">
        <v>3.35</v>
      </c>
      <c r="AH762">
        <v>3.35</v>
      </c>
      <c r="AI762">
        <v>3.0833330000000001</v>
      </c>
      <c r="AJ762">
        <v>0.26666699999999999</v>
      </c>
      <c r="AK762">
        <v>0</v>
      </c>
      <c r="AL762" s="76">
        <v>44894</v>
      </c>
      <c r="AM762" s="75">
        <v>1201</v>
      </c>
      <c r="AN762" t="s">
        <v>65</v>
      </c>
      <c r="AO762" t="s">
        <v>3585</v>
      </c>
      <c r="AP762" t="s">
        <v>67</v>
      </c>
      <c r="AQ762" t="s">
        <v>68</v>
      </c>
      <c r="AR762" t="s">
        <v>69</v>
      </c>
      <c r="AS762" s="78"/>
      <c r="AT762" s="82" t="s">
        <v>3571</v>
      </c>
      <c r="AU762" s="78">
        <v>2026</v>
      </c>
      <c r="AV762" s="78">
        <v>3</v>
      </c>
      <c r="AW762" s="78" t="s">
        <v>71</v>
      </c>
      <c r="AX762" s="78">
        <v>1</v>
      </c>
      <c r="AY762" s="78">
        <v>0</v>
      </c>
      <c r="BT762" s="2" t="s">
        <v>71</v>
      </c>
      <c r="BU762" s="2">
        <v>1</v>
      </c>
      <c r="BV762" s="2">
        <v>0</v>
      </c>
    </row>
    <row r="763" spans="1:74" ht="15" customHeight="1" x14ac:dyDescent="0.25">
      <c r="A763" s="75">
        <v>5868705</v>
      </c>
      <c r="B763" t="s">
        <v>3586</v>
      </c>
      <c r="C763" t="s">
        <v>3587</v>
      </c>
      <c r="D763" t="s">
        <v>956</v>
      </c>
      <c r="E763" t="s">
        <v>87</v>
      </c>
      <c r="F763" s="75">
        <v>1564</v>
      </c>
      <c r="G763" s="75">
        <v>349581</v>
      </c>
      <c r="H763">
        <v>334.78</v>
      </c>
      <c r="I763" t="s">
        <v>163</v>
      </c>
      <c r="J763" s="75">
        <v>6971</v>
      </c>
      <c r="K763" t="s">
        <v>369</v>
      </c>
      <c r="L763" t="s">
        <v>370</v>
      </c>
      <c r="M763" s="81">
        <v>46093.52820601852</v>
      </c>
      <c r="N763" s="81">
        <v>46097.601064814808</v>
      </c>
      <c r="O763" t="s">
        <v>58</v>
      </c>
      <c r="P763" t="s">
        <v>59</v>
      </c>
      <c r="Q763" t="s">
        <v>90</v>
      </c>
      <c r="R763" t="s">
        <v>156</v>
      </c>
      <c r="S763" t="s">
        <v>1682</v>
      </c>
      <c r="U763" s="75">
        <v>210963</v>
      </c>
      <c r="V763" t="s">
        <v>3588</v>
      </c>
      <c r="W763" t="s">
        <v>3589</v>
      </c>
      <c r="X763" t="s">
        <v>62</v>
      </c>
      <c r="Y763" t="s">
        <v>2297</v>
      </c>
      <c r="AA763" t="s">
        <v>416</v>
      </c>
      <c r="AB763">
        <v>97.599998999999997</v>
      </c>
      <c r="AC763">
        <v>76.533332000000001</v>
      </c>
      <c r="AD763">
        <v>21.066666999999999</v>
      </c>
      <c r="AE763">
        <v>6.6667000000000004E-2</v>
      </c>
      <c r="AF763">
        <v>0</v>
      </c>
      <c r="AG763">
        <v>21</v>
      </c>
      <c r="AH763">
        <v>21</v>
      </c>
      <c r="AI763">
        <v>9.8333340000000007</v>
      </c>
      <c r="AJ763">
        <v>11.166665999999999</v>
      </c>
      <c r="AK763">
        <v>0</v>
      </c>
      <c r="AL763" s="76">
        <v>46149.725092592591</v>
      </c>
      <c r="AM763" s="75">
        <v>-56</v>
      </c>
      <c r="AN763" t="s">
        <v>1436</v>
      </c>
      <c r="AO763" t="s">
        <v>3590</v>
      </c>
      <c r="AP763" t="s">
        <v>67</v>
      </c>
      <c r="AQ763" t="s">
        <v>68</v>
      </c>
      <c r="AR763" t="s">
        <v>69</v>
      </c>
      <c r="AS763" s="79"/>
      <c r="AT763" s="82" t="s">
        <v>3571</v>
      </c>
      <c r="AU763" s="78">
        <v>2026</v>
      </c>
      <c r="AV763" s="78">
        <v>3</v>
      </c>
      <c r="AW763" s="78" t="s">
        <v>137</v>
      </c>
      <c r="AX763" s="78">
        <v>0</v>
      </c>
      <c r="AY763" s="78">
        <v>0</v>
      </c>
      <c r="BT763" s="3" t="s">
        <v>137</v>
      </c>
      <c r="BU763" s="3">
        <v>0</v>
      </c>
      <c r="BV763" s="3">
        <v>0</v>
      </c>
    </row>
    <row r="764" spans="1:74" ht="15" customHeight="1" x14ac:dyDescent="0.25">
      <c r="A764" s="75">
        <v>5872935</v>
      </c>
      <c r="B764" t="s">
        <v>3591</v>
      </c>
      <c r="C764" t="s">
        <v>519</v>
      </c>
      <c r="D764" t="s">
        <v>527</v>
      </c>
      <c r="E764" t="s">
        <v>87</v>
      </c>
      <c r="F764" s="75">
        <v>25</v>
      </c>
      <c r="G764" s="75">
        <v>251437</v>
      </c>
      <c r="H764">
        <v>510</v>
      </c>
      <c r="I764" t="s">
        <v>114</v>
      </c>
      <c r="J764" s="75">
        <v>203645</v>
      </c>
      <c r="K764" t="s">
        <v>520</v>
      </c>
      <c r="L764" t="s">
        <v>521</v>
      </c>
      <c r="M764" s="81">
        <v>46097.369247685187</v>
      </c>
      <c r="N764" s="81">
        <v>46098.389085648138</v>
      </c>
      <c r="P764" t="s">
        <v>59</v>
      </c>
      <c r="Q764" t="s">
        <v>77</v>
      </c>
      <c r="R764" t="s">
        <v>60</v>
      </c>
      <c r="S764" t="s">
        <v>583</v>
      </c>
      <c r="U764" s="75">
        <v>211587</v>
      </c>
      <c r="V764" t="s">
        <v>3592</v>
      </c>
      <c r="W764" t="s">
        <v>3592</v>
      </c>
      <c r="X764" t="s">
        <v>118</v>
      </c>
      <c r="Y764" t="s">
        <v>119</v>
      </c>
      <c r="AA764" t="s">
        <v>64</v>
      </c>
      <c r="AB764">
        <v>24.400001</v>
      </c>
      <c r="AC764">
        <v>14.716666999999999</v>
      </c>
      <c r="AD764">
        <v>9.6833340000000003</v>
      </c>
      <c r="AE764">
        <v>2.2000000000000002</v>
      </c>
      <c r="AF764">
        <v>0</v>
      </c>
      <c r="AG764">
        <v>7.4833340000000002</v>
      </c>
      <c r="AH764">
        <v>7.4833340000000002</v>
      </c>
      <c r="AI764">
        <v>7.4333340000000003</v>
      </c>
      <c r="AJ764">
        <v>0.05</v>
      </c>
      <c r="AK764">
        <v>0</v>
      </c>
      <c r="AL764" s="76">
        <v>45076.754201388889</v>
      </c>
      <c r="AM764" s="75">
        <v>1020</v>
      </c>
      <c r="AN764" t="s">
        <v>65</v>
      </c>
      <c r="AO764" t="s">
        <v>2252</v>
      </c>
      <c r="AP764" t="s">
        <v>67</v>
      </c>
      <c r="AQ764" t="s">
        <v>121</v>
      </c>
      <c r="AR764" t="s">
        <v>69</v>
      </c>
      <c r="AS764" s="78"/>
      <c r="AT764" s="82" t="s">
        <v>3571</v>
      </c>
      <c r="AU764" s="78">
        <v>2026</v>
      </c>
      <c r="AV764" s="78">
        <v>3</v>
      </c>
      <c r="AW764" s="78" t="s">
        <v>122</v>
      </c>
      <c r="AX764" s="78">
        <v>1</v>
      </c>
      <c r="AY764" s="78">
        <v>0</v>
      </c>
      <c r="BT764" s="2" t="s">
        <v>122</v>
      </c>
      <c r="BU764" s="2">
        <v>1</v>
      </c>
      <c r="BV764" s="2">
        <v>0</v>
      </c>
    </row>
    <row r="765" spans="1:74" ht="15" customHeight="1" x14ac:dyDescent="0.25">
      <c r="A765" s="75">
        <v>5871129</v>
      </c>
      <c r="B765" t="s">
        <v>3593</v>
      </c>
      <c r="C765" t="s">
        <v>3594</v>
      </c>
      <c r="D765" t="s">
        <v>162</v>
      </c>
      <c r="E765" t="s">
        <v>87</v>
      </c>
      <c r="F765" s="75">
        <v>522</v>
      </c>
      <c r="G765" s="75">
        <v>293437</v>
      </c>
      <c r="H765">
        <v>398.82</v>
      </c>
      <c r="I765" t="s">
        <v>55</v>
      </c>
      <c r="J765" s="75">
        <v>216233</v>
      </c>
      <c r="K765" t="s">
        <v>88</v>
      </c>
      <c r="L765" t="s">
        <v>89</v>
      </c>
      <c r="M765" s="81">
        <v>46094.778460648151</v>
      </c>
      <c r="N765" s="81">
        <v>46098.460347222222</v>
      </c>
      <c r="O765" t="s">
        <v>58</v>
      </c>
      <c r="P765" t="s">
        <v>59</v>
      </c>
      <c r="Q765" t="s">
        <v>98</v>
      </c>
      <c r="R765" t="s">
        <v>60</v>
      </c>
      <c r="S765" t="s">
        <v>583</v>
      </c>
      <c r="U765" s="75">
        <v>211521</v>
      </c>
      <c r="V765" t="s">
        <v>3595</v>
      </c>
      <c r="W765" t="s">
        <v>3595</v>
      </c>
      <c r="X765" t="s">
        <v>62</v>
      </c>
      <c r="Y765" t="s">
        <v>63</v>
      </c>
      <c r="AA765" t="s">
        <v>64</v>
      </c>
      <c r="AB765">
        <v>88.266666999999998</v>
      </c>
      <c r="AC765">
        <v>80.349999999999994</v>
      </c>
      <c r="AD765">
        <v>7.9166670000000003</v>
      </c>
      <c r="AE765">
        <v>2.9</v>
      </c>
      <c r="AF765">
        <v>0</v>
      </c>
      <c r="AG765">
        <v>5.016667</v>
      </c>
      <c r="AH765">
        <v>5.016667</v>
      </c>
      <c r="AI765">
        <v>4.9833340000000002</v>
      </c>
      <c r="AJ765">
        <v>3.3333000000000002E-2</v>
      </c>
      <c r="AK765">
        <v>0</v>
      </c>
      <c r="AL765" s="76">
        <v>45152</v>
      </c>
      <c r="AM765" s="75">
        <v>942</v>
      </c>
      <c r="AN765" t="s">
        <v>65</v>
      </c>
      <c r="AO765" t="s">
        <v>3596</v>
      </c>
      <c r="AP765" t="s">
        <v>67</v>
      </c>
      <c r="AQ765" t="s">
        <v>68</v>
      </c>
      <c r="AR765" t="s">
        <v>69</v>
      </c>
      <c r="AS765" s="79"/>
      <c r="AT765" s="82" t="s">
        <v>3571</v>
      </c>
      <c r="AU765" s="78">
        <v>2026</v>
      </c>
      <c r="AV765" s="78">
        <v>3</v>
      </c>
      <c r="AW765" s="78" t="s">
        <v>71</v>
      </c>
      <c r="AX765" s="78">
        <v>1</v>
      </c>
      <c r="AY765" s="78">
        <v>0</v>
      </c>
      <c r="BT765" s="3" t="s">
        <v>71</v>
      </c>
      <c r="BU765" s="3">
        <v>1</v>
      </c>
      <c r="BV765" s="3">
        <v>0</v>
      </c>
    </row>
    <row r="766" spans="1:74" ht="15" customHeight="1" x14ac:dyDescent="0.25">
      <c r="A766" s="75">
        <v>5871513</v>
      </c>
      <c r="B766" t="s">
        <v>3597</v>
      </c>
      <c r="C766" t="s">
        <v>3598</v>
      </c>
      <c r="D766" t="s">
        <v>162</v>
      </c>
      <c r="E766" t="s">
        <v>87</v>
      </c>
      <c r="F766" s="75">
        <v>376</v>
      </c>
      <c r="G766" s="75">
        <v>286795</v>
      </c>
      <c r="H766">
        <v>364.96</v>
      </c>
      <c r="I766" t="s">
        <v>55</v>
      </c>
      <c r="J766" s="75">
        <v>218787</v>
      </c>
      <c r="K766" t="s">
        <v>96</v>
      </c>
      <c r="L766" t="s">
        <v>97</v>
      </c>
      <c r="M766" s="81">
        <v>46095.410370370373</v>
      </c>
      <c r="N766" s="81">
        <v>46098.468159722222</v>
      </c>
      <c r="O766" t="s">
        <v>58</v>
      </c>
      <c r="P766" t="s">
        <v>59</v>
      </c>
      <c r="Q766" t="s">
        <v>90</v>
      </c>
      <c r="R766" t="s">
        <v>60</v>
      </c>
      <c r="S766" t="s">
        <v>583</v>
      </c>
      <c r="U766" s="75">
        <v>210993</v>
      </c>
      <c r="V766" t="s">
        <v>3599</v>
      </c>
      <c r="W766" t="s">
        <v>3599</v>
      </c>
      <c r="X766" t="s">
        <v>62</v>
      </c>
      <c r="Y766" t="s">
        <v>63</v>
      </c>
      <c r="AA766" t="s">
        <v>101</v>
      </c>
      <c r="AB766">
        <v>73.300000999999995</v>
      </c>
      <c r="AC766">
        <v>63.15</v>
      </c>
      <c r="AD766">
        <v>10.150001</v>
      </c>
      <c r="AE766">
        <v>0.11666700000000001</v>
      </c>
      <c r="AF766">
        <v>0</v>
      </c>
      <c r="AG766">
        <v>10.033334</v>
      </c>
      <c r="AH766">
        <v>10.033334</v>
      </c>
      <c r="AI766">
        <v>9.8666669999999996</v>
      </c>
      <c r="AJ766">
        <v>0.16666700000000001</v>
      </c>
      <c r="AK766">
        <v>0</v>
      </c>
      <c r="AL766" s="76">
        <v>44972</v>
      </c>
      <c r="AM766" s="75">
        <v>1123</v>
      </c>
      <c r="AN766" t="s">
        <v>65</v>
      </c>
      <c r="AO766" t="s">
        <v>3600</v>
      </c>
      <c r="AP766" t="s">
        <v>67</v>
      </c>
      <c r="AQ766" t="s">
        <v>68</v>
      </c>
      <c r="AR766" t="s">
        <v>69</v>
      </c>
      <c r="AS766" s="78"/>
      <c r="AT766" s="82" t="s">
        <v>3571</v>
      </c>
      <c r="AU766" s="78">
        <v>2026</v>
      </c>
      <c r="AV766" s="78">
        <v>3</v>
      </c>
      <c r="AW766" s="78" t="s">
        <v>71</v>
      </c>
      <c r="AX766" s="78">
        <v>0</v>
      </c>
      <c r="AY766" s="78">
        <v>0</v>
      </c>
      <c r="BT766" s="2" t="s">
        <v>71</v>
      </c>
      <c r="BU766" s="2">
        <v>0</v>
      </c>
      <c r="BV766" s="2">
        <v>0</v>
      </c>
    </row>
    <row r="767" spans="1:74" ht="15" customHeight="1" x14ac:dyDescent="0.25">
      <c r="A767" s="75">
        <v>5871163</v>
      </c>
      <c r="B767" t="s">
        <v>3601</v>
      </c>
      <c r="C767" t="s">
        <v>3602</v>
      </c>
      <c r="D767" t="s">
        <v>1555</v>
      </c>
      <c r="E767" t="s">
        <v>87</v>
      </c>
      <c r="F767" s="75">
        <v>385</v>
      </c>
      <c r="G767" s="75">
        <v>286823</v>
      </c>
      <c r="H767">
        <v>364.96</v>
      </c>
      <c r="I767" t="s">
        <v>55</v>
      </c>
      <c r="J767" s="75">
        <v>218787</v>
      </c>
      <c r="K767" t="s">
        <v>96</v>
      </c>
      <c r="L767" t="s">
        <v>97</v>
      </c>
      <c r="M767" s="81">
        <v>46094.792129629634</v>
      </c>
      <c r="N767" s="81">
        <v>46098.475219907406</v>
      </c>
      <c r="O767" t="s">
        <v>58</v>
      </c>
      <c r="P767" t="s">
        <v>59</v>
      </c>
      <c r="Q767" t="s">
        <v>90</v>
      </c>
      <c r="R767" t="s">
        <v>60</v>
      </c>
      <c r="S767" t="s">
        <v>583</v>
      </c>
      <c r="U767" s="75">
        <v>210585</v>
      </c>
      <c r="V767" t="s">
        <v>3603</v>
      </c>
      <c r="W767" t="s">
        <v>3603</v>
      </c>
      <c r="X767" t="s">
        <v>62</v>
      </c>
      <c r="Y767" t="s">
        <v>63</v>
      </c>
      <c r="AA767" t="s">
        <v>64</v>
      </c>
      <c r="AB767">
        <v>88.3</v>
      </c>
      <c r="AC767">
        <v>76.016666999999998</v>
      </c>
      <c r="AD767">
        <v>12.283333000000001</v>
      </c>
      <c r="AE767">
        <v>5.5</v>
      </c>
      <c r="AF767">
        <v>0</v>
      </c>
      <c r="AG767">
        <v>6.7833329999999998</v>
      </c>
      <c r="AH767">
        <v>6.7833329999999998</v>
      </c>
      <c r="AI767">
        <v>6.55</v>
      </c>
      <c r="AJ767">
        <v>0.23333300000000001</v>
      </c>
      <c r="AK767">
        <v>0</v>
      </c>
      <c r="AL767" s="76">
        <v>44981</v>
      </c>
      <c r="AM767" s="75">
        <v>1113</v>
      </c>
      <c r="AN767" t="s">
        <v>65</v>
      </c>
      <c r="AO767" t="s">
        <v>3604</v>
      </c>
      <c r="AP767" t="s">
        <v>67</v>
      </c>
      <c r="AQ767" t="s">
        <v>68</v>
      </c>
      <c r="AR767" t="s">
        <v>69</v>
      </c>
      <c r="AS767" s="79"/>
      <c r="AT767" s="82" t="s">
        <v>3571</v>
      </c>
      <c r="AU767" s="78">
        <v>2026</v>
      </c>
      <c r="AV767" s="78">
        <v>3</v>
      </c>
      <c r="AW767" s="78" t="s">
        <v>71</v>
      </c>
      <c r="AX767" s="78">
        <v>1</v>
      </c>
      <c r="AY767" s="78">
        <v>0</v>
      </c>
      <c r="BT767" s="3" t="s">
        <v>71</v>
      </c>
      <c r="BU767" s="3">
        <v>1</v>
      </c>
      <c r="BV767" s="3">
        <v>0</v>
      </c>
    </row>
    <row r="768" spans="1:74" ht="15" customHeight="1" x14ac:dyDescent="0.25">
      <c r="A768" s="75">
        <v>5873181</v>
      </c>
      <c r="B768" t="s">
        <v>3605</v>
      </c>
      <c r="C768" t="s">
        <v>256</v>
      </c>
      <c r="D768" t="s">
        <v>162</v>
      </c>
      <c r="E768" t="s">
        <v>54</v>
      </c>
      <c r="F768" s="75">
        <v>5</v>
      </c>
      <c r="G768" s="75">
        <v>295415</v>
      </c>
      <c r="H768">
        <v>200</v>
      </c>
      <c r="I768" t="s">
        <v>55</v>
      </c>
      <c r="J768" s="75">
        <v>218297</v>
      </c>
      <c r="K768" t="s">
        <v>258</v>
      </c>
      <c r="L768" t="s">
        <v>259</v>
      </c>
      <c r="M768" s="81">
        <v>46097.41810185185</v>
      </c>
      <c r="N768" s="81">
        <v>46098.475706018522</v>
      </c>
      <c r="O768" t="s">
        <v>391</v>
      </c>
      <c r="P768" t="s">
        <v>59</v>
      </c>
      <c r="Q768" t="s">
        <v>77</v>
      </c>
      <c r="R768" t="s">
        <v>60</v>
      </c>
      <c r="S768" t="s">
        <v>583</v>
      </c>
      <c r="U768" s="75">
        <v>211439</v>
      </c>
      <c r="V768" t="s">
        <v>3606</v>
      </c>
      <c r="W768" t="s">
        <v>3606</v>
      </c>
      <c r="X768" t="s">
        <v>62</v>
      </c>
      <c r="Y768" t="s">
        <v>63</v>
      </c>
      <c r="AA768" t="s">
        <v>101</v>
      </c>
      <c r="AB768">
        <v>25.35</v>
      </c>
      <c r="AC768">
        <v>16.25</v>
      </c>
      <c r="AD768">
        <v>9.1</v>
      </c>
      <c r="AE768">
        <v>0.16666700000000001</v>
      </c>
      <c r="AF768">
        <v>0</v>
      </c>
      <c r="AG768">
        <v>8.9333329999999993</v>
      </c>
      <c r="AH768">
        <v>8.9333329999999993</v>
      </c>
      <c r="AI768">
        <v>8.9333329999999993</v>
      </c>
      <c r="AJ768">
        <v>0</v>
      </c>
      <c r="AK768">
        <v>0</v>
      </c>
      <c r="AL768" s="76">
        <v>45243.44908564815</v>
      </c>
      <c r="AM768" s="75">
        <v>853</v>
      </c>
      <c r="AN768" t="s">
        <v>65</v>
      </c>
      <c r="AO768" t="s">
        <v>3607</v>
      </c>
      <c r="AP768" t="s">
        <v>67</v>
      </c>
      <c r="AQ768" t="s">
        <v>68</v>
      </c>
      <c r="AR768" t="s">
        <v>69</v>
      </c>
      <c r="AS768" s="78"/>
      <c r="AT768" s="82" t="s">
        <v>3571</v>
      </c>
      <c r="AU768" s="78">
        <v>2026</v>
      </c>
      <c r="AV768" s="78">
        <v>3</v>
      </c>
      <c r="AW768" s="78" t="s">
        <v>71</v>
      </c>
      <c r="AX768" s="78">
        <v>0</v>
      </c>
      <c r="AY768" s="78">
        <v>0</v>
      </c>
      <c r="BT768" s="2" t="s">
        <v>71</v>
      </c>
      <c r="BU768" s="2">
        <v>0</v>
      </c>
      <c r="BV768" s="2">
        <v>0</v>
      </c>
    </row>
    <row r="769" spans="1:74" ht="15" customHeight="1" x14ac:dyDescent="0.25">
      <c r="A769" s="75">
        <v>5869025</v>
      </c>
      <c r="B769" t="s">
        <v>3608</v>
      </c>
      <c r="C769" t="s">
        <v>3609</v>
      </c>
      <c r="D769" t="s">
        <v>2379</v>
      </c>
      <c r="E769" t="s">
        <v>87</v>
      </c>
      <c r="F769" s="75">
        <v>402</v>
      </c>
      <c r="G769" s="75">
        <v>167715</v>
      </c>
      <c r="H769">
        <v>1247.45</v>
      </c>
      <c r="I769" t="s">
        <v>114</v>
      </c>
      <c r="J769" s="75">
        <v>6971</v>
      </c>
      <c r="K769" t="s">
        <v>369</v>
      </c>
      <c r="L769" t="s">
        <v>370</v>
      </c>
      <c r="M769" s="81">
        <v>46093.610069444447</v>
      </c>
      <c r="N769" s="81">
        <v>46098.478703703702</v>
      </c>
      <c r="O769" t="s">
        <v>58</v>
      </c>
      <c r="P769" t="s">
        <v>59</v>
      </c>
      <c r="R769" t="s">
        <v>60</v>
      </c>
      <c r="S769" t="s">
        <v>583</v>
      </c>
      <c r="U769" s="75">
        <v>211399</v>
      </c>
      <c r="V769" t="s">
        <v>3610</v>
      </c>
      <c r="W769" t="s">
        <v>3610</v>
      </c>
      <c r="X769" t="s">
        <v>62</v>
      </c>
      <c r="Y769" t="s">
        <v>931</v>
      </c>
      <c r="AA769" t="s">
        <v>64</v>
      </c>
      <c r="AB769">
        <v>116.76666400000001</v>
      </c>
      <c r="AC769">
        <v>108.64999899999999</v>
      </c>
      <c r="AD769">
        <v>8.1166649999999994</v>
      </c>
      <c r="AE769">
        <v>0.33333299999999999</v>
      </c>
      <c r="AF769">
        <v>0</v>
      </c>
      <c r="AG769">
        <v>7.7833319999999997</v>
      </c>
      <c r="AH769">
        <v>7.7833319999999997</v>
      </c>
      <c r="AI769">
        <v>6.3666660000000004</v>
      </c>
      <c r="AJ769">
        <v>1.416666</v>
      </c>
      <c r="AK769">
        <v>0</v>
      </c>
      <c r="AL769" s="76">
        <v>44013.728750000002</v>
      </c>
      <c r="AM769" s="75">
        <v>2079</v>
      </c>
      <c r="AN769" t="s">
        <v>65</v>
      </c>
      <c r="AO769" t="s">
        <v>3611</v>
      </c>
      <c r="AP769" t="s">
        <v>67</v>
      </c>
      <c r="AQ769" t="s">
        <v>68</v>
      </c>
      <c r="AR769" t="s">
        <v>69</v>
      </c>
      <c r="AS769" s="79"/>
      <c r="AT769" s="82" t="s">
        <v>3571</v>
      </c>
      <c r="AU769" s="78">
        <v>2026</v>
      </c>
      <c r="AV769" s="78">
        <v>3</v>
      </c>
      <c r="AW769" s="78" t="s">
        <v>71</v>
      </c>
      <c r="AX769" s="78">
        <v>1</v>
      </c>
      <c r="AY769" s="78">
        <v>0</v>
      </c>
      <c r="BT769" s="3" t="s">
        <v>71</v>
      </c>
      <c r="BU769" s="3">
        <v>1</v>
      </c>
      <c r="BV769" s="3">
        <v>0</v>
      </c>
    </row>
    <row r="770" spans="1:74" ht="15" customHeight="1" x14ac:dyDescent="0.25">
      <c r="A770" s="75">
        <v>5873741</v>
      </c>
      <c r="B770" t="s">
        <v>3612</v>
      </c>
      <c r="C770" t="s">
        <v>3613</v>
      </c>
      <c r="D770" t="s">
        <v>162</v>
      </c>
      <c r="E770" t="s">
        <v>54</v>
      </c>
      <c r="F770" s="75">
        <v>2</v>
      </c>
      <c r="G770" s="75">
        <v>293043</v>
      </c>
      <c r="H770">
        <v>4000</v>
      </c>
      <c r="I770" t="s">
        <v>114</v>
      </c>
      <c r="J770" s="75">
        <v>48975</v>
      </c>
      <c r="K770" t="s">
        <v>3614</v>
      </c>
      <c r="L770" t="s">
        <v>3615</v>
      </c>
      <c r="M770" s="81">
        <v>46097.610509259262</v>
      </c>
      <c r="N770" s="81">
        <v>46098.481030092589</v>
      </c>
      <c r="O770" t="s">
        <v>58</v>
      </c>
      <c r="P770" t="s">
        <v>59</v>
      </c>
      <c r="Q770" t="s">
        <v>77</v>
      </c>
      <c r="R770" t="s">
        <v>99</v>
      </c>
      <c r="S770" t="s">
        <v>1244</v>
      </c>
      <c r="U770" s="75">
        <v>211923</v>
      </c>
      <c r="V770" t="s">
        <v>3616</v>
      </c>
      <c r="X770" t="s">
        <v>118</v>
      </c>
      <c r="Y770" t="s">
        <v>119</v>
      </c>
      <c r="AA770" t="s">
        <v>81</v>
      </c>
      <c r="AB770">
        <v>20.833334000000001</v>
      </c>
      <c r="AC770">
        <v>17.366667</v>
      </c>
      <c r="AD770">
        <v>3.4666670000000002</v>
      </c>
      <c r="AE770">
        <v>0.81666700000000003</v>
      </c>
      <c r="AF770">
        <v>0</v>
      </c>
      <c r="AG770">
        <v>2.65</v>
      </c>
      <c r="AH770">
        <v>2.65</v>
      </c>
      <c r="AI770">
        <v>1.2833330000000001</v>
      </c>
      <c r="AJ770">
        <v>1.3666670000000001</v>
      </c>
      <c r="AK770">
        <v>0</v>
      </c>
      <c r="AL770" s="76">
        <v>45146</v>
      </c>
      <c r="AM770" s="75">
        <v>951</v>
      </c>
      <c r="AN770" t="s">
        <v>65</v>
      </c>
      <c r="AO770" t="s">
        <v>3617</v>
      </c>
      <c r="AP770" t="s">
        <v>67</v>
      </c>
      <c r="AQ770" t="s">
        <v>121</v>
      </c>
      <c r="AR770" t="s">
        <v>69</v>
      </c>
      <c r="AS770" s="78"/>
      <c r="AT770" s="82" t="s">
        <v>3571</v>
      </c>
      <c r="AU770" s="78">
        <v>2026</v>
      </c>
      <c r="AV770" s="78">
        <v>3</v>
      </c>
      <c r="AW770" s="78" t="s">
        <v>122</v>
      </c>
      <c r="AX770" s="78">
        <v>1</v>
      </c>
      <c r="AY770" s="78">
        <v>0</v>
      </c>
      <c r="BT770" s="2" t="s">
        <v>122</v>
      </c>
      <c r="BU770" s="2">
        <v>1</v>
      </c>
      <c r="BV770" s="2">
        <v>0</v>
      </c>
    </row>
    <row r="771" spans="1:74" ht="15" customHeight="1" x14ac:dyDescent="0.25">
      <c r="A771" s="75">
        <v>5876217</v>
      </c>
      <c r="B771" t="s">
        <v>3618</v>
      </c>
      <c r="C771" t="s">
        <v>3619</v>
      </c>
      <c r="D771" t="s">
        <v>956</v>
      </c>
      <c r="E771" t="s">
        <v>87</v>
      </c>
      <c r="F771" s="75">
        <v>75</v>
      </c>
      <c r="G771" s="75">
        <v>279977</v>
      </c>
      <c r="H771">
        <v>731.55</v>
      </c>
      <c r="I771" t="s">
        <v>266</v>
      </c>
      <c r="J771" s="75">
        <v>49495</v>
      </c>
      <c r="K771" t="s">
        <v>460</v>
      </c>
      <c r="L771" t="s">
        <v>461</v>
      </c>
      <c r="M771" s="81">
        <v>46098.319849537038</v>
      </c>
      <c r="N771" s="81">
        <v>46098.520277777781</v>
      </c>
      <c r="O771" t="s">
        <v>58</v>
      </c>
      <c r="P771" t="s">
        <v>59</v>
      </c>
      <c r="Q771" t="s">
        <v>90</v>
      </c>
      <c r="R771" t="s">
        <v>60</v>
      </c>
      <c r="S771" t="s">
        <v>583</v>
      </c>
      <c r="U771" s="75">
        <v>212287</v>
      </c>
      <c r="V771" t="s">
        <v>3620</v>
      </c>
      <c r="W771" t="s">
        <v>3620</v>
      </c>
      <c r="X771" t="s">
        <v>62</v>
      </c>
      <c r="Y771" t="s">
        <v>931</v>
      </c>
      <c r="AA771" t="s">
        <v>81</v>
      </c>
      <c r="AB771">
        <v>4.75</v>
      </c>
      <c r="AC771">
        <v>0.88333300000000003</v>
      </c>
      <c r="AD771">
        <v>3.8666670000000001</v>
      </c>
      <c r="AE771">
        <v>0.683334</v>
      </c>
      <c r="AF771">
        <v>0</v>
      </c>
      <c r="AG771">
        <v>3.1833330000000002</v>
      </c>
      <c r="AH771">
        <v>3.1833330000000002</v>
      </c>
      <c r="AI771">
        <v>2.5499999999999998</v>
      </c>
      <c r="AJ771">
        <v>0.63333300000000003</v>
      </c>
      <c r="AK771">
        <v>0</v>
      </c>
      <c r="AL771" s="76">
        <v>44774</v>
      </c>
      <c r="AM771" s="75">
        <v>1324</v>
      </c>
      <c r="AN771" t="s">
        <v>65</v>
      </c>
      <c r="AO771" t="s">
        <v>3621</v>
      </c>
      <c r="AP771" t="s">
        <v>67</v>
      </c>
      <c r="AQ771" t="s">
        <v>68</v>
      </c>
      <c r="AR771" t="s">
        <v>69</v>
      </c>
      <c r="AS771" s="79"/>
      <c r="AT771" s="82" t="s">
        <v>3571</v>
      </c>
      <c r="AU771" s="78">
        <v>2026</v>
      </c>
      <c r="AV771" s="78">
        <v>3</v>
      </c>
      <c r="AW771" s="78" t="s">
        <v>71</v>
      </c>
      <c r="AX771" s="78">
        <v>1</v>
      </c>
      <c r="AY771" s="78">
        <v>0</v>
      </c>
      <c r="BT771" s="3" t="s">
        <v>71</v>
      </c>
      <c r="BU771" s="3">
        <v>1</v>
      </c>
      <c r="BV771" s="3">
        <v>0</v>
      </c>
    </row>
    <row r="772" spans="1:74" ht="15" customHeight="1" x14ac:dyDescent="0.25">
      <c r="A772" s="75">
        <v>5875909</v>
      </c>
      <c r="B772" t="s">
        <v>3622</v>
      </c>
      <c r="C772" t="s">
        <v>3623</v>
      </c>
      <c r="D772" t="s">
        <v>527</v>
      </c>
      <c r="E772" t="s">
        <v>87</v>
      </c>
      <c r="F772" s="75">
        <v>54</v>
      </c>
      <c r="G772" s="75">
        <v>275347</v>
      </c>
      <c r="H772">
        <v>546.37</v>
      </c>
      <c r="I772" t="s">
        <v>55</v>
      </c>
      <c r="J772" s="75">
        <v>216233</v>
      </c>
      <c r="K772" t="s">
        <v>88</v>
      </c>
      <c r="L772" t="s">
        <v>89</v>
      </c>
      <c r="M772" s="81">
        <v>46097.750439814823</v>
      </c>
      <c r="N772" s="81">
        <v>46098.529085648152</v>
      </c>
      <c r="O772" t="s">
        <v>58</v>
      </c>
      <c r="P772" t="s">
        <v>59</v>
      </c>
      <c r="Q772" t="s">
        <v>90</v>
      </c>
      <c r="R772" t="s">
        <v>99</v>
      </c>
      <c r="S772" t="s">
        <v>1244</v>
      </c>
      <c r="U772" s="75">
        <v>211973</v>
      </c>
      <c r="V772" t="s">
        <v>3624</v>
      </c>
      <c r="W772" t="s">
        <v>3624</v>
      </c>
      <c r="X772" t="s">
        <v>62</v>
      </c>
      <c r="Y772" t="s">
        <v>63</v>
      </c>
      <c r="AA772" t="s">
        <v>81</v>
      </c>
      <c r="AB772">
        <v>18.633333</v>
      </c>
      <c r="AC772">
        <v>17.083333</v>
      </c>
      <c r="AD772">
        <v>1.55</v>
      </c>
      <c r="AE772">
        <v>0.23333300000000001</v>
      </c>
      <c r="AF772">
        <v>0</v>
      </c>
      <c r="AG772">
        <v>1.316667</v>
      </c>
      <c r="AH772">
        <v>1.316667</v>
      </c>
      <c r="AI772">
        <v>0.85</v>
      </c>
      <c r="AJ772">
        <v>0.466667</v>
      </c>
      <c r="AK772">
        <v>0</v>
      </c>
      <c r="AL772" s="76">
        <v>44980</v>
      </c>
      <c r="AM772" s="75">
        <v>1117</v>
      </c>
      <c r="AN772" t="s">
        <v>65</v>
      </c>
      <c r="AO772" t="s">
        <v>1614</v>
      </c>
      <c r="AP772" t="s">
        <v>67</v>
      </c>
      <c r="AQ772" t="s">
        <v>68</v>
      </c>
      <c r="AR772" t="s">
        <v>69</v>
      </c>
      <c r="AS772" s="78"/>
      <c r="AT772" s="82" t="s">
        <v>3571</v>
      </c>
      <c r="AU772" s="78">
        <v>2026</v>
      </c>
      <c r="AV772" s="78">
        <v>3</v>
      </c>
      <c r="AW772" s="78" t="s">
        <v>71</v>
      </c>
      <c r="AX772" s="78">
        <v>1</v>
      </c>
      <c r="AY772" s="78">
        <v>0</v>
      </c>
      <c r="BT772" s="2" t="s">
        <v>71</v>
      </c>
      <c r="BU772" s="2">
        <v>1</v>
      </c>
      <c r="BV772" s="2">
        <v>0</v>
      </c>
    </row>
    <row r="773" spans="1:74" ht="15" customHeight="1" x14ac:dyDescent="0.25">
      <c r="A773" s="75">
        <v>5876175</v>
      </c>
      <c r="B773" t="s">
        <v>3625</v>
      </c>
      <c r="C773" t="s">
        <v>3626</v>
      </c>
      <c r="D773" t="s">
        <v>527</v>
      </c>
      <c r="E773" t="s">
        <v>87</v>
      </c>
      <c r="F773" s="75">
        <v>876</v>
      </c>
      <c r="G773" s="75">
        <v>332289</v>
      </c>
      <c r="H773">
        <v>700</v>
      </c>
      <c r="I773" t="s">
        <v>141</v>
      </c>
      <c r="J773" s="75">
        <v>19913</v>
      </c>
      <c r="K773" t="s">
        <v>2336</v>
      </c>
      <c r="L773" t="s">
        <v>2337</v>
      </c>
      <c r="M773" s="81">
        <v>46098.235925925917</v>
      </c>
      <c r="N773" s="81">
        <v>46098.531967592593</v>
      </c>
      <c r="O773" t="s">
        <v>58</v>
      </c>
      <c r="P773" t="s">
        <v>59</v>
      </c>
      <c r="Q773" t="s">
        <v>130</v>
      </c>
      <c r="R773" t="s">
        <v>60</v>
      </c>
      <c r="S773" t="s">
        <v>583</v>
      </c>
      <c r="U773" s="75">
        <v>212019</v>
      </c>
      <c r="V773" t="s">
        <v>3627</v>
      </c>
      <c r="X773" t="s">
        <v>62</v>
      </c>
      <c r="Y773" t="s">
        <v>271</v>
      </c>
      <c r="AA773" t="s">
        <v>64</v>
      </c>
      <c r="AB773">
        <v>7.0333329999999998</v>
      </c>
      <c r="AC773">
        <v>1.9</v>
      </c>
      <c r="AD773">
        <v>5.1333330000000004</v>
      </c>
      <c r="AE773">
        <v>0.53333299999999995</v>
      </c>
      <c r="AF773">
        <v>0</v>
      </c>
      <c r="AG773">
        <v>4.5999999999999996</v>
      </c>
      <c r="AH773">
        <v>4.5999999999999996</v>
      </c>
      <c r="AI773">
        <v>4.2833329999999998</v>
      </c>
      <c r="AJ773">
        <v>0.31666699999999998</v>
      </c>
      <c r="AK773">
        <v>0</v>
      </c>
      <c r="AL773" s="76">
        <v>45699.675856481481</v>
      </c>
      <c r="AM773" s="75">
        <v>398</v>
      </c>
      <c r="AN773" t="s">
        <v>65</v>
      </c>
      <c r="AO773" t="s">
        <v>3628</v>
      </c>
      <c r="AP773" t="s">
        <v>67</v>
      </c>
      <c r="AQ773" t="s">
        <v>68</v>
      </c>
      <c r="AR773" t="s">
        <v>69</v>
      </c>
      <c r="AS773" s="79"/>
      <c r="AT773" s="82" t="s">
        <v>3571</v>
      </c>
      <c r="AU773" s="78">
        <v>2026</v>
      </c>
      <c r="AV773" s="78">
        <v>3</v>
      </c>
      <c r="AW773" s="78" t="s">
        <v>137</v>
      </c>
      <c r="AX773" s="78">
        <v>1</v>
      </c>
      <c r="AY773" s="78">
        <v>0</v>
      </c>
      <c r="BT773" s="3" t="s">
        <v>137</v>
      </c>
      <c r="BU773" s="3">
        <v>1</v>
      </c>
      <c r="BV773" s="3">
        <v>0</v>
      </c>
    </row>
    <row r="774" spans="1:74" ht="15" customHeight="1" x14ac:dyDescent="0.25">
      <c r="A774" s="75">
        <v>5873021</v>
      </c>
      <c r="B774" t="s">
        <v>3629</v>
      </c>
      <c r="C774" t="s">
        <v>3630</v>
      </c>
      <c r="D774" t="s">
        <v>162</v>
      </c>
      <c r="E774" t="s">
        <v>105</v>
      </c>
      <c r="F774" s="75">
        <v>617</v>
      </c>
      <c r="G774" s="75">
        <v>105917</v>
      </c>
      <c r="H774">
        <v>429.9</v>
      </c>
      <c r="I774" t="s">
        <v>114</v>
      </c>
      <c r="J774" s="75">
        <v>44343</v>
      </c>
      <c r="K774" t="s">
        <v>3631</v>
      </c>
      <c r="L774" t="s">
        <v>3632</v>
      </c>
      <c r="M774" s="81">
        <v>46097.386655092603</v>
      </c>
      <c r="N774" s="81">
        <v>46098.535243055558</v>
      </c>
      <c r="O774" t="s">
        <v>58</v>
      </c>
      <c r="P774" t="s">
        <v>59</v>
      </c>
      <c r="Q774" t="s">
        <v>130</v>
      </c>
      <c r="R774" t="s">
        <v>2399</v>
      </c>
      <c r="S774" t="s">
        <v>1491</v>
      </c>
      <c r="U774" s="75">
        <v>211375</v>
      </c>
      <c r="V774" t="s">
        <v>3633</v>
      </c>
      <c r="X774" t="s">
        <v>118</v>
      </c>
      <c r="Y774" t="s">
        <v>119</v>
      </c>
      <c r="AA774" t="s">
        <v>64</v>
      </c>
      <c r="AB774">
        <v>27.516667000000002</v>
      </c>
      <c r="AC774">
        <v>21.833333</v>
      </c>
      <c r="AD774">
        <v>5.6833340000000003</v>
      </c>
      <c r="AE774">
        <v>0.35</v>
      </c>
      <c r="AF774">
        <v>0</v>
      </c>
      <c r="AG774">
        <v>5.3333339999999998</v>
      </c>
      <c r="AH774">
        <v>5.3333339999999998</v>
      </c>
      <c r="AI774">
        <v>5.2333340000000002</v>
      </c>
      <c r="AJ774">
        <v>0.1</v>
      </c>
      <c r="AK774">
        <v>0</v>
      </c>
      <c r="AL774" s="76">
        <v>43535.81046296296</v>
      </c>
      <c r="AM774" s="75">
        <v>2561</v>
      </c>
      <c r="AN774" t="s">
        <v>65</v>
      </c>
      <c r="AO774" t="s">
        <v>3634</v>
      </c>
      <c r="AP774" t="s">
        <v>67</v>
      </c>
      <c r="AQ774" t="s">
        <v>121</v>
      </c>
      <c r="AR774" t="s">
        <v>69</v>
      </c>
      <c r="AS774" s="78"/>
      <c r="AT774" s="82" t="s">
        <v>3571</v>
      </c>
      <c r="AU774" s="78">
        <v>2026</v>
      </c>
      <c r="AV774" s="78">
        <v>3</v>
      </c>
      <c r="AW774" s="78" t="s">
        <v>122</v>
      </c>
      <c r="AX774" s="78">
        <v>1</v>
      </c>
      <c r="AY774" s="78">
        <v>0</v>
      </c>
      <c r="BT774" s="2" t="s">
        <v>122</v>
      </c>
      <c r="BU774" s="2">
        <v>1</v>
      </c>
      <c r="BV774" s="2">
        <v>0</v>
      </c>
    </row>
    <row r="775" spans="1:74" ht="15" customHeight="1" x14ac:dyDescent="0.25">
      <c r="A775" s="75">
        <v>5872597</v>
      </c>
      <c r="B775" t="s">
        <v>3635</v>
      </c>
      <c r="C775" t="s">
        <v>3636</v>
      </c>
      <c r="D775" t="s">
        <v>282</v>
      </c>
      <c r="E775" t="s">
        <v>87</v>
      </c>
      <c r="F775" s="75">
        <v>1</v>
      </c>
      <c r="G775" s="75">
        <v>254805</v>
      </c>
      <c r="H775">
        <v>0.01</v>
      </c>
      <c r="I775" t="s">
        <v>114</v>
      </c>
      <c r="J775" s="75">
        <v>204531</v>
      </c>
      <c r="K775" t="s">
        <v>3061</v>
      </c>
      <c r="L775" t="s">
        <v>3062</v>
      </c>
      <c r="M775" s="81">
        <v>46097.097812499997</v>
      </c>
      <c r="N775" s="81">
        <v>46098.535856481481</v>
      </c>
      <c r="O775" t="s">
        <v>58</v>
      </c>
      <c r="P775" t="s">
        <v>59</v>
      </c>
      <c r="Q775" t="s">
        <v>90</v>
      </c>
      <c r="R775" t="s">
        <v>60</v>
      </c>
      <c r="S775" t="s">
        <v>583</v>
      </c>
      <c r="U775" s="75">
        <v>210949</v>
      </c>
      <c r="V775" t="s">
        <v>3637</v>
      </c>
      <c r="W775" t="s">
        <v>3637</v>
      </c>
      <c r="X775" t="s">
        <v>79</v>
      </c>
      <c r="Y775" t="s">
        <v>224</v>
      </c>
      <c r="AA775" t="s">
        <v>416</v>
      </c>
      <c r="AB775">
        <v>34.433335</v>
      </c>
      <c r="AC775">
        <v>21.183333999999999</v>
      </c>
      <c r="AD775">
        <v>13.250000999999999</v>
      </c>
      <c r="AE775">
        <v>0.48333399999999999</v>
      </c>
      <c r="AF775">
        <v>0</v>
      </c>
      <c r="AG775">
        <v>12.766667</v>
      </c>
      <c r="AH775">
        <v>12.766667</v>
      </c>
      <c r="AI775">
        <v>12.55</v>
      </c>
      <c r="AJ775">
        <v>0.216667</v>
      </c>
      <c r="AK775">
        <v>0</v>
      </c>
      <c r="AL775" s="76">
        <v>44858.594537037039</v>
      </c>
      <c r="AM775" s="75">
        <v>1238</v>
      </c>
      <c r="AN775" t="s">
        <v>65</v>
      </c>
      <c r="AO775" t="s">
        <v>3638</v>
      </c>
      <c r="AP775" t="s">
        <v>67</v>
      </c>
      <c r="AQ775" t="s">
        <v>83</v>
      </c>
      <c r="AR775" t="s">
        <v>69</v>
      </c>
      <c r="AS775" s="79"/>
      <c r="AT775" s="82" t="s">
        <v>3571</v>
      </c>
      <c r="AU775" s="78">
        <v>2026</v>
      </c>
      <c r="AV775" s="78">
        <v>3</v>
      </c>
      <c r="AW775" s="78" t="s">
        <v>226</v>
      </c>
      <c r="AX775" s="78">
        <v>0</v>
      </c>
      <c r="AY775" s="78">
        <v>0</v>
      </c>
      <c r="BT775" s="3" t="s">
        <v>226</v>
      </c>
      <c r="BU775" s="3">
        <v>0</v>
      </c>
      <c r="BV775" s="3">
        <v>0</v>
      </c>
    </row>
    <row r="776" spans="1:74" ht="15" customHeight="1" x14ac:dyDescent="0.25">
      <c r="A776" s="75">
        <v>5872293</v>
      </c>
      <c r="B776" t="s">
        <v>3639</v>
      </c>
      <c r="C776" t="s">
        <v>3640</v>
      </c>
      <c r="D776" t="s">
        <v>527</v>
      </c>
      <c r="E776" t="s">
        <v>54</v>
      </c>
      <c r="F776" s="75">
        <v>765</v>
      </c>
      <c r="G776" s="75">
        <v>293285</v>
      </c>
      <c r="H776">
        <v>471.74</v>
      </c>
      <c r="I776" t="s">
        <v>55</v>
      </c>
      <c r="J776" s="75">
        <v>218497</v>
      </c>
      <c r="K776" t="s">
        <v>56</v>
      </c>
      <c r="L776" t="s">
        <v>57</v>
      </c>
      <c r="M776" s="81">
        <v>46096.726342592592</v>
      </c>
      <c r="N776" s="81">
        <v>46098.558333333327</v>
      </c>
      <c r="O776" t="s">
        <v>475</v>
      </c>
      <c r="P776" t="s">
        <v>59</v>
      </c>
      <c r="Q776" t="s">
        <v>130</v>
      </c>
      <c r="R776" t="s">
        <v>99</v>
      </c>
      <c r="S776" t="s">
        <v>1244</v>
      </c>
      <c r="U776" s="75">
        <v>212523</v>
      </c>
      <c r="V776" t="s">
        <v>3641</v>
      </c>
      <c r="W776" t="s">
        <v>3642</v>
      </c>
      <c r="X776" t="s">
        <v>62</v>
      </c>
      <c r="Y776" t="s">
        <v>63</v>
      </c>
      <c r="AA776" t="s">
        <v>101</v>
      </c>
      <c r="AB776">
        <v>43.866666000000002</v>
      </c>
      <c r="AC776">
        <v>32.65</v>
      </c>
      <c r="AD776">
        <v>11.216666</v>
      </c>
      <c r="AE776">
        <v>0.1</v>
      </c>
      <c r="AF776">
        <v>0</v>
      </c>
      <c r="AG776">
        <v>11.116666</v>
      </c>
      <c r="AH776">
        <v>11.116666</v>
      </c>
      <c r="AI776">
        <v>9.2833330000000007</v>
      </c>
      <c r="AJ776">
        <v>1.8333330000000001</v>
      </c>
      <c r="AK776">
        <v>0</v>
      </c>
      <c r="AL776" s="76">
        <v>45163.74082175926</v>
      </c>
      <c r="AM776" s="75">
        <v>932</v>
      </c>
      <c r="AN776" t="s">
        <v>65</v>
      </c>
      <c r="AO776" t="s">
        <v>771</v>
      </c>
      <c r="AP776" t="s">
        <v>67</v>
      </c>
      <c r="AQ776" t="s">
        <v>68</v>
      </c>
      <c r="AR776" t="s">
        <v>69</v>
      </c>
      <c r="AS776" s="78"/>
      <c r="AT776" s="82" t="s">
        <v>3571</v>
      </c>
      <c r="AU776" s="78">
        <v>2026</v>
      </c>
      <c r="AV776" s="78">
        <v>3</v>
      </c>
      <c r="AW776" s="78" t="s">
        <v>71</v>
      </c>
      <c r="AX776" s="78">
        <v>0</v>
      </c>
      <c r="AY776" s="78">
        <v>0</v>
      </c>
      <c r="BT776" s="2" t="s">
        <v>71</v>
      </c>
      <c r="BU776" s="2">
        <v>0</v>
      </c>
      <c r="BV776" s="2">
        <v>0</v>
      </c>
    </row>
    <row r="777" spans="1:74" ht="15" customHeight="1" x14ac:dyDescent="0.25">
      <c r="A777" s="75">
        <v>5873153</v>
      </c>
      <c r="B777" t="s">
        <v>3643</v>
      </c>
      <c r="C777" t="s">
        <v>3644</v>
      </c>
      <c r="D777" t="s">
        <v>527</v>
      </c>
      <c r="E777" t="s">
        <v>54</v>
      </c>
      <c r="F777" s="75">
        <v>1</v>
      </c>
      <c r="G777" s="75">
        <v>266559</v>
      </c>
      <c r="H777">
        <v>360</v>
      </c>
      <c r="I777" t="s">
        <v>242</v>
      </c>
      <c r="J777" s="75">
        <v>213143</v>
      </c>
      <c r="K777" t="s">
        <v>3645</v>
      </c>
      <c r="L777" t="s">
        <v>3646</v>
      </c>
      <c r="M777" s="81">
        <v>46097.410578703697</v>
      </c>
      <c r="N777" s="81">
        <v>46098.619085648148</v>
      </c>
      <c r="O777" t="s">
        <v>58</v>
      </c>
      <c r="P777" t="s">
        <v>59</v>
      </c>
      <c r="Q777" t="s">
        <v>130</v>
      </c>
      <c r="R777" t="s">
        <v>60</v>
      </c>
      <c r="S777" t="s">
        <v>1268</v>
      </c>
      <c r="T777" t="s">
        <v>970</v>
      </c>
      <c r="U777" s="75">
        <v>212035</v>
      </c>
      <c r="V777" t="s">
        <v>3647</v>
      </c>
      <c r="W777" t="s">
        <v>3648</v>
      </c>
      <c r="X777" t="s">
        <v>79</v>
      </c>
      <c r="Y777" t="s">
        <v>224</v>
      </c>
      <c r="AA777" t="s">
        <v>101</v>
      </c>
      <c r="AB777">
        <v>28.933330999999999</v>
      </c>
      <c r="AC777">
        <v>18.933333000000001</v>
      </c>
      <c r="AD777">
        <v>9.9999979999999997</v>
      </c>
      <c r="AE777">
        <v>0.316666</v>
      </c>
      <c r="AF777">
        <v>0</v>
      </c>
      <c r="AG777">
        <v>9.6833320000000001</v>
      </c>
      <c r="AH777">
        <v>9.6833320000000001</v>
      </c>
      <c r="AI777">
        <v>9.5666659999999997</v>
      </c>
      <c r="AJ777">
        <v>0.11666600000000001</v>
      </c>
      <c r="AK777">
        <v>0</v>
      </c>
      <c r="AL777" s="76">
        <v>36526</v>
      </c>
      <c r="AM777" s="75">
        <v>9571</v>
      </c>
      <c r="AN777" t="s">
        <v>65</v>
      </c>
      <c r="AO777" t="s">
        <v>3649</v>
      </c>
      <c r="AP777" t="s">
        <v>67</v>
      </c>
      <c r="AQ777" t="s">
        <v>83</v>
      </c>
      <c r="AR777" t="s">
        <v>69</v>
      </c>
      <c r="AS777" s="79"/>
      <c r="AT777" s="82" t="s">
        <v>3571</v>
      </c>
      <c r="AU777" s="78">
        <v>2026</v>
      </c>
      <c r="AV777" s="78">
        <v>3</v>
      </c>
      <c r="AW777" s="78" t="s">
        <v>226</v>
      </c>
      <c r="AX777" s="78">
        <v>0</v>
      </c>
      <c r="AY777" s="78">
        <v>0</v>
      </c>
      <c r="BT777" s="3" t="s">
        <v>226</v>
      </c>
      <c r="BU777" s="3">
        <v>0</v>
      </c>
      <c r="BV777" s="3">
        <v>0</v>
      </c>
    </row>
    <row r="778" spans="1:74" ht="15" customHeight="1" x14ac:dyDescent="0.25">
      <c r="A778" s="75">
        <v>5870221</v>
      </c>
      <c r="B778" t="s">
        <v>3650</v>
      </c>
      <c r="C778" t="s">
        <v>3651</v>
      </c>
      <c r="D778" t="s">
        <v>282</v>
      </c>
      <c r="E778" t="s">
        <v>87</v>
      </c>
      <c r="F778" s="75">
        <v>152</v>
      </c>
      <c r="G778" s="75">
        <v>112929</v>
      </c>
      <c r="H778">
        <v>1033.7</v>
      </c>
      <c r="I778" t="s">
        <v>368</v>
      </c>
      <c r="J778" s="75">
        <v>6971</v>
      </c>
      <c r="K778" t="s">
        <v>369</v>
      </c>
      <c r="L778" t="s">
        <v>370</v>
      </c>
      <c r="M778" s="81">
        <v>46094.567835648151</v>
      </c>
      <c r="N778" s="81">
        <v>46098.624062499999</v>
      </c>
      <c r="O778" t="s">
        <v>58</v>
      </c>
      <c r="P778" t="s">
        <v>59</v>
      </c>
      <c r="Q778" t="s">
        <v>130</v>
      </c>
      <c r="R778" t="s">
        <v>156</v>
      </c>
      <c r="S778" t="s">
        <v>1320</v>
      </c>
      <c r="T778" t="s">
        <v>2641</v>
      </c>
      <c r="U778" s="75">
        <v>210979</v>
      </c>
      <c r="V778" t="s">
        <v>3652</v>
      </c>
      <c r="W778" t="s">
        <v>3652</v>
      </c>
      <c r="X778" t="s">
        <v>62</v>
      </c>
      <c r="Y778" t="s">
        <v>541</v>
      </c>
      <c r="AA778" t="s">
        <v>81</v>
      </c>
      <c r="AB778">
        <v>97.249999000000003</v>
      </c>
      <c r="AC778">
        <v>93.733333000000002</v>
      </c>
      <c r="AD778">
        <v>3.5166659999999998</v>
      </c>
      <c r="AE778">
        <v>0.216666</v>
      </c>
      <c r="AF778">
        <v>0</v>
      </c>
      <c r="AG778">
        <v>3.3</v>
      </c>
      <c r="AH778">
        <v>3.3</v>
      </c>
      <c r="AI778">
        <v>2.1333329999999999</v>
      </c>
      <c r="AJ778">
        <v>1.1666669999999999</v>
      </c>
      <c r="AK778">
        <v>0</v>
      </c>
      <c r="AL778" s="76">
        <v>43621</v>
      </c>
      <c r="AM778" s="75">
        <v>2473</v>
      </c>
      <c r="AN778" t="s">
        <v>65</v>
      </c>
      <c r="AO778" t="s">
        <v>2644</v>
      </c>
      <c r="AP778" t="s">
        <v>67</v>
      </c>
      <c r="AQ778" t="s">
        <v>68</v>
      </c>
      <c r="AR778" t="s">
        <v>69</v>
      </c>
      <c r="AS778" s="78"/>
      <c r="AT778" s="82" t="s">
        <v>3571</v>
      </c>
      <c r="AU778" s="78">
        <v>2026</v>
      </c>
      <c r="AV778" s="78">
        <v>3</v>
      </c>
      <c r="AW778" s="78" t="s">
        <v>137</v>
      </c>
      <c r="AX778" s="78">
        <v>1</v>
      </c>
      <c r="AY778" s="78">
        <v>0</v>
      </c>
      <c r="BT778" s="2" t="s">
        <v>137</v>
      </c>
      <c r="BU778" s="2">
        <v>1</v>
      </c>
      <c r="BV778" s="2">
        <v>0</v>
      </c>
    </row>
    <row r="779" spans="1:74" ht="15" customHeight="1" x14ac:dyDescent="0.25">
      <c r="A779" s="75">
        <v>5872051</v>
      </c>
      <c r="B779" t="s">
        <v>3653</v>
      </c>
      <c r="C779" t="s">
        <v>3654</v>
      </c>
      <c r="D779" t="s">
        <v>282</v>
      </c>
      <c r="E779" t="s">
        <v>54</v>
      </c>
      <c r="F779" s="75">
        <v>1</v>
      </c>
      <c r="G779" s="75">
        <v>321829</v>
      </c>
      <c r="H779">
        <v>899</v>
      </c>
      <c r="I779" t="s">
        <v>114</v>
      </c>
      <c r="J779" s="75">
        <v>223219</v>
      </c>
      <c r="K779" t="s">
        <v>3655</v>
      </c>
      <c r="L779" t="s">
        <v>3656</v>
      </c>
      <c r="M779" s="81">
        <v>46096.403831018521</v>
      </c>
      <c r="N779" s="81">
        <v>46098.625115740739</v>
      </c>
      <c r="O779" t="s">
        <v>58</v>
      </c>
      <c r="P779" t="s">
        <v>59</v>
      </c>
      <c r="Q779" t="s">
        <v>130</v>
      </c>
      <c r="R779" t="s">
        <v>60</v>
      </c>
      <c r="S779" t="s">
        <v>583</v>
      </c>
      <c r="U779" s="75">
        <v>210871</v>
      </c>
      <c r="V779" t="s">
        <v>3657</v>
      </c>
      <c r="W779" t="s">
        <v>3658</v>
      </c>
      <c r="X779" t="s">
        <v>62</v>
      </c>
      <c r="Y779" t="s">
        <v>63</v>
      </c>
      <c r="AA779" t="s">
        <v>101</v>
      </c>
      <c r="AB779">
        <v>53.233333000000002</v>
      </c>
      <c r="AC779">
        <v>42.866666000000002</v>
      </c>
      <c r="AD779">
        <v>10.366667</v>
      </c>
      <c r="AE779">
        <v>0.283333</v>
      </c>
      <c r="AF779">
        <v>0</v>
      </c>
      <c r="AG779">
        <v>10.083334000000001</v>
      </c>
      <c r="AH779">
        <v>10.083334000000001</v>
      </c>
      <c r="AI779">
        <v>9.6166669999999996</v>
      </c>
      <c r="AJ779">
        <v>0.466667</v>
      </c>
      <c r="AK779">
        <v>0</v>
      </c>
      <c r="AL779" s="76">
        <v>45483</v>
      </c>
      <c r="AM779" s="75">
        <v>613</v>
      </c>
      <c r="AN779" t="s">
        <v>65</v>
      </c>
      <c r="AO779" t="s">
        <v>3659</v>
      </c>
      <c r="AP779" t="s">
        <v>67</v>
      </c>
      <c r="AQ779" t="s">
        <v>68</v>
      </c>
      <c r="AR779" t="s">
        <v>69</v>
      </c>
      <c r="AS779" s="79"/>
      <c r="AT779" s="82" t="s">
        <v>3571</v>
      </c>
      <c r="AU779" s="78">
        <v>2026</v>
      </c>
      <c r="AV779" s="78">
        <v>3</v>
      </c>
      <c r="AW779" s="78" t="s">
        <v>71</v>
      </c>
      <c r="AX779" s="78">
        <v>0</v>
      </c>
      <c r="AY779" s="78">
        <v>0</v>
      </c>
      <c r="BT779" s="3" t="s">
        <v>71</v>
      </c>
      <c r="BU779" s="3">
        <v>0</v>
      </c>
      <c r="BV779" s="3">
        <v>0</v>
      </c>
    </row>
    <row r="780" spans="1:74" ht="15" customHeight="1" x14ac:dyDescent="0.25">
      <c r="A780" s="75">
        <v>5872253</v>
      </c>
      <c r="B780" t="s">
        <v>3660</v>
      </c>
      <c r="C780" t="s">
        <v>3661</v>
      </c>
      <c r="D780" t="s">
        <v>282</v>
      </c>
      <c r="E780" t="s">
        <v>87</v>
      </c>
      <c r="F780" s="75">
        <v>368</v>
      </c>
      <c r="G780" s="75">
        <v>286777</v>
      </c>
      <c r="H780">
        <v>364.96</v>
      </c>
      <c r="I780" t="s">
        <v>55</v>
      </c>
      <c r="J780" s="75">
        <v>218787</v>
      </c>
      <c r="K780" t="s">
        <v>96</v>
      </c>
      <c r="L780" t="s">
        <v>97</v>
      </c>
      <c r="M780" s="81">
        <v>46096.653182870366</v>
      </c>
      <c r="N780" s="81">
        <v>46098.626064814824</v>
      </c>
      <c r="O780" t="s">
        <v>58</v>
      </c>
      <c r="P780" t="s">
        <v>59</v>
      </c>
      <c r="Q780" t="s">
        <v>90</v>
      </c>
      <c r="R780" t="s">
        <v>60</v>
      </c>
      <c r="S780" t="s">
        <v>583</v>
      </c>
      <c r="U780" s="75">
        <v>211009</v>
      </c>
      <c r="V780" t="s">
        <v>3662</v>
      </c>
      <c r="W780" t="s">
        <v>3662</v>
      </c>
      <c r="X780" t="s">
        <v>62</v>
      </c>
      <c r="Y780" t="s">
        <v>63</v>
      </c>
      <c r="AA780" t="s">
        <v>101</v>
      </c>
      <c r="AB780">
        <v>47.283332999999999</v>
      </c>
      <c r="AC780">
        <v>38.316667000000002</v>
      </c>
      <c r="AD780">
        <v>8.966666</v>
      </c>
      <c r="AE780">
        <v>8.3333000000000004E-2</v>
      </c>
      <c r="AF780">
        <v>0</v>
      </c>
      <c r="AG780">
        <v>8.8833330000000004</v>
      </c>
      <c r="AH780">
        <v>8.8833330000000004</v>
      </c>
      <c r="AI780">
        <v>8.5333330000000007</v>
      </c>
      <c r="AJ780">
        <v>0.35</v>
      </c>
      <c r="AK780">
        <v>0</v>
      </c>
      <c r="AL780" s="76">
        <v>44984</v>
      </c>
      <c r="AM780" s="75">
        <v>1112</v>
      </c>
      <c r="AN780" t="s">
        <v>65</v>
      </c>
      <c r="AO780" t="s">
        <v>3663</v>
      </c>
      <c r="AP780" t="s">
        <v>67</v>
      </c>
      <c r="AQ780" t="s">
        <v>68</v>
      </c>
      <c r="AR780" t="s">
        <v>69</v>
      </c>
      <c r="AS780" s="78"/>
      <c r="AT780" s="82" t="s">
        <v>3571</v>
      </c>
      <c r="AU780" s="78">
        <v>2026</v>
      </c>
      <c r="AV780" s="78">
        <v>3</v>
      </c>
      <c r="AW780" s="78" t="s">
        <v>71</v>
      </c>
      <c r="AX780" s="78">
        <v>0</v>
      </c>
      <c r="AY780" s="78">
        <v>0</v>
      </c>
      <c r="BT780" s="2" t="s">
        <v>71</v>
      </c>
      <c r="BU780" s="2">
        <v>0</v>
      </c>
      <c r="BV780" s="2">
        <v>0</v>
      </c>
    </row>
    <row r="781" spans="1:74" ht="15" customHeight="1" x14ac:dyDescent="0.25">
      <c r="A781" s="75">
        <v>5873469</v>
      </c>
      <c r="B781" t="s">
        <v>3664</v>
      </c>
      <c r="C781" t="s">
        <v>3665</v>
      </c>
      <c r="D781" t="s">
        <v>282</v>
      </c>
      <c r="E781" t="s">
        <v>54</v>
      </c>
      <c r="F781" s="75">
        <v>43</v>
      </c>
      <c r="G781" s="75">
        <v>277741</v>
      </c>
      <c r="H781">
        <v>367.96</v>
      </c>
      <c r="I781" t="s">
        <v>242</v>
      </c>
      <c r="J781" s="75">
        <v>212603</v>
      </c>
      <c r="K781" t="s">
        <v>538</v>
      </c>
      <c r="L781" t="s">
        <v>539</v>
      </c>
      <c r="M781" s="81">
        <v>46097.486921296288</v>
      </c>
      <c r="N781" s="81">
        <v>46098.62699074074</v>
      </c>
      <c r="O781" t="s">
        <v>58</v>
      </c>
      <c r="P781" t="s">
        <v>59</v>
      </c>
      <c r="Q781" t="s">
        <v>90</v>
      </c>
      <c r="R781" t="s">
        <v>131</v>
      </c>
      <c r="S781" t="s">
        <v>1316</v>
      </c>
      <c r="T781" t="s">
        <v>231</v>
      </c>
      <c r="U781" s="75">
        <v>211639</v>
      </c>
      <c r="V781" t="s">
        <v>3666</v>
      </c>
      <c r="W781" t="s">
        <v>3666</v>
      </c>
      <c r="X781" t="s">
        <v>62</v>
      </c>
      <c r="Y781" t="s">
        <v>2598</v>
      </c>
      <c r="AA781" t="s">
        <v>64</v>
      </c>
      <c r="AB781">
        <v>27.316666000000001</v>
      </c>
      <c r="AC781">
        <v>21.833333</v>
      </c>
      <c r="AD781">
        <v>5.483333</v>
      </c>
      <c r="AE781">
        <v>0.25</v>
      </c>
      <c r="AF781">
        <v>0</v>
      </c>
      <c r="AG781">
        <v>5.233333</v>
      </c>
      <c r="AH781">
        <v>5.233333</v>
      </c>
      <c r="AI781">
        <v>5.0333329999999998</v>
      </c>
      <c r="AJ781">
        <v>0.2</v>
      </c>
      <c r="AK781">
        <v>0</v>
      </c>
      <c r="AL781" s="76">
        <v>43963</v>
      </c>
      <c r="AM781" s="75">
        <v>2134</v>
      </c>
      <c r="AN781" t="s">
        <v>65</v>
      </c>
      <c r="AO781" t="s">
        <v>3667</v>
      </c>
      <c r="AP781" t="s">
        <v>67</v>
      </c>
      <c r="AQ781" t="s">
        <v>68</v>
      </c>
      <c r="AR781" t="s">
        <v>69</v>
      </c>
      <c r="AS781" s="79"/>
      <c r="AT781" s="82" t="s">
        <v>3571</v>
      </c>
      <c r="AU781" s="78">
        <v>2026</v>
      </c>
      <c r="AV781" s="78">
        <v>3</v>
      </c>
      <c r="AW781" s="78" t="s">
        <v>137</v>
      </c>
      <c r="AX781" s="78">
        <v>1</v>
      </c>
      <c r="AY781" s="78">
        <v>0</v>
      </c>
      <c r="BT781" s="3" t="s">
        <v>137</v>
      </c>
      <c r="BU781" s="3">
        <v>1</v>
      </c>
      <c r="BV781" s="3">
        <v>0</v>
      </c>
    </row>
    <row r="782" spans="1:74" ht="15" customHeight="1" x14ac:dyDescent="0.25">
      <c r="A782" s="75">
        <v>5872111</v>
      </c>
      <c r="B782" t="s">
        <v>3668</v>
      </c>
      <c r="C782" t="s">
        <v>2383</v>
      </c>
      <c r="D782" t="s">
        <v>282</v>
      </c>
      <c r="E782" t="s">
        <v>87</v>
      </c>
      <c r="F782" s="75">
        <v>51</v>
      </c>
      <c r="G782" s="75">
        <v>275339</v>
      </c>
      <c r="H782">
        <v>398.82</v>
      </c>
      <c r="I782" t="s">
        <v>55</v>
      </c>
      <c r="J782" s="75">
        <v>216233</v>
      </c>
      <c r="K782" t="s">
        <v>88</v>
      </c>
      <c r="L782" t="s">
        <v>89</v>
      </c>
      <c r="M782" s="81">
        <v>46096.493576388893</v>
      </c>
      <c r="N782" s="81">
        <v>46098.633437500001</v>
      </c>
      <c r="O782" t="s">
        <v>58</v>
      </c>
      <c r="P782" t="s">
        <v>59</v>
      </c>
      <c r="Q782" t="s">
        <v>90</v>
      </c>
      <c r="R782" t="s">
        <v>131</v>
      </c>
      <c r="S782" t="s">
        <v>1316</v>
      </c>
      <c r="U782" s="75">
        <v>210997</v>
      </c>
      <c r="V782" t="s">
        <v>3669</v>
      </c>
      <c r="W782" t="s">
        <v>3669</v>
      </c>
      <c r="X782" t="s">
        <v>62</v>
      </c>
      <c r="Y782" t="s">
        <v>63</v>
      </c>
      <c r="AA782" t="s">
        <v>81</v>
      </c>
      <c r="AB782">
        <v>51.266666000000001</v>
      </c>
      <c r="AC782">
        <v>48.1</v>
      </c>
      <c r="AD782">
        <v>3.1666660000000002</v>
      </c>
      <c r="AE782">
        <v>0.55000000000000004</v>
      </c>
      <c r="AF782">
        <v>0</v>
      </c>
      <c r="AG782">
        <v>2.6166659999999999</v>
      </c>
      <c r="AH782">
        <v>2.6166659999999999</v>
      </c>
      <c r="AI782">
        <v>1.85</v>
      </c>
      <c r="AJ782">
        <v>0.76666599999999996</v>
      </c>
      <c r="AK782">
        <v>0</v>
      </c>
      <c r="AL782" s="76">
        <v>44844</v>
      </c>
      <c r="AM782" s="75">
        <v>1252</v>
      </c>
      <c r="AN782" t="s">
        <v>65</v>
      </c>
      <c r="AO782" t="s">
        <v>2385</v>
      </c>
      <c r="AP782" t="s">
        <v>67</v>
      </c>
      <c r="AQ782" t="s">
        <v>68</v>
      </c>
      <c r="AR782" t="s">
        <v>69</v>
      </c>
      <c r="AS782" s="78"/>
      <c r="AT782" s="82" t="s">
        <v>3571</v>
      </c>
      <c r="AU782" s="78">
        <v>2026</v>
      </c>
      <c r="AV782" s="78">
        <v>3</v>
      </c>
      <c r="AW782" s="78" t="s">
        <v>71</v>
      </c>
      <c r="AX782" s="78">
        <v>1</v>
      </c>
      <c r="AY782" s="78">
        <v>0</v>
      </c>
      <c r="BT782" s="2" t="s">
        <v>71</v>
      </c>
      <c r="BU782" s="2">
        <v>1</v>
      </c>
      <c r="BV782" s="2">
        <v>0</v>
      </c>
    </row>
    <row r="783" spans="1:74" ht="15" customHeight="1" x14ac:dyDescent="0.25">
      <c r="A783" s="75">
        <v>5864735</v>
      </c>
      <c r="B783" t="s">
        <v>3670</v>
      </c>
      <c r="C783" t="s">
        <v>544</v>
      </c>
      <c r="D783" t="s">
        <v>1555</v>
      </c>
      <c r="E783" t="s">
        <v>87</v>
      </c>
      <c r="F783" s="75">
        <v>57</v>
      </c>
      <c r="G783" s="75">
        <v>275351</v>
      </c>
      <c r="H783">
        <v>364.95</v>
      </c>
      <c r="I783" t="s">
        <v>55</v>
      </c>
      <c r="J783" s="75">
        <v>218787</v>
      </c>
      <c r="K783" t="s">
        <v>96</v>
      </c>
      <c r="L783" t="s">
        <v>97</v>
      </c>
      <c r="M783" s="81">
        <v>46091.167094907411</v>
      </c>
      <c r="N783" s="81">
        <v>46098.735011574077</v>
      </c>
      <c r="O783" t="s">
        <v>58</v>
      </c>
      <c r="P783" t="s">
        <v>59</v>
      </c>
      <c r="Q783" t="s">
        <v>90</v>
      </c>
      <c r="R783" t="s">
        <v>60</v>
      </c>
      <c r="S783" t="s">
        <v>583</v>
      </c>
      <c r="U783" s="75">
        <v>210957</v>
      </c>
      <c r="V783" t="s">
        <v>3671</v>
      </c>
      <c r="W783" t="s">
        <v>3672</v>
      </c>
      <c r="X783" t="s">
        <v>62</v>
      </c>
      <c r="Y783" t="s">
        <v>63</v>
      </c>
      <c r="Z783" t="s">
        <v>3466</v>
      </c>
      <c r="AA783" t="s">
        <v>416</v>
      </c>
      <c r="AB783">
        <v>181.433335</v>
      </c>
      <c r="AC783">
        <v>135.05000100000001</v>
      </c>
      <c r="AD783">
        <v>46.383333999999998</v>
      </c>
      <c r="AE783">
        <v>27.416665999999999</v>
      </c>
      <c r="AF783">
        <v>27.183333000000001</v>
      </c>
      <c r="AG783">
        <v>18.966667999999999</v>
      </c>
      <c r="AH783">
        <v>46.150001000000003</v>
      </c>
      <c r="AI783">
        <v>18.533334</v>
      </c>
      <c r="AJ783">
        <v>0.433334</v>
      </c>
      <c r="AK783">
        <v>0</v>
      </c>
      <c r="AL783" s="76">
        <v>44865</v>
      </c>
      <c r="AM783" s="75">
        <v>1226</v>
      </c>
      <c r="AN783" t="s">
        <v>65</v>
      </c>
      <c r="AO783" t="s">
        <v>546</v>
      </c>
      <c r="AP783" t="s">
        <v>67</v>
      </c>
      <c r="AQ783" t="s">
        <v>68</v>
      </c>
      <c r="AR783" t="s">
        <v>69</v>
      </c>
      <c r="AS783" s="79"/>
      <c r="AT783" s="82" t="s">
        <v>3571</v>
      </c>
      <c r="AU783" s="78">
        <v>2026</v>
      </c>
      <c r="AV783" s="78">
        <v>3</v>
      </c>
      <c r="AW783" s="78" t="s">
        <v>71</v>
      </c>
      <c r="AX783" s="78">
        <v>0</v>
      </c>
      <c r="AY783" s="78">
        <v>0</v>
      </c>
      <c r="BT783" s="3" t="s">
        <v>71</v>
      </c>
      <c r="BU783" s="3">
        <v>0</v>
      </c>
      <c r="BV783" s="3">
        <v>0</v>
      </c>
    </row>
    <row r="784" spans="1:74" ht="15" customHeight="1" x14ac:dyDescent="0.25">
      <c r="A784" s="75">
        <v>5877791</v>
      </c>
      <c r="B784" t="s">
        <v>3673</v>
      </c>
      <c r="C784" t="s">
        <v>3623</v>
      </c>
      <c r="D784" t="s">
        <v>527</v>
      </c>
      <c r="E784" t="s">
        <v>87</v>
      </c>
      <c r="F784" s="75">
        <v>54</v>
      </c>
      <c r="G784" s="75">
        <v>275347</v>
      </c>
      <c r="H784">
        <v>546.37</v>
      </c>
      <c r="I784" t="s">
        <v>55</v>
      </c>
      <c r="J784" s="75">
        <v>216233</v>
      </c>
      <c r="K784" t="s">
        <v>88</v>
      </c>
      <c r="L784" t="s">
        <v>89</v>
      </c>
      <c r="M784" s="81">
        <v>46098.799317129633</v>
      </c>
      <c r="N784" s="81">
        <v>46099.400358796287</v>
      </c>
      <c r="O784" t="s">
        <v>58</v>
      </c>
      <c r="P784" t="s">
        <v>59</v>
      </c>
      <c r="Q784" t="s">
        <v>90</v>
      </c>
      <c r="R784" t="s">
        <v>99</v>
      </c>
      <c r="S784" t="s">
        <v>1244</v>
      </c>
      <c r="U784" s="75">
        <v>212837</v>
      </c>
      <c r="V784" t="s">
        <v>3674</v>
      </c>
      <c r="W784" t="s">
        <v>3674</v>
      </c>
      <c r="X784" t="s">
        <v>62</v>
      </c>
      <c r="Y784" t="s">
        <v>63</v>
      </c>
      <c r="AA784" t="s">
        <v>81</v>
      </c>
      <c r="AB784">
        <v>14.349999</v>
      </c>
      <c r="AC784">
        <v>12.233333</v>
      </c>
      <c r="AD784">
        <v>2.1166659999999999</v>
      </c>
      <c r="AE784">
        <v>0.41666599999999998</v>
      </c>
      <c r="AF784">
        <v>0</v>
      </c>
      <c r="AG784">
        <v>1.7</v>
      </c>
      <c r="AH784">
        <v>1.7</v>
      </c>
      <c r="AI784">
        <v>1.2833330000000001</v>
      </c>
      <c r="AJ784">
        <v>0.41666700000000001</v>
      </c>
      <c r="AK784">
        <v>0</v>
      </c>
      <c r="AL784" s="76">
        <v>44980</v>
      </c>
      <c r="AM784" s="75">
        <v>1118</v>
      </c>
      <c r="AN784" t="s">
        <v>65</v>
      </c>
      <c r="AO784" t="s">
        <v>1614</v>
      </c>
      <c r="AP784" t="s">
        <v>67</v>
      </c>
      <c r="AQ784" t="s">
        <v>68</v>
      </c>
      <c r="AR784" t="s">
        <v>69</v>
      </c>
      <c r="AS784" s="78"/>
      <c r="AT784" s="82" t="s">
        <v>3571</v>
      </c>
      <c r="AU784" s="78">
        <v>2026</v>
      </c>
      <c r="AV784" s="78">
        <v>3</v>
      </c>
      <c r="AW784" s="78" t="s">
        <v>71</v>
      </c>
      <c r="AX784" s="78">
        <v>1</v>
      </c>
      <c r="AY784" s="78">
        <v>0</v>
      </c>
      <c r="BT784" s="2" t="s">
        <v>71</v>
      </c>
      <c r="BU784" s="2">
        <v>1</v>
      </c>
      <c r="BV784" s="2">
        <v>0</v>
      </c>
    </row>
    <row r="785" spans="1:74" ht="15" customHeight="1" x14ac:dyDescent="0.25">
      <c r="A785" s="75">
        <v>5872893</v>
      </c>
      <c r="B785" t="s">
        <v>3675</v>
      </c>
      <c r="C785" t="s">
        <v>3676</v>
      </c>
      <c r="D785" t="s">
        <v>2379</v>
      </c>
      <c r="E785" t="s">
        <v>87</v>
      </c>
      <c r="F785" s="75">
        <v>57</v>
      </c>
      <c r="G785" s="75">
        <v>280115</v>
      </c>
      <c r="H785">
        <v>623.5</v>
      </c>
      <c r="I785" t="s">
        <v>266</v>
      </c>
      <c r="J785" s="75">
        <v>203659</v>
      </c>
      <c r="K785" t="s">
        <v>1090</v>
      </c>
      <c r="L785" t="s">
        <v>1091</v>
      </c>
      <c r="M785" s="81">
        <v>46097.364837962959</v>
      </c>
      <c r="N785" s="81">
        <v>46099.503599537027</v>
      </c>
      <c r="O785" t="s">
        <v>58</v>
      </c>
      <c r="P785" t="s">
        <v>59</v>
      </c>
      <c r="Q785" t="s">
        <v>77</v>
      </c>
      <c r="R785" t="s">
        <v>99</v>
      </c>
      <c r="S785" t="s">
        <v>1244</v>
      </c>
      <c r="U785" s="75">
        <v>212393</v>
      </c>
      <c r="V785" t="s">
        <v>3677</v>
      </c>
      <c r="W785" t="s">
        <v>3678</v>
      </c>
      <c r="X785" t="s">
        <v>62</v>
      </c>
      <c r="Y785" t="s">
        <v>63</v>
      </c>
      <c r="AA785" t="s">
        <v>416</v>
      </c>
      <c r="AB785">
        <v>51.233333999999999</v>
      </c>
      <c r="AC785">
        <v>37.4</v>
      </c>
      <c r="AD785">
        <v>13.833334000000001</v>
      </c>
      <c r="AE785">
        <v>0.31666699999999998</v>
      </c>
      <c r="AF785">
        <v>0</v>
      </c>
      <c r="AG785">
        <v>13.516667</v>
      </c>
      <c r="AH785">
        <v>13.516667</v>
      </c>
      <c r="AI785">
        <v>13.45</v>
      </c>
      <c r="AJ785">
        <v>6.6667000000000004E-2</v>
      </c>
      <c r="AK785">
        <v>0</v>
      </c>
      <c r="AL785" s="76">
        <v>44781</v>
      </c>
      <c r="AM785" s="75">
        <v>1316</v>
      </c>
      <c r="AN785" t="s">
        <v>65</v>
      </c>
      <c r="AO785" t="s">
        <v>3192</v>
      </c>
      <c r="AP785" t="s">
        <v>67</v>
      </c>
      <c r="AQ785" t="s">
        <v>68</v>
      </c>
      <c r="AR785" t="s">
        <v>69</v>
      </c>
      <c r="AS785" s="79"/>
      <c r="AT785" s="82" t="s">
        <v>3571</v>
      </c>
      <c r="AU785" s="78">
        <v>2026</v>
      </c>
      <c r="AV785" s="78">
        <v>3</v>
      </c>
      <c r="AW785" s="78" t="s">
        <v>71</v>
      </c>
      <c r="AX785" s="78">
        <v>0</v>
      </c>
      <c r="AY785" s="78">
        <v>0</v>
      </c>
      <c r="BT785" s="3" t="s">
        <v>71</v>
      </c>
      <c r="BU785" s="3">
        <v>0</v>
      </c>
      <c r="BV785" s="3">
        <v>0</v>
      </c>
    </row>
    <row r="786" spans="1:74" ht="15" customHeight="1" x14ac:dyDescent="0.25">
      <c r="A786" s="75">
        <v>5876183</v>
      </c>
      <c r="B786" t="s">
        <v>3679</v>
      </c>
      <c r="C786" t="s">
        <v>3680</v>
      </c>
      <c r="D786" t="s">
        <v>1555</v>
      </c>
      <c r="E786" t="s">
        <v>87</v>
      </c>
      <c r="F786" s="75">
        <v>32</v>
      </c>
      <c r="G786" s="75">
        <v>295797</v>
      </c>
      <c r="H786">
        <v>900</v>
      </c>
      <c r="I786" t="s">
        <v>853</v>
      </c>
      <c r="J786" s="75">
        <v>202555</v>
      </c>
      <c r="K786" t="s">
        <v>2216</v>
      </c>
      <c r="L786" t="s">
        <v>2217</v>
      </c>
      <c r="M786" s="81">
        <v>46098.243391203701</v>
      </c>
      <c r="N786" s="81">
        <v>46099.511087962957</v>
      </c>
      <c r="O786" t="s">
        <v>58</v>
      </c>
      <c r="P786" t="s">
        <v>59</v>
      </c>
      <c r="Q786" t="s">
        <v>90</v>
      </c>
      <c r="R786" t="s">
        <v>60</v>
      </c>
      <c r="S786" t="s">
        <v>583</v>
      </c>
      <c r="U786" s="75">
        <v>212021</v>
      </c>
      <c r="V786" t="s">
        <v>3681</v>
      </c>
      <c r="X786" t="s">
        <v>62</v>
      </c>
      <c r="Y786" t="s">
        <v>271</v>
      </c>
      <c r="AA786" t="s">
        <v>81</v>
      </c>
      <c r="AB786">
        <v>30.333335000000002</v>
      </c>
      <c r="AC786">
        <v>26.266667000000002</v>
      </c>
      <c r="AD786">
        <v>4.0666679999999999</v>
      </c>
      <c r="AE786">
        <v>0.56666700000000003</v>
      </c>
      <c r="AF786">
        <v>0</v>
      </c>
      <c r="AG786">
        <v>3.5000010000000001</v>
      </c>
      <c r="AH786">
        <v>3.5000010000000001</v>
      </c>
      <c r="AI786">
        <v>3.3333339999999998</v>
      </c>
      <c r="AJ786">
        <v>0.16666700000000001</v>
      </c>
      <c r="AK786">
        <v>0</v>
      </c>
      <c r="AL786" s="76">
        <v>45468</v>
      </c>
      <c r="AM786" s="75">
        <v>630</v>
      </c>
      <c r="AN786" t="s">
        <v>65</v>
      </c>
      <c r="AO786" t="s">
        <v>3682</v>
      </c>
      <c r="AP786" t="s">
        <v>67</v>
      </c>
      <c r="AQ786" t="s">
        <v>68</v>
      </c>
      <c r="AR786" t="s">
        <v>69</v>
      </c>
      <c r="AS786" s="78"/>
      <c r="AT786" s="82" t="s">
        <v>3571</v>
      </c>
      <c r="AU786" s="78">
        <v>2026</v>
      </c>
      <c r="AV786" s="78">
        <v>3</v>
      </c>
      <c r="AW786" s="78" t="s">
        <v>137</v>
      </c>
      <c r="AX786" s="78">
        <v>1</v>
      </c>
      <c r="AY786" s="78">
        <v>0</v>
      </c>
      <c r="BT786" s="2" t="s">
        <v>137</v>
      </c>
      <c r="BU786" s="2">
        <v>1</v>
      </c>
      <c r="BV786" s="2">
        <v>0</v>
      </c>
    </row>
    <row r="787" spans="1:74" ht="15" customHeight="1" x14ac:dyDescent="0.25">
      <c r="A787" s="75">
        <v>5875857</v>
      </c>
      <c r="B787" t="s">
        <v>3683</v>
      </c>
      <c r="C787" t="s">
        <v>3684</v>
      </c>
      <c r="D787" t="s">
        <v>527</v>
      </c>
      <c r="E787" t="s">
        <v>54</v>
      </c>
      <c r="F787" s="75">
        <v>19</v>
      </c>
      <c r="G787" s="75">
        <v>322125</v>
      </c>
      <c r="H787">
        <v>260</v>
      </c>
      <c r="I787" t="s">
        <v>163</v>
      </c>
      <c r="J787" s="75">
        <v>93027</v>
      </c>
      <c r="K787" t="s">
        <v>3685</v>
      </c>
      <c r="L787" t="s">
        <v>3686</v>
      </c>
      <c r="M787" s="81">
        <v>46097.720092592594</v>
      </c>
      <c r="N787" s="81">
        <v>46099.576226851852</v>
      </c>
      <c r="O787" t="s">
        <v>58</v>
      </c>
      <c r="P787" t="s">
        <v>59</v>
      </c>
      <c r="Q787" t="s">
        <v>130</v>
      </c>
      <c r="R787" t="s">
        <v>156</v>
      </c>
      <c r="S787" t="s">
        <v>1320</v>
      </c>
      <c r="U787" s="75">
        <v>212107</v>
      </c>
      <c r="V787" t="s">
        <v>3687</v>
      </c>
      <c r="W787" t="s">
        <v>3687</v>
      </c>
      <c r="X787" t="s">
        <v>79</v>
      </c>
      <c r="Y787" t="s">
        <v>224</v>
      </c>
      <c r="AA787" t="s">
        <v>64</v>
      </c>
      <c r="AB787">
        <v>44.433335</v>
      </c>
      <c r="AC787">
        <v>35.466667000000001</v>
      </c>
      <c r="AD787">
        <v>8.9666680000000003</v>
      </c>
      <c r="AE787">
        <v>3.3166669999999998</v>
      </c>
      <c r="AF787">
        <v>0</v>
      </c>
      <c r="AG787">
        <v>5.6500009999999996</v>
      </c>
      <c r="AH787">
        <v>5.6500009999999996</v>
      </c>
      <c r="AI787">
        <v>5.3833339999999996</v>
      </c>
      <c r="AJ787">
        <v>0.26666699999999999</v>
      </c>
      <c r="AK787">
        <v>0</v>
      </c>
      <c r="AL787" s="76">
        <v>45743</v>
      </c>
      <c r="AM787" s="75">
        <v>354</v>
      </c>
      <c r="AN787" t="s">
        <v>65</v>
      </c>
      <c r="AO787" t="s">
        <v>3688</v>
      </c>
      <c r="AP787" t="s">
        <v>67</v>
      </c>
      <c r="AQ787" t="s">
        <v>83</v>
      </c>
      <c r="AR787" t="s">
        <v>69</v>
      </c>
      <c r="AS787" s="79"/>
      <c r="AT787" s="82" t="s">
        <v>3571</v>
      </c>
      <c r="AU787" s="78">
        <v>2026</v>
      </c>
      <c r="AV787" s="78">
        <v>3</v>
      </c>
      <c r="AW787" s="78" t="s">
        <v>226</v>
      </c>
      <c r="AX787" s="78">
        <v>1</v>
      </c>
      <c r="AY787" s="78">
        <v>0</v>
      </c>
      <c r="BT787" s="3" t="s">
        <v>226</v>
      </c>
      <c r="BU787" s="3">
        <v>1</v>
      </c>
      <c r="BV787" s="3">
        <v>0</v>
      </c>
    </row>
    <row r="788" spans="1:74" ht="15" customHeight="1" x14ac:dyDescent="0.25">
      <c r="A788" s="75">
        <v>5875875</v>
      </c>
      <c r="B788" t="s">
        <v>3689</v>
      </c>
      <c r="C788" t="s">
        <v>3690</v>
      </c>
      <c r="D788" t="s">
        <v>1555</v>
      </c>
      <c r="E788" t="s">
        <v>54</v>
      </c>
      <c r="F788" s="75">
        <v>1</v>
      </c>
      <c r="G788" s="75">
        <v>325559</v>
      </c>
      <c r="H788">
        <v>1350</v>
      </c>
      <c r="I788" t="s">
        <v>114</v>
      </c>
      <c r="J788" s="75">
        <v>223883</v>
      </c>
      <c r="K788" t="s">
        <v>3691</v>
      </c>
      <c r="L788" t="s">
        <v>3692</v>
      </c>
      <c r="M788" s="81">
        <v>46097.729895833327</v>
      </c>
      <c r="N788" s="81">
        <v>46099.602789351848</v>
      </c>
      <c r="O788" t="s">
        <v>58</v>
      </c>
      <c r="P788" t="s">
        <v>59</v>
      </c>
      <c r="Q788" t="s">
        <v>130</v>
      </c>
      <c r="R788" t="s">
        <v>60</v>
      </c>
      <c r="S788" t="s">
        <v>583</v>
      </c>
      <c r="U788" s="75">
        <v>211961</v>
      </c>
      <c r="V788" t="s">
        <v>3693</v>
      </c>
      <c r="W788" t="s">
        <v>3693</v>
      </c>
      <c r="X788" t="s">
        <v>79</v>
      </c>
      <c r="Y788" t="s">
        <v>224</v>
      </c>
      <c r="AA788" t="s">
        <v>64</v>
      </c>
      <c r="AB788">
        <v>44.883333999999998</v>
      </c>
      <c r="AC788">
        <v>38.683332999999998</v>
      </c>
      <c r="AD788">
        <v>6.2000010000000003</v>
      </c>
      <c r="AE788">
        <v>0.05</v>
      </c>
      <c r="AF788">
        <v>0</v>
      </c>
      <c r="AG788">
        <v>6.1500009999999996</v>
      </c>
      <c r="AH788">
        <v>6.1500009999999996</v>
      </c>
      <c r="AI788">
        <v>5.5666669999999998</v>
      </c>
      <c r="AJ788">
        <v>0.58333400000000002</v>
      </c>
      <c r="AK788">
        <v>0</v>
      </c>
      <c r="AL788" s="76">
        <v>45540.939467592587</v>
      </c>
      <c r="AM788" s="75">
        <v>556</v>
      </c>
      <c r="AN788" t="s">
        <v>65</v>
      </c>
      <c r="AO788" t="s">
        <v>3694</v>
      </c>
      <c r="AP788" t="s">
        <v>67</v>
      </c>
      <c r="AQ788" t="s">
        <v>83</v>
      </c>
      <c r="AR788" t="s">
        <v>69</v>
      </c>
      <c r="AS788" s="78"/>
      <c r="AT788" s="82" t="s">
        <v>3571</v>
      </c>
      <c r="AU788" s="78">
        <v>2026</v>
      </c>
      <c r="AV788" s="78">
        <v>3</v>
      </c>
      <c r="AW788" s="78" t="s">
        <v>226</v>
      </c>
      <c r="AX788" s="78">
        <v>1</v>
      </c>
      <c r="AY788" s="78">
        <v>0</v>
      </c>
      <c r="BT788" s="2" t="s">
        <v>226</v>
      </c>
      <c r="BU788" s="2">
        <v>1</v>
      </c>
      <c r="BV788" s="2">
        <v>0</v>
      </c>
    </row>
    <row r="789" spans="1:74" ht="15" customHeight="1" x14ac:dyDescent="0.25">
      <c r="A789" s="75">
        <v>5878303</v>
      </c>
      <c r="B789" t="s">
        <v>3695</v>
      </c>
      <c r="C789" t="s">
        <v>3696</v>
      </c>
      <c r="D789" t="s">
        <v>809</v>
      </c>
      <c r="E789" t="s">
        <v>87</v>
      </c>
      <c r="F789" s="75">
        <v>339</v>
      </c>
      <c r="G789" s="75">
        <v>287741</v>
      </c>
      <c r="H789">
        <v>154.15</v>
      </c>
      <c r="I789" t="s">
        <v>853</v>
      </c>
      <c r="J789" s="75">
        <v>49495</v>
      </c>
      <c r="K789" t="s">
        <v>460</v>
      </c>
      <c r="L789" t="s">
        <v>461</v>
      </c>
      <c r="M789" s="81">
        <v>46099.333703703713</v>
      </c>
      <c r="N789" s="81">
        <v>46099.705092592587</v>
      </c>
      <c r="O789" t="s">
        <v>277</v>
      </c>
      <c r="P789" t="s">
        <v>59</v>
      </c>
      <c r="Q789" t="s">
        <v>90</v>
      </c>
      <c r="R789" t="s">
        <v>99</v>
      </c>
      <c r="S789" t="s">
        <v>1244</v>
      </c>
      <c r="U789" s="75">
        <v>213213</v>
      </c>
      <c r="V789" t="s">
        <v>3697</v>
      </c>
      <c r="W789" t="s">
        <v>3697</v>
      </c>
      <c r="X789" t="s">
        <v>62</v>
      </c>
      <c r="Y789" t="s">
        <v>63</v>
      </c>
      <c r="AA789" t="s">
        <v>64</v>
      </c>
      <c r="AB789">
        <v>8.8333329999999997</v>
      </c>
      <c r="AC789">
        <v>1.1000000000000001</v>
      </c>
      <c r="AD789">
        <v>7.733333</v>
      </c>
      <c r="AE789">
        <v>0.23333300000000001</v>
      </c>
      <c r="AF789">
        <v>0</v>
      </c>
      <c r="AG789">
        <v>7.5</v>
      </c>
      <c r="AH789">
        <v>7.5</v>
      </c>
      <c r="AI789">
        <v>7.3</v>
      </c>
      <c r="AJ789">
        <v>0.2</v>
      </c>
      <c r="AK789">
        <v>0</v>
      </c>
      <c r="AL789" s="76">
        <v>45243.721145833333</v>
      </c>
      <c r="AM789" s="75">
        <v>855</v>
      </c>
      <c r="AN789" t="s">
        <v>65</v>
      </c>
      <c r="AO789" t="s">
        <v>3698</v>
      </c>
      <c r="AP789" t="s">
        <v>67</v>
      </c>
      <c r="AQ789" t="s">
        <v>68</v>
      </c>
      <c r="AR789" t="s">
        <v>69</v>
      </c>
      <c r="AS789" s="79"/>
      <c r="AT789" s="82" t="s">
        <v>3571</v>
      </c>
      <c r="AU789" s="78">
        <v>2026</v>
      </c>
      <c r="AV789" s="78">
        <v>3</v>
      </c>
      <c r="AW789" s="78" t="s">
        <v>71</v>
      </c>
      <c r="AX789" s="78">
        <v>1</v>
      </c>
      <c r="AY789" s="78">
        <v>0</v>
      </c>
      <c r="BT789" s="3" t="s">
        <v>71</v>
      </c>
      <c r="BU789" s="3">
        <v>1</v>
      </c>
      <c r="BV789" s="3">
        <v>0</v>
      </c>
    </row>
    <row r="790" spans="1:74" ht="15" customHeight="1" x14ac:dyDescent="0.25">
      <c r="A790" s="75">
        <v>5875971</v>
      </c>
      <c r="B790" t="s">
        <v>3699</v>
      </c>
      <c r="C790" t="s">
        <v>3700</v>
      </c>
      <c r="D790" t="s">
        <v>1555</v>
      </c>
      <c r="E790" t="s">
        <v>87</v>
      </c>
      <c r="F790" s="75">
        <v>525</v>
      </c>
      <c r="G790" s="75">
        <v>333123</v>
      </c>
      <c r="H790">
        <v>710.28</v>
      </c>
      <c r="I790" t="s">
        <v>114</v>
      </c>
      <c r="J790" s="75">
        <v>218791</v>
      </c>
      <c r="K790" t="s">
        <v>312</v>
      </c>
      <c r="L790" t="s">
        <v>313</v>
      </c>
      <c r="M790" s="81">
        <v>46097.806018518517</v>
      </c>
      <c r="N790" s="81">
        <v>46099.711226851847</v>
      </c>
      <c r="O790" t="s">
        <v>58</v>
      </c>
      <c r="P790" t="s">
        <v>59</v>
      </c>
      <c r="Q790" t="s">
        <v>90</v>
      </c>
      <c r="R790" t="s">
        <v>99</v>
      </c>
      <c r="S790" t="s">
        <v>1244</v>
      </c>
      <c r="U790" s="75">
        <v>212043</v>
      </c>
      <c r="V790" t="s">
        <v>3701</v>
      </c>
      <c r="W790" t="s">
        <v>3701</v>
      </c>
      <c r="X790" t="s">
        <v>62</v>
      </c>
      <c r="Y790" t="s">
        <v>63</v>
      </c>
      <c r="AA790" t="s">
        <v>101</v>
      </c>
      <c r="AB790">
        <v>45.666666999999997</v>
      </c>
      <c r="AC790">
        <v>37.133333</v>
      </c>
      <c r="AD790">
        <v>8.533334</v>
      </c>
      <c r="AE790">
        <v>0.2</v>
      </c>
      <c r="AF790">
        <v>0</v>
      </c>
      <c r="AG790">
        <v>8.3333340000000007</v>
      </c>
      <c r="AH790">
        <v>8.3333340000000007</v>
      </c>
      <c r="AI790">
        <v>8.0500000000000007</v>
      </c>
      <c r="AJ790">
        <v>0.28333399999999997</v>
      </c>
      <c r="AK790">
        <v>0</v>
      </c>
      <c r="AL790" s="76">
        <v>45775.448518518519</v>
      </c>
      <c r="AM790" s="75">
        <v>322</v>
      </c>
      <c r="AN790" t="s">
        <v>65</v>
      </c>
      <c r="AO790" t="s">
        <v>3702</v>
      </c>
      <c r="AP790" t="s">
        <v>67</v>
      </c>
      <c r="AQ790" t="s">
        <v>68</v>
      </c>
      <c r="AR790" t="s">
        <v>69</v>
      </c>
      <c r="AS790" s="78"/>
      <c r="AT790" s="82" t="s">
        <v>3571</v>
      </c>
      <c r="AU790" s="78">
        <v>2026</v>
      </c>
      <c r="AV790" s="78">
        <v>3</v>
      </c>
      <c r="AW790" s="78" t="s">
        <v>71</v>
      </c>
      <c r="AX790" s="78">
        <v>0</v>
      </c>
      <c r="AY790" s="78">
        <v>0</v>
      </c>
      <c r="BT790" s="2" t="s">
        <v>71</v>
      </c>
      <c r="BU790" s="2">
        <v>0</v>
      </c>
      <c r="BV790" s="2">
        <v>0</v>
      </c>
    </row>
    <row r="791" spans="1:74" ht="15" customHeight="1" x14ac:dyDescent="0.25">
      <c r="A791" s="75">
        <v>5873191</v>
      </c>
      <c r="B791" t="s">
        <v>3703</v>
      </c>
      <c r="C791" t="s">
        <v>3704</v>
      </c>
      <c r="D791" t="s">
        <v>282</v>
      </c>
      <c r="E791" t="s">
        <v>54</v>
      </c>
      <c r="F791" s="75">
        <v>93</v>
      </c>
      <c r="G791" s="75">
        <v>240507</v>
      </c>
      <c r="H791">
        <v>188.59</v>
      </c>
      <c r="I791" t="s">
        <v>195</v>
      </c>
      <c r="J791" s="75">
        <v>1819</v>
      </c>
      <c r="K791" t="s">
        <v>759</v>
      </c>
      <c r="L791" t="s">
        <v>760</v>
      </c>
      <c r="M791" s="81">
        <v>46097.419386574067</v>
      </c>
      <c r="N791" s="81">
        <v>46100.428680555553</v>
      </c>
      <c r="O791" t="s">
        <v>58</v>
      </c>
      <c r="P791" t="s">
        <v>59</v>
      </c>
      <c r="Q791" t="s">
        <v>130</v>
      </c>
      <c r="R791" t="s">
        <v>60</v>
      </c>
      <c r="S791" t="s">
        <v>583</v>
      </c>
      <c r="U791" s="75">
        <v>211501</v>
      </c>
      <c r="V791" t="s">
        <v>3705</v>
      </c>
      <c r="W791" t="s">
        <v>3705</v>
      </c>
      <c r="X791" t="s">
        <v>62</v>
      </c>
      <c r="Y791" t="s">
        <v>63</v>
      </c>
      <c r="AA791" t="s">
        <v>416</v>
      </c>
      <c r="AB791">
        <v>72.133332999999993</v>
      </c>
      <c r="AC791">
        <v>56.233333999999999</v>
      </c>
      <c r="AD791">
        <v>15.899998999999999</v>
      </c>
      <c r="AE791">
        <v>0.283333</v>
      </c>
      <c r="AF791">
        <v>0</v>
      </c>
      <c r="AG791">
        <v>15.616666</v>
      </c>
      <c r="AH791">
        <v>15.616666</v>
      </c>
      <c r="AI791">
        <v>15.3</v>
      </c>
      <c r="AJ791">
        <v>0.316666</v>
      </c>
      <c r="AK791">
        <v>0</v>
      </c>
      <c r="AL791" s="76">
        <v>44169</v>
      </c>
      <c r="AM791" s="75">
        <v>1928</v>
      </c>
      <c r="AN791" t="s">
        <v>65</v>
      </c>
      <c r="AO791" t="s">
        <v>762</v>
      </c>
      <c r="AP791" t="s">
        <v>67</v>
      </c>
      <c r="AQ791" t="s">
        <v>68</v>
      </c>
      <c r="AR791" t="s">
        <v>69</v>
      </c>
      <c r="AS791" s="79"/>
      <c r="AT791" s="82" t="s">
        <v>3571</v>
      </c>
      <c r="AU791" s="78">
        <v>2026</v>
      </c>
      <c r="AV791" s="78">
        <v>3</v>
      </c>
      <c r="AW791" s="78" t="s">
        <v>71</v>
      </c>
      <c r="AX791" s="78">
        <v>0</v>
      </c>
      <c r="AY791" s="78">
        <v>0</v>
      </c>
      <c r="BT791" s="3" t="s">
        <v>71</v>
      </c>
      <c r="BU791" s="3">
        <v>0</v>
      </c>
      <c r="BV791" s="3">
        <v>0</v>
      </c>
    </row>
    <row r="792" spans="1:74" ht="15" customHeight="1" x14ac:dyDescent="0.25">
      <c r="A792" s="75">
        <v>5862941</v>
      </c>
      <c r="B792" t="s">
        <v>3706</v>
      </c>
      <c r="C792" t="s">
        <v>3707</v>
      </c>
      <c r="D792" t="s">
        <v>1388</v>
      </c>
      <c r="E792" t="s">
        <v>105</v>
      </c>
      <c r="F792" s="75">
        <v>29</v>
      </c>
      <c r="G792" s="75">
        <v>256017</v>
      </c>
      <c r="H792">
        <v>338.76</v>
      </c>
      <c r="I792" t="s">
        <v>55</v>
      </c>
      <c r="J792" s="75">
        <v>71001</v>
      </c>
      <c r="K792" t="s">
        <v>1193</v>
      </c>
      <c r="L792" t="s">
        <v>1194</v>
      </c>
      <c r="M792" s="81">
        <v>46089.878634259258</v>
      </c>
      <c r="N792" s="81">
        <v>46100.471608796302</v>
      </c>
      <c r="O792" t="s">
        <v>58</v>
      </c>
      <c r="P792" t="s">
        <v>59</v>
      </c>
      <c r="Q792" t="s">
        <v>130</v>
      </c>
      <c r="R792" t="s">
        <v>60</v>
      </c>
      <c r="S792" t="s">
        <v>583</v>
      </c>
      <c r="U792" s="75">
        <v>206243</v>
      </c>
      <c r="V792" t="s">
        <v>3708</v>
      </c>
      <c r="W792" t="s">
        <v>3708</v>
      </c>
      <c r="X792" t="s">
        <v>118</v>
      </c>
      <c r="Y792" t="s">
        <v>400</v>
      </c>
      <c r="Z792" t="s">
        <v>3709</v>
      </c>
      <c r="AA792" t="s">
        <v>64</v>
      </c>
      <c r="AB792">
        <v>254.099999</v>
      </c>
      <c r="AC792">
        <v>236.816667</v>
      </c>
      <c r="AD792">
        <v>17.283332000000001</v>
      </c>
      <c r="AE792">
        <v>10.433332999999999</v>
      </c>
      <c r="AF792">
        <v>10.4</v>
      </c>
      <c r="AG792">
        <v>6.8499990000000004</v>
      </c>
      <c r="AH792">
        <v>17.249998999999999</v>
      </c>
      <c r="AI792">
        <v>6.3499990000000004</v>
      </c>
      <c r="AJ792">
        <v>0.5</v>
      </c>
      <c r="AK792">
        <v>0.11666700000000001</v>
      </c>
      <c r="AL792" s="76">
        <v>45208.371527777781</v>
      </c>
      <c r="AM792" s="75">
        <v>881</v>
      </c>
      <c r="AN792" t="s">
        <v>65</v>
      </c>
      <c r="AO792" t="s">
        <v>3710</v>
      </c>
      <c r="AP792" t="s">
        <v>67</v>
      </c>
      <c r="AQ792" t="s">
        <v>121</v>
      </c>
      <c r="AR792" t="s">
        <v>69</v>
      </c>
      <c r="AS792" s="78"/>
      <c r="AT792" s="82" t="s">
        <v>3571</v>
      </c>
      <c r="AU792" s="78">
        <v>2026</v>
      </c>
      <c r="AV792" s="78">
        <v>3</v>
      </c>
      <c r="AW792" s="78" t="s">
        <v>122</v>
      </c>
      <c r="AX792" s="78">
        <v>1</v>
      </c>
      <c r="AY792" s="78">
        <v>0</v>
      </c>
      <c r="BT792" s="2" t="s">
        <v>122</v>
      </c>
      <c r="BU792" s="2">
        <v>1</v>
      </c>
      <c r="BV792" s="2">
        <v>0</v>
      </c>
    </row>
    <row r="793" spans="1:74" ht="15" customHeight="1" x14ac:dyDescent="0.25">
      <c r="A793" s="75">
        <v>5880243</v>
      </c>
      <c r="B793" t="s">
        <v>3711</v>
      </c>
      <c r="C793" t="s">
        <v>3712</v>
      </c>
      <c r="D793" t="s">
        <v>956</v>
      </c>
      <c r="E793" t="s">
        <v>87</v>
      </c>
      <c r="F793" s="75">
        <v>321</v>
      </c>
      <c r="G793" s="75">
        <v>286591</v>
      </c>
      <c r="H793">
        <v>364.96</v>
      </c>
      <c r="I793" t="s">
        <v>55</v>
      </c>
      <c r="J793" s="75">
        <v>218787</v>
      </c>
      <c r="K793" t="s">
        <v>96</v>
      </c>
      <c r="L793" t="s">
        <v>97</v>
      </c>
      <c r="M793" s="81">
        <v>46099.765185185177</v>
      </c>
      <c r="N793" s="81">
        <v>46100.574999999997</v>
      </c>
      <c r="O793" t="s">
        <v>58</v>
      </c>
      <c r="P793" t="s">
        <v>59</v>
      </c>
      <c r="Q793" t="s">
        <v>2562</v>
      </c>
      <c r="R793" t="s">
        <v>60</v>
      </c>
      <c r="S793" t="s">
        <v>583</v>
      </c>
      <c r="U793" s="75">
        <v>213909</v>
      </c>
      <c r="V793" t="s">
        <v>3713</v>
      </c>
      <c r="W793" t="s">
        <v>3713</v>
      </c>
      <c r="X793" t="s">
        <v>62</v>
      </c>
      <c r="Y793" t="s">
        <v>63</v>
      </c>
      <c r="AA793" t="s">
        <v>64</v>
      </c>
      <c r="AB793">
        <v>19.383333</v>
      </c>
      <c r="AC793">
        <v>13.616666</v>
      </c>
      <c r="AD793">
        <v>5.766667</v>
      </c>
      <c r="AE793">
        <v>0.283333</v>
      </c>
      <c r="AF793">
        <v>0</v>
      </c>
      <c r="AG793">
        <v>5.4833340000000002</v>
      </c>
      <c r="AH793">
        <v>5.4833340000000002</v>
      </c>
      <c r="AI793">
        <v>4.3666669999999996</v>
      </c>
      <c r="AJ793">
        <v>1.1166670000000001</v>
      </c>
      <c r="AK793">
        <v>0</v>
      </c>
      <c r="AL793" s="76">
        <v>44959</v>
      </c>
      <c r="AM793" s="75">
        <v>1140</v>
      </c>
      <c r="AN793" t="s">
        <v>65</v>
      </c>
      <c r="AO793" t="s">
        <v>3714</v>
      </c>
      <c r="AP793" t="s">
        <v>67</v>
      </c>
      <c r="AQ793" t="s">
        <v>68</v>
      </c>
      <c r="AR793" t="s">
        <v>69</v>
      </c>
      <c r="AS793" s="79"/>
      <c r="AT793" s="82" t="s">
        <v>3571</v>
      </c>
      <c r="AU793" s="78">
        <v>2026</v>
      </c>
      <c r="AV793" s="78">
        <v>3</v>
      </c>
      <c r="AW793" s="78" t="s">
        <v>71</v>
      </c>
      <c r="AX793" s="78">
        <v>1</v>
      </c>
      <c r="AY793" s="78">
        <v>0</v>
      </c>
      <c r="BT793" s="3" t="s">
        <v>71</v>
      </c>
      <c r="BU793" s="3">
        <v>1</v>
      </c>
      <c r="BV793" s="3">
        <v>0</v>
      </c>
    </row>
    <row r="794" spans="1:74" ht="15" customHeight="1" x14ac:dyDescent="0.25">
      <c r="A794" s="75">
        <v>5880201</v>
      </c>
      <c r="B794" t="s">
        <v>3715</v>
      </c>
      <c r="C794" t="s">
        <v>1253</v>
      </c>
      <c r="D794" t="s">
        <v>150</v>
      </c>
      <c r="E794" t="s">
        <v>87</v>
      </c>
      <c r="F794" s="75">
        <v>81</v>
      </c>
      <c r="G794" s="75">
        <v>275443</v>
      </c>
      <c r="H794">
        <v>350</v>
      </c>
      <c r="I794" t="s">
        <v>55</v>
      </c>
      <c r="J794" s="75">
        <v>218791</v>
      </c>
      <c r="K794" t="s">
        <v>312</v>
      </c>
      <c r="L794" t="s">
        <v>313</v>
      </c>
      <c r="M794" s="81">
        <v>46099.750590277778</v>
      </c>
      <c r="N794" s="81">
        <v>46100.590995370367</v>
      </c>
      <c r="O794" t="s">
        <v>58</v>
      </c>
      <c r="P794" t="s">
        <v>59</v>
      </c>
      <c r="Q794" t="s">
        <v>90</v>
      </c>
      <c r="R794" t="s">
        <v>131</v>
      </c>
      <c r="S794" t="s">
        <v>1316</v>
      </c>
      <c r="U794" s="75">
        <v>213903</v>
      </c>
      <c r="V794" t="s">
        <v>3716</v>
      </c>
      <c r="W794" t="s">
        <v>3716</v>
      </c>
      <c r="X794" t="s">
        <v>62</v>
      </c>
      <c r="Y794" t="s">
        <v>63</v>
      </c>
      <c r="AA794" t="s">
        <v>81</v>
      </c>
      <c r="AB794">
        <v>20.116665999999999</v>
      </c>
      <c r="AC794">
        <v>16.816666999999999</v>
      </c>
      <c r="AD794">
        <v>3.2999990000000001</v>
      </c>
      <c r="AE794">
        <v>0.41666599999999998</v>
      </c>
      <c r="AF794">
        <v>0</v>
      </c>
      <c r="AG794">
        <v>2.8833329999999999</v>
      </c>
      <c r="AH794">
        <v>2.8833329999999999</v>
      </c>
      <c r="AI794">
        <v>2.5</v>
      </c>
      <c r="AJ794">
        <v>0.38333299999999998</v>
      </c>
      <c r="AK794">
        <v>0</v>
      </c>
      <c r="AL794" s="76">
        <v>44882.537048611113</v>
      </c>
      <c r="AM794" s="75">
        <v>1217</v>
      </c>
      <c r="AN794" t="s">
        <v>65</v>
      </c>
      <c r="AO794" t="s">
        <v>1256</v>
      </c>
      <c r="AP794" t="s">
        <v>67</v>
      </c>
      <c r="AQ794" t="s">
        <v>68</v>
      </c>
      <c r="AR794" t="s">
        <v>69</v>
      </c>
      <c r="AS794" s="78"/>
      <c r="AT794" s="82" t="s">
        <v>3571</v>
      </c>
      <c r="AU794" s="78">
        <v>2026</v>
      </c>
      <c r="AV794" s="78">
        <v>3</v>
      </c>
      <c r="AW794" s="78" t="s">
        <v>71</v>
      </c>
      <c r="AX794" s="78">
        <v>1</v>
      </c>
      <c r="AY794" s="78">
        <v>0</v>
      </c>
      <c r="BT794" s="2" t="s">
        <v>71</v>
      </c>
      <c r="BU794" s="2">
        <v>1</v>
      </c>
      <c r="BV794" s="2">
        <v>0</v>
      </c>
    </row>
    <row r="795" spans="1:74" ht="15" customHeight="1" x14ac:dyDescent="0.25">
      <c r="A795" s="75">
        <v>5880893</v>
      </c>
      <c r="B795" t="s">
        <v>3717</v>
      </c>
      <c r="C795" t="s">
        <v>396</v>
      </c>
      <c r="D795" t="s">
        <v>150</v>
      </c>
      <c r="E795" t="s">
        <v>54</v>
      </c>
      <c r="F795" s="75">
        <v>1</v>
      </c>
      <c r="G795" s="75">
        <v>330947</v>
      </c>
      <c r="H795">
        <v>800</v>
      </c>
      <c r="I795" t="s">
        <v>141</v>
      </c>
      <c r="J795" s="75">
        <v>225005</v>
      </c>
      <c r="K795" t="s">
        <v>397</v>
      </c>
      <c r="L795" t="s">
        <v>398</v>
      </c>
      <c r="M795" s="81">
        <v>46100.437858796293</v>
      </c>
      <c r="N795" s="81">
        <v>46100.603078703702</v>
      </c>
      <c r="O795" t="s">
        <v>58</v>
      </c>
      <c r="P795" t="s">
        <v>59</v>
      </c>
      <c r="Q795" t="s">
        <v>90</v>
      </c>
      <c r="R795" t="s">
        <v>99</v>
      </c>
      <c r="S795" t="s">
        <v>1244</v>
      </c>
      <c r="U795" s="75">
        <v>214355</v>
      </c>
      <c r="V795" t="s">
        <v>3718</v>
      </c>
      <c r="W795" t="s">
        <v>3718</v>
      </c>
      <c r="X795" t="s">
        <v>118</v>
      </c>
      <c r="Y795" t="s">
        <v>400</v>
      </c>
      <c r="AA795" t="s">
        <v>81</v>
      </c>
      <c r="AB795">
        <v>3.9166660000000002</v>
      </c>
      <c r="AC795">
        <v>0.38333299999999998</v>
      </c>
      <c r="AD795">
        <v>3.5333329999999998</v>
      </c>
      <c r="AE795">
        <v>0.2</v>
      </c>
      <c r="AF795">
        <v>0</v>
      </c>
      <c r="AG795">
        <v>3.3333330000000001</v>
      </c>
      <c r="AH795">
        <v>3.3333330000000001</v>
      </c>
      <c r="AI795">
        <v>3.2</v>
      </c>
      <c r="AJ795">
        <v>0.13333300000000001</v>
      </c>
      <c r="AK795">
        <v>0</v>
      </c>
      <c r="AL795" s="76">
        <v>45713</v>
      </c>
      <c r="AM795" s="75">
        <v>387</v>
      </c>
      <c r="AN795" t="s">
        <v>65</v>
      </c>
      <c r="AO795" t="s">
        <v>401</v>
      </c>
      <c r="AP795" t="s">
        <v>67</v>
      </c>
      <c r="AQ795" t="s">
        <v>121</v>
      </c>
      <c r="AR795" t="s">
        <v>69</v>
      </c>
      <c r="AS795" s="79"/>
      <c r="AT795" s="82" t="s">
        <v>3571</v>
      </c>
      <c r="AU795" s="78">
        <v>2026</v>
      </c>
      <c r="AV795" s="78">
        <v>3</v>
      </c>
      <c r="AW795" s="78" t="s">
        <v>122</v>
      </c>
      <c r="AX795" s="78">
        <v>1</v>
      </c>
      <c r="AY795" s="78">
        <v>0</v>
      </c>
      <c r="BT795" s="3" t="s">
        <v>122</v>
      </c>
      <c r="BU795" s="3">
        <v>1</v>
      </c>
      <c r="BV795" s="3">
        <v>0</v>
      </c>
    </row>
    <row r="796" spans="1:74" ht="15" customHeight="1" x14ac:dyDescent="0.25">
      <c r="A796" s="75">
        <v>5875877</v>
      </c>
      <c r="B796" t="s">
        <v>3719</v>
      </c>
      <c r="C796" t="s">
        <v>3720</v>
      </c>
      <c r="D796" t="s">
        <v>1555</v>
      </c>
      <c r="E796" t="s">
        <v>105</v>
      </c>
      <c r="F796" s="75">
        <v>1072</v>
      </c>
      <c r="G796" s="75">
        <v>332301</v>
      </c>
      <c r="H796">
        <v>525</v>
      </c>
      <c r="I796" t="s">
        <v>175</v>
      </c>
      <c r="J796" s="75">
        <v>83605</v>
      </c>
      <c r="K796" t="s">
        <v>844</v>
      </c>
      <c r="L796" t="s">
        <v>845</v>
      </c>
      <c r="M796" s="81">
        <v>46097.732766203713</v>
      </c>
      <c r="N796" s="81">
        <v>46100.607719907413</v>
      </c>
      <c r="O796" t="s">
        <v>475</v>
      </c>
      <c r="P796" t="s">
        <v>59</v>
      </c>
      <c r="Q796" t="s">
        <v>905</v>
      </c>
      <c r="R796" t="s">
        <v>60</v>
      </c>
      <c r="S796" t="s">
        <v>1942</v>
      </c>
      <c r="U796" s="75">
        <v>214589</v>
      </c>
      <c r="V796" t="s">
        <v>3721</v>
      </c>
      <c r="W796" t="s">
        <v>3722</v>
      </c>
      <c r="X796" t="s">
        <v>62</v>
      </c>
      <c r="Y796" t="s">
        <v>287</v>
      </c>
      <c r="AA796" t="s">
        <v>416</v>
      </c>
      <c r="AB796">
        <v>68.900001000000003</v>
      </c>
      <c r="AC796">
        <v>51.466667000000001</v>
      </c>
      <c r="AD796">
        <v>17.433333999999999</v>
      </c>
      <c r="AE796">
        <v>0.3</v>
      </c>
      <c r="AF796">
        <v>0</v>
      </c>
      <c r="AG796">
        <v>17.133334000000001</v>
      </c>
      <c r="AH796">
        <v>17.133334000000001</v>
      </c>
      <c r="AI796">
        <v>16.383333</v>
      </c>
      <c r="AJ796">
        <v>0.75000100000000003</v>
      </c>
      <c r="AK796">
        <v>0</v>
      </c>
      <c r="AL796" s="76">
        <v>45808.717766203707</v>
      </c>
      <c r="AM796" s="75">
        <v>289</v>
      </c>
      <c r="AN796" t="s">
        <v>65</v>
      </c>
      <c r="AO796" t="s">
        <v>3723</v>
      </c>
      <c r="AP796" t="s">
        <v>67</v>
      </c>
      <c r="AQ796" t="s">
        <v>68</v>
      </c>
      <c r="AR796" t="s">
        <v>69</v>
      </c>
      <c r="AS796" s="78"/>
      <c r="AT796" s="82" t="s">
        <v>3571</v>
      </c>
      <c r="AU796" s="78">
        <v>2026</v>
      </c>
      <c r="AV796" s="78">
        <v>3</v>
      </c>
      <c r="AW796" s="78" t="s">
        <v>137</v>
      </c>
      <c r="AX796" s="78">
        <v>0</v>
      </c>
      <c r="AY796" s="78">
        <v>0</v>
      </c>
      <c r="BT796" s="2" t="s">
        <v>137</v>
      </c>
      <c r="BU796" s="2">
        <v>0</v>
      </c>
      <c r="BV796" s="2">
        <v>0</v>
      </c>
    </row>
    <row r="797" spans="1:74" ht="15" customHeight="1" x14ac:dyDescent="0.25">
      <c r="A797" s="75">
        <v>5877997</v>
      </c>
      <c r="B797" t="s">
        <v>3724</v>
      </c>
      <c r="C797" t="s">
        <v>3725</v>
      </c>
      <c r="D797" t="s">
        <v>1555</v>
      </c>
      <c r="E797" t="s">
        <v>54</v>
      </c>
      <c r="F797" s="75">
        <v>1</v>
      </c>
      <c r="G797" s="75">
        <v>268135</v>
      </c>
      <c r="H797">
        <v>8600</v>
      </c>
      <c r="I797" t="s">
        <v>55</v>
      </c>
      <c r="J797" s="75">
        <v>211821</v>
      </c>
      <c r="K797" t="s">
        <v>3726</v>
      </c>
      <c r="L797" t="s">
        <v>3727</v>
      </c>
      <c r="M797" s="81">
        <v>46098.917581018519</v>
      </c>
      <c r="N797" s="81">
        <v>46100.801412037043</v>
      </c>
      <c r="O797" t="s">
        <v>58</v>
      </c>
      <c r="P797" t="s">
        <v>59</v>
      </c>
      <c r="Q797" t="s">
        <v>77</v>
      </c>
      <c r="R797" t="s">
        <v>60</v>
      </c>
      <c r="S797" t="s">
        <v>583</v>
      </c>
      <c r="U797" s="75">
        <v>212911</v>
      </c>
      <c r="V797" t="s">
        <v>3728</v>
      </c>
      <c r="W797" t="s">
        <v>3728</v>
      </c>
      <c r="X797" t="s">
        <v>118</v>
      </c>
      <c r="Y797" t="s">
        <v>484</v>
      </c>
      <c r="AA797" t="s">
        <v>101</v>
      </c>
      <c r="AB797">
        <v>45.116667</v>
      </c>
      <c r="AC797">
        <v>30.166667</v>
      </c>
      <c r="AD797">
        <v>14.95</v>
      </c>
      <c r="AE797">
        <v>3.516667</v>
      </c>
      <c r="AF797">
        <v>0</v>
      </c>
      <c r="AG797">
        <v>11.433332999999999</v>
      </c>
      <c r="AH797">
        <v>11.433332999999999</v>
      </c>
      <c r="AI797">
        <v>10.883333</v>
      </c>
      <c r="AJ797">
        <v>0.55000000000000004</v>
      </c>
      <c r="AK797">
        <v>0</v>
      </c>
      <c r="AL797" s="76">
        <v>36526</v>
      </c>
      <c r="AM797" s="75">
        <v>9572</v>
      </c>
      <c r="AN797" t="s">
        <v>65</v>
      </c>
      <c r="AO797" t="s">
        <v>3729</v>
      </c>
      <c r="AP797" t="s">
        <v>67</v>
      </c>
      <c r="AQ797" t="s">
        <v>121</v>
      </c>
      <c r="AR797" t="s">
        <v>69</v>
      </c>
      <c r="AS797" s="79"/>
      <c r="AT797" s="82" t="s">
        <v>3571</v>
      </c>
      <c r="AU797" s="78">
        <v>2026</v>
      </c>
      <c r="AV797" s="78">
        <v>3</v>
      </c>
      <c r="AW797" s="78" t="s">
        <v>347</v>
      </c>
      <c r="AX797" s="78">
        <v>0</v>
      </c>
      <c r="AY797" s="78">
        <v>0</v>
      </c>
      <c r="BT797" s="3" t="s">
        <v>347</v>
      </c>
      <c r="BU797" s="3">
        <v>0</v>
      </c>
      <c r="BV797" s="3">
        <v>0</v>
      </c>
    </row>
    <row r="798" spans="1:74" ht="15" customHeight="1" x14ac:dyDescent="0.25">
      <c r="A798" s="75">
        <v>5878487</v>
      </c>
      <c r="B798" t="s">
        <v>3730</v>
      </c>
      <c r="C798" t="s">
        <v>3731</v>
      </c>
      <c r="D798" t="s">
        <v>527</v>
      </c>
      <c r="E798" t="s">
        <v>54</v>
      </c>
      <c r="F798" s="75">
        <v>1</v>
      </c>
      <c r="G798" s="75">
        <v>293841</v>
      </c>
      <c r="H798">
        <v>0.01</v>
      </c>
      <c r="I798" t="s">
        <v>1405</v>
      </c>
      <c r="J798" s="75">
        <v>218097</v>
      </c>
      <c r="K798" t="s">
        <v>2075</v>
      </c>
      <c r="L798" t="s">
        <v>2076</v>
      </c>
      <c r="M798" s="81">
        <v>46099.382847222223</v>
      </c>
      <c r="N798" s="81">
        <v>46101.290462962963</v>
      </c>
      <c r="O798" t="s">
        <v>58</v>
      </c>
      <c r="P798" t="s">
        <v>59</v>
      </c>
      <c r="Q798" t="s">
        <v>90</v>
      </c>
      <c r="R798" t="s">
        <v>60</v>
      </c>
      <c r="S798" t="s">
        <v>583</v>
      </c>
      <c r="U798" s="75">
        <v>213897</v>
      </c>
      <c r="V798" t="s">
        <v>3732</v>
      </c>
      <c r="W798" t="s">
        <v>3733</v>
      </c>
      <c r="X798" t="s">
        <v>118</v>
      </c>
      <c r="Y798" t="s">
        <v>119</v>
      </c>
      <c r="AA798" t="s">
        <v>416</v>
      </c>
      <c r="AB798">
        <v>45.7</v>
      </c>
      <c r="AC798">
        <v>29.5</v>
      </c>
      <c r="AD798">
        <v>16.2</v>
      </c>
      <c r="AE798">
        <v>0.13333300000000001</v>
      </c>
      <c r="AF798">
        <v>0</v>
      </c>
      <c r="AG798">
        <v>16.066666999999999</v>
      </c>
      <c r="AH798">
        <v>16.066666999999999</v>
      </c>
      <c r="AI798">
        <v>15.216666999999999</v>
      </c>
      <c r="AJ798">
        <v>0.85</v>
      </c>
      <c r="AK798">
        <v>0</v>
      </c>
      <c r="AL798" s="76">
        <v>45167.725949074083</v>
      </c>
      <c r="AM798" s="75">
        <v>931</v>
      </c>
      <c r="AN798" t="s">
        <v>65</v>
      </c>
      <c r="AO798" t="s">
        <v>3734</v>
      </c>
      <c r="AP798" t="s">
        <v>67</v>
      </c>
      <c r="AQ798" t="s">
        <v>121</v>
      </c>
      <c r="AR798" t="s">
        <v>69</v>
      </c>
      <c r="AS798" s="78"/>
      <c r="AT798" s="82" t="s">
        <v>3571</v>
      </c>
      <c r="AU798" s="78">
        <v>2026</v>
      </c>
      <c r="AV798" s="78">
        <v>3</v>
      </c>
      <c r="AW798" s="78" t="s">
        <v>122</v>
      </c>
      <c r="AX798" s="78">
        <v>0</v>
      </c>
      <c r="AY798" s="78">
        <v>0</v>
      </c>
      <c r="BT798" s="2" t="s">
        <v>122</v>
      </c>
      <c r="BU798" s="2">
        <v>0</v>
      </c>
      <c r="BV798" s="2">
        <v>0</v>
      </c>
    </row>
    <row r="799" spans="1:74" ht="15" customHeight="1" x14ac:dyDescent="0.25">
      <c r="A799" s="75">
        <v>5880989</v>
      </c>
      <c r="B799" t="s">
        <v>3735</v>
      </c>
      <c r="C799" t="s">
        <v>519</v>
      </c>
      <c r="D799" t="s">
        <v>527</v>
      </c>
      <c r="E799" t="s">
        <v>87</v>
      </c>
      <c r="F799" s="75">
        <v>28</v>
      </c>
      <c r="G799" s="75">
        <v>251443</v>
      </c>
      <c r="H799">
        <v>510</v>
      </c>
      <c r="I799" t="s">
        <v>114</v>
      </c>
      <c r="J799" s="75">
        <v>203645</v>
      </c>
      <c r="K799" t="s">
        <v>520</v>
      </c>
      <c r="L799" t="s">
        <v>521</v>
      </c>
      <c r="M799" s="81">
        <v>46100.487372685187</v>
      </c>
      <c r="N799" s="81">
        <v>46101.378125000003</v>
      </c>
      <c r="P799" t="s">
        <v>59</v>
      </c>
      <c r="Q799" t="s">
        <v>77</v>
      </c>
      <c r="R799" t="s">
        <v>131</v>
      </c>
      <c r="S799" t="s">
        <v>1695</v>
      </c>
      <c r="U799" s="75">
        <v>214421</v>
      </c>
      <c r="V799" t="s">
        <v>3736</v>
      </c>
      <c r="W799" t="s">
        <v>3736</v>
      </c>
      <c r="X799" t="s">
        <v>118</v>
      </c>
      <c r="Y799" t="s">
        <v>119</v>
      </c>
      <c r="AA799" t="s">
        <v>81</v>
      </c>
      <c r="AB799">
        <v>21.35</v>
      </c>
      <c r="AC799">
        <v>18.75</v>
      </c>
      <c r="AD799">
        <v>2.6</v>
      </c>
      <c r="AE799">
        <v>0.11666700000000001</v>
      </c>
      <c r="AF799">
        <v>0</v>
      </c>
      <c r="AG799">
        <v>2.483333</v>
      </c>
      <c r="AH799">
        <v>2.483333</v>
      </c>
      <c r="AI799">
        <v>2.2000000000000002</v>
      </c>
      <c r="AJ799">
        <v>0.283333</v>
      </c>
      <c r="AK799">
        <v>0</v>
      </c>
      <c r="AL799" s="76">
        <v>44964.486203703702</v>
      </c>
      <c r="AM799" s="75">
        <v>1136</v>
      </c>
      <c r="AN799" t="s">
        <v>65</v>
      </c>
      <c r="AO799" t="s">
        <v>3737</v>
      </c>
      <c r="AP799" t="s">
        <v>67</v>
      </c>
      <c r="AQ799" t="s">
        <v>121</v>
      </c>
      <c r="AR799" t="s">
        <v>69</v>
      </c>
      <c r="AS799" s="79"/>
      <c r="AT799" s="82" t="s">
        <v>3571</v>
      </c>
      <c r="AU799" s="78">
        <v>2026</v>
      </c>
      <c r="AV799" s="78">
        <v>3</v>
      </c>
      <c r="AW799" s="78" t="s">
        <v>122</v>
      </c>
      <c r="AX799" s="78">
        <v>1</v>
      </c>
      <c r="AY799" s="78">
        <v>0</v>
      </c>
      <c r="BT799" s="3" t="s">
        <v>122</v>
      </c>
      <c r="BU799" s="3">
        <v>1</v>
      </c>
      <c r="BV799" s="3">
        <v>0</v>
      </c>
    </row>
    <row r="800" spans="1:74" ht="15" customHeight="1" x14ac:dyDescent="0.25">
      <c r="A800" s="75">
        <v>5880603</v>
      </c>
      <c r="B800" t="s">
        <v>3738</v>
      </c>
      <c r="C800" t="s">
        <v>3739</v>
      </c>
      <c r="D800" t="s">
        <v>2379</v>
      </c>
      <c r="E800" t="s">
        <v>105</v>
      </c>
      <c r="F800" s="75">
        <v>603</v>
      </c>
      <c r="G800" s="75">
        <v>342849</v>
      </c>
      <c r="H800">
        <v>225</v>
      </c>
      <c r="I800" t="s">
        <v>163</v>
      </c>
      <c r="J800" s="75">
        <v>48887</v>
      </c>
      <c r="K800" t="s">
        <v>164</v>
      </c>
      <c r="L800" t="s">
        <v>165</v>
      </c>
      <c r="M800" s="81">
        <v>46100.314895833333</v>
      </c>
      <c r="N800" s="81">
        <v>46101.450092592589</v>
      </c>
      <c r="O800" t="s">
        <v>58</v>
      </c>
      <c r="P800" t="s">
        <v>59</v>
      </c>
      <c r="Q800" t="s">
        <v>77</v>
      </c>
      <c r="R800" t="s">
        <v>156</v>
      </c>
      <c r="S800" t="s">
        <v>1320</v>
      </c>
      <c r="U800" s="75">
        <v>214181</v>
      </c>
      <c r="V800" t="s">
        <v>3740</v>
      </c>
      <c r="W800" t="s">
        <v>3740</v>
      </c>
      <c r="X800" t="s">
        <v>62</v>
      </c>
      <c r="Y800" t="s">
        <v>2297</v>
      </c>
      <c r="AA800" t="s">
        <v>81</v>
      </c>
      <c r="AB800">
        <v>27.116667</v>
      </c>
      <c r="AC800">
        <v>23.883333</v>
      </c>
      <c r="AD800">
        <v>3.2333340000000002</v>
      </c>
      <c r="AE800">
        <v>0.98333400000000004</v>
      </c>
      <c r="AF800">
        <v>0</v>
      </c>
      <c r="AG800">
        <v>2.25</v>
      </c>
      <c r="AH800">
        <v>2.25</v>
      </c>
      <c r="AI800">
        <v>2.0499999999999998</v>
      </c>
      <c r="AJ800">
        <v>0.2</v>
      </c>
      <c r="AK800">
        <v>0</v>
      </c>
      <c r="AL800" s="76">
        <v>45867</v>
      </c>
      <c r="AM800" s="75">
        <v>233</v>
      </c>
      <c r="AN800" t="s">
        <v>65</v>
      </c>
      <c r="AO800" t="s">
        <v>3741</v>
      </c>
      <c r="AP800" t="s">
        <v>67</v>
      </c>
      <c r="AQ800" t="s">
        <v>68</v>
      </c>
      <c r="AR800" t="s">
        <v>69</v>
      </c>
      <c r="AS800" s="78"/>
      <c r="AT800" s="82" t="s">
        <v>3571</v>
      </c>
      <c r="AU800" s="78">
        <v>2026</v>
      </c>
      <c r="AV800" s="78">
        <v>3</v>
      </c>
      <c r="AW800" s="78" t="s">
        <v>137</v>
      </c>
      <c r="AX800" s="78">
        <v>1</v>
      </c>
      <c r="AY800" s="78">
        <v>0</v>
      </c>
      <c r="BT800" s="2" t="s">
        <v>137</v>
      </c>
      <c r="BU800" s="2">
        <v>1</v>
      </c>
      <c r="BV800" s="2">
        <v>0</v>
      </c>
    </row>
    <row r="801" spans="1:74" ht="15" customHeight="1" x14ac:dyDescent="0.25">
      <c r="A801" s="75">
        <v>5873683</v>
      </c>
      <c r="B801" t="s">
        <v>3742</v>
      </c>
      <c r="C801" t="s">
        <v>3743</v>
      </c>
      <c r="D801" t="s">
        <v>2379</v>
      </c>
      <c r="E801" t="s">
        <v>87</v>
      </c>
      <c r="F801" s="75">
        <v>1582</v>
      </c>
      <c r="G801" s="75">
        <v>349617</v>
      </c>
      <c r="H801">
        <v>557.47</v>
      </c>
      <c r="I801" t="s">
        <v>163</v>
      </c>
      <c r="J801" s="75">
        <v>6971</v>
      </c>
      <c r="K801" t="s">
        <v>369</v>
      </c>
      <c r="L801" t="s">
        <v>370</v>
      </c>
      <c r="M801" s="81">
        <v>46097.584861111107</v>
      </c>
      <c r="N801" s="81">
        <v>46101.469305555547</v>
      </c>
      <c r="O801" t="s">
        <v>58</v>
      </c>
      <c r="P801" t="s">
        <v>59</v>
      </c>
      <c r="Q801" t="s">
        <v>130</v>
      </c>
      <c r="R801" t="s">
        <v>60</v>
      </c>
      <c r="S801" t="s">
        <v>583</v>
      </c>
      <c r="U801" s="75">
        <v>212973</v>
      </c>
      <c r="V801" t="s">
        <v>3744</v>
      </c>
      <c r="W801" t="s">
        <v>3745</v>
      </c>
      <c r="X801" t="s">
        <v>62</v>
      </c>
      <c r="Y801" t="s">
        <v>190</v>
      </c>
      <c r="AA801" t="s">
        <v>416</v>
      </c>
      <c r="AB801">
        <v>93.116667000000007</v>
      </c>
      <c r="AC801">
        <v>76.783332999999999</v>
      </c>
      <c r="AD801">
        <v>16.333334000000001</v>
      </c>
      <c r="AE801">
        <v>0.1</v>
      </c>
      <c r="AF801">
        <v>0</v>
      </c>
      <c r="AG801">
        <v>16.233333999999999</v>
      </c>
      <c r="AH801">
        <v>16.233333999999999</v>
      </c>
      <c r="AI801">
        <v>15.366667</v>
      </c>
      <c r="AJ801">
        <v>0.86666699999999997</v>
      </c>
      <c r="AK801">
        <v>0</v>
      </c>
      <c r="AL801" s="76"/>
      <c r="AM801" s="75"/>
      <c r="AN801" t="s">
        <v>135</v>
      </c>
      <c r="AO801" t="s">
        <v>3746</v>
      </c>
      <c r="AP801" t="s">
        <v>67</v>
      </c>
      <c r="AQ801" t="s">
        <v>68</v>
      </c>
      <c r="AR801" t="s">
        <v>69</v>
      </c>
      <c r="AS801" s="79"/>
      <c r="AT801" s="82" t="s">
        <v>3571</v>
      </c>
      <c r="AU801" s="78">
        <v>2026</v>
      </c>
      <c r="AV801" s="78">
        <v>3</v>
      </c>
      <c r="AW801" s="78" t="s">
        <v>137</v>
      </c>
      <c r="AX801" s="78">
        <v>0</v>
      </c>
      <c r="AY801" s="78">
        <v>0</v>
      </c>
      <c r="BT801" s="3" t="s">
        <v>137</v>
      </c>
      <c r="BU801" s="3">
        <v>0</v>
      </c>
      <c r="BV801" s="3">
        <v>0</v>
      </c>
    </row>
    <row r="802" spans="1:74" ht="15" customHeight="1" x14ac:dyDescent="0.25">
      <c r="A802" s="75">
        <v>5873831</v>
      </c>
      <c r="B802" t="s">
        <v>3747</v>
      </c>
      <c r="C802" t="s">
        <v>3748</v>
      </c>
      <c r="D802" t="s">
        <v>2379</v>
      </c>
      <c r="E802" t="s">
        <v>105</v>
      </c>
      <c r="F802" s="75">
        <v>38</v>
      </c>
      <c r="G802" s="75">
        <v>243003</v>
      </c>
      <c r="H802">
        <v>800</v>
      </c>
      <c r="I802" t="s">
        <v>114</v>
      </c>
      <c r="J802" s="75">
        <v>219039</v>
      </c>
      <c r="K802" t="s">
        <v>106</v>
      </c>
      <c r="L802" t="s">
        <v>3749</v>
      </c>
      <c r="M802" s="81">
        <v>46097.639363425929</v>
      </c>
      <c r="N802" s="81">
        <v>46101.475393518522</v>
      </c>
      <c r="O802" t="s">
        <v>58</v>
      </c>
      <c r="P802" t="s">
        <v>59</v>
      </c>
      <c r="Q802" t="s">
        <v>90</v>
      </c>
      <c r="R802" t="s">
        <v>60</v>
      </c>
      <c r="S802" t="s">
        <v>583</v>
      </c>
      <c r="U802" s="75">
        <v>212421</v>
      </c>
      <c r="V802" t="s">
        <v>3750</v>
      </c>
      <c r="X802" t="s">
        <v>118</v>
      </c>
      <c r="Y802" t="s">
        <v>400</v>
      </c>
      <c r="AA802" t="s">
        <v>64</v>
      </c>
      <c r="AB802">
        <v>91.966667000000001</v>
      </c>
      <c r="AC802">
        <v>77.133334000000005</v>
      </c>
      <c r="AD802">
        <v>14.833333</v>
      </c>
      <c r="AE802">
        <v>8.3000000000000007</v>
      </c>
      <c r="AF802">
        <v>0</v>
      </c>
      <c r="AG802">
        <v>6.5333329999999998</v>
      </c>
      <c r="AH802">
        <v>6.5333329999999998</v>
      </c>
      <c r="AI802">
        <v>5.65</v>
      </c>
      <c r="AJ802">
        <v>0.88333300000000003</v>
      </c>
      <c r="AK802">
        <v>0</v>
      </c>
      <c r="AL802" s="76">
        <v>44428.434756944444</v>
      </c>
      <c r="AM802" s="75">
        <v>1669</v>
      </c>
      <c r="AN802" t="s">
        <v>65</v>
      </c>
      <c r="AO802" t="s">
        <v>3751</v>
      </c>
      <c r="AP802" t="s">
        <v>67</v>
      </c>
      <c r="AQ802" t="s">
        <v>121</v>
      </c>
      <c r="AR802" t="s">
        <v>69</v>
      </c>
      <c r="AS802" s="78"/>
      <c r="AT802" s="82" t="s">
        <v>3571</v>
      </c>
      <c r="AU802" s="78">
        <v>2026</v>
      </c>
      <c r="AV802" s="78">
        <v>3</v>
      </c>
      <c r="AW802" s="78" t="s">
        <v>122</v>
      </c>
      <c r="AX802" s="78">
        <v>1</v>
      </c>
      <c r="AY802" s="78">
        <v>0</v>
      </c>
      <c r="BT802" s="2" t="s">
        <v>122</v>
      </c>
      <c r="BU802" s="2">
        <v>1</v>
      </c>
      <c r="BV802" s="2">
        <v>0</v>
      </c>
    </row>
    <row r="803" spans="1:74" ht="15" customHeight="1" x14ac:dyDescent="0.25">
      <c r="A803" s="75">
        <v>5881459</v>
      </c>
      <c r="B803" t="s">
        <v>3752</v>
      </c>
      <c r="C803" t="s">
        <v>3753</v>
      </c>
      <c r="D803" t="s">
        <v>527</v>
      </c>
      <c r="E803" t="s">
        <v>87</v>
      </c>
      <c r="F803" s="75">
        <v>343</v>
      </c>
      <c r="G803" s="75">
        <v>286697</v>
      </c>
      <c r="H803">
        <v>364.96</v>
      </c>
      <c r="I803" t="s">
        <v>55</v>
      </c>
      <c r="J803" s="75">
        <v>218787</v>
      </c>
      <c r="K803" t="s">
        <v>96</v>
      </c>
      <c r="L803" t="s">
        <v>97</v>
      </c>
      <c r="M803" s="81">
        <v>46100.702291666668</v>
      </c>
      <c r="N803" s="81">
        <v>46101.506030092591</v>
      </c>
      <c r="O803" t="s">
        <v>58</v>
      </c>
      <c r="P803" t="s">
        <v>59</v>
      </c>
      <c r="Q803" t="s">
        <v>90</v>
      </c>
      <c r="R803" t="s">
        <v>99</v>
      </c>
      <c r="S803" t="s">
        <v>1244</v>
      </c>
      <c r="U803" s="75">
        <v>214667</v>
      </c>
      <c r="V803" t="s">
        <v>3754</v>
      </c>
      <c r="X803" t="s">
        <v>62</v>
      </c>
      <c r="Y803" t="s">
        <v>63</v>
      </c>
      <c r="AA803" t="s">
        <v>81</v>
      </c>
      <c r="AB803">
        <v>19.233333999999999</v>
      </c>
      <c r="AC803">
        <v>15.083334000000001</v>
      </c>
      <c r="AD803">
        <v>4.1500000000000004</v>
      </c>
      <c r="AE803">
        <v>0.33333299999999999</v>
      </c>
      <c r="AF803">
        <v>0</v>
      </c>
      <c r="AG803">
        <v>3.8166669999999998</v>
      </c>
      <c r="AH803">
        <v>3.8166669999999998</v>
      </c>
      <c r="AI803">
        <v>3.7</v>
      </c>
      <c r="AJ803">
        <v>0.11666700000000001</v>
      </c>
      <c r="AK803">
        <v>0</v>
      </c>
      <c r="AL803" s="76">
        <v>44918</v>
      </c>
      <c r="AM803" s="75">
        <v>1182</v>
      </c>
      <c r="AN803" t="s">
        <v>65</v>
      </c>
      <c r="AO803" t="s">
        <v>3755</v>
      </c>
      <c r="AP803" t="s">
        <v>67</v>
      </c>
      <c r="AQ803" t="s">
        <v>68</v>
      </c>
      <c r="AR803" t="s">
        <v>69</v>
      </c>
      <c r="AS803" s="79"/>
      <c r="AT803" s="82" t="s">
        <v>3571</v>
      </c>
      <c r="AU803" s="78">
        <v>2026</v>
      </c>
      <c r="AV803" s="78">
        <v>3</v>
      </c>
      <c r="AW803" s="78" t="s">
        <v>71</v>
      </c>
      <c r="AX803" s="78">
        <v>1</v>
      </c>
      <c r="AY803" s="78">
        <v>0</v>
      </c>
      <c r="BT803" s="3" t="s">
        <v>71</v>
      </c>
      <c r="BU803" s="3">
        <v>1</v>
      </c>
      <c r="BV803" s="3">
        <v>0</v>
      </c>
    </row>
    <row r="804" spans="1:74" ht="15" customHeight="1" x14ac:dyDescent="0.25">
      <c r="A804" s="75">
        <v>5880055</v>
      </c>
      <c r="B804" t="s">
        <v>3756</v>
      </c>
      <c r="C804" t="s">
        <v>3757</v>
      </c>
      <c r="D804" t="s">
        <v>956</v>
      </c>
      <c r="E804" t="s">
        <v>105</v>
      </c>
      <c r="F804" s="75">
        <v>631</v>
      </c>
      <c r="G804" s="75">
        <v>342917</v>
      </c>
      <c r="H804">
        <v>225</v>
      </c>
      <c r="I804" t="s">
        <v>163</v>
      </c>
      <c r="J804" s="75">
        <v>48887</v>
      </c>
      <c r="K804" t="s">
        <v>164</v>
      </c>
      <c r="L804" t="s">
        <v>165</v>
      </c>
      <c r="M804" s="81">
        <v>46099.706273148149</v>
      </c>
      <c r="N804" s="81">
        <v>46101.509780092587</v>
      </c>
      <c r="O804" t="s">
        <v>58</v>
      </c>
      <c r="P804" t="s">
        <v>59</v>
      </c>
      <c r="Q804" t="s">
        <v>77</v>
      </c>
      <c r="R804" t="s">
        <v>60</v>
      </c>
      <c r="S804" t="s">
        <v>1268</v>
      </c>
      <c r="U804" s="75">
        <v>214879</v>
      </c>
      <c r="V804" t="s">
        <v>3758</v>
      </c>
      <c r="W804" t="s">
        <v>3758</v>
      </c>
      <c r="X804" t="s">
        <v>62</v>
      </c>
      <c r="Y804" t="s">
        <v>1313</v>
      </c>
      <c r="AA804" t="s">
        <v>81</v>
      </c>
      <c r="AB804">
        <v>43.183332999999998</v>
      </c>
      <c r="AC804">
        <v>40.416666999999997</v>
      </c>
      <c r="AD804">
        <v>2.7666659999999998</v>
      </c>
      <c r="AE804">
        <v>0.35</v>
      </c>
      <c r="AF804">
        <v>0</v>
      </c>
      <c r="AG804">
        <v>2.4166660000000002</v>
      </c>
      <c r="AH804">
        <v>2.4166660000000002</v>
      </c>
      <c r="AI804">
        <v>1.95</v>
      </c>
      <c r="AJ804">
        <v>0.46666600000000003</v>
      </c>
      <c r="AK804">
        <v>0</v>
      </c>
      <c r="AL804" s="76">
        <v>45866</v>
      </c>
      <c r="AM804" s="75">
        <v>233</v>
      </c>
      <c r="AN804" t="s">
        <v>65</v>
      </c>
      <c r="AO804" t="s">
        <v>1314</v>
      </c>
      <c r="AP804" t="s">
        <v>67</v>
      </c>
      <c r="AQ804" t="s">
        <v>68</v>
      </c>
      <c r="AR804" t="s">
        <v>69</v>
      </c>
      <c r="AS804" s="78"/>
      <c r="AT804" s="82" t="s">
        <v>3571</v>
      </c>
      <c r="AU804" s="78">
        <v>2026</v>
      </c>
      <c r="AV804" s="78">
        <v>3</v>
      </c>
      <c r="AW804" s="78" t="s">
        <v>137</v>
      </c>
      <c r="AX804" s="78">
        <v>1</v>
      </c>
      <c r="AY804" s="78">
        <v>0</v>
      </c>
      <c r="BT804" s="2" t="s">
        <v>137</v>
      </c>
      <c r="BU804" s="2">
        <v>1</v>
      </c>
      <c r="BV804" s="2">
        <v>0</v>
      </c>
    </row>
    <row r="805" spans="1:74" ht="15" customHeight="1" x14ac:dyDescent="0.25">
      <c r="A805" s="75">
        <v>5876145</v>
      </c>
      <c r="B805" t="s">
        <v>3759</v>
      </c>
      <c r="C805" t="s">
        <v>711</v>
      </c>
      <c r="D805" t="s">
        <v>2379</v>
      </c>
      <c r="E805" t="s">
        <v>87</v>
      </c>
      <c r="F805" s="75">
        <v>179</v>
      </c>
      <c r="G805" s="75">
        <v>285869</v>
      </c>
      <c r="H805">
        <v>364.95</v>
      </c>
      <c r="I805" t="s">
        <v>55</v>
      </c>
      <c r="J805" s="75">
        <v>218787</v>
      </c>
      <c r="K805" t="s">
        <v>96</v>
      </c>
      <c r="L805" t="s">
        <v>97</v>
      </c>
      <c r="M805" s="81">
        <v>46098.139317129629</v>
      </c>
      <c r="N805" s="81">
        <v>46101.593263888892</v>
      </c>
      <c r="O805" t="s">
        <v>58</v>
      </c>
      <c r="P805" t="s">
        <v>59</v>
      </c>
      <c r="Q805" t="s">
        <v>98</v>
      </c>
      <c r="R805" t="s">
        <v>60</v>
      </c>
      <c r="S805" t="s">
        <v>583</v>
      </c>
      <c r="U805" s="75">
        <v>213895</v>
      </c>
      <c r="V805" t="s">
        <v>3760</v>
      </c>
      <c r="W805" t="s">
        <v>3760</v>
      </c>
      <c r="X805" t="s">
        <v>62</v>
      </c>
      <c r="Y805" t="s">
        <v>63</v>
      </c>
      <c r="AA805" t="s">
        <v>101</v>
      </c>
      <c r="AB805">
        <v>82.783333999999996</v>
      </c>
      <c r="AC805">
        <v>72.166667000000004</v>
      </c>
      <c r="AD805">
        <v>10.616667</v>
      </c>
      <c r="AE805">
        <v>0.56666700000000003</v>
      </c>
      <c r="AF805">
        <v>0</v>
      </c>
      <c r="AG805">
        <v>10.050000000000001</v>
      </c>
      <c r="AH805">
        <v>10.050000000000001</v>
      </c>
      <c r="AI805">
        <v>9.65</v>
      </c>
      <c r="AJ805">
        <v>0.4</v>
      </c>
      <c r="AK805">
        <v>0</v>
      </c>
      <c r="AL805" s="76">
        <v>44868</v>
      </c>
      <c r="AM805" s="75">
        <v>1230</v>
      </c>
      <c r="AN805" t="s">
        <v>65</v>
      </c>
      <c r="AO805" t="s">
        <v>713</v>
      </c>
      <c r="AP805" t="s">
        <v>67</v>
      </c>
      <c r="AQ805" t="s">
        <v>68</v>
      </c>
      <c r="AR805" t="s">
        <v>69</v>
      </c>
      <c r="AS805" s="79"/>
      <c r="AT805" s="82" t="s">
        <v>3571</v>
      </c>
      <c r="AU805" s="78">
        <v>2026</v>
      </c>
      <c r="AV805" s="78">
        <v>3</v>
      </c>
      <c r="AW805" s="78" t="s">
        <v>71</v>
      </c>
      <c r="AX805" s="78">
        <v>0</v>
      </c>
      <c r="AY805" s="78">
        <v>0</v>
      </c>
      <c r="BT805" s="3" t="s">
        <v>71</v>
      </c>
      <c r="BU805" s="3">
        <v>0</v>
      </c>
      <c r="BV805" s="3">
        <v>0</v>
      </c>
    </row>
    <row r="806" spans="1:74" ht="15" customHeight="1" x14ac:dyDescent="0.25">
      <c r="A806" s="75">
        <v>5878899</v>
      </c>
      <c r="B806" t="s">
        <v>3761</v>
      </c>
      <c r="C806" t="s">
        <v>1986</v>
      </c>
      <c r="D806" t="s">
        <v>2379</v>
      </c>
      <c r="E806" t="s">
        <v>87</v>
      </c>
      <c r="F806" s="75">
        <v>271</v>
      </c>
      <c r="G806" s="75">
        <v>286387</v>
      </c>
      <c r="H806">
        <v>364.96</v>
      </c>
      <c r="I806" t="s">
        <v>55</v>
      </c>
      <c r="J806" s="75">
        <v>218787</v>
      </c>
      <c r="K806" t="s">
        <v>96</v>
      </c>
      <c r="L806" t="s">
        <v>97</v>
      </c>
      <c r="M806" s="81">
        <v>46099.459768518522</v>
      </c>
      <c r="N806" s="81">
        <v>46101.734629629631</v>
      </c>
      <c r="O806" t="s">
        <v>58</v>
      </c>
      <c r="P806" t="s">
        <v>59</v>
      </c>
      <c r="Q806" t="s">
        <v>90</v>
      </c>
      <c r="R806" t="s">
        <v>131</v>
      </c>
      <c r="S806" t="s">
        <v>1273</v>
      </c>
      <c r="U806" s="75">
        <v>213423</v>
      </c>
      <c r="V806" t="s">
        <v>3762</v>
      </c>
      <c r="W806" t="s">
        <v>3762</v>
      </c>
      <c r="X806" t="s">
        <v>62</v>
      </c>
      <c r="Y806" t="s">
        <v>63</v>
      </c>
      <c r="AA806" t="s">
        <v>81</v>
      </c>
      <c r="AB806">
        <v>54.566665999999998</v>
      </c>
      <c r="AC806">
        <v>50.133333</v>
      </c>
      <c r="AD806">
        <v>4.4333330000000002</v>
      </c>
      <c r="AE806">
        <v>0.8</v>
      </c>
      <c r="AF806">
        <v>0</v>
      </c>
      <c r="AG806">
        <v>3.6333329999999999</v>
      </c>
      <c r="AH806">
        <v>3.6333329999999999</v>
      </c>
      <c r="AI806">
        <v>3.5333329999999998</v>
      </c>
      <c r="AJ806">
        <v>0.1</v>
      </c>
      <c r="AK806">
        <v>0</v>
      </c>
      <c r="AL806" s="76">
        <v>44882</v>
      </c>
      <c r="AM806" s="75">
        <v>1217</v>
      </c>
      <c r="AN806" t="s">
        <v>65</v>
      </c>
      <c r="AO806" t="s">
        <v>1989</v>
      </c>
      <c r="AP806" t="s">
        <v>67</v>
      </c>
      <c r="AQ806" t="s">
        <v>68</v>
      </c>
      <c r="AR806" t="s">
        <v>69</v>
      </c>
      <c r="AS806" s="78"/>
      <c r="AT806" s="82" t="s">
        <v>3571</v>
      </c>
      <c r="AU806" s="78">
        <v>2026</v>
      </c>
      <c r="AV806" s="78">
        <v>3</v>
      </c>
      <c r="AW806" s="78" t="s">
        <v>71</v>
      </c>
      <c r="AX806" s="78">
        <v>1</v>
      </c>
      <c r="AY806" s="78">
        <v>0</v>
      </c>
      <c r="BT806" s="2" t="s">
        <v>71</v>
      </c>
      <c r="BU806" s="2">
        <v>1</v>
      </c>
      <c r="BV806" s="2">
        <v>0</v>
      </c>
    </row>
    <row r="807" spans="1:74" ht="15" customHeight="1" x14ac:dyDescent="0.25">
      <c r="A807" s="75">
        <v>5880231</v>
      </c>
      <c r="B807" t="s">
        <v>3763</v>
      </c>
      <c r="C807" t="s">
        <v>3764</v>
      </c>
      <c r="D807" t="s">
        <v>2379</v>
      </c>
      <c r="E807" t="s">
        <v>87</v>
      </c>
      <c r="F807" s="75">
        <v>69</v>
      </c>
      <c r="G807" s="75">
        <v>275387</v>
      </c>
      <c r="H807">
        <v>368.16</v>
      </c>
      <c r="I807" t="s">
        <v>55</v>
      </c>
      <c r="J807" s="75">
        <v>218791</v>
      </c>
      <c r="K807" t="s">
        <v>312</v>
      </c>
      <c r="L807" t="s">
        <v>313</v>
      </c>
      <c r="M807" s="81">
        <v>46099.764398148152</v>
      </c>
      <c r="N807" s="81">
        <v>46101.752349537041</v>
      </c>
      <c r="O807" t="s">
        <v>58</v>
      </c>
      <c r="P807" t="s">
        <v>59</v>
      </c>
      <c r="Q807" t="s">
        <v>90</v>
      </c>
      <c r="R807" t="s">
        <v>156</v>
      </c>
      <c r="S807" t="s">
        <v>1320</v>
      </c>
      <c r="U807" s="75">
        <v>213905</v>
      </c>
      <c r="V807" t="s">
        <v>3765</v>
      </c>
      <c r="W807" t="s">
        <v>3765</v>
      </c>
      <c r="X807" t="s">
        <v>62</v>
      </c>
      <c r="Y807" t="s">
        <v>63</v>
      </c>
      <c r="AA807" t="s">
        <v>64</v>
      </c>
      <c r="AB807">
        <v>47.616666000000002</v>
      </c>
      <c r="AC807">
        <v>39.616666000000002</v>
      </c>
      <c r="AD807">
        <v>8</v>
      </c>
      <c r="AE807">
        <v>0.31666699999999998</v>
      </c>
      <c r="AF807">
        <v>0</v>
      </c>
      <c r="AG807">
        <v>7.6833330000000002</v>
      </c>
      <c r="AH807">
        <v>7.6833330000000002</v>
      </c>
      <c r="AI807">
        <v>6.233333</v>
      </c>
      <c r="AJ807">
        <v>1.45</v>
      </c>
      <c r="AK807">
        <v>0</v>
      </c>
      <c r="AL807" s="76">
        <v>44872.707546296297</v>
      </c>
      <c r="AM807" s="75">
        <v>1227</v>
      </c>
      <c r="AN807" t="s">
        <v>65</v>
      </c>
      <c r="AO807" t="s">
        <v>3766</v>
      </c>
      <c r="AP807" t="s">
        <v>67</v>
      </c>
      <c r="AQ807" t="s">
        <v>68</v>
      </c>
      <c r="AR807" t="s">
        <v>69</v>
      </c>
      <c r="AS807" s="79"/>
      <c r="AT807" s="82" t="s">
        <v>3571</v>
      </c>
      <c r="AU807" s="78">
        <v>2026</v>
      </c>
      <c r="AV807" s="78">
        <v>3</v>
      </c>
      <c r="AW807" s="78" t="s">
        <v>71</v>
      </c>
      <c r="AX807" s="78">
        <v>1</v>
      </c>
      <c r="AY807" s="78">
        <v>0</v>
      </c>
      <c r="BT807" s="3" t="s">
        <v>71</v>
      </c>
      <c r="BU807" s="3">
        <v>1</v>
      </c>
      <c r="BV807" s="3">
        <v>0</v>
      </c>
    </row>
    <row r="808" spans="1:74" ht="15" customHeight="1" x14ac:dyDescent="0.25">
      <c r="A808" s="75">
        <v>5882577</v>
      </c>
      <c r="B808" t="s">
        <v>3767</v>
      </c>
      <c r="C808" t="s">
        <v>3768</v>
      </c>
      <c r="D808" t="s">
        <v>3560</v>
      </c>
      <c r="E808" t="s">
        <v>54</v>
      </c>
      <c r="F808" s="75">
        <v>29</v>
      </c>
      <c r="G808" s="75">
        <v>277713</v>
      </c>
      <c r="H808">
        <v>367.96</v>
      </c>
      <c r="I808" t="s">
        <v>242</v>
      </c>
      <c r="J808" s="75">
        <v>212603</v>
      </c>
      <c r="K808" t="s">
        <v>538</v>
      </c>
      <c r="L808" t="s">
        <v>539</v>
      </c>
      <c r="M808" s="81">
        <v>46101.528217592589</v>
      </c>
      <c r="N808" s="81">
        <v>46101.782604166663</v>
      </c>
      <c r="O808" t="s">
        <v>391</v>
      </c>
      <c r="P808" t="s">
        <v>59</v>
      </c>
      <c r="Q808" t="s">
        <v>90</v>
      </c>
      <c r="R808" t="s">
        <v>60</v>
      </c>
      <c r="S808" t="s">
        <v>583</v>
      </c>
      <c r="U808" s="75">
        <v>215393</v>
      </c>
      <c r="V808" t="s">
        <v>3769</v>
      </c>
      <c r="W808" t="s">
        <v>3769</v>
      </c>
      <c r="X808" t="s">
        <v>62</v>
      </c>
      <c r="Y808" t="s">
        <v>233</v>
      </c>
      <c r="AA808" t="s">
        <v>64</v>
      </c>
      <c r="AB808">
        <v>6.05</v>
      </c>
      <c r="AC808">
        <v>1.1499999999999999</v>
      </c>
      <c r="AD808">
        <v>4.9000000000000004</v>
      </c>
      <c r="AE808">
        <v>0.61666600000000005</v>
      </c>
      <c r="AF808">
        <v>0</v>
      </c>
      <c r="AG808">
        <v>4.283334</v>
      </c>
      <c r="AH808">
        <v>4.283334</v>
      </c>
      <c r="AI808">
        <v>4.2333340000000002</v>
      </c>
      <c r="AJ808">
        <v>0.05</v>
      </c>
      <c r="AK808">
        <v>0</v>
      </c>
      <c r="AL808" s="76">
        <v>43963</v>
      </c>
      <c r="AM808" s="75">
        <v>2138</v>
      </c>
      <c r="AN808" t="s">
        <v>65</v>
      </c>
      <c r="AO808" t="s">
        <v>3770</v>
      </c>
      <c r="AP808" t="s">
        <v>67</v>
      </c>
      <c r="AQ808" t="s">
        <v>68</v>
      </c>
      <c r="AR808" t="s">
        <v>69</v>
      </c>
      <c r="AS808" s="78"/>
      <c r="AT808" s="82" t="s">
        <v>3571</v>
      </c>
      <c r="AU808" s="78">
        <v>2026</v>
      </c>
      <c r="AV808" s="78">
        <v>3</v>
      </c>
      <c r="AW808" s="78" t="s">
        <v>137</v>
      </c>
      <c r="AX808" s="78">
        <v>1</v>
      </c>
      <c r="AY808" s="78">
        <v>0</v>
      </c>
      <c r="BT808" s="2" t="s">
        <v>137</v>
      </c>
      <c r="BU808" s="2">
        <v>1</v>
      </c>
      <c r="BV808" s="2">
        <v>0</v>
      </c>
    </row>
    <row r="809" spans="1:74" ht="15" customHeight="1" x14ac:dyDescent="0.25">
      <c r="A809" s="75">
        <v>5880237</v>
      </c>
      <c r="B809" t="s">
        <v>3771</v>
      </c>
      <c r="C809" t="s">
        <v>3772</v>
      </c>
      <c r="D809" t="s">
        <v>2379</v>
      </c>
      <c r="E809" t="s">
        <v>87</v>
      </c>
      <c r="F809" s="75">
        <v>246</v>
      </c>
      <c r="G809" s="75">
        <v>286333</v>
      </c>
      <c r="H809">
        <v>364.96</v>
      </c>
      <c r="I809" t="s">
        <v>55</v>
      </c>
      <c r="J809" s="75">
        <v>218787</v>
      </c>
      <c r="K809" t="s">
        <v>96</v>
      </c>
      <c r="L809" t="s">
        <v>97</v>
      </c>
      <c r="M809" s="81">
        <v>46099.764479166668</v>
      </c>
      <c r="N809" s="81">
        <v>46102.510613425933</v>
      </c>
      <c r="O809" t="s">
        <v>58</v>
      </c>
      <c r="P809" t="s">
        <v>59</v>
      </c>
      <c r="Q809" t="s">
        <v>90</v>
      </c>
      <c r="R809" t="s">
        <v>156</v>
      </c>
      <c r="S809" t="s">
        <v>1320</v>
      </c>
      <c r="U809" s="75">
        <v>213907</v>
      </c>
      <c r="V809" t="s">
        <v>3773</v>
      </c>
      <c r="W809" t="s">
        <v>3773</v>
      </c>
      <c r="X809" t="s">
        <v>62</v>
      </c>
      <c r="Y809" t="s">
        <v>63</v>
      </c>
      <c r="AA809" t="s">
        <v>64</v>
      </c>
      <c r="AB809">
        <v>65.849999999999994</v>
      </c>
      <c r="AC809">
        <v>58.2</v>
      </c>
      <c r="AD809">
        <v>7.65</v>
      </c>
      <c r="AE809">
        <v>0.183333</v>
      </c>
      <c r="AF809">
        <v>0</v>
      </c>
      <c r="AG809">
        <v>7.4666670000000002</v>
      </c>
      <c r="AH809">
        <v>7.4666670000000002</v>
      </c>
      <c r="AI809">
        <v>7.1833340000000003</v>
      </c>
      <c r="AJ809">
        <v>0.283333</v>
      </c>
      <c r="AK809">
        <v>0</v>
      </c>
      <c r="AL809" s="76">
        <v>44888</v>
      </c>
      <c r="AM809" s="75">
        <v>1211</v>
      </c>
      <c r="AN809" t="s">
        <v>65</v>
      </c>
      <c r="AO809" t="s">
        <v>3774</v>
      </c>
      <c r="AP809" t="s">
        <v>67</v>
      </c>
      <c r="AQ809" t="s">
        <v>68</v>
      </c>
      <c r="AR809" t="s">
        <v>69</v>
      </c>
      <c r="AS809" s="79"/>
      <c r="AT809" s="82" t="s">
        <v>3571</v>
      </c>
      <c r="AU809" s="78">
        <v>2026</v>
      </c>
      <c r="AV809" s="78">
        <v>3</v>
      </c>
      <c r="AW809" s="78" t="s">
        <v>71</v>
      </c>
      <c r="AX809" s="78">
        <v>1</v>
      </c>
      <c r="AY809" s="78">
        <v>0</v>
      </c>
      <c r="BT809" s="3" t="s">
        <v>71</v>
      </c>
      <c r="BU809" s="3">
        <v>1</v>
      </c>
      <c r="BV809" s="3">
        <v>0</v>
      </c>
    </row>
    <row r="810" spans="1:74" ht="15" customHeight="1" x14ac:dyDescent="0.25">
      <c r="A810" s="75">
        <v>5883503</v>
      </c>
      <c r="B810" t="s">
        <v>3775</v>
      </c>
      <c r="C810" t="s">
        <v>2471</v>
      </c>
      <c r="D810" t="s">
        <v>162</v>
      </c>
      <c r="E810" t="s">
        <v>105</v>
      </c>
      <c r="F810" s="75">
        <v>1222</v>
      </c>
      <c r="G810" s="75">
        <v>340853</v>
      </c>
      <c r="H810">
        <v>442.11</v>
      </c>
      <c r="I810" t="s">
        <v>175</v>
      </c>
      <c r="J810" s="75">
        <v>83605</v>
      </c>
      <c r="K810" t="s">
        <v>844</v>
      </c>
      <c r="L810" t="s">
        <v>845</v>
      </c>
      <c r="M810" s="81">
        <v>46101.868541666663</v>
      </c>
      <c r="N810" s="81">
        <v>46102.541504629633</v>
      </c>
      <c r="O810" t="s">
        <v>58</v>
      </c>
      <c r="P810" t="s">
        <v>59</v>
      </c>
      <c r="Q810" t="s">
        <v>90</v>
      </c>
      <c r="R810" t="s">
        <v>60</v>
      </c>
      <c r="S810" t="s">
        <v>583</v>
      </c>
      <c r="U810" s="75">
        <v>215709</v>
      </c>
      <c r="V810" t="s">
        <v>3776</v>
      </c>
      <c r="W810" t="s">
        <v>3776</v>
      </c>
      <c r="X810" t="s">
        <v>62</v>
      </c>
      <c r="Y810" t="s">
        <v>63</v>
      </c>
      <c r="AA810" t="s">
        <v>64</v>
      </c>
      <c r="AB810">
        <v>16.083334000000001</v>
      </c>
      <c r="AC810">
        <v>7.9</v>
      </c>
      <c r="AD810">
        <v>8.1833340000000003</v>
      </c>
      <c r="AE810">
        <v>0.26666699999999999</v>
      </c>
      <c r="AF810">
        <v>0</v>
      </c>
      <c r="AG810">
        <v>7.9166670000000003</v>
      </c>
      <c r="AH810">
        <v>7.9166670000000003</v>
      </c>
      <c r="AI810">
        <v>7.8</v>
      </c>
      <c r="AJ810">
        <v>0.11666700000000001</v>
      </c>
      <c r="AK810">
        <v>0</v>
      </c>
      <c r="AL810" s="76">
        <v>45869.70894675926</v>
      </c>
      <c r="AM810" s="75">
        <v>232</v>
      </c>
      <c r="AN810" t="s">
        <v>65</v>
      </c>
      <c r="AO810" t="s">
        <v>3777</v>
      </c>
      <c r="AP810" t="s">
        <v>67</v>
      </c>
      <c r="AQ810" t="s">
        <v>68</v>
      </c>
      <c r="AR810" t="s">
        <v>69</v>
      </c>
      <c r="AS810" s="78"/>
      <c r="AT810" s="82" t="s">
        <v>3571</v>
      </c>
      <c r="AU810" s="78">
        <v>2026</v>
      </c>
      <c r="AV810" s="78">
        <v>3</v>
      </c>
      <c r="AW810" s="78" t="s">
        <v>71</v>
      </c>
      <c r="AX810" s="78">
        <v>1</v>
      </c>
      <c r="AY810" s="78">
        <v>0</v>
      </c>
      <c r="BT810" s="2" t="s">
        <v>71</v>
      </c>
      <c r="BU810" s="2">
        <v>1</v>
      </c>
      <c r="BV810" s="2">
        <v>0</v>
      </c>
    </row>
    <row r="811" spans="1:74" ht="15" customHeight="1" x14ac:dyDescent="0.25">
      <c r="A811" s="75">
        <v>5882905</v>
      </c>
      <c r="B811" t="s">
        <v>3778</v>
      </c>
      <c r="C811" t="s">
        <v>3779</v>
      </c>
      <c r="D811" t="s">
        <v>1052</v>
      </c>
      <c r="E811" t="s">
        <v>126</v>
      </c>
      <c r="F811" s="75">
        <v>1</v>
      </c>
      <c r="G811" s="75">
        <v>322175</v>
      </c>
      <c r="H811">
        <v>7000</v>
      </c>
      <c r="I811" t="s">
        <v>114</v>
      </c>
      <c r="J811" s="75">
        <v>223401</v>
      </c>
      <c r="K811" t="s">
        <v>3780</v>
      </c>
      <c r="L811" t="s">
        <v>3781</v>
      </c>
      <c r="M811" s="81">
        <v>46101.676226851851</v>
      </c>
      <c r="N811" s="81">
        <v>46102.697731481479</v>
      </c>
      <c r="O811" t="s">
        <v>58</v>
      </c>
      <c r="P811" t="s">
        <v>59</v>
      </c>
      <c r="Q811" t="s">
        <v>130</v>
      </c>
      <c r="R811" t="s">
        <v>156</v>
      </c>
      <c r="S811" t="s">
        <v>1320</v>
      </c>
      <c r="U811" s="75">
        <v>215599</v>
      </c>
      <c r="V811" t="s">
        <v>3782</v>
      </c>
      <c r="W811" t="s">
        <v>3782</v>
      </c>
      <c r="X811" t="s">
        <v>118</v>
      </c>
      <c r="Y811" t="s">
        <v>1346</v>
      </c>
      <c r="AA811" t="s">
        <v>81</v>
      </c>
      <c r="AB811">
        <v>24.466666</v>
      </c>
      <c r="AC811">
        <v>20.716666</v>
      </c>
      <c r="AD811">
        <v>3.75</v>
      </c>
      <c r="AE811">
        <v>0.1</v>
      </c>
      <c r="AF811">
        <v>0</v>
      </c>
      <c r="AG811">
        <v>3.65</v>
      </c>
      <c r="AH811">
        <v>3.65</v>
      </c>
      <c r="AI811">
        <v>3.55</v>
      </c>
      <c r="AJ811">
        <v>0.1</v>
      </c>
      <c r="AK811">
        <v>0</v>
      </c>
      <c r="AL811" s="76">
        <v>45535</v>
      </c>
      <c r="AM811" s="75">
        <v>566</v>
      </c>
      <c r="AN811" t="s">
        <v>65</v>
      </c>
      <c r="AO811" t="s">
        <v>3783</v>
      </c>
      <c r="AP811" t="s">
        <v>67</v>
      </c>
      <c r="AQ811" t="s">
        <v>121</v>
      </c>
      <c r="AR811" t="s">
        <v>69</v>
      </c>
      <c r="AS811" s="79"/>
      <c r="AT811" s="82" t="s">
        <v>3571</v>
      </c>
      <c r="AU811" s="78">
        <v>2026</v>
      </c>
      <c r="AV811" s="78">
        <v>3</v>
      </c>
      <c r="AW811" s="78" t="s">
        <v>347</v>
      </c>
      <c r="AX811" s="78">
        <v>1</v>
      </c>
      <c r="AY811" s="78">
        <v>0</v>
      </c>
      <c r="BT811" s="3" t="s">
        <v>347</v>
      </c>
      <c r="BU811" s="3">
        <v>1</v>
      </c>
      <c r="BV811" s="3">
        <v>0</v>
      </c>
    </row>
    <row r="812" spans="1:74" ht="15" customHeight="1" x14ac:dyDescent="0.25">
      <c r="A812" s="75">
        <v>5881025</v>
      </c>
      <c r="B812" t="s">
        <v>3784</v>
      </c>
      <c r="C812" t="s">
        <v>3785</v>
      </c>
      <c r="D812" t="s">
        <v>527</v>
      </c>
      <c r="E812" t="s">
        <v>54</v>
      </c>
      <c r="F812" s="75">
        <v>1</v>
      </c>
      <c r="G812" s="75">
        <v>266559</v>
      </c>
      <c r="H812">
        <v>360</v>
      </c>
      <c r="I812" t="s">
        <v>242</v>
      </c>
      <c r="J812" s="75">
        <v>213143</v>
      </c>
      <c r="K812" t="s">
        <v>3645</v>
      </c>
      <c r="L812" t="s">
        <v>3646</v>
      </c>
      <c r="M812" s="81">
        <v>46100.519421296303</v>
      </c>
      <c r="N812" s="81">
        <v>46103.318391203713</v>
      </c>
      <c r="O812" t="s">
        <v>58</v>
      </c>
      <c r="P812" t="s">
        <v>59</v>
      </c>
      <c r="Q812" t="s">
        <v>130</v>
      </c>
      <c r="R812" t="s">
        <v>60</v>
      </c>
      <c r="S812" t="s">
        <v>1268</v>
      </c>
      <c r="T812" t="s">
        <v>970</v>
      </c>
      <c r="U812" s="75">
        <v>214433</v>
      </c>
      <c r="V812" t="s">
        <v>3786</v>
      </c>
      <c r="W812" t="s">
        <v>3786</v>
      </c>
      <c r="X812" t="s">
        <v>79</v>
      </c>
      <c r="Y812" t="s">
        <v>224</v>
      </c>
      <c r="AA812" t="s">
        <v>64</v>
      </c>
      <c r="AB812">
        <v>67.133334000000005</v>
      </c>
      <c r="AC812">
        <v>60.266666999999998</v>
      </c>
      <c r="AD812">
        <v>6.8666669999999996</v>
      </c>
      <c r="AE812">
        <v>0.05</v>
      </c>
      <c r="AF812">
        <v>0</v>
      </c>
      <c r="AG812">
        <v>6.8166669999999998</v>
      </c>
      <c r="AH812">
        <v>6.8166669999999998</v>
      </c>
      <c r="AI812">
        <v>6.783334</v>
      </c>
      <c r="AJ812">
        <v>3.3333000000000002E-2</v>
      </c>
      <c r="AK812">
        <v>0</v>
      </c>
      <c r="AL812" s="76">
        <v>36526</v>
      </c>
      <c r="AM812" s="75">
        <v>9574</v>
      </c>
      <c r="AN812" t="s">
        <v>65</v>
      </c>
      <c r="AO812" t="s">
        <v>3649</v>
      </c>
      <c r="AP812" t="s">
        <v>67</v>
      </c>
      <c r="AQ812" t="s">
        <v>83</v>
      </c>
      <c r="AR812" t="s">
        <v>69</v>
      </c>
      <c r="AS812" s="78"/>
      <c r="AT812" s="82" t="s">
        <v>3571</v>
      </c>
      <c r="AU812" s="78">
        <v>2026</v>
      </c>
      <c r="AV812" s="78">
        <v>3</v>
      </c>
      <c r="AW812" s="78" t="s">
        <v>226</v>
      </c>
      <c r="AX812" s="78">
        <v>1</v>
      </c>
      <c r="AY812" s="78">
        <v>0</v>
      </c>
      <c r="BT812" s="2" t="s">
        <v>226</v>
      </c>
      <c r="BU812" s="2">
        <v>1</v>
      </c>
      <c r="BV812" s="2">
        <v>0</v>
      </c>
    </row>
    <row r="813" spans="1:74" ht="15" customHeight="1" x14ac:dyDescent="0.25">
      <c r="A813" s="75">
        <v>5881099</v>
      </c>
      <c r="B813" t="s">
        <v>3787</v>
      </c>
      <c r="C813" t="s">
        <v>256</v>
      </c>
      <c r="D813" t="s">
        <v>527</v>
      </c>
      <c r="E813" t="s">
        <v>54</v>
      </c>
      <c r="F813" s="75">
        <v>4</v>
      </c>
      <c r="G813" s="75">
        <v>295413</v>
      </c>
      <c r="H813">
        <v>200</v>
      </c>
      <c r="I813" t="s">
        <v>55</v>
      </c>
      <c r="J813" s="75">
        <v>218297</v>
      </c>
      <c r="K813" t="s">
        <v>258</v>
      </c>
      <c r="L813" t="s">
        <v>259</v>
      </c>
      <c r="M813" s="81">
        <v>46100.579444444447</v>
      </c>
      <c r="N813" s="81">
        <v>46103.322013888886</v>
      </c>
      <c r="O813" t="s">
        <v>58</v>
      </c>
      <c r="P813" t="s">
        <v>59</v>
      </c>
      <c r="Q813" t="s">
        <v>77</v>
      </c>
      <c r="R813" t="s">
        <v>60</v>
      </c>
      <c r="S813" t="s">
        <v>583</v>
      </c>
      <c r="U813" s="75">
        <v>214583</v>
      </c>
      <c r="V813" t="s">
        <v>3788</v>
      </c>
      <c r="W813" t="s">
        <v>3788</v>
      </c>
      <c r="X813" t="s">
        <v>62</v>
      </c>
      <c r="Y813" t="s">
        <v>931</v>
      </c>
      <c r="AA813" t="s">
        <v>81</v>
      </c>
      <c r="AB813">
        <v>65.766666000000001</v>
      </c>
      <c r="AC813">
        <v>63.233333000000002</v>
      </c>
      <c r="AD813">
        <v>2.5333329999999998</v>
      </c>
      <c r="AE813">
        <v>0.15</v>
      </c>
      <c r="AF813">
        <v>0</v>
      </c>
      <c r="AG813">
        <v>2.3833329999999999</v>
      </c>
      <c r="AH813">
        <v>2.3833329999999999</v>
      </c>
      <c r="AI813">
        <v>2.15</v>
      </c>
      <c r="AJ813">
        <v>0.23333300000000001</v>
      </c>
      <c r="AK813">
        <v>0</v>
      </c>
      <c r="AL813" s="76">
        <v>45302.73636574074</v>
      </c>
      <c r="AM813" s="75">
        <v>797</v>
      </c>
      <c r="AN813" t="s">
        <v>65</v>
      </c>
      <c r="AO813" t="s">
        <v>3789</v>
      </c>
      <c r="AP813" t="s">
        <v>67</v>
      </c>
      <c r="AQ813" t="s">
        <v>68</v>
      </c>
      <c r="AR813" t="s">
        <v>69</v>
      </c>
      <c r="AS813" s="79"/>
      <c r="AT813" s="82" t="s">
        <v>3571</v>
      </c>
      <c r="AU813" s="78">
        <v>2026</v>
      </c>
      <c r="AV813" s="78">
        <v>3</v>
      </c>
      <c r="AW813" s="78" t="s">
        <v>71</v>
      </c>
      <c r="AX813" s="78">
        <v>1</v>
      </c>
      <c r="AY813" s="78">
        <v>0</v>
      </c>
      <c r="BT813" s="3" t="s">
        <v>71</v>
      </c>
      <c r="BU813" s="3">
        <v>1</v>
      </c>
      <c r="BV813" s="3">
        <v>0</v>
      </c>
    </row>
    <row r="814" spans="1:74" ht="15" customHeight="1" x14ac:dyDescent="0.25">
      <c r="A814" s="75">
        <v>5883965</v>
      </c>
      <c r="B814" t="s">
        <v>3790</v>
      </c>
      <c r="C814" t="s">
        <v>3791</v>
      </c>
      <c r="D814" t="s">
        <v>527</v>
      </c>
      <c r="E814" t="s">
        <v>54</v>
      </c>
      <c r="F814" s="75">
        <v>1</v>
      </c>
      <c r="G814" s="75">
        <v>298751</v>
      </c>
      <c r="H814">
        <v>314.39</v>
      </c>
      <c r="I814" t="s">
        <v>114</v>
      </c>
      <c r="J814" s="75">
        <v>218805</v>
      </c>
      <c r="K814" t="s">
        <v>356</v>
      </c>
      <c r="L814" t="s">
        <v>357</v>
      </c>
      <c r="M814" s="81">
        <v>46102.426944444444</v>
      </c>
      <c r="N814" s="81">
        <v>46103.351504629631</v>
      </c>
      <c r="O814" t="s">
        <v>58</v>
      </c>
      <c r="P814" t="s">
        <v>59</v>
      </c>
      <c r="Q814" t="s">
        <v>130</v>
      </c>
      <c r="R814" t="s">
        <v>60</v>
      </c>
      <c r="S814" t="s">
        <v>583</v>
      </c>
      <c r="U814" s="75">
        <v>215849</v>
      </c>
      <c r="V814" t="s">
        <v>3792</v>
      </c>
      <c r="W814" t="s">
        <v>3792</v>
      </c>
      <c r="X814" t="s">
        <v>62</v>
      </c>
      <c r="Y814" t="s">
        <v>63</v>
      </c>
      <c r="AA814" t="s">
        <v>81</v>
      </c>
      <c r="AB814">
        <v>22.133333</v>
      </c>
      <c r="AC814">
        <v>18.766667000000002</v>
      </c>
      <c r="AD814">
        <v>3.3666659999999999</v>
      </c>
      <c r="AE814">
        <v>0.1</v>
      </c>
      <c r="AF814">
        <v>0</v>
      </c>
      <c r="AG814">
        <v>3.2666659999999998</v>
      </c>
      <c r="AH814">
        <v>3.2666659999999998</v>
      </c>
      <c r="AI814">
        <v>3.2666659999999998</v>
      </c>
      <c r="AJ814">
        <v>0</v>
      </c>
      <c r="AK814">
        <v>0</v>
      </c>
      <c r="AL814" s="76">
        <v>45288.671597222223</v>
      </c>
      <c r="AM814" s="75">
        <v>813</v>
      </c>
      <c r="AN814" t="s">
        <v>65</v>
      </c>
      <c r="AO814" t="s">
        <v>360</v>
      </c>
      <c r="AP814" t="s">
        <v>67</v>
      </c>
      <c r="AQ814" t="s">
        <v>68</v>
      </c>
      <c r="AR814" t="s">
        <v>69</v>
      </c>
      <c r="AS814" s="78"/>
      <c r="AT814" s="82" t="s">
        <v>3571</v>
      </c>
      <c r="AU814" s="78">
        <v>2026</v>
      </c>
      <c r="AV814" s="78">
        <v>3</v>
      </c>
      <c r="AW814" s="78" t="s">
        <v>71</v>
      </c>
      <c r="AX814" s="78">
        <v>1</v>
      </c>
      <c r="AY814" s="78">
        <v>0</v>
      </c>
      <c r="BT814" s="2" t="s">
        <v>71</v>
      </c>
      <c r="BU814" s="2">
        <v>1</v>
      </c>
      <c r="BV814" s="2">
        <v>0</v>
      </c>
    </row>
    <row r="815" spans="1:74" ht="15" customHeight="1" x14ac:dyDescent="0.25">
      <c r="A815" s="75">
        <v>5883893</v>
      </c>
      <c r="B815" t="s">
        <v>3793</v>
      </c>
      <c r="C815" t="s">
        <v>3794</v>
      </c>
      <c r="D815" t="s">
        <v>956</v>
      </c>
      <c r="E815" t="s">
        <v>87</v>
      </c>
      <c r="F815" s="75">
        <v>308</v>
      </c>
      <c r="G815" s="75">
        <v>287677</v>
      </c>
      <c r="H815">
        <v>154.15</v>
      </c>
      <c r="I815" t="s">
        <v>853</v>
      </c>
      <c r="J815" s="75">
        <v>49495</v>
      </c>
      <c r="K815" t="s">
        <v>460</v>
      </c>
      <c r="L815" t="s">
        <v>461</v>
      </c>
      <c r="M815" s="81">
        <v>46102.361435185187</v>
      </c>
      <c r="N815" s="81">
        <v>46104.420902777783</v>
      </c>
      <c r="O815" t="s">
        <v>277</v>
      </c>
      <c r="P815" t="s">
        <v>59</v>
      </c>
      <c r="Q815" t="s">
        <v>90</v>
      </c>
      <c r="R815" t="s">
        <v>99</v>
      </c>
      <c r="S815" t="s">
        <v>1244</v>
      </c>
      <c r="T815" t="s">
        <v>3795</v>
      </c>
      <c r="U815" s="75"/>
      <c r="X815" t="s">
        <v>62</v>
      </c>
      <c r="Y815" t="s">
        <v>1124</v>
      </c>
      <c r="AA815" t="s">
        <v>81</v>
      </c>
      <c r="AB815">
        <v>49.366666000000002</v>
      </c>
      <c r="AC815">
        <v>46.6</v>
      </c>
      <c r="AD815">
        <v>2.7666659999999998</v>
      </c>
      <c r="AE815">
        <v>0.55000000000000004</v>
      </c>
      <c r="AF815">
        <v>0</v>
      </c>
      <c r="AG815">
        <v>2.216666</v>
      </c>
      <c r="AH815">
        <v>2.216666</v>
      </c>
      <c r="AI815">
        <v>1.416666</v>
      </c>
      <c r="AJ815">
        <v>0.8</v>
      </c>
      <c r="AK815">
        <v>0</v>
      </c>
      <c r="AL815" s="76">
        <v>45469.808078703703</v>
      </c>
      <c r="AM815" s="75">
        <v>632</v>
      </c>
      <c r="AN815" t="s">
        <v>65</v>
      </c>
      <c r="AO815" t="s">
        <v>3796</v>
      </c>
      <c r="AP815" t="s">
        <v>67</v>
      </c>
      <c r="AQ815" t="s">
        <v>68</v>
      </c>
      <c r="AR815" t="s">
        <v>69</v>
      </c>
      <c r="AS815" s="79"/>
      <c r="AT815" s="82" t="s">
        <v>3797</v>
      </c>
      <c r="AU815" s="78">
        <v>2026</v>
      </c>
      <c r="AV815" s="78">
        <v>3</v>
      </c>
      <c r="AW815" s="78" t="s">
        <v>137</v>
      </c>
      <c r="AX815" s="78">
        <v>1</v>
      </c>
      <c r="AY815" s="78">
        <v>0</v>
      </c>
      <c r="BT815" s="3" t="s">
        <v>137</v>
      </c>
      <c r="BU815" s="3">
        <v>1</v>
      </c>
      <c r="BV815" s="3">
        <v>0</v>
      </c>
    </row>
    <row r="816" spans="1:74" ht="15" customHeight="1" x14ac:dyDescent="0.25">
      <c r="A816" s="75">
        <v>5882923</v>
      </c>
      <c r="B816" t="s">
        <v>3798</v>
      </c>
      <c r="C816" t="s">
        <v>3799</v>
      </c>
      <c r="D816" t="s">
        <v>2379</v>
      </c>
      <c r="E816" t="s">
        <v>54</v>
      </c>
      <c r="F816" s="75">
        <v>147</v>
      </c>
      <c r="G816" s="75">
        <v>288675</v>
      </c>
      <c r="H816">
        <v>2628.25</v>
      </c>
      <c r="I816" t="s">
        <v>114</v>
      </c>
      <c r="J816" s="75">
        <v>212995</v>
      </c>
      <c r="K816" t="s">
        <v>3124</v>
      </c>
      <c r="L816" t="s">
        <v>3125</v>
      </c>
      <c r="M816" s="81">
        <v>46101.683240740742</v>
      </c>
      <c r="N816" s="81">
        <v>46104.532789351862</v>
      </c>
      <c r="O816" t="s">
        <v>58</v>
      </c>
      <c r="P816" t="s">
        <v>59</v>
      </c>
      <c r="Q816" t="s">
        <v>341</v>
      </c>
      <c r="R816" t="s">
        <v>60</v>
      </c>
      <c r="S816" t="s">
        <v>583</v>
      </c>
      <c r="U816" s="75">
        <v>215813</v>
      </c>
      <c r="V816" t="s">
        <v>3800</v>
      </c>
      <c r="W816" t="s">
        <v>3800</v>
      </c>
      <c r="X816" t="s">
        <v>118</v>
      </c>
      <c r="Y816" t="s">
        <v>2614</v>
      </c>
      <c r="AA816" t="s">
        <v>101</v>
      </c>
      <c r="AB816">
        <v>68.316665999999998</v>
      </c>
      <c r="AC816">
        <v>58.95</v>
      </c>
      <c r="AD816">
        <v>9.3666660000000004</v>
      </c>
      <c r="AE816">
        <v>0.4</v>
      </c>
      <c r="AF816">
        <v>0</v>
      </c>
      <c r="AG816">
        <v>8.966666</v>
      </c>
      <c r="AH816">
        <v>8.966666</v>
      </c>
      <c r="AI816">
        <v>8.0333330000000007</v>
      </c>
      <c r="AJ816">
        <v>0.93333299999999997</v>
      </c>
      <c r="AK816">
        <v>0</v>
      </c>
      <c r="AL816" s="76">
        <v>45029.799386574072</v>
      </c>
      <c r="AM816" s="75">
        <v>1071</v>
      </c>
      <c r="AN816" t="s">
        <v>65</v>
      </c>
      <c r="AO816" t="s">
        <v>3127</v>
      </c>
      <c r="AP816" t="s">
        <v>67</v>
      </c>
      <c r="AQ816" t="s">
        <v>121</v>
      </c>
      <c r="AR816" t="s">
        <v>69</v>
      </c>
      <c r="AS816" s="78"/>
      <c r="AT816" s="82" t="s">
        <v>3797</v>
      </c>
      <c r="AU816" s="78">
        <v>2026</v>
      </c>
      <c r="AV816" s="78">
        <v>3</v>
      </c>
      <c r="AW816" s="78" t="s">
        <v>347</v>
      </c>
      <c r="AX816" s="78">
        <v>0</v>
      </c>
      <c r="AY816" s="78">
        <v>0</v>
      </c>
      <c r="BT816" s="2" t="s">
        <v>347</v>
      </c>
      <c r="BU816" s="2">
        <v>0</v>
      </c>
      <c r="BV816" s="2">
        <v>0</v>
      </c>
    </row>
    <row r="817" spans="1:74" ht="15" customHeight="1" x14ac:dyDescent="0.25">
      <c r="A817" s="75">
        <v>5879531</v>
      </c>
      <c r="B817" t="s">
        <v>3801</v>
      </c>
      <c r="C817" t="s">
        <v>1636</v>
      </c>
      <c r="D817" t="s">
        <v>2379</v>
      </c>
      <c r="E817" t="s">
        <v>87</v>
      </c>
      <c r="F817" s="75">
        <v>157</v>
      </c>
      <c r="G817" s="75">
        <v>285773</v>
      </c>
      <c r="H817">
        <v>398.82</v>
      </c>
      <c r="I817" t="s">
        <v>55</v>
      </c>
      <c r="J817" s="75">
        <v>216233</v>
      </c>
      <c r="K817" t="s">
        <v>88</v>
      </c>
      <c r="L817" t="s">
        <v>89</v>
      </c>
      <c r="M817" s="81">
        <v>46099.59101851852</v>
      </c>
      <c r="N817" s="81">
        <v>46104.541678240741</v>
      </c>
      <c r="O817" t="s">
        <v>58</v>
      </c>
      <c r="P817" t="s">
        <v>59</v>
      </c>
      <c r="Q817" t="s">
        <v>90</v>
      </c>
      <c r="R817" t="s">
        <v>99</v>
      </c>
      <c r="S817" t="s">
        <v>1244</v>
      </c>
      <c r="U817" s="75">
        <v>213643</v>
      </c>
      <c r="V817" t="s">
        <v>3802</v>
      </c>
      <c r="W817" t="s">
        <v>3802</v>
      </c>
      <c r="X817" t="s">
        <v>62</v>
      </c>
      <c r="Y817" t="s">
        <v>63</v>
      </c>
      <c r="AA817" t="s">
        <v>81</v>
      </c>
      <c r="AB817">
        <v>118.766667</v>
      </c>
      <c r="AC817">
        <v>115.416667</v>
      </c>
      <c r="AD817">
        <v>3.35</v>
      </c>
      <c r="AE817">
        <v>0.11666700000000001</v>
      </c>
      <c r="AF817">
        <v>0</v>
      </c>
      <c r="AG817">
        <v>3.233333</v>
      </c>
      <c r="AH817">
        <v>3.233333</v>
      </c>
      <c r="AI817">
        <v>2.8333330000000001</v>
      </c>
      <c r="AJ817">
        <v>0.4</v>
      </c>
      <c r="AK817">
        <v>0</v>
      </c>
      <c r="AL817" s="76">
        <v>44914</v>
      </c>
      <c r="AM817" s="75">
        <v>1185</v>
      </c>
      <c r="AN817" t="s">
        <v>65</v>
      </c>
      <c r="AO817" t="s">
        <v>1238</v>
      </c>
      <c r="AP817" t="s">
        <v>67</v>
      </c>
      <c r="AQ817" t="s">
        <v>68</v>
      </c>
      <c r="AR817" t="s">
        <v>69</v>
      </c>
      <c r="AS817" s="79"/>
      <c r="AT817" s="82" t="s">
        <v>3797</v>
      </c>
      <c r="AU817" s="78">
        <v>2026</v>
      </c>
      <c r="AV817" s="78">
        <v>3</v>
      </c>
      <c r="AW817" s="78" t="s">
        <v>71</v>
      </c>
      <c r="AX817" s="78">
        <v>1</v>
      </c>
      <c r="AY817" s="78">
        <v>0</v>
      </c>
      <c r="BT817" s="3" t="s">
        <v>71</v>
      </c>
      <c r="BU817" s="3">
        <v>1</v>
      </c>
      <c r="BV817" s="3">
        <v>0</v>
      </c>
    </row>
    <row r="818" spans="1:74" ht="15" customHeight="1" x14ac:dyDescent="0.25">
      <c r="A818" s="75">
        <v>5882839</v>
      </c>
      <c r="B818" t="s">
        <v>3803</v>
      </c>
      <c r="C818" t="s">
        <v>3804</v>
      </c>
      <c r="D818" t="s">
        <v>2379</v>
      </c>
      <c r="E818" t="s">
        <v>54</v>
      </c>
      <c r="F818" s="75">
        <v>800</v>
      </c>
      <c r="G818" s="75">
        <v>255421</v>
      </c>
      <c r="H818">
        <v>970.63</v>
      </c>
      <c r="I818" t="s">
        <v>114</v>
      </c>
      <c r="J818" s="75">
        <v>41827</v>
      </c>
      <c r="K818" t="s">
        <v>1745</v>
      </c>
      <c r="L818" t="s">
        <v>1746</v>
      </c>
      <c r="M818" s="81">
        <v>46101.646574074082</v>
      </c>
      <c r="N818" s="81">
        <v>46104.692604166667</v>
      </c>
      <c r="O818" t="s">
        <v>58</v>
      </c>
      <c r="P818" t="s">
        <v>59</v>
      </c>
      <c r="Q818" t="s">
        <v>90</v>
      </c>
      <c r="R818" t="s">
        <v>60</v>
      </c>
      <c r="S818" t="s">
        <v>3805</v>
      </c>
      <c r="U818" s="75">
        <v>215761</v>
      </c>
      <c r="V818" t="s">
        <v>3806</v>
      </c>
      <c r="W818" t="s">
        <v>3807</v>
      </c>
      <c r="X818" t="s">
        <v>118</v>
      </c>
      <c r="Y818" t="s">
        <v>2614</v>
      </c>
      <c r="AA818" t="s">
        <v>416</v>
      </c>
      <c r="AB818">
        <v>73.033332999999999</v>
      </c>
      <c r="AC818">
        <v>58.6</v>
      </c>
      <c r="AD818">
        <v>14.433332999999999</v>
      </c>
      <c r="AE818">
        <v>8.3334000000000005E-2</v>
      </c>
      <c r="AF818">
        <v>0</v>
      </c>
      <c r="AG818">
        <v>14.349999</v>
      </c>
      <c r="AH818">
        <v>14.349999</v>
      </c>
      <c r="AI818">
        <v>13.799999</v>
      </c>
      <c r="AJ818">
        <v>0.55000000000000004</v>
      </c>
      <c r="AK818">
        <v>0</v>
      </c>
      <c r="AL818" s="76">
        <v>45210.585833333331</v>
      </c>
      <c r="AM818" s="75">
        <v>891</v>
      </c>
      <c r="AN818" t="s">
        <v>65</v>
      </c>
      <c r="AO818" t="s">
        <v>3808</v>
      </c>
      <c r="AP818" t="s">
        <v>67</v>
      </c>
      <c r="AQ818" t="s">
        <v>121</v>
      </c>
      <c r="AR818" t="s">
        <v>69</v>
      </c>
      <c r="AS818" s="78"/>
      <c r="AT818" s="82" t="s">
        <v>3797</v>
      </c>
      <c r="AU818" s="78">
        <v>2026</v>
      </c>
      <c r="AV818" s="78">
        <v>3</v>
      </c>
      <c r="AW818" s="78" t="s">
        <v>347</v>
      </c>
      <c r="AX818" s="78">
        <v>0</v>
      </c>
      <c r="AY818" s="78">
        <v>0</v>
      </c>
      <c r="BT818" s="2" t="s">
        <v>347</v>
      </c>
      <c r="BU818" s="2">
        <v>0</v>
      </c>
      <c r="BV818" s="2">
        <v>0</v>
      </c>
    </row>
    <row r="819" spans="1:74" ht="15" customHeight="1" x14ac:dyDescent="0.25">
      <c r="A819" s="75">
        <v>5880929</v>
      </c>
      <c r="B819" t="s">
        <v>3809</v>
      </c>
      <c r="C819" t="s">
        <v>3810</v>
      </c>
      <c r="D819" t="s">
        <v>282</v>
      </c>
      <c r="E819" t="s">
        <v>105</v>
      </c>
      <c r="F819" s="75">
        <v>1131</v>
      </c>
      <c r="G819" s="75">
        <v>333539</v>
      </c>
      <c r="H819">
        <v>456.52</v>
      </c>
      <c r="I819" t="s">
        <v>175</v>
      </c>
      <c r="J819" s="75">
        <v>83605</v>
      </c>
      <c r="K819" t="s">
        <v>844</v>
      </c>
      <c r="L819" t="s">
        <v>845</v>
      </c>
      <c r="M819" s="81">
        <v>46100.458912037036</v>
      </c>
      <c r="N819" s="81">
        <v>46104.703703703701</v>
      </c>
      <c r="P819" t="s">
        <v>59</v>
      </c>
      <c r="Q819" t="s">
        <v>90</v>
      </c>
      <c r="R819" t="s">
        <v>60</v>
      </c>
      <c r="S819" t="s">
        <v>583</v>
      </c>
      <c r="U819" s="75">
        <v>215745</v>
      </c>
      <c r="V819" t="s">
        <v>3811</v>
      </c>
      <c r="W819" t="s">
        <v>3812</v>
      </c>
      <c r="X819" t="s">
        <v>62</v>
      </c>
      <c r="Y819" t="s">
        <v>63</v>
      </c>
      <c r="AA819" t="s">
        <v>295</v>
      </c>
      <c r="AB819">
        <v>101.7</v>
      </c>
      <c r="AC819">
        <v>64.366665999999995</v>
      </c>
      <c r="AD819">
        <v>37.333334000000001</v>
      </c>
      <c r="AE819">
        <v>0.283333</v>
      </c>
      <c r="AF819">
        <v>0</v>
      </c>
      <c r="AG819">
        <v>37.050001000000002</v>
      </c>
      <c r="AH819">
        <v>37.050001000000002</v>
      </c>
      <c r="AI819">
        <v>36.133333999999998</v>
      </c>
      <c r="AJ819">
        <v>0.91666700000000001</v>
      </c>
      <c r="AK819">
        <v>0</v>
      </c>
      <c r="AL819" s="76">
        <v>45895</v>
      </c>
      <c r="AM819" s="75">
        <v>205</v>
      </c>
      <c r="AN819" t="s">
        <v>65</v>
      </c>
      <c r="AO819" t="s">
        <v>1888</v>
      </c>
      <c r="AP819" t="s">
        <v>67</v>
      </c>
      <c r="AQ819" t="s">
        <v>68</v>
      </c>
      <c r="AR819" t="s">
        <v>69</v>
      </c>
      <c r="AS819" s="79"/>
      <c r="AT819" s="82" t="s">
        <v>3797</v>
      </c>
      <c r="AU819" s="78">
        <v>2026</v>
      </c>
      <c r="AV819" s="78">
        <v>3</v>
      </c>
      <c r="AW819" s="78" t="s">
        <v>71</v>
      </c>
      <c r="AX819" s="78">
        <v>0</v>
      </c>
      <c r="AY819" s="78">
        <v>1</v>
      </c>
      <c r="BT819" s="3" t="s">
        <v>71</v>
      </c>
      <c r="BU819" s="3">
        <v>0</v>
      </c>
      <c r="BV819" s="3">
        <v>1</v>
      </c>
    </row>
    <row r="820" spans="1:74" ht="15" customHeight="1" x14ac:dyDescent="0.25">
      <c r="A820" s="75">
        <v>5882563</v>
      </c>
      <c r="B820" t="s">
        <v>3813</v>
      </c>
      <c r="C820" t="s">
        <v>3814</v>
      </c>
      <c r="D820" t="s">
        <v>2379</v>
      </c>
      <c r="E820" t="s">
        <v>105</v>
      </c>
      <c r="F820" s="75">
        <v>37</v>
      </c>
      <c r="G820" s="75">
        <v>341497</v>
      </c>
      <c r="H820">
        <v>2586</v>
      </c>
      <c r="I820" t="s">
        <v>175</v>
      </c>
      <c r="J820" s="75">
        <v>204139</v>
      </c>
      <c r="K820" t="s">
        <v>1000</v>
      </c>
      <c r="L820" t="s">
        <v>1001</v>
      </c>
      <c r="M820" s="81">
        <v>46101.522037037037</v>
      </c>
      <c r="N820" s="81">
        <v>46104.706817129627</v>
      </c>
      <c r="O820" t="s">
        <v>58</v>
      </c>
      <c r="P820" t="s">
        <v>59</v>
      </c>
      <c r="Q820" t="s">
        <v>90</v>
      </c>
      <c r="R820" t="s">
        <v>99</v>
      </c>
      <c r="S820" t="s">
        <v>1244</v>
      </c>
      <c r="U820" s="75">
        <v>215607</v>
      </c>
      <c r="V820" t="s">
        <v>3815</v>
      </c>
      <c r="X820" t="s">
        <v>118</v>
      </c>
      <c r="Y820" t="s">
        <v>119</v>
      </c>
      <c r="AA820" t="s">
        <v>64</v>
      </c>
      <c r="AB820">
        <v>76.366665999999995</v>
      </c>
      <c r="AC820">
        <v>67.400000000000006</v>
      </c>
      <c r="AD820">
        <v>8.966666</v>
      </c>
      <c r="AE820">
        <v>3.1499990000000002</v>
      </c>
      <c r="AF820">
        <v>0</v>
      </c>
      <c r="AG820">
        <v>5.8166669999999998</v>
      </c>
      <c r="AH820">
        <v>5.8166669999999998</v>
      </c>
      <c r="AI820">
        <v>5.4666670000000002</v>
      </c>
      <c r="AJ820">
        <v>0.35</v>
      </c>
      <c r="AK820">
        <v>0</v>
      </c>
      <c r="AL820" s="76">
        <v>44747</v>
      </c>
      <c r="AM820" s="75">
        <v>1354</v>
      </c>
      <c r="AN820" t="s">
        <v>65</v>
      </c>
      <c r="AO820" t="s">
        <v>3816</v>
      </c>
      <c r="AP820" t="s">
        <v>67</v>
      </c>
      <c r="AQ820" t="s">
        <v>121</v>
      </c>
      <c r="AR820" t="s">
        <v>69</v>
      </c>
      <c r="AS820" s="78"/>
      <c r="AT820" s="82" t="s">
        <v>3797</v>
      </c>
      <c r="AU820" s="78">
        <v>2026</v>
      </c>
      <c r="AV820" s="78">
        <v>3</v>
      </c>
      <c r="AW820" s="78" t="s">
        <v>122</v>
      </c>
      <c r="AX820" s="78">
        <v>1</v>
      </c>
      <c r="AY820" s="78">
        <v>0</v>
      </c>
      <c r="BT820" s="2" t="s">
        <v>122</v>
      </c>
      <c r="BU820" s="2">
        <v>1</v>
      </c>
      <c r="BV820" s="2">
        <v>0</v>
      </c>
    </row>
    <row r="821" spans="1:74" ht="15" customHeight="1" x14ac:dyDescent="0.25">
      <c r="A821" s="75">
        <v>5882111</v>
      </c>
      <c r="B821" t="s">
        <v>3817</v>
      </c>
      <c r="C821" t="s">
        <v>3818</v>
      </c>
      <c r="D821" t="s">
        <v>2379</v>
      </c>
      <c r="E821" t="s">
        <v>54</v>
      </c>
      <c r="F821" s="75">
        <v>2</v>
      </c>
      <c r="G821" s="75">
        <v>272201</v>
      </c>
      <c r="H821">
        <v>494</v>
      </c>
      <c r="I821" t="s">
        <v>242</v>
      </c>
      <c r="J821" s="75">
        <v>204321</v>
      </c>
      <c r="K821" t="s">
        <v>376</v>
      </c>
      <c r="L821" t="s">
        <v>377</v>
      </c>
      <c r="M821" s="81">
        <v>46101.37431712963</v>
      </c>
      <c r="N821" s="81">
        <v>46105.46875</v>
      </c>
      <c r="O821" t="s">
        <v>58</v>
      </c>
      <c r="P821" t="s">
        <v>59</v>
      </c>
      <c r="Q821" t="s">
        <v>130</v>
      </c>
      <c r="R821" t="s">
        <v>60</v>
      </c>
      <c r="S821" t="s">
        <v>583</v>
      </c>
      <c r="U821" s="75">
        <v>215749</v>
      </c>
      <c r="V821" t="s">
        <v>3819</v>
      </c>
      <c r="X821" t="s">
        <v>62</v>
      </c>
      <c r="Y821" t="s">
        <v>63</v>
      </c>
      <c r="AA821" t="s">
        <v>416</v>
      </c>
      <c r="AB821">
        <v>98.183335</v>
      </c>
      <c r="AC821">
        <v>76.983333999999999</v>
      </c>
      <c r="AD821">
        <v>21.200001</v>
      </c>
      <c r="AE821">
        <v>3.3333000000000002E-2</v>
      </c>
      <c r="AF821">
        <v>0</v>
      </c>
      <c r="AG821">
        <v>21.166668000000001</v>
      </c>
      <c r="AH821">
        <v>21.166668000000001</v>
      </c>
      <c r="AI821">
        <v>21.133334999999999</v>
      </c>
      <c r="AJ821">
        <v>3.3333000000000002E-2</v>
      </c>
      <c r="AK821">
        <v>0</v>
      </c>
      <c r="AL821" s="76">
        <v>36526</v>
      </c>
      <c r="AM821" s="75">
        <v>9575</v>
      </c>
      <c r="AN821" t="s">
        <v>65</v>
      </c>
      <c r="AO821" t="s">
        <v>1412</v>
      </c>
      <c r="AP821" t="s">
        <v>67</v>
      </c>
      <c r="AQ821" t="s">
        <v>68</v>
      </c>
      <c r="AR821" t="s">
        <v>69</v>
      </c>
      <c r="AS821" s="79"/>
      <c r="AT821" s="82" t="s">
        <v>3797</v>
      </c>
      <c r="AU821" s="78">
        <v>2026</v>
      </c>
      <c r="AV821" s="78">
        <v>3</v>
      </c>
      <c r="AW821" s="78" t="s">
        <v>71</v>
      </c>
      <c r="AX821" s="78">
        <v>0</v>
      </c>
      <c r="AY821" s="78">
        <v>0</v>
      </c>
      <c r="BT821" s="3" t="s">
        <v>71</v>
      </c>
      <c r="BU821" s="3">
        <v>0</v>
      </c>
      <c r="BV821" s="3">
        <v>0</v>
      </c>
    </row>
    <row r="822" spans="1:74" ht="15" customHeight="1" x14ac:dyDescent="0.25">
      <c r="A822" s="75">
        <v>5882929</v>
      </c>
      <c r="B822" t="s">
        <v>3820</v>
      </c>
      <c r="C822" t="s">
        <v>852</v>
      </c>
      <c r="D822" t="s">
        <v>1555</v>
      </c>
      <c r="E822" t="s">
        <v>87</v>
      </c>
      <c r="F822" s="75">
        <v>21</v>
      </c>
      <c r="G822" s="75">
        <v>290947</v>
      </c>
      <c r="H822">
        <v>0.01</v>
      </c>
      <c r="I822" t="s">
        <v>853</v>
      </c>
      <c r="J822" s="75">
        <v>52957</v>
      </c>
      <c r="K822" t="s">
        <v>575</v>
      </c>
      <c r="L822" t="s">
        <v>576</v>
      </c>
      <c r="M822" s="81">
        <v>46101.687847222223</v>
      </c>
      <c r="N822" s="81">
        <v>46105.508935185193</v>
      </c>
      <c r="O822" t="s">
        <v>58</v>
      </c>
      <c r="P822" t="s">
        <v>59</v>
      </c>
      <c r="Q822" t="s">
        <v>90</v>
      </c>
      <c r="R822" t="s">
        <v>60</v>
      </c>
      <c r="S822" t="s">
        <v>583</v>
      </c>
      <c r="U822" s="75"/>
      <c r="X822" t="s">
        <v>392</v>
      </c>
      <c r="Y822" t="s">
        <v>393</v>
      </c>
      <c r="AA822" t="s">
        <v>64</v>
      </c>
      <c r="AB822">
        <v>91.633332999999993</v>
      </c>
      <c r="AC822">
        <v>87.35</v>
      </c>
      <c r="AD822">
        <v>4.2833329999999998</v>
      </c>
      <c r="AE822">
        <v>0.23333300000000001</v>
      </c>
      <c r="AF822">
        <v>0</v>
      </c>
      <c r="AG822">
        <v>4.05</v>
      </c>
      <c r="AH822">
        <v>4.05</v>
      </c>
      <c r="AI822">
        <v>3.8333330000000001</v>
      </c>
      <c r="AJ822">
        <v>0.216667</v>
      </c>
      <c r="AK822">
        <v>0</v>
      </c>
      <c r="AL822" s="76">
        <v>45191</v>
      </c>
      <c r="AM822" s="75">
        <v>910</v>
      </c>
      <c r="AN822" t="s">
        <v>65</v>
      </c>
      <c r="AO822" t="s">
        <v>855</v>
      </c>
      <c r="AP822" t="s">
        <v>67</v>
      </c>
      <c r="AQ822" t="s">
        <v>121</v>
      </c>
      <c r="AR822" t="s">
        <v>69</v>
      </c>
      <c r="AS822" s="78"/>
      <c r="AT822" s="82" t="s">
        <v>3797</v>
      </c>
      <c r="AU822" s="78">
        <v>2026</v>
      </c>
      <c r="AV822" s="78">
        <v>3</v>
      </c>
      <c r="AW822" s="78" t="s">
        <v>392</v>
      </c>
      <c r="AX822" s="78">
        <v>1</v>
      </c>
      <c r="AY822" s="78">
        <v>0</v>
      </c>
      <c r="BT822" s="2" t="s">
        <v>392</v>
      </c>
      <c r="BU822" s="2">
        <v>1</v>
      </c>
      <c r="BV822" s="2">
        <v>0</v>
      </c>
    </row>
    <row r="823" spans="1:74" ht="15" customHeight="1" x14ac:dyDescent="0.25">
      <c r="A823" s="75">
        <v>5884295</v>
      </c>
      <c r="B823" t="s">
        <v>3821</v>
      </c>
      <c r="C823" t="s">
        <v>3822</v>
      </c>
      <c r="D823" t="s">
        <v>1555</v>
      </c>
      <c r="E823" t="s">
        <v>54</v>
      </c>
      <c r="F823" s="75">
        <v>108</v>
      </c>
      <c r="G823" s="75">
        <v>295681</v>
      </c>
      <c r="H823">
        <v>100</v>
      </c>
      <c r="I823" t="s">
        <v>195</v>
      </c>
      <c r="J823" s="75">
        <v>13955</v>
      </c>
      <c r="K823" t="s">
        <v>75</v>
      </c>
      <c r="L823" t="s">
        <v>76</v>
      </c>
      <c r="M823" s="81">
        <v>46102.664675925917</v>
      </c>
      <c r="N823" s="81">
        <v>46105.59511574074</v>
      </c>
      <c r="O823" t="s">
        <v>58</v>
      </c>
      <c r="P823" t="s">
        <v>59</v>
      </c>
      <c r="Q823" t="s">
        <v>77</v>
      </c>
      <c r="R823" t="s">
        <v>60</v>
      </c>
      <c r="S823" t="s">
        <v>583</v>
      </c>
      <c r="U823" s="75">
        <v>215955</v>
      </c>
      <c r="V823" t="s">
        <v>3823</v>
      </c>
      <c r="W823" t="s">
        <v>3823</v>
      </c>
      <c r="X823" t="s">
        <v>62</v>
      </c>
      <c r="Y823" t="s">
        <v>931</v>
      </c>
      <c r="AA823" t="s">
        <v>81</v>
      </c>
      <c r="AB823">
        <v>70.283333999999996</v>
      </c>
      <c r="AC823">
        <v>66.25</v>
      </c>
      <c r="AD823">
        <v>4.033334</v>
      </c>
      <c r="AE823">
        <v>0.466667</v>
      </c>
      <c r="AF823">
        <v>0</v>
      </c>
      <c r="AG823">
        <v>3.5666669999999998</v>
      </c>
      <c r="AH823">
        <v>3.5666669999999998</v>
      </c>
      <c r="AI823">
        <v>3.516667</v>
      </c>
      <c r="AJ823">
        <v>0.05</v>
      </c>
      <c r="AK823">
        <v>0</v>
      </c>
      <c r="AL823" s="76">
        <v>45436</v>
      </c>
      <c r="AM823" s="75">
        <v>666</v>
      </c>
      <c r="AN823" t="s">
        <v>65</v>
      </c>
      <c r="AO823" t="s">
        <v>932</v>
      </c>
      <c r="AP823" t="s">
        <v>67</v>
      </c>
      <c r="AQ823" t="s">
        <v>68</v>
      </c>
      <c r="AR823" t="s">
        <v>69</v>
      </c>
      <c r="AS823" s="79"/>
      <c r="AT823" s="82" t="s">
        <v>3797</v>
      </c>
      <c r="AU823" s="78">
        <v>2026</v>
      </c>
      <c r="AV823" s="78">
        <v>3</v>
      </c>
      <c r="AW823" s="78" t="s">
        <v>71</v>
      </c>
      <c r="AX823" s="78">
        <v>1</v>
      </c>
      <c r="AY823" s="78">
        <v>0</v>
      </c>
      <c r="BT823" s="3" t="s">
        <v>71</v>
      </c>
      <c r="BU823" s="3">
        <v>1</v>
      </c>
      <c r="BV823" s="3">
        <v>0</v>
      </c>
    </row>
    <row r="824" spans="1:74" ht="15" customHeight="1" x14ac:dyDescent="0.25">
      <c r="A824" s="75">
        <v>5885153</v>
      </c>
      <c r="B824" t="s">
        <v>3824</v>
      </c>
      <c r="C824" t="s">
        <v>256</v>
      </c>
      <c r="D824" t="s">
        <v>2379</v>
      </c>
      <c r="E824" t="s">
        <v>54</v>
      </c>
      <c r="F824" s="75">
        <v>3</v>
      </c>
      <c r="G824" s="75">
        <v>295411</v>
      </c>
      <c r="H824">
        <v>200</v>
      </c>
      <c r="I824" t="s">
        <v>55</v>
      </c>
      <c r="J824" s="75">
        <v>218297</v>
      </c>
      <c r="K824" t="s">
        <v>258</v>
      </c>
      <c r="L824" t="s">
        <v>259</v>
      </c>
      <c r="M824" s="81">
        <v>46104.421481481477</v>
      </c>
      <c r="N824" s="81">
        <v>46105.653506944444</v>
      </c>
      <c r="O824" t="s">
        <v>58</v>
      </c>
      <c r="P824" t="s">
        <v>59</v>
      </c>
      <c r="Q824" t="s">
        <v>77</v>
      </c>
      <c r="R824" t="s">
        <v>60</v>
      </c>
      <c r="S824" t="s">
        <v>583</v>
      </c>
      <c r="U824" s="75"/>
      <c r="X824" t="s">
        <v>62</v>
      </c>
      <c r="Y824" t="s">
        <v>63</v>
      </c>
      <c r="AA824" t="s">
        <v>64</v>
      </c>
      <c r="AB824">
        <v>29.533335000000001</v>
      </c>
      <c r="AC824">
        <v>22.15</v>
      </c>
      <c r="AD824">
        <v>7.3833349999999998</v>
      </c>
      <c r="AE824">
        <v>0.13333400000000001</v>
      </c>
      <c r="AF824">
        <v>0</v>
      </c>
      <c r="AG824">
        <v>7.2500010000000001</v>
      </c>
      <c r="AH824">
        <v>7.2500010000000001</v>
      </c>
      <c r="AI824">
        <v>7.2333340000000002</v>
      </c>
      <c r="AJ824">
        <v>1.6667000000000001E-2</v>
      </c>
      <c r="AK824">
        <v>0</v>
      </c>
      <c r="AL824" s="76">
        <v>45222.435069444437</v>
      </c>
      <c r="AM824" s="75">
        <v>881</v>
      </c>
      <c r="AN824" t="s">
        <v>65</v>
      </c>
      <c r="AO824" t="s">
        <v>3825</v>
      </c>
      <c r="AP824" t="s">
        <v>67</v>
      </c>
      <c r="AQ824" t="s">
        <v>68</v>
      </c>
      <c r="AR824" t="s">
        <v>69</v>
      </c>
      <c r="AS824" s="78"/>
      <c r="AT824" s="82" t="s">
        <v>3797</v>
      </c>
      <c r="AU824" s="78">
        <v>2026</v>
      </c>
      <c r="AV824" s="78">
        <v>3</v>
      </c>
      <c r="AW824" s="78" t="s">
        <v>71</v>
      </c>
      <c r="AX824" s="78">
        <v>1</v>
      </c>
      <c r="AY824" s="78">
        <v>0</v>
      </c>
      <c r="BT824" s="2" t="s">
        <v>71</v>
      </c>
      <c r="BU824" s="2">
        <v>1</v>
      </c>
      <c r="BV824" s="2">
        <v>0</v>
      </c>
    </row>
    <row r="825" spans="1:74" ht="15" customHeight="1" x14ac:dyDescent="0.25">
      <c r="A825" s="75">
        <v>5886425</v>
      </c>
      <c r="B825" t="s">
        <v>3826</v>
      </c>
      <c r="C825" t="s">
        <v>3827</v>
      </c>
      <c r="D825" t="s">
        <v>282</v>
      </c>
      <c r="E825" t="s">
        <v>105</v>
      </c>
      <c r="F825" s="75">
        <v>1050</v>
      </c>
      <c r="G825" s="75">
        <v>332215</v>
      </c>
      <c r="H825">
        <v>525</v>
      </c>
      <c r="I825" t="s">
        <v>175</v>
      </c>
      <c r="J825" s="75">
        <v>83605</v>
      </c>
      <c r="K825" t="s">
        <v>844</v>
      </c>
      <c r="L825" t="s">
        <v>845</v>
      </c>
      <c r="M825" s="81">
        <v>46104.680289351847</v>
      </c>
      <c r="N825" s="81">
        <v>46105.675428240742</v>
      </c>
      <c r="O825" t="s">
        <v>58</v>
      </c>
      <c r="P825" t="s">
        <v>59</v>
      </c>
      <c r="Q825" t="s">
        <v>130</v>
      </c>
      <c r="R825" t="s">
        <v>60</v>
      </c>
      <c r="S825" t="s">
        <v>583</v>
      </c>
      <c r="U825" s="75"/>
      <c r="X825" t="s">
        <v>62</v>
      </c>
      <c r="Y825" t="s">
        <v>63</v>
      </c>
      <c r="AA825" t="s">
        <v>101</v>
      </c>
      <c r="AB825">
        <v>23.816665</v>
      </c>
      <c r="AC825">
        <v>14.583333</v>
      </c>
      <c r="AD825">
        <v>9.2333320000000008</v>
      </c>
      <c r="AE825">
        <v>0.23333300000000001</v>
      </c>
      <c r="AF825">
        <v>0</v>
      </c>
      <c r="AG825">
        <v>8.9999990000000007</v>
      </c>
      <c r="AH825">
        <v>8.9999990000000007</v>
      </c>
      <c r="AI825">
        <v>8.9166659999999993</v>
      </c>
      <c r="AJ825">
        <v>8.3333000000000004E-2</v>
      </c>
      <c r="AK825">
        <v>0</v>
      </c>
      <c r="AL825" s="76">
        <v>45777.749374999999</v>
      </c>
      <c r="AM825" s="75">
        <v>326</v>
      </c>
      <c r="AN825" t="s">
        <v>65</v>
      </c>
      <c r="AO825" t="s">
        <v>1754</v>
      </c>
      <c r="AP825" t="s">
        <v>67</v>
      </c>
      <c r="AQ825" t="s">
        <v>68</v>
      </c>
      <c r="AR825" t="s">
        <v>69</v>
      </c>
      <c r="AS825" s="79"/>
      <c r="AT825" s="82" t="s">
        <v>3797</v>
      </c>
      <c r="AU825" s="78">
        <v>2026</v>
      </c>
      <c r="AV825" s="78">
        <v>3</v>
      </c>
      <c r="AW825" s="78" t="s">
        <v>71</v>
      </c>
      <c r="AX825" s="78">
        <v>0</v>
      </c>
      <c r="AY825" s="78">
        <v>0</v>
      </c>
      <c r="BT825" s="3" t="s">
        <v>71</v>
      </c>
      <c r="BU825" s="3">
        <v>0</v>
      </c>
      <c r="BV825" s="3">
        <v>0</v>
      </c>
    </row>
    <row r="826" spans="1:74" ht="15" customHeight="1" x14ac:dyDescent="0.25">
      <c r="A826" s="75">
        <v>5886803</v>
      </c>
      <c r="B826" t="s">
        <v>3828</v>
      </c>
      <c r="C826" t="s">
        <v>3829</v>
      </c>
      <c r="D826" t="s">
        <v>2379</v>
      </c>
      <c r="E826" t="s">
        <v>87</v>
      </c>
      <c r="F826" s="75">
        <v>531</v>
      </c>
      <c r="G826" s="75">
        <v>347277</v>
      </c>
      <c r="H826">
        <v>382.47</v>
      </c>
      <c r="I826" t="s">
        <v>175</v>
      </c>
      <c r="J826" s="75">
        <v>218791</v>
      </c>
      <c r="K826" t="s">
        <v>312</v>
      </c>
      <c r="L826" t="s">
        <v>313</v>
      </c>
      <c r="M826" s="81">
        <v>46105.39335648148</v>
      </c>
      <c r="N826" s="81">
        <v>46105.710231481477</v>
      </c>
      <c r="O826" t="s">
        <v>58</v>
      </c>
      <c r="P826" t="s">
        <v>59</v>
      </c>
      <c r="Q826" t="s">
        <v>130</v>
      </c>
      <c r="R826" t="s">
        <v>60</v>
      </c>
      <c r="S826" t="s">
        <v>583</v>
      </c>
      <c r="U826" s="75"/>
      <c r="X826" t="s">
        <v>62</v>
      </c>
      <c r="Y826" t="s">
        <v>63</v>
      </c>
      <c r="AA826" t="s">
        <v>81</v>
      </c>
      <c r="AB826">
        <v>7.55</v>
      </c>
      <c r="AC826">
        <v>3.8833329999999999</v>
      </c>
      <c r="AD826">
        <v>3.6666669999999999</v>
      </c>
      <c r="AE826">
        <v>1.5833330000000001</v>
      </c>
      <c r="AF826">
        <v>0</v>
      </c>
      <c r="AG826">
        <v>2.0833339999999998</v>
      </c>
      <c r="AH826">
        <v>2.0833339999999998</v>
      </c>
      <c r="AI826">
        <v>1.7166669999999999</v>
      </c>
      <c r="AJ826">
        <v>0.36666700000000002</v>
      </c>
      <c r="AK826">
        <v>0</v>
      </c>
      <c r="AL826" s="76">
        <v>45945.738692129627</v>
      </c>
      <c r="AM826" s="75">
        <v>159</v>
      </c>
      <c r="AN826" t="s">
        <v>65</v>
      </c>
      <c r="AO826" t="s">
        <v>1261</v>
      </c>
      <c r="AP826" t="s">
        <v>67</v>
      </c>
      <c r="AQ826" t="s">
        <v>68</v>
      </c>
      <c r="AR826" t="s">
        <v>69</v>
      </c>
      <c r="AS826" s="78"/>
      <c r="AT826" s="82" t="s">
        <v>3797</v>
      </c>
      <c r="AU826" s="78">
        <v>2026</v>
      </c>
      <c r="AV826" s="78">
        <v>3</v>
      </c>
      <c r="AW826" s="78" t="s">
        <v>71</v>
      </c>
      <c r="AX826" s="78">
        <v>1</v>
      </c>
      <c r="AY826" s="78">
        <v>0</v>
      </c>
      <c r="BT826" s="2" t="s">
        <v>71</v>
      </c>
      <c r="BU826" s="2">
        <v>1</v>
      </c>
      <c r="BV826" s="2">
        <v>0</v>
      </c>
    </row>
    <row r="827" spans="1:74" ht="15" customHeight="1" x14ac:dyDescent="0.25">
      <c r="A827" s="75">
        <v>5876917</v>
      </c>
      <c r="B827" t="s">
        <v>3830</v>
      </c>
      <c r="C827" t="s">
        <v>3831</v>
      </c>
      <c r="D827" t="s">
        <v>1555</v>
      </c>
      <c r="E827" t="s">
        <v>87</v>
      </c>
      <c r="F827" s="75">
        <v>224</v>
      </c>
      <c r="G827" s="75">
        <v>286237</v>
      </c>
      <c r="H827">
        <v>350</v>
      </c>
      <c r="I827" t="s">
        <v>55</v>
      </c>
      <c r="J827" s="75">
        <v>218791</v>
      </c>
      <c r="K827" t="s">
        <v>312</v>
      </c>
      <c r="L827" t="s">
        <v>313</v>
      </c>
      <c r="M827" s="81">
        <v>46098.500659722216</v>
      </c>
      <c r="N827" s="81">
        <v>46105.763738425929</v>
      </c>
      <c r="O827" t="s">
        <v>58</v>
      </c>
      <c r="P827" t="s">
        <v>59</v>
      </c>
      <c r="Q827" t="s">
        <v>98</v>
      </c>
      <c r="R827" t="s">
        <v>99</v>
      </c>
      <c r="S827" t="s">
        <v>1244</v>
      </c>
      <c r="U827" s="75">
        <v>215739</v>
      </c>
      <c r="V827" t="s">
        <v>3832</v>
      </c>
      <c r="W827" t="s">
        <v>3833</v>
      </c>
      <c r="X827" t="s">
        <v>62</v>
      </c>
      <c r="Y827" t="s">
        <v>63</v>
      </c>
      <c r="AA827" t="s">
        <v>101</v>
      </c>
      <c r="AB827">
        <v>174.23333299999999</v>
      </c>
      <c r="AC827">
        <v>164.48333299999999</v>
      </c>
      <c r="AD827">
        <v>9.75</v>
      </c>
      <c r="AE827">
        <v>0.283333</v>
      </c>
      <c r="AF827">
        <v>0</v>
      </c>
      <c r="AG827">
        <v>9.4666669999999993</v>
      </c>
      <c r="AH827">
        <v>9.4666669999999993</v>
      </c>
      <c r="AI827">
        <v>8.9666669999999993</v>
      </c>
      <c r="AJ827">
        <v>0.5</v>
      </c>
      <c r="AK827">
        <v>0</v>
      </c>
      <c r="AL827" s="76">
        <v>44883</v>
      </c>
      <c r="AM827" s="75">
        <v>1215</v>
      </c>
      <c r="AN827" t="s">
        <v>65</v>
      </c>
      <c r="AO827" t="s">
        <v>3834</v>
      </c>
      <c r="AP827" t="s">
        <v>67</v>
      </c>
      <c r="AQ827" t="s">
        <v>68</v>
      </c>
      <c r="AR827" t="s">
        <v>69</v>
      </c>
      <c r="AS827" s="79"/>
      <c r="AT827" s="82" t="s">
        <v>3797</v>
      </c>
      <c r="AU827" s="78">
        <v>2026</v>
      </c>
      <c r="AV827" s="78">
        <v>3</v>
      </c>
      <c r="AW827" s="78" t="s">
        <v>71</v>
      </c>
      <c r="AX827" s="78">
        <v>0</v>
      </c>
      <c r="AY827" s="78">
        <v>0</v>
      </c>
      <c r="BT827" s="3" t="s">
        <v>71</v>
      </c>
      <c r="BU827" s="3">
        <v>0</v>
      </c>
      <c r="BV827" s="3">
        <v>0</v>
      </c>
    </row>
    <row r="828" spans="1:74" ht="15" customHeight="1" x14ac:dyDescent="0.25">
      <c r="A828" s="75">
        <v>5886659</v>
      </c>
      <c r="B828" t="s">
        <v>3835</v>
      </c>
      <c r="C828" t="s">
        <v>3836</v>
      </c>
      <c r="D828" t="s">
        <v>1052</v>
      </c>
      <c r="E828" t="s">
        <v>54</v>
      </c>
      <c r="F828" s="75">
        <v>14</v>
      </c>
      <c r="G828" s="75">
        <v>333051</v>
      </c>
      <c r="H828">
        <v>250</v>
      </c>
      <c r="I828" t="s">
        <v>141</v>
      </c>
      <c r="J828" s="75">
        <v>88921</v>
      </c>
      <c r="K828" t="s">
        <v>1177</v>
      </c>
      <c r="L828" t="s">
        <v>1178</v>
      </c>
      <c r="M828" s="81">
        <v>46105.326805555553</v>
      </c>
      <c r="N828" s="81">
        <v>46105.806539351863</v>
      </c>
      <c r="O828" t="s">
        <v>58</v>
      </c>
      <c r="P828" t="s">
        <v>59</v>
      </c>
      <c r="Q828" t="s">
        <v>130</v>
      </c>
      <c r="R828" t="s">
        <v>60</v>
      </c>
      <c r="S828" t="s">
        <v>583</v>
      </c>
      <c r="U828" s="75"/>
      <c r="X828" t="s">
        <v>62</v>
      </c>
      <c r="Y828" t="s">
        <v>63</v>
      </c>
      <c r="AA828" t="s">
        <v>101</v>
      </c>
      <c r="AB828">
        <v>11.466666</v>
      </c>
      <c r="AC828">
        <v>1.55</v>
      </c>
      <c r="AD828">
        <v>9.9166659999999993</v>
      </c>
      <c r="AE828">
        <v>8.3333000000000004E-2</v>
      </c>
      <c r="AF828">
        <v>0</v>
      </c>
      <c r="AG828">
        <v>9.8333329999999997</v>
      </c>
      <c r="AH828">
        <v>9.8333329999999997</v>
      </c>
      <c r="AI828">
        <v>9.733333</v>
      </c>
      <c r="AJ828">
        <v>0.1</v>
      </c>
      <c r="AK828">
        <v>0</v>
      </c>
      <c r="AL828" s="76">
        <v>45786.716041666667</v>
      </c>
      <c r="AM828" s="75">
        <v>318</v>
      </c>
      <c r="AN828" t="s">
        <v>65</v>
      </c>
      <c r="AO828" t="s">
        <v>3837</v>
      </c>
      <c r="AP828" t="s">
        <v>67</v>
      </c>
      <c r="AQ828" t="s">
        <v>68</v>
      </c>
      <c r="AR828" t="s">
        <v>69</v>
      </c>
      <c r="AS828" s="78"/>
      <c r="AT828" s="82" t="s">
        <v>3797</v>
      </c>
      <c r="AU828" s="78">
        <v>2026</v>
      </c>
      <c r="AV828" s="78">
        <v>3</v>
      </c>
      <c r="AW828" s="78" t="s">
        <v>71</v>
      </c>
      <c r="AX828" s="78">
        <v>0</v>
      </c>
      <c r="AY828" s="78">
        <v>0</v>
      </c>
      <c r="BT828" s="2" t="s">
        <v>71</v>
      </c>
      <c r="BU828" s="2">
        <v>0</v>
      </c>
      <c r="BV828" s="2">
        <v>0</v>
      </c>
    </row>
    <row r="829" spans="1:74" ht="15" customHeight="1" x14ac:dyDescent="0.25">
      <c r="A829" s="75">
        <v>5886873</v>
      </c>
      <c r="B829" t="s">
        <v>3838</v>
      </c>
      <c r="C829" t="s">
        <v>3839</v>
      </c>
      <c r="D829" t="s">
        <v>527</v>
      </c>
      <c r="E829" t="s">
        <v>87</v>
      </c>
      <c r="F829" s="75">
        <v>119</v>
      </c>
      <c r="G829" s="75">
        <v>285575</v>
      </c>
      <c r="H829">
        <v>368.16</v>
      </c>
      <c r="I829" t="s">
        <v>55</v>
      </c>
      <c r="J829" s="75">
        <v>218791</v>
      </c>
      <c r="K829" t="s">
        <v>312</v>
      </c>
      <c r="L829" t="s">
        <v>313</v>
      </c>
      <c r="M829" s="81">
        <v>46105.411157407398</v>
      </c>
      <c r="N829" s="81">
        <v>46106.434166666673</v>
      </c>
      <c r="O829" t="s">
        <v>58</v>
      </c>
      <c r="P829" t="s">
        <v>59</v>
      </c>
      <c r="Q829" t="s">
        <v>130</v>
      </c>
      <c r="R829" t="s">
        <v>60</v>
      </c>
      <c r="S829" t="s">
        <v>583</v>
      </c>
      <c r="U829" s="75"/>
      <c r="X829" t="s">
        <v>62</v>
      </c>
      <c r="Y829" t="s">
        <v>63</v>
      </c>
      <c r="AA829" t="s">
        <v>101</v>
      </c>
      <c r="AB829">
        <v>24.483333999999999</v>
      </c>
      <c r="AC829">
        <v>13.25</v>
      </c>
      <c r="AD829">
        <v>11.233333999999999</v>
      </c>
      <c r="AE829">
        <v>1.1166670000000001</v>
      </c>
      <c r="AF829">
        <v>0</v>
      </c>
      <c r="AG829">
        <v>10.116667</v>
      </c>
      <c r="AH829">
        <v>10.116667</v>
      </c>
      <c r="AI829">
        <v>10.016667</v>
      </c>
      <c r="AJ829">
        <v>0.1</v>
      </c>
      <c r="AK829">
        <v>0</v>
      </c>
      <c r="AL829" s="76">
        <v>44865.617407407408</v>
      </c>
      <c r="AM829" s="75">
        <v>1239</v>
      </c>
      <c r="AN829" t="s">
        <v>65</v>
      </c>
      <c r="AO829" t="s">
        <v>1514</v>
      </c>
      <c r="AP829" t="s">
        <v>67</v>
      </c>
      <c r="AQ829" t="s">
        <v>68</v>
      </c>
      <c r="AR829" t="s">
        <v>69</v>
      </c>
      <c r="AS829" s="79"/>
      <c r="AT829" s="82" t="s">
        <v>3797</v>
      </c>
      <c r="AU829" s="78">
        <v>2026</v>
      </c>
      <c r="AV829" s="78">
        <v>3</v>
      </c>
      <c r="AW829" s="78" t="s">
        <v>71</v>
      </c>
      <c r="AX829" s="78">
        <v>0</v>
      </c>
      <c r="AY829" s="78">
        <v>0</v>
      </c>
      <c r="BT829" s="3" t="s">
        <v>71</v>
      </c>
      <c r="BU829" s="3">
        <v>0</v>
      </c>
      <c r="BV829" s="3">
        <v>0</v>
      </c>
    </row>
    <row r="830" spans="1:74" ht="15" customHeight="1" x14ac:dyDescent="0.25">
      <c r="A830" s="75">
        <v>5882337</v>
      </c>
      <c r="B830" t="s">
        <v>3840</v>
      </c>
      <c r="C830" t="s">
        <v>3841</v>
      </c>
      <c r="D830" t="s">
        <v>809</v>
      </c>
      <c r="E830" t="s">
        <v>87</v>
      </c>
      <c r="F830" s="75">
        <v>385</v>
      </c>
      <c r="G830" s="75">
        <v>287837</v>
      </c>
      <c r="H830">
        <v>154.15</v>
      </c>
      <c r="I830" t="s">
        <v>853</v>
      </c>
      <c r="J830" s="75">
        <v>49495</v>
      </c>
      <c r="K830" t="s">
        <v>460</v>
      </c>
      <c r="L830" t="s">
        <v>461</v>
      </c>
      <c r="M830" s="81">
        <v>46101.452152777783</v>
      </c>
      <c r="N830" s="81">
        <v>46106.475173611107</v>
      </c>
      <c r="O830" t="s">
        <v>554</v>
      </c>
      <c r="P830" t="s">
        <v>59</v>
      </c>
      <c r="Q830" t="s">
        <v>90</v>
      </c>
      <c r="R830" t="s">
        <v>60</v>
      </c>
      <c r="S830" t="s">
        <v>583</v>
      </c>
      <c r="U830" s="75"/>
      <c r="X830" t="s">
        <v>62</v>
      </c>
      <c r="Y830" t="s">
        <v>824</v>
      </c>
      <c r="AA830" t="s">
        <v>416</v>
      </c>
      <c r="AB830">
        <v>120.38333299999999</v>
      </c>
      <c r="AC830">
        <v>95.183333000000005</v>
      </c>
      <c r="AD830">
        <v>25.2</v>
      </c>
      <c r="AE830">
        <v>10.166667</v>
      </c>
      <c r="AF830">
        <v>0</v>
      </c>
      <c r="AG830">
        <v>15.033333000000001</v>
      </c>
      <c r="AH830">
        <v>15.033333000000001</v>
      </c>
      <c r="AI830">
        <v>14.833333</v>
      </c>
      <c r="AJ830">
        <v>0.2</v>
      </c>
      <c r="AK830">
        <v>0</v>
      </c>
      <c r="AL830" s="76">
        <v>45469.811527777783</v>
      </c>
      <c r="AM830" s="75">
        <v>631</v>
      </c>
      <c r="AN830" t="s">
        <v>65</v>
      </c>
      <c r="AO830" t="s">
        <v>3842</v>
      </c>
      <c r="AP830" t="s">
        <v>67</v>
      </c>
      <c r="AQ830" t="s">
        <v>68</v>
      </c>
      <c r="AR830" t="s">
        <v>69</v>
      </c>
      <c r="AS830" s="78"/>
      <c r="AT830" s="82" t="s">
        <v>3797</v>
      </c>
      <c r="AU830" s="78">
        <v>2026</v>
      </c>
      <c r="AV830" s="78">
        <v>3</v>
      </c>
      <c r="AW830" s="78" t="s">
        <v>137</v>
      </c>
      <c r="AX830" s="78">
        <v>0</v>
      </c>
      <c r="AY830" s="78">
        <v>0</v>
      </c>
      <c r="BT830" s="2" t="s">
        <v>137</v>
      </c>
      <c r="BU830" s="2">
        <v>0</v>
      </c>
      <c r="BV830" s="2">
        <v>0</v>
      </c>
    </row>
    <row r="831" spans="1:74" ht="15" customHeight="1" x14ac:dyDescent="0.25">
      <c r="A831" s="75">
        <v>5883837</v>
      </c>
      <c r="B831" t="s">
        <v>3843</v>
      </c>
      <c r="C831" t="s">
        <v>2712</v>
      </c>
      <c r="D831" t="s">
        <v>282</v>
      </c>
      <c r="E831" t="s">
        <v>87</v>
      </c>
      <c r="F831" s="75">
        <v>362</v>
      </c>
      <c r="G831" s="75">
        <v>286763</v>
      </c>
      <c r="H831">
        <v>364.96</v>
      </c>
      <c r="I831" t="s">
        <v>55</v>
      </c>
      <c r="J831" s="75">
        <v>218787</v>
      </c>
      <c r="K831" t="s">
        <v>96</v>
      </c>
      <c r="L831" t="s">
        <v>97</v>
      </c>
      <c r="M831" s="81">
        <v>46102.313067129631</v>
      </c>
      <c r="N831" s="81">
        <v>46106.477488425917</v>
      </c>
      <c r="O831" t="s">
        <v>58</v>
      </c>
      <c r="P831" t="s">
        <v>59</v>
      </c>
      <c r="Q831" t="s">
        <v>90</v>
      </c>
      <c r="R831" t="s">
        <v>60</v>
      </c>
      <c r="S831" t="s">
        <v>583</v>
      </c>
      <c r="U831" s="75">
        <v>215865</v>
      </c>
      <c r="V831" t="s">
        <v>3844</v>
      </c>
      <c r="X831" t="s">
        <v>62</v>
      </c>
      <c r="Y831" t="s">
        <v>63</v>
      </c>
      <c r="AA831" t="s">
        <v>416</v>
      </c>
      <c r="AB831">
        <v>99.866668000000004</v>
      </c>
      <c r="AC831">
        <v>83.35</v>
      </c>
      <c r="AD831">
        <v>16.516667999999999</v>
      </c>
      <c r="AE831">
        <v>0.13333400000000001</v>
      </c>
      <c r="AF831">
        <v>0</v>
      </c>
      <c r="AG831">
        <v>16.383334000000001</v>
      </c>
      <c r="AH831">
        <v>16.383334000000001</v>
      </c>
      <c r="AI831">
        <v>15.783334</v>
      </c>
      <c r="AJ831">
        <v>0.6</v>
      </c>
      <c r="AK831">
        <v>0</v>
      </c>
      <c r="AL831" s="76">
        <v>44890</v>
      </c>
      <c r="AM831" s="75">
        <v>1212</v>
      </c>
      <c r="AN831" t="s">
        <v>65</v>
      </c>
      <c r="AO831" t="s">
        <v>2715</v>
      </c>
      <c r="AP831" t="s">
        <v>67</v>
      </c>
      <c r="AQ831" t="s">
        <v>68</v>
      </c>
      <c r="AR831" t="s">
        <v>69</v>
      </c>
      <c r="AS831" s="79"/>
      <c r="AT831" s="82" t="s">
        <v>3797</v>
      </c>
      <c r="AU831" s="78">
        <v>2026</v>
      </c>
      <c r="AV831" s="78">
        <v>3</v>
      </c>
      <c r="AW831" s="78" t="s">
        <v>71</v>
      </c>
      <c r="AX831" s="78">
        <v>0</v>
      </c>
      <c r="AY831" s="78">
        <v>0</v>
      </c>
      <c r="BT831" s="3" t="s">
        <v>71</v>
      </c>
      <c r="BU831" s="3">
        <v>0</v>
      </c>
      <c r="BV831" s="3">
        <v>0</v>
      </c>
    </row>
    <row r="832" spans="1:74" ht="15" customHeight="1" x14ac:dyDescent="0.25">
      <c r="A832" s="75">
        <v>5884043</v>
      </c>
      <c r="B832" t="s">
        <v>3845</v>
      </c>
      <c r="C832" t="s">
        <v>3846</v>
      </c>
      <c r="D832" t="s">
        <v>282</v>
      </c>
      <c r="E832" t="s">
        <v>87</v>
      </c>
      <c r="F832" s="75">
        <v>377</v>
      </c>
      <c r="G832" s="75">
        <v>287819</v>
      </c>
      <c r="H832">
        <v>265.5</v>
      </c>
      <c r="I832" t="s">
        <v>853</v>
      </c>
      <c r="J832" s="75">
        <v>49495</v>
      </c>
      <c r="K832" t="s">
        <v>460</v>
      </c>
      <c r="L832" t="s">
        <v>461</v>
      </c>
      <c r="M832" s="81">
        <v>46102.46570601852</v>
      </c>
      <c r="N832" s="81">
        <v>46106.483807870369</v>
      </c>
      <c r="O832" t="s">
        <v>58</v>
      </c>
      <c r="P832" t="s">
        <v>59</v>
      </c>
      <c r="Q832" t="s">
        <v>90</v>
      </c>
      <c r="R832" t="s">
        <v>60</v>
      </c>
      <c r="S832" t="s">
        <v>583</v>
      </c>
      <c r="U832" s="75"/>
      <c r="X832" t="s">
        <v>62</v>
      </c>
      <c r="Y832" t="s">
        <v>63</v>
      </c>
      <c r="AA832" t="s">
        <v>416</v>
      </c>
      <c r="AB832">
        <v>96.283332000000001</v>
      </c>
      <c r="AC832">
        <v>70.2</v>
      </c>
      <c r="AD832">
        <v>26.083331999999999</v>
      </c>
      <c r="AE832">
        <v>3.5166659999999998</v>
      </c>
      <c r="AF832">
        <v>0</v>
      </c>
      <c r="AG832">
        <v>22.566666000000001</v>
      </c>
      <c r="AH832">
        <v>22.566666000000001</v>
      </c>
      <c r="AI832">
        <v>22.066666000000001</v>
      </c>
      <c r="AJ832">
        <v>0.5</v>
      </c>
      <c r="AK832">
        <v>0</v>
      </c>
      <c r="AL832" s="76">
        <v>45237.751157407409</v>
      </c>
      <c r="AM832" s="75">
        <v>864</v>
      </c>
      <c r="AN832" t="s">
        <v>65</v>
      </c>
      <c r="AO832" t="s">
        <v>3847</v>
      </c>
      <c r="AP832" t="s">
        <v>67</v>
      </c>
      <c r="AQ832" t="s">
        <v>68</v>
      </c>
      <c r="AR832" t="s">
        <v>69</v>
      </c>
      <c r="AS832" s="78"/>
      <c r="AT832" s="82" t="s">
        <v>3797</v>
      </c>
      <c r="AU832" s="78">
        <v>2026</v>
      </c>
      <c r="AV832" s="78">
        <v>3</v>
      </c>
      <c r="AW832" s="78" t="s">
        <v>71</v>
      </c>
      <c r="AX832" s="78">
        <v>0</v>
      </c>
      <c r="AY832" s="78">
        <v>0</v>
      </c>
      <c r="BT832" s="2" t="s">
        <v>71</v>
      </c>
      <c r="BU832" s="2">
        <v>0</v>
      </c>
      <c r="BV832" s="2">
        <v>0</v>
      </c>
    </row>
    <row r="833" spans="1:74" ht="15" customHeight="1" x14ac:dyDescent="0.25">
      <c r="A833" s="75">
        <v>5883549</v>
      </c>
      <c r="B833" t="s">
        <v>3848</v>
      </c>
      <c r="C833" t="s">
        <v>1907</v>
      </c>
      <c r="D833" t="s">
        <v>150</v>
      </c>
      <c r="E833" t="s">
        <v>87</v>
      </c>
      <c r="F833" s="75">
        <v>272</v>
      </c>
      <c r="G833" s="75">
        <v>286389</v>
      </c>
      <c r="H833">
        <v>364.96</v>
      </c>
      <c r="I833" t="s">
        <v>55</v>
      </c>
      <c r="J833" s="75">
        <v>218787</v>
      </c>
      <c r="K833" t="s">
        <v>96</v>
      </c>
      <c r="L833" t="s">
        <v>97</v>
      </c>
      <c r="M833" s="81">
        <v>46101.965810185182</v>
      </c>
      <c r="N833" s="81">
        <v>46106.521087962959</v>
      </c>
      <c r="O833" t="s">
        <v>277</v>
      </c>
      <c r="P833" t="s">
        <v>59</v>
      </c>
      <c r="Q833" t="s">
        <v>90</v>
      </c>
      <c r="R833" t="s">
        <v>99</v>
      </c>
      <c r="S833" t="s">
        <v>1244</v>
      </c>
      <c r="U833" s="75">
        <v>215725</v>
      </c>
      <c r="V833" t="s">
        <v>3849</v>
      </c>
      <c r="X833" t="s">
        <v>62</v>
      </c>
      <c r="Y833" t="s">
        <v>63</v>
      </c>
      <c r="AA833" t="s">
        <v>416</v>
      </c>
      <c r="AB833">
        <v>109.216666</v>
      </c>
      <c r="AC833">
        <v>88.8</v>
      </c>
      <c r="AD833">
        <v>20.416665999999999</v>
      </c>
      <c r="AE833">
        <v>0.53333299999999995</v>
      </c>
      <c r="AF833">
        <v>0</v>
      </c>
      <c r="AG833">
        <v>19.883333</v>
      </c>
      <c r="AH833">
        <v>19.883333</v>
      </c>
      <c r="AI833">
        <v>19.75</v>
      </c>
      <c r="AJ833">
        <v>0.13333300000000001</v>
      </c>
      <c r="AK833">
        <v>0</v>
      </c>
      <c r="AL833" s="76">
        <v>44972</v>
      </c>
      <c r="AM833" s="75">
        <v>1129</v>
      </c>
      <c r="AN833" t="s">
        <v>65</v>
      </c>
      <c r="AO833" t="s">
        <v>1910</v>
      </c>
      <c r="AP833" t="s">
        <v>67</v>
      </c>
      <c r="AQ833" t="s">
        <v>68</v>
      </c>
      <c r="AR833" t="s">
        <v>69</v>
      </c>
      <c r="AS833" s="79"/>
      <c r="AT833" s="82" t="s">
        <v>3797</v>
      </c>
      <c r="AU833" s="78">
        <v>2026</v>
      </c>
      <c r="AV833" s="78">
        <v>3</v>
      </c>
      <c r="AW833" s="78" t="s">
        <v>71</v>
      </c>
      <c r="AX833" s="78">
        <v>0</v>
      </c>
      <c r="AY833" s="78">
        <v>0</v>
      </c>
      <c r="BT833" s="3" t="s">
        <v>71</v>
      </c>
      <c r="BU833" s="3">
        <v>0</v>
      </c>
      <c r="BV833" s="3">
        <v>0</v>
      </c>
    </row>
    <row r="834" spans="1:74" ht="15" customHeight="1" x14ac:dyDescent="0.25">
      <c r="A834" s="75">
        <v>5884131</v>
      </c>
      <c r="B834" t="s">
        <v>3850</v>
      </c>
      <c r="C834" t="s">
        <v>3851</v>
      </c>
      <c r="D834" t="s">
        <v>527</v>
      </c>
      <c r="E834" t="s">
        <v>87</v>
      </c>
      <c r="F834" s="75">
        <v>679</v>
      </c>
      <c r="G834" s="75">
        <v>344759</v>
      </c>
      <c r="H834">
        <v>796.78</v>
      </c>
      <c r="I834" t="s">
        <v>141</v>
      </c>
      <c r="J834" s="75">
        <v>6971</v>
      </c>
      <c r="K834" t="s">
        <v>369</v>
      </c>
      <c r="L834" t="s">
        <v>370</v>
      </c>
      <c r="M834" s="81">
        <v>46102.521307870367</v>
      </c>
      <c r="N834" s="81">
        <v>46106.558009259257</v>
      </c>
      <c r="O834" t="s">
        <v>58</v>
      </c>
      <c r="P834" t="s">
        <v>59</v>
      </c>
      <c r="Q834" t="s">
        <v>90</v>
      </c>
      <c r="R834" t="s">
        <v>156</v>
      </c>
      <c r="S834" t="s">
        <v>2227</v>
      </c>
      <c r="U834" s="75"/>
      <c r="X834" t="s">
        <v>79</v>
      </c>
      <c r="Y834" t="s">
        <v>2415</v>
      </c>
      <c r="AA834" t="s">
        <v>101</v>
      </c>
      <c r="AB834">
        <v>96.75</v>
      </c>
      <c r="AC834">
        <v>69.75</v>
      </c>
      <c r="AD834">
        <v>27</v>
      </c>
      <c r="AE834">
        <v>15.35</v>
      </c>
      <c r="AF834">
        <v>14.583333</v>
      </c>
      <c r="AG834">
        <v>11.65</v>
      </c>
      <c r="AH834">
        <v>26.233332999999998</v>
      </c>
      <c r="AI834">
        <v>10.8</v>
      </c>
      <c r="AJ834">
        <v>0.85</v>
      </c>
      <c r="AK834">
        <v>0</v>
      </c>
      <c r="AL834" s="76"/>
      <c r="AM834" s="75"/>
      <c r="AN834" t="s">
        <v>135</v>
      </c>
      <c r="AO834" t="s">
        <v>3852</v>
      </c>
      <c r="AP834" t="s">
        <v>67</v>
      </c>
      <c r="AQ834" t="s">
        <v>83</v>
      </c>
      <c r="AR834" t="s">
        <v>69</v>
      </c>
      <c r="AS834" s="78"/>
      <c r="AT834" s="82" t="s">
        <v>3797</v>
      </c>
      <c r="AU834" s="78">
        <v>2026</v>
      </c>
      <c r="AV834" s="78">
        <v>3</v>
      </c>
      <c r="AW834" s="78" t="s">
        <v>84</v>
      </c>
      <c r="AX834" s="78">
        <v>0</v>
      </c>
      <c r="AY834" s="78">
        <v>0</v>
      </c>
      <c r="BT834" s="2" t="s">
        <v>84</v>
      </c>
      <c r="BU834" s="2">
        <v>0</v>
      </c>
      <c r="BV834" s="2">
        <v>0</v>
      </c>
    </row>
    <row r="835" spans="1:74" ht="15" customHeight="1" x14ac:dyDescent="0.25">
      <c r="A835" s="75">
        <v>5883835</v>
      </c>
      <c r="B835" t="s">
        <v>3853</v>
      </c>
      <c r="C835" t="s">
        <v>3854</v>
      </c>
      <c r="D835" t="s">
        <v>527</v>
      </c>
      <c r="E835" t="s">
        <v>87</v>
      </c>
      <c r="F835" s="75">
        <v>487</v>
      </c>
      <c r="G835" s="75">
        <v>290667</v>
      </c>
      <c r="H835">
        <v>364.96</v>
      </c>
      <c r="I835" t="s">
        <v>55</v>
      </c>
      <c r="J835" s="75">
        <v>218787</v>
      </c>
      <c r="K835" t="s">
        <v>96</v>
      </c>
      <c r="L835" t="s">
        <v>97</v>
      </c>
      <c r="M835" s="81">
        <v>46102.313043981478</v>
      </c>
      <c r="N835" s="81">
        <v>46106.577245370368</v>
      </c>
      <c r="O835" t="s">
        <v>554</v>
      </c>
      <c r="P835" t="s">
        <v>59</v>
      </c>
      <c r="Q835" t="s">
        <v>90</v>
      </c>
      <c r="R835" t="s">
        <v>60</v>
      </c>
      <c r="S835" t="s">
        <v>1268</v>
      </c>
      <c r="U835" s="75">
        <v>215859</v>
      </c>
      <c r="V835" t="s">
        <v>3855</v>
      </c>
      <c r="X835" t="s">
        <v>62</v>
      </c>
      <c r="Y835" t="s">
        <v>63</v>
      </c>
      <c r="AA835" t="s">
        <v>295</v>
      </c>
      <c r="AB835">
        <v>102.25</v>
      </c>
      <c r="AC835">
        <v>76.833333999999994</v>
      </c>
      <c r="AD835">
        <v>25.416665999999999</v>
      </c>
      <c r="AE835">
        <v>0.1</v>
      </c>
      <c r="AF835">
        <v>0</v>
      </c>
      <c r="AG835">
        <v>25.316666000000001</v>
      </c>
      <c r="AH835">
        <v>25.316666000000001</v>
      </c>
      <c r="AI835">
        <v>24.683333000000001</v>
      </c>
      <c r="AJ835">
        <v>0.63333300000000003</v>
      </c>
      <c r="AK835">
        <v>0</v>
      </c>
      <c r="AL835" s="76">
        <v>45117</v>
      </c>
      <c r="AM835" s="75">
        <v>985</v>
      </c>
      <c r="AN835" t="s">
        <v>65</v>
      </c>
      <c r="AO835" t="s">
        <v>3856</v>
      </c>
      <c r="AP835" t="s">
        <v>67</v>
      </c>
      <c r="AQ835" t="s">
        <v>68</v>
      </c>
      <c r="AR835" t="s">
        <v>69</v>
      </c>
      <c r="AS835" s="79"/>
      <c r="AT835" s="82" t="s">
        <v>3797</v>
      </c>
      <c r="AU835" s="78">
        <v>2026</v>
      </c>
      <c r="AV835" s="78">
        <v>3</v>
      </c>
      <c r="AW835" s="78" t="s">
        <v>71</v>
      </c>
      <c r="AX835" s="78">
        <v>0</v>
      </c>
      <c r="AY835" s="78">
        <v>1</v>
      </c>
      <c r="BT835" s="3" t="s">
        <v>71</v>
      </c>
      <c r="BU835" s="3">
        <v>0</v>
      </c>
      <c r="BV835" s="3">
        <v>1</v>
      </c>
    </row>
    <row r="836" spans="1:74" ht="15" customHeight="1" x14ac:dyDescent="0.25">
      <c r="A836" s="75">
        <v>5883811</v>
      </c>
      <c r="B836" t="s">
        <v>3857</v>
      </c>
      <c r="C836" t="s">
        <v>3725</v>
      </c>
      <c r="D836" t="s">
        <v>2379</v>
      </c>
      <c r="E836" t="s">
        <v>54</v>
      </c>
      <c r="F836" s="75">
        <v>1</v>
      </c>
      <c r="G836" s="75">
        <v>268135</v>
      </c>
      <c r="H836">
        <v>8600</v>
      </c>
      <c r="I836" t="s">
        <v>55</v>
      </c>
      <c r="J836" s="75">
        <v>211821</v>
      </c>
      <c r="K836" t="s">
        <v>3726</v>
      </c>
      <c r="L836" t="s">
        <v>3727</v>
      </c>
      <c r="M836" s="81">
        <v>46102.279548611114</v>
      </c>
      <c r="N836" s="81">
        <v>46106.620335648149</v>
      </c>
      <c r="O836" t="s">
        <v>58</v>
      </c>
      <c r="P836" t="s">
        <v>59</v>
      </c>
      <c r="Q836" t="s">
        <v>77</v>
      </c>
      <c r="R836" t="s">
        <v>60</v>
      </c>
      <c r="S836" t="s">
        <v>583</v>
      </c>
      <c r="U836" s="75"/>
      <c r="X836" t="s">
        <v>118</v>
      </c>
      <c r="Y836" t="s">
        <v>484</v>
      </c>
      <c r="AA836" t="s">
        <v>416</v>
      </c>
      <c r="AB836">
        <v>104.1</v>
      </c>
      <c r="AC836">
        <v>83.416667000000004</v>
      </c>
      <c r="AD836">
        <v>20.683333000000001</v>
      </c>
      <c r="AE836">
        <v>0.83333299999999999</v>
      </c>
      <c r="AF836">
        <v>0</v>
      </c>
      <c r="AG836">
        <v>19.850000000000001</v>
      </c>
      <c r="AH836">
        <v>19.850000000000001</v>
      </c>
      <c r="AI836">
        <v>19.2</v>
      </c>
      <c r="AJ836">
        <v>0.65</v>
      </c>
      <c r="AK836">
        <v>0</v>
      </c>
      <c r="AL836" s="76">
        <v>36526</v>
      </c>
      <c r="AM836" s="75">
        <v>9576</v>
      </c>
      <c r="AN836" t="s">
        <v>65</v>
      </c>
      <c r="AO836" t="s">
        <v>3729</v>
      </c>
      <c r="AP836" t="s">
        <v>67</v>
      </c>
      <c r="AQ836" t="s">
        <v>121</v>
      </c>
      <c r="AR836" t="s">
        <v>69</v>
      </c>
      <c r="AS836" s="78"/>
      <c r="AT836" s="82" t="s">
        <v>3797</v>
      </c>
      <c r="AU836" s="78">
        <v>2026</v>
      </c>
      <c r="AV836" s="78">
        <v>3</v>
      </c>
      <c r="AW836" s="78" t="s">
        <v>347</v>
      </c>
      <c r="AX836" s="78">
        <v>0</v>
      </c>
      <c r="AY836" s="78">
        <v>0</v>
      </c>
      <c r="BT836" s="2" t="s">
        <v>347</v>
      </c>
      <c r="BU836" s="2">
        <v>0</v>
      </c>
      <c r="BV836" s="2">
        <v>0</v>
      </c>
    </row>
    <row r="837" spans="1:74" ht="15" customHeight="1" x14ac:dyDescent="0.25">
      <c r="A837" s="75">
        <v>5887951</v>
      </c>
      <c r="B837" t="s">
        <v>3858</v>
      </c>
      <c r="C837" t="s">
        <v>3859</v>
      </c>
      <c r="D837" t="s">
        <v>2379</v>
      </c>
      <c r="E837" t="s">
        <v>54</v>
      </c>
      <c r="F837" s="75">
        <v>779</v>
      </c>
      <c r="G837" s="75">
        <v>287055</v>
      </c>
      <c r="H837">
        <v>209.66</v>
      </c>
      <c r="I837" t="s">
        <v>55</v>
      </c>
      <c r="J837" s="75">
        <v>41553</v>
      </c>
      <c r="K837" t="s">
        <v>250</v>
      </c>
      <c r="L837" t="s">
        <v>251</v>
      </c>
      <c r="M837" s="81">
        <v>46106.429745370369</v>
      </c>
      <c r="N837" s="81">
        <v>46106.677523148152</v>
      </c>
      <c r="O837" t="s">
        <v>58</v>
      </c>
      <c r="P837" t="s">
        <v>59</v>
      </c>
      <c r="Q837" t="s">
        <v>130</v>
      </c>
      <c r="R837" t="s">
        <v>60</v>
      </c>
      <c r="S837" t="s">
        <v>583</v>
      </c>
      <c r="U837" s="75"/>
      <c r="X837" t="s">
        <v>79</v>
      </c>
      <c r="Y837" t="s">
        <v>224</v>
      </c>
      <c r="AA837" t="s">
        <v>64</v>
      </c>
      <c r="AB837">
        <v>5.9</v>
      </c>
      <c r="AC837">
        <v>1.433333</v>
      </c>
      <c r="AD837">
        <v>4.4666670000000002</v>
      </c>
      <c r="AE837">
        <v>0.45</v>
      </c>
      <c r="AF837">
        <v>0</v>
      </c>
      <c r="AG837">
        <v>4.016667</v>
      </c>
      <c r="AH837">
        <v>4.016667</v>
      </c>
      <c r="AI837">
        <v>4</v>
      </c>
      <c r="AJ837">
        <v>1.6667000000000001E-2</v>
      </c>
      <c r="AK837">
        <v>0</v>
      </c>
      <c r="AL837" s="76">
        <v>44970</v>
      </c>
      <c r="AM837" s="75">
        <v>1136</v>
      </c>
      <c r="AN837" t="s">
        <v>65</v>
      </c>
      <c r="AO837" t="s">
        <v>3860</v>
      </c>
      <c r="AP837" t="s">
        <v>67</v>
      </c>
      <c r="AQ837" t="s">
        <v>83</v>
      </c>
      <c r="AR837" t="s">
        <v>69</v>
      </c>
      <c r="AS837" s="79"/>
      <c r="AT837" s="82" t="s">
        <v>3797</v>
      </c>
      <c r="AU837" s="78">
        <v>2026</v>
      </c>
      <c r="AV837" s="78">
        <v>3</v>
      </c>
      <c r="AW837" s="78" t="s">
        <v>226</v>
      </c>
      <c r="AX837" s="78">
        <v>1</v>
      </c>
      <c r="AY837" s="78">
        <v>0</v>
      </c>
      <c r="BT837" s="3" t="s">
        <v>226</v>
      </c>
      <c r="BU837" s="3">
        <v>1</v>
      </c>
      <c r="BV837" s="3">
        <v>0</v>
      </c>
    </row>
    <row r="838" spans="1:74" ht="15" customHeight="1" x14ac:dyDescent="0.25">
      <c r="A838" s="75">
        <v>5881941</v>
      </c>
      <c r="B838" t="s">
        <v>3861</v>
      </c>
      <c r="C838" t="s">
        <v>3862</v>
      </c>
      <c r="D838" t="s">
        <v>1555</v>
      </c>
      <c r="E838" t="s">
        <v>105</v>
      </c>
      <c r="F838" s="75">
        <v>610</v>
      </c>
      <c r="G838" s="75">
        <v>342867</v>
      </c>
      <c r="H838">
        <v>225</v>
      </c>
      <c r="I838" t="s">
        <v>163</v>
      </c>
      <c r="J838" s="75">
        <v>48887</v>
      </c>
      <c r="K838" t="s">
        <v>164</v>
      </c>
      <c r="L838" t="s">
        <v>165</v>
      </c>
      <c r="M838" s="81">
        <v>46101.233356481483</v>
      </c>
      <c r="N838" s="81">
        <v>46106.681342592587</v>
      </c>
      <c r="O838" t="s">
        <v>58</v>
      </c>
      <c r="P838" t="s">
        <v>59</v>
      </c>
      <c r="Q838" t="s">
        <v>130</v>
      </c>
      <c r="R838" t="s">
        <v>99</v>
      </c>
      <c r="S838" t="s">
        <v>1244</v>
      </c>
      <c r="U838" s="75">
        <v>215981</v>
      </c>
      <c r="V838" t="s">
        <v>3863</v>
      </c>
      <c r="X838" t="s">
        <v>62</v>
      </c>
      <c r="Y838" t="s">
        <v>1124</v>
      </c>
      <c r="AA838" t="s">
        <v>416</v>
      </c>
      <c r="AB838">
        <v>130.616668</v>
      </c>
      <c r="AC838">
        <v>112.516666</v>
      </c>
      <c r="AD838">
        <v>18.100002</v>
      </c>
      <c r="AE838">
        <v>1.8833340000000001</v>
      </c>
      <c r="AF838">
        <v>0</v>
      </c>
      <c r="AG838">
        <v>16.216667999999999</v>
      </c>
      <c r="AH838">
        <v>16.216667999999999</v>
      </c>
      <c r="AI838">
        <v>16.150001</v>
      </c>
      <c r="AJ838">
        <v>6.6667000000000004E-2</v>
      </c>
      <c r="AK838">
        <v>0</v>
      </c>
      <c r="AL838" s="76">
        <v>45863</v>
      </c>
      <c r="AM838" s="75">
        <v>238</v>
      </c>
      <c r="AN838" t="s">
        <v>65</v>
      </c>
      <c r="AO838" t="s">
        <v>2710</v>
      </c>
      <c r="AP838" t="s">
        <v>67</v>
      </c>
      <c r="AQ838" t="s">
        <v>68</v>
      </c>
      <c r="AR838" t="s">
        <v>69</v>
      </c>
      <c r="AS838" s="78"/>
      <c r="AT838" s="82" t="s">
        <v>3797</v>
      </c>
      <c r="AU838" s="78">
        <v>2026</v>
      </c>
      <c r="AV838" s="78">
        <v>3</v>
      </c>
      <c r="AW838" s="78" t="s">
        <v>137</v>
      </c>
      <c r="AX838" s="78">
        <v>0</v>
      </c>
      <c r="AY838" s="78">
        <v>0</v>
      </c>
      <c r="BT838" s="2" t="s">
        <v>137</v>
      </c>
      <c r="BU838" s="2">
        <v>0</v>
      </c>
      <c r="BV838" s="2">
        <v>0</v>
      </c>
    </row>
    <row r="839" spans="1:74" ht="15" customHeight="1" x14ac:dyDescent="0.25">
      <c r="A839" s="75">
        <v>5887333</v>
      </c>
      <c r="B839" t="s">
        <v>3864</v>
      </c>
      <c r="C839" t="s">
        <v>3865</v>
      </c>
      <c r="D839" t="s">
        <v>1052</v>
      </c>
      <c r="E839" t="s">
        <v>54</v>
      </c>
      <c r="F839" s="75">
        <v>878</v>
      </c>
      <c r="G839" s="75">
        <v>350377</v>
      </c>
      <c r="H839">
        <v>250</v>
      </c>
      <c r="I839" t="s">
        <v>141</v>
      </c>
      <c r="J839" s="75">
        <v>218497</v>
      </c>
      <c r="K839" t="s">
        <v>56</v>
      </c>
      <c r="L839" t="s">
        <v>57</v>
      </c>
      <c r="M839" s="81">
        <v>46105.602986111109</v>
      </c>
      <c r="N839" s="81">
        <v>46106.778553240743</v>
      </c>
      <c r="O839" t="s">
        <v>58</v>
      </c>
      <c r="P839" t="s">
        <v>59</v>
      </c>
      <c r="Q839" t="s">
        <v>77</v>
      </c>
      <c r="R839" t="s">
        <v>60</v>
      </c>
      <c r="S839" t="s">
        <v>583</v>
      </c>
      <c r="U839" s="75"/>
      <c r="X839" t="s">
        <v>62</v>
      </c>
      <c r="Y839" t="s">
        <v>63</v>
      </c>
      <c r="AA839" t="s">
        <v>101</v>
      </c>
      <c r="AB839">
        <v>28.133334000000001</v>
      </c>
      <c r="AC839">
        <v>19.149999999999999</v>
      </c>
      <c r="AD839">
        <v>8.9833339999999993</v>
      </c>
      <c r="AE839">
        <v>0.11666700000000001</v>
      </c>
      <c r="AF839">
        <v>0</v>
      </c>
      <c r="AG839">
        <v>8.8666669999999996</v>
      </c>
      <c r="AH839">
        <v>8.8666669999999996</v>
      </c>
      <c r="AI839">
        <v>8.4499999999999993</v>
      </c>
      <c r="AJ839">
        <v>0.41666700000000001</v>
      </c>
      <c r="AK839">
        <v>0</v>
      </c>
      <c r="AL839" s="76">
        <v>46036</v>
      </c>
      <c r="AM839" s="75">
        <v>69</v>
      </c>
      <c r="AN839" t="s">
        <v>65</v>
      </c>
      <c r="AO839" t="s">
        <v>3866</v>
      </c>
      <c r="AP839" t="s">
        <v>67</v>
      </c>
      <c r="AQ839" t="s">
        <v>68</v>
      </c>
      <c r="AR839" t="s">
        <v>69</v>
      </c>
      <c r="AS839" s="79"/>
      <c r="AT839" s="82" t="s">
        <v>3797</v>
      </c>
      <c r="AU839" s="78">
        <v>2026</v>
      </c>
      <c r="AV839" s="78">
        <v>3</v>
      </c>
      <c r="AW839" s="78" t="s">
        <v>71</v>
      </c>
      <c r="AX839" s="78">
        <v>0</v>
      </c>
      <c r="AY839" s="78">
        <v>0</v>
      </c>
      <c r="BT839" s="3" t="s">
        <v>71</v>
      </c>
      <c r="BU839" s="3">
        <v>0</v>
      </c>
      <c r="BV839" s="3">
        <v>0</v>
      </c>
    </row>
    <row r="840" spans="1:74" ht="15" customHeight="1" x14ac:dyDescent="0.25">
      <c r="A840" s="75">
        <v>5887189</v>
      </c>
      <c r="B840" t="s">
        <v>3867</v>
      </c>
      <c r="C840" t="s">
        <v>3868</v>
      </c>
      <c r="D840" t="s">
        <v>1388</v>
      </c>
      <c r="E840" t="s">
        <v>87</v>
      </c>
      <c r="F840" s="75">
        <v>367</v>
      </c>
      <c r="G840" s="75">
        <v>286775</v>
      </c>
      <c r="H840">
        <v>364.96</v>
      </c>
      <c r="I840" t="s">
        <v>55</v>
      </c>
      <c r="J840" s="75">
        <v>218787</v>
      </c>
      <c r="K840" t="s">
        <v>96</v>
      </c>
      <c r="L840" t="s">
        <v>97</v>
      </c>
      <c r="M840" s="81">
        <v>46105.514606481483</v>
      </c>
      <c r="N840" s="81">
        <v>46107.402071759258</v>
      </c>
      <c r="O840" t="s">
        <v>58</v>
      </c>
      <c r="P840" t="s">
        <v>59</v>
      </c>
      <c r="Q840" t="s">
        <v>130</v>
      </c>
      <c r="R840" t="s">
        <v>60</v>
      </c>
      <c r="S840" t="s">
        <v>583</v>
      </c>
      <c r="U840" s="75"/>
      <c r="X840" t="s">
        <v>62</v>
      </c>
      <c r="Y840" t="s">
        <v>63</v>
      </c>
      <c r="AA840" t="s">
        <v>416</v>
      </c>
      <c r="AB840">
        <v>45.233333999999999</v>
      </c>
      <c r="AC840">
        <v>32.766666999999998</v>
      </c>
      <c r="AD840">
        <v>12.466666999999999</v>
      </c>
      <c r="AE840">
        <v>0.3</v>
      </c>
      <c r="AF840">
        <v>0</v>
      </c>
      <c r="AG840">
        <v>12.166667</v>
      </c>
      <c r="AH840">
        <v>12.166667</v>
      </c>
      <c r="AI840">
        <v>12.016667</v>
      </c>
      <c r="AJ840">
        <v>0.15</v>
      </c>
      <c r="AK840">
        <v>0</v>
      </c>
      <c r="AL840" s="76">
        <v>44943</v>
      </c>
      <c r="AM840" s="75">
        <v>1162</v>
      </c>
      <c r="AN840" t="s">
        <v>65</v>
      </c>
      <c r="AO840" t="s">
        <v>478</v>
      </c>
      <c r="AP840" t="s">
        <v>67</v>
      </c>
      <c r="AQ840" t="s">
        <v>68</v>
      </c>
      <c r="AR840" t="s">
        <v>69</v>
      </c>
      <c r="AS840" s="78"/>
      <c r="AT840" s="82" t="s">
        <v>3797</v>
      </c>
      <c r="AU840" s="78">
        <v>2026</v>
      </c>
      <c r="AV840" s="78">
        <v>3</v>
      </c>
      <c r="AW840" s="78" t="s">
        <v>71</v>
      </c>
      <c r="AX840" s="78">
        <v>0</v>
      </c>
      <c r="AY840" s="78">
        <v>0</v>
      </c>
      <c r="BT840" s="2" t="s">
        <v>71</v>
      </c>
      <c r="BU840" s="2">
        <v>0</v>
      </c>
      <c r="BV840" s="2">
        <v>0</v>
      </c>
    </row>
    <row r="841" spans="1:74" ht="15" customHeight="1" x14ac:dyDescent="0.25">
      <c r="A841" s="75">
        <v>5887191</v>
      </c>
      <c r="B841" t="s">
        <v>3869</v>
      </c>
      <c r="C841" t="s">
        <v>3870</v>
      </c>
      <c r="D841" t="s">
        <v>1388</v>
      </c>
      <c r="E841" t="s">
        <v>87</v>
      </c>
      <c r="F841" s="75">
        <v>366</v>
      </c>
      <c r="G841" s="75">
        <v>286773</v>
      </c>
      <c r="H841">
        <v>364.96</v>
      </c>
      <c r="I841" t="s">
        <v>55</v>
      </c>
      <c r="J841" s="75">
        <v>218787</v>
      </c>
      <c r="K841" t="s">
        <v>96</v>
      </c>
      <c r="L841" t="s">
        <v>97</v>
      </c>
      <c r="M841" s="81">
        <v>46105.515370370369</v>
      </c>
      <c r="N841" s="81">
        <v>46107.402499999997</v>
      </c>
      <c r="O841" t="s">
        <v>58</v>
      </c>
      <c r="P841" t="s">
        <v>59</v>
      </c>
      <c r="Q841" t="s">
        <v>130</v>
      </c>
      <c r="R841" t="s">
        <v>60</v>
      </c>
      <c r="S841" t="s">
        <v>583</v>
      </c>
      <c r="U841" s="75"/>
      <c r="X841" t="s">
        <v>62</v>
      </c>
      <c r="Y841" t="s">
        <v>63</v>
      </c>
      <c r="AA841" t="s">
        <v>64</v>
      </c>
      <c r="AB841">
        <v>45.250000999999997</v>
      </c>
      <c r="AC841">
        <v>37.916666999999997</v>
      </c>
      <c r="AD841">
        <v>7.3333339999999998</v>
      </c>
      <c r="AE841">
        <v>0.36666700000000002</v>
      </c>
      <c r="AF841">
        <v>0</v>
      </c>
      <c r="AG841">
        <v>6.9666670000000002</v>
      </c>
      <c r="AH841">
        <v>6.9666670000000002</v>
      </c>
      <c r="AI841">
        <v>5.55</v>
      </c>
      <c r="AJ841">
        <v>1.4166669999999999</v>
      </c>
      <c r="AK841">
        <v>0</v>
      </c>
      <c r="AL841" s="76">
        <v>44960</v>
      </c>
      <c r="AM841" s="75">
        <v>1145</v>
      </c>
      <c r="AN841" t="s">
        <v>65</v>
      </c>
      <c r="AO841" t="s">
        <v>3871</v>
      </c>
      <c r="AP841" t="s">
        <v>67</v>
      </c>
      <c r="AQ841" t="s">
        <v>68</v>
      </c>
      <c r="AR841" t="s">
        <v>69</v>
      </c>
      <c r="AS841" s="79"/>
      <c r="AT841" s="82" t="s">
        <v>3797</v>
      </c>
      <c r="AU841" s="78">
        <v>2026</v>
      </c>
      <c r="AV841" s="78">
        <v>3</v>
      </c>
      <c r="AW841" s="78" t="s">
        <v>71</v>
      </c>
      <c r="AX841" s="78">
        <v>1</v>
      </c>
      <c r="AY841" s="78">
        <v>0</v>
      </c>
      <c r="BT841" s="3" t="s">
        <v>71</v>
      </c>
      <c r="BU841" s="3">
        <v>1</v>
      </c>
      <c r="BV841" s="3">
        <v>0</v>
      </c>
    </row>
    <row r="842" spans="1:74" ht="15" customHeight="1" x14ac:dyDescent="0.25">
      <c r="A842" s="75">
        <v>5889477</v>
      </c>
      <c r="B842" t="s">
        <v>3872</v>
      </c>
      <c r="C842" t="s">
        <v>1916</v>
      </c>
      <c r="D842" t="s">
        <v>1388</v>
      </c>
      <c r="E842" t="s">
        <v>87</v>
      </c>
      <c r="F842" s="75">
        <v>295</v>
      </c>
      <c r="G842" s="75">
        <v>286465</v>
      </c>
      <c r="H842">
        <v>364.96</v>
      </c>
      <c r="I842" t="s">
        <v>55</v>
      </c>
      <c r="J842" s="75">
        <v>218787</v>
      </c>
      <c r="K842" t="s">
        <v>96</v>
      </c>
      <c r="L842" t="s">
        <v>97</v>
      </c>
      <c r="M842" s="81">
        <v>46106.489664351851</v>
      </c>
      <c r="N842" s="81">
        <v>46107.403287037043</v>
      </c>
      <c r="O842" t="s">
        <v>58</v>
      </c>
      <c r="P842" t="s">
        <v>59</v>
      </c>
      <c r="Q842" t="s">
        <v>90</v>
      </c>
      <c r="R842" t="s">
        <v>60</v>
      </c>
      <c r="S842" t="s">
        <v>583</v>
      </c>
      <c r="U842" s="75"/>
      <c r="X842" t="s">
        <v>62</v>
      </c>
      <c r="Y842" t="s">
        <v>63</v>
      </c>
      <c r="AA842" t="s">
        <v>81</v>
      </c>
      <c r="AB842">
        <v>21.866665999999999</v>
      </c>
      <c r="AC842">
        <v>14.3</v>
      </c>
      <c r="AD842">
        <v>7.5666659999999997</v>
      </c>
      <c r="AE842">
        <v>4</v>
      </c>
      <c r="AF842">
        <v>0</v>
      </c>
      <c r="AG842">
        <v>3.5666660000000001</v>
      </c>
      <c r="AH842">
        <v>3.5666660000000001</v>
      </c>
      <c r="AI842">
        <v>2.8833329999999999</v>
      </c>
      <c r="AJ842">
        <v>0.68333299999999997</v>
      </c>
      <c r="AK842">
        <v>0</v>
      </c>
      <c r="AL842" s="76">
        <v>44922</v>
      </c>
      <c r="AM842" s="75">
        <v>1184</v>
      </c>
      <c r="AN842" t="s">
        <v>65</v>
      </c>
      <c r="AO842" t="s">
        <v>1919</v>
      </c>
      <c r="AP842" t="s">
        <v>67</v>
      </c>
      <c r="AQ842" t="s">
        <v>68</v>
      </c>
      <c r="AR842" t="s">
        <v>69</v>
      </c>
      <c r="AS842" s="78"/>
      <c r="AT842" s="82" t="s">
        <v>3797</v>
      </c>
      <c r="AU842" s="78">
        <v>2026</v>
      </c>
      <c r="AV842" s="78">
        <v>3</v>
      </c>
      <c r="AW842" s="78" t="s">
        <v>71</v>
      </c>
      <c r="AX842" s="78">
        <v>1</v>
      </c>
      <c r="AY842" s="78">
        <v>0</v>
      </c>
      <c r="BT842" s="2" t="s">
        <v>71</v>
      </c>
      <c r="BU842" s="2">
        <v>1</v>
      </c>
      <c r="BV842" s="2">
        <v>0</v>
      </c>
    </row>
    <row r="843" spans="1:74" ht="15" customHeight="1" x14ac:dyDescent="0.25">
      <c r="A843" s="75">
        <v>5889515</v>
      </c>
      <c r="B843" t="s">
        <v>3873</v>
      </c>
      <c r="C843" t="s">
        <v>3874</v>
      </c>
      <c r="D843" t="s">
        <v>1388</v>
      </c>
      <c r="E843" t="s">
        <v>87</v>
      </c>
      <c r="F843" s="75">
        <v>192</v>
      </c>
      <c r="G843" s="75">
        <v>285927</v>
      </c>
      <c r="H843">
        <v>350</v>
      </c>
      <c r="I843" t="s">
        <v>55</v>
      </c>
      <c r="J843" s="75">
        <v>218787</v>
      </c>
      <c r="K843" t="s">
        <v>96</v>
      </c>
      <c r="L843" t="s">
        <v>97</v>
      </c>
      <c r="M843" s="81">
        <v>46106.497789351852</v>
      </c>
      <c r="N843" s="81">
        <v>46107.404085648152</v>
      </c>
      <c r="O843" t="s">
        <v>58</v>
      </c>
      <c r="P843" t="s">
        <v>59</v>
      </c>
      <c r="Q843" t="s">
        <v>130</v>
      </c>
      <c r="R843" t="s">
        <v>99</v>
      </c>
      <c r="S843" t="s">
        <v>1244</v>
      </c>
      <c r="U843" s="75"/>
      <c r="X843" t="s">
        <v>62</v>
      </c>
      <c r="Y843" t="s">
        <v>63</v>
      </c>
      <c r="AA843" t="s">
        <v>64</v>
      </c>
      <c r="AB843">
        <v>21.7</v>
      </c>
      <c r="AC843">
        <v>16.083333</v>
      </c>
      <c r="AD843">
        <v>5.6166669999999996</v>
      </c>
      <c r="AE843">
        <v>0.26666699999999999</v>
      </c>
      <c r="AF843">
        <v>0</v>
      </c>
      <c r="AG843">
        <v>5.35</v>
      </c>
      <c r="AH843">
        <v>5.35</v>
      </c>
      <c r="AI843">
        <v>5.15</v>
      </c>
      <c r="AJ843">
        <v>0.2</v>
      </c>
      <c r="AK843">
        <v>0</v>
      </c>
      <c r="AL843" s="76">
        <v>44870.389849537038</v>
      </c>
      <c r="AM843" s="75">
        <v>1236</v>
      </c>
      <c r="AN843" t="s">
        <v>65</v>
      </c>
      <c r="AO843" t="s">
        <v>502</v>
      </c>
      <c r="AP843" t="s">
        <v>67</v>
      </c>
      <c r="AQ843" t="s">
        <v>68</v>
      </c>
      <c r="AR843" t="s">
        <v>69</v>
      </c>
      <c r="AS843" s="79"/>
      <c r="AT843" s="82" t="s">
        <v>3797</v>
      </c>
      <c r="AU843" s="78">
        <v>2026</v>
      </c>
      <c r="AV843" s="78">
        <v>3</v>
      </c>
      <c r="AW843" s="78" t="s">
        <v>71</v>
      </c>
      <c r="AX843" s="78">
        <v>1</v>
      </c>
      <c r="AY843" s="78">
        <v>0</v>
      </c>
      <c r="BT843" s="3" t="s">
        <v>71</v>
      </c>
      <c r="BU843" s="3">
        <v>1</v>
      </c>
      <c r="BV843" s="3">
        <v>0</v>
      </c>
    </row>
    <row r="844" spans="1:74" ht="15" customHeight="1" x14ac:dyDescent="0.25">
      <c r="A844" s="75">
        <v>5889939</v>
      </c>
      <c r="B844" t="s">
        <v>3875</v>
      </c>
      <c r="C844" t="s">
        <v>3623</v>
      </c>
      <c r="D844" t="s">
        <v>1388</v>
      </c>
      <c r="E844" t="s">
        <v>87</v>
      </c>
      <c r="F844" s="75">
        <v>53</v>
      </c>
      <c r="G844" s="75">
        <v>275345</v>
      </c>
      <c r="H844">
        <v>368.16</v>
      </c>
      <c r="I844" t="s">
        <v>55</v>
      </c>
      <c r="J844" s="75">
        <v>218791</v>
      </c>
      <c r="K844" t="s">
        <v>312</v>
      </c>
      <c r="L844" t="s">
        <v>313</v>
      </c>
      <c r="M844" s="81">
        <v>46106.524212962962</v>
      </c>
      <c r="N844" s="81">
        <v>46107.404652777783</v>
      </c>
      <c r="O844" t="s">
        <v>58</v>
      </c>
      <c r="P844" t="s">
        <v>59</v>
      </c>
      <c r="Q844" t="s">
        <v>90</v>
      </c>
      <c r="R844" t="s">
        <v>60</v>
      </c>
      <c r="S844" t="s">
        <v>583</v>
      </c>
      <c r="U844" s="75"/>
      <c r="X844" t="s">
        <v>62</v>
      </c>
      <c r="Y844" t="s">
        <v>63</v>
      </c>
      <c r="AA844" t="s">
        <v>64</v>
      </c>
      <c r="AB844">
        <v>21.1</v>
      </c>
      <c r="AC844">
        <v>16.033332999999999</v>
      </c>
      <c r="AD844">
        <v>5.0666669999999998</v>
      </c>
      <c r="AE844">
        <v>0.23333400000000001</v>
      </c>
      <c r="AF844">
        <v>0</v>
      </c>
      <c r="AG844">
        <v>4.8333329999999997</v>
      </c>
      <c r="AH844">
        <v>4.8333329999999997</v>
      </c>
      <c r="AI844">
        <v>4.8333329999999997</v>
      </c>
      <c r="AJ844">
        <v>0</v>
      </c>
      <c r="AK844">
        <v>0</v>
      </c>
      <c r="AL844" s="76">
        <v>44861.902696759258</v>
      </c>
      <c r="AM844" s="75">
        <v>1244</v>
      </c>
      <c r="AN844" t="s">
        <v>65</v>
      </c>
      <c r="AO844" t="s">
        <v>3876</v>
      </c>
      <c r="AP844" t="s">
        <v>67</v>
      </c>
      <c r="AQ844" t="s">
        <v>68</v>
      </c>
      <c r="AR844" t="s">
        <v>69</v>
      </c>
      <c r="AS844" s="78"/>
      <c r="AT844" s="82" t="s">
        <v>3797</v>
      </c>
      <c r="AU844" s="78">
        <v>2026</v>
      </c>
      <c r="AV844" s="78">
        <v>3</v>
      </c>
      <c r="AW844" s="78" t="s">
        <v>71</v>
      </c>
      <c r="AX844" s="78">
        <v>1</v>
      </c>
      <c r="AY844" s="78">
        <v>0</v>
      </c>
      <c r="BT844" s="2" t="s">
        <v>71</v>
      </c>
      <c r="BU844" s="2">
        <v>1</v>
      </c>
      <c r="BV844" s="2">
        <v>0</v>
      </c>
    </row>
    <row r="845" spans="1:74" ht="15" customHeight="1" x14ac:dyDescent="0.25">
      <c r="A845" s="75">
        <v>5886865</v>
      </c>
      <c r="B845" t="s">
        <v>3877</v>
      </c>
      <c r="C845" t="s">
        <v>3878</v>
      </c>
      <c r="D845" t="s">
        <v>1388</v>
      </c>
      <c r="E845" t="s">
        <v>87</v>
      </c>
      <c r="F845" s="75">
        <v>110</v>
      </c>
      <c r="G845" s="75">
        <v>285543</v>
      </c>
      <c r="H845">
        <v>368.16</v>
      </c>
      <c r="I845" t="s">
        <v>55</v>
      </c>
      <c r="J845" s="75">
        <v>218791</v>
      </c>
      <c r="K845" t="s">
        <v>312</v>
      </c>
      <c r="L845" t="s">
        <v>313</v>
      </c>
      <c r="M845" s="81">
        <v>46105.409675925926</v>
      </c>
      <c r="N845" s="81">
        <v>46107.412858796299</v>
      </c>
      <c r="O845" t="s">
        <v>58</v>
      </c>
      <c r="P845" t="s">
        <v>59</v>
      </c>
      <c r="Q845" t="s">
        <v>130</v>
      </c>
      <c r="R845" t="s">
        <v>60</v>
      </c>
      <c r="S845" t="s">
        <v>583</v>
      </c>
      <c r="U845" s="75"/>
      <c r="X845" t="s">
        <v>62</v>
      </c>
      <c r="Y845" t="s">
        <v>63</v>
      </c>
      <c r="AA845" t="s">
        <v>101</v>
      </c>
      <c r="AB845">
        <v>48.016666000000001</v>
      </c>
      <c r="AC845">
        <v>37.1</v>
      </c>
      <c r="AD845">
        <v>10.916665999999999</v>
      </c>
      <c r="AE845">
        <v>0.75</v>
      </c>
      <c r="AF845">
        <v>0</v>
      </c>
      <c r="AG845">
        <v>10.166665999999999</v>
      </c>
      <c r="AH845">
        <v>10.166665999999999</v>
      </c>
      <c r="AI845">
        <v>9.983333</v>
      </c>
      <c r="AJ845">
        <v>0.183333</v>
      </c>
      <c r="AK845">
        <v>0</v>
      </c>
      <c r="AL845" s="76">
        <v>44942.56490740741</v>
      </c>
      <c r="AM845" s="75">
        <v>1162</v>
      </c>
      <c r="AN845" t="s">
        <v>65</v>
      </c>
      <c r="AO845" t="s">
        <v>3879</v>
      </c>
      <c r="AP845" t="s">
        <v>67</v>
      </c>
      <c r="AQ845" t="s">
        <v>68</v>
      </c>
      <c r="AR845" t="s">
        <v>69</v>
      </c>
      <c r="AS845" s="79"/>
      <c r="AT845" s="82" t="s">
        <v>3797</v>
      </c>
      <c r="AU845" s="78">
        <v>2026</v>
      </c>
      <c r="AV845" s="78">
        <v>3</v>
      </c>
      <c r="AW845" s="78" t="s">
        <v>71</v>
      </c>
      <c r="AX845" s="78">
        <v>0</v>
      </c>
      <c r="AY845" s="78">
        <v>0</v>
      </c>
      <c r="BT845" s="3" t="s">
        <v>71</v>
      </c>
      <c r="BU845" s="3">
        <v>0</v>
      </c>
      <c r="BV845" s="3">
        <v>0</v>
      </c>
    </row>
    <row r="846" spans="1:74" ht="15" customHeight="1" x14ac:dyDescent="0.25">
      <c r="A846" s="75">
        <v>5889507</v>
      </c>
      <c r="B846" t="s">
        <v>3880</v>
      </c>
      <c r="C846" t="s">
        <v>3881</v>
      </c>
      <c r="D846" t="s">
        <v>527</v>
      </c>
      <c r="E846" t="s">
        <v>87</v>
      </c>
      <c r="F846" s="75">
        <v>518</v>
      </c>
      <c r="G846" s="75">
        <v>293311</v>
      </c>
      <c r="H846">
        <v>368.16</v>
      </c>
      <c r="I846" t="s">
        <v>55</v>
      </c>
      <c r="J846" s="75">
        <v>218791</v>
      </c>
      <c r="K846" t="s">
        <v>312</v>
      </c>
      <c r="L846" t="s">
        <v>313</v>
      </c>
      <c r="M846" s="81">
        <v>46106.496539351851</v>
      </c>
      <c r="N846" s="81">
        <v>46107.419814814813</v>
      </c>
      <c r="O846" t="s">
        <v>277</v>
      </c>
      <c r="P846" t="s">
        <v>59</v>
      </c>
      <c r="Q846" t="s">
        <v>90</v>
      </c>
      <c r="R846" t="s">
        <v>99</v>
      </c>
      <c r="S846" t="s">
        <v>1244</v>
      </c>
      <c r="U846" s="75"/>
      <c r="X846" t="s">
        <v>62</v>
      </c>
      <c r="Y846" t="s">
        <v>63</v>
      </c>
      <c r="AA846" t="s">
        <v>101</v>
      </c>
      <c r="AB846">
        <v>22.100000999999999</v>
      </c>
      <c r="AC846">
        <v>12.766667</v>
      </c>
      <c r="AD846">
        <v>9.3333340000000007</v>
      </c>
      <c r="AE846">
        <v>0.35</v>
      </c>
      <c r="AF846">
        <v>0</v>
      </c>
      <c r="AG846">
        <v>8.9833339999999993</v>
      </c>
      <c r="AH846">
        <v>8.9833339999999993</v>
      </c>
      <c r="AI846">
        <v>8.35</v>
      </c>
      <c r="AJ846">
        <v>0.63333399999999995</v>
      </c>
      <c r="AK846">
        <v>0</v>
      </c>
      <c r="AL846" s="76">
        <v>45131.719583333332</v>
      </c>
      <c r="AM846" s="75">
        <v>974</v>
      </c>
      <c r="AN846" t="s">
        <v>65</v>
      </c>
      <c r="AO846" t="s">
        <v>3882</v>
      </c>
      <c r="AP846" t="s">
        <v>67</v>
      </c>
      <c r="AQ846" t="s">
        <v>68</v>
      </c>
      <c r="AR846" t="s">
        <v>69</v>
      </c>
      <c r="AS846" s="78"/>
      <c r="AT846" s="82" t="s">
        <v>3797</v>
      </c>
      <c r="AU846" s="78">
        <v>2026</v>
      </c>
      <c r="AV846" s="78">
        <v>3</v>
      </c>
      <c r="AW846" s="78" t="s">
        <v>71</v>
      </c>
      <c r="AX846" s="78">
        <v>0</v>
      </c>
      <c r="AY846" s="78">
        <v>0</v>
      </c>
      <c r="BT846" s="2" t="s">
        <v>71</v>
      </c>
      <c r="BU846" s="2">
        <v>0</v>
      </c>
      <c r="BV846" s="2">
        <v>0</v>
      </c>
    </row>
    <row r="847" spans="1:74" ht="15" customHeight="1" x14ac:dyDescent="0.25">
      <c r="A847" s="75">
        <v>5885927</v>
      </c>
      <c r="B847" t="s">
        <v>3883</v>
      </c>
      <c r="C847" t="s">
        <v>3884</v>
      </c>
      <c r="D847" t="s">
        <v>2379</v>
      </c>
      <c r="E847" t="s">
        <v>54</v>
      </c>
      <c r="F847" s="75">
        <v>7</v>
      </c>
      <c r="G847" s="75">
        <v>325039</v>
      </c>
      <c r="H847">
        <v>800</v>
      </c>
      <c r="I847" t="s">
        <v>114</v>
      </c>
      <c r="J847" s="75">
        <v>201963</v>
      </c>
      <c r="K847" t="s">
        <v>3248</v>
      </c>
      <c r="L847" t="s">
        <v>3249</v>
      </c>
      <c r="M847" s="81">
        <v>46104.580011574071</v>
      </c>
      <c r="N847" s="81">
        <v>46107.434201388889</v>
      </c>
      <c r="O847" t="s">
        <v>58</v>
      </c>
      <c r="P847" t="s">
        <v>59</v>
      </c>
      <c r="Q847" t="s">
        <v>130</v>
      </c>
      <c r="R847" t="s">
        <v>60</v>
      </c>
      <c r="S847" t="s">
        <v>583</v>
      </c>
      <c r="U847" s="75"/>
      <c r="X847" t="s">
        <v>79</v>
      </c>
      <c r="Y847" t="s">
        <v>224</v>
      </c>
      <c r="AA847" t="s">
        <v>101</v>
      </c>
      <c r="AB847">
        <v>68.366667000000007</v>
      </c>
      <c r="AC847">
        <v>57.083334000000001</v>
      </c>
      <c r="AD847">
        <v>11.283333000000001</v>
      </c>
      <c r="AE847">
        <v>0.86666699999999997</v>
      </c>
      <c r="AF847">
        <v>0</v>
      </c>
      <c r="AG847">
        <v>10.416665999999999</v>
      </c>
      <c r="AH847">
        <v>10.416665999999999</v>
      </c>
      <c r="AI847">
        <v>10.033333000000001</v>
      </c>
      <c r="AJ847">
        <v>0.38333299999999998</v>
      </c>
      <c r="AK847">
        <v>0</v>
      </c>
      <c r="AL847" s="76">
        <v>45531.894155092603</v>
      </c>
      <c r="AM847" s="75">
        <v>572</v>
      </c>
      <c r="AN847" t="s">
        <v>65</v>
      </c>
      <c r="AO847" t="s">
        <v>3251</v>
      </c>
      <c r="AP847" t="s">
        <v>67</v>
      </c>
      <c r="AQ847" t="s">
        <v>83</v>
      </c>
      <c r="AR847" t="s">
        <v>69</v>
      </c>
      <c r="AS847" s="79"/>
      <c r="AT847" s="82" t="s">
        <v>3797</v>
      </c>
      <c r="AU847" s="78">
        <v>2026</v>
      </c>
      <c r="AV847" s="78">
        <v>3</v>
      </c>
      <c r="AW847" s="78" t="s">
        <v>226</v>
      </c>
      <c r="AX847" s="78">
        <v>0</v>
      </c>
      <c r="AY847" s="78">
        <v>0</v>
      </c>
      <c r="BT847" s="3" t="s">
        <v>226</v>
      </c>
      <c r="BU847" s="3">
        <v>0</v>
      </c>
      <c r="BV847" s="3">
        <v>0</v>
      </c>
    </row>
    <row r="848" spans="1:74" ht="15" customHeight="1" x14ac:dyDescent="0.25">
      <c r="A848" s="75">
        <v>5890829</v>
      </c>
      <c r="B848" t="s">
        <v>3885</v>
      </c>
      <c r="C848" t="s">
        <v>1369</v>
      </c>
      <c r="D848" t="s">
        <v>527</v>
      </c>
      <c r="E848" t="s">
        <v>87</v>
      </c>
      <c r="F848" s="75">
        <v>154</v>
      </c>
      <c r="G848" s="75">
        <v>285763</v>
      </c>
      <c r="H848">
        <v>368.16</v>
      </c>
      <c r="I848" t="s">
        <v>55</v>
      </c>
      <c r="J848" s="75">
        <v>218791</v>
      </c>
      <c r="K848" t="s">
        <v>312</v>
      </c>
      <c r="L848" t="s">
        <v>313</v>
      </c>
      <c r="M848" s="81">
        <v>46106.535231481481</v>
      </c>
      <c r="N848" s="81">
        <v>46107.457372685189</v>
      </c>
      <c r="O848" t="s">
        <v>554</v>
      </c>
      <c r="P848" t="s">
        <v>59</v>
      </c>
      <c r="Q848" t="s">
        <v>90</v>
      </c>
      <c r="R848" t="s">
        <v>60</v>
      </c>
      <c r="S848" t="s">
        <v>1268</v>
      </c>
      <c r="U848" s="75"/>
      <c r="X848" t="s">
        <v>62</v>
      </c>
      <c r="Y848" t="s">
        <v>63</v>
      </c>
      <c r="AA848" t="s">
        <v>64</v>
      </c>
      <c r="AB848">
        <v>22.066668</v>
      </c>
      <c r="AC848">
        <v>14.833333</v>
      </c>
      <c r="AD848">
        <v>7.2333350000000003</v>
      </c>
      <c r="AE848">
        <v>0.51666699999999999</v>
      </c>
      <c r="AF848">
        <v>0</v>
      </c>
      <c r="AG848">
        <v>6.7166680000000003</v>
      </c>
      <c r="AH848">
        <v>6.7166680000000003</v>
      </c>
      <c r="AI848">
        <v>6.1833340000000003</v>
      </c>
      <c r="AJ848">
        <v>0.53333399999999997</v>
      </c>
      <c r="AK848">
        <v>0</v>
      </c>
      <c r="AL848" s="76">
        <v>44876.671053240738</v>
      </c>
      <c r="AM848" s="75">
        <v>1229</v>
      </c>
      <c r="AN848" t="s">
        <v>65</v>
      </c>
      <c r="AO848" t="s">
        <v>1372</v>
      </c>
      <c r="AP848" t="s">
        <v>67</v>
      </c>
      <c r="AQ848" t="s">
        <v>68</v>
      </c>
      <c r="AR848" t="s">
        <v>69</v>
      </c>
      <c r="AS848" s="78"/>
      <c r="AT848" s="82" t="s">
        <v>3797</v>
      </c>
      <c r="AU848" s="78">
        <v>2026</v>
      </c>
      <c r="AV848" s="78">
        <v>3</v>
      </c>
      <c r="AW848" s="78" t="s">
        <v>71</v>
      </c>
      <c r="AX848" s="78">
        <v>1</v>
      </c>
      <c r="AY848" s="78">
        <v>0</v>
      </c>
      <c r="BT848" s="2" t="s">
        <v>71</v>
      </c>
      <c r="BU848" s="2">
        <v>1</v>
      </c>
      <c r="BV848" s="2">
        <v>0</v>
      </c>
    </row>
    <row r="849" spans="1:74" ht="15" customHeight="1" x14ac:dyDescent="0.25">
      <c r="A849" s="75">
        <v>5891095</v>
      </c>
      <c r="B849" t="s">
        <v>3886</v>
      </c>
      <c r="C849" t="s">
        <v>3887</v>
      </c>
      <c r="D849" t="s">
        <v>2379</v>
      </c>
      <c r="E849" t="s">
        <v>87</v>
      </c>
      <c r="F849" s="75">
        <v>47</v>
      </c>
      <c r="G849" s="75">
        <v>275281</v>
      </c>
      <c r="H849">
        <v>683.73</v>
      </c>
      <c r="I849" t="s">
        <v>55</v>
      </c>
      <c r="J849" s="75">
        <v>218791</v>
      </c>
      <c r="K849" t="s">
        <v>312</v>
      </c>
      <c r="L849" t="s">
        <v>313</v>
      </c>
      <c r="M849" s="81">
        <v>46106.660173611112</v>
      </c>
      <c r="N849" s="81">
        <v>46107.482499999998</v>
      </c>
      <c r="O849" t="s">
        <v>58</v>
      </c>
      <c r="P849" t="s">
        <v>59</v>
      </c>
      <c r="Q849" t="s">
        <v>90</v>
      </c>
      <c r="R849" t="s">
        <v>60</v>
      </c>
      <c r="S849" t="s">
        <v>583</v>
      </c>
      <c r="U849" s="75"/>
      <c r="X849" t="s">
        <v>62</v>
      </c>
      <c r="Y849" t="s">
        <v>63</v>
      </c>
      <c r="AA849" t="s">
        <v>81</v>
      </c>
      <c r="AB849">
        <v>19.700001</v>
      </c>
      <c r="AC849">
        <v>19.3</v>
      </c>
      <c r="AD849">
        <v>0.400001</v>
      </c>
      <c r="AE849">
        <v>0.11666700000000001</v>
      </c>
      <c r="AF849">
        <v>0</v>
      </c>
      <c r="AG849">
        <v>0.28333399999999997</v>
      </c>
      <c r="AH849">
        <v>0.28333399999999997</v>
      </c>
      <c r="AI849">
        <v>0.216667</v>
      </c>
      <c r="AJ849">
        <v>6.6667000000000004E-2</v>
      </c>
      <c r="AK849">
        <v>0</v>
      </c>
      <c r="AL849" s="76">
        <v>44838.72550925926</v>
      </c>
      <c r="AM849" s="75">
        <v>1267</v>
      </c>
      <c r="AN849" t="s">
        <v>65</v>
      </c>
      <c r="AO849" t="s">
        <v>3888</v>
      </c>
      <c r="AP849" t="s">
        <v>67</v>
      </c>
      <c r="AQ849" t="s">
        <v>68</v>
      </c>
      <c r="AR849" t="s">
        <v>69</v>
      </c>
      <c r="AS849" s="79"/>
      <c r="AT849" s="82" t="s">
        <v>3797</v>
      </c>
      <c r="AU849" s="78">
        <v>2026</v>
      </c>
      <c r="AV849" s="78">
        <v>3</v>
      </c>
      <c r="AW849" s="78" t="s">
        <v>71</v>
      </c>
      <c r="AX849" s="78">
        <v>1</v>
      </c>
      <c r="AY849" s="78">
        <v>0</v>
      </c>
      <c r="BT849" s="3" t="s">
        <v>71</v>
      </c>
      <c r="BU849" s="3">
        <v>1</v>
      </c>
      <c r="BV849" s="3">
        <v>0</v>
      </c>
    </row>
    <row r="850" spans="1:74" ht="15" customHeight="1" x14ac:dyDescent="0.25">
      <c r="A850" s="75">
        <v>5889921</v>
      </c>
      <c r="B850" t="s">
        <v>3889</v>
      </c>
      <c r="C850" t="s">
        <v>3890</v>
      </c>
      <c r="D850" t="s">
        <v>150</v>
      </c>
      <c r="E850" t="s">
        <v>87</v>
      </c>
      <c r="F850" s="75">
        <v>407</v>
      </c>
      <c r="G850" s="75">
        <v>288709</v>
      </c>
      <c r="H850">
        <v>569.71</v>
      </c>
      <c r="I850" t="s">
        <v>55</v>
      </c>
      <c r="J850" s="75">
        <v>216233</v>
      </c>
      <c r="K850" t="s">
        <v>88</v>
      </c>
      <c r="L850" t="s">
        <v>89</v>
      </c>
      <c r="M850" s="81">
        <v>46106.523969907408</v>
      </c>
      <c r="N850" s="81">
        <v>46107.532141203701</v>
      </c>
      <c r="O850" t="s">
        <v>58</v>
      </c>
      <c r="P850" t="s">
        <v>59</v>
      </c>
      <c r="Q850" t="s">
        <v>90</v>
      </c>
      <c r="R850" t="s">
        <v>131</v>
      </c>
      <c r="S850" t="s">
        <v>1316</v>
      </c>
      <c r="U850" s="75"/>
      <c r="X850" t="s">
        <v>62</v>
      </c>
      <c r="Y850" t="s">
        <v>63</v>
      </c>
      <c r="AA850" t="s">
        <v>64</v>
      </c>
      <c r="AB850">
        <v>24.133333</v>
      </c>
      <c r="AC850">
        <v>17.633333</v>
      </c>
      <c r="AD850">
        <v>6.5</v>
      </c>
      <c r="AE850">
        <v>0.11666700000000001</v>
      </c>
      <c r="AF850">
        <v>0</v>
      </c>
      <c r="AG850">
        <v>6.3833330000000004</v>
      </c>
      <c r="AH850">
        <v>6.3833330000000004</v>
      </c>
      <c r="AI850">
        <v>6.2</v>
      </c>
      <c r="AJ850">
        <v>0.183333</v>
      </c>
      <c r="AK850">
        <v>0</v>
      </c>
      <c r="AL850" s="76">
        <v>44978</v>
      </c>
      <c r="AM850" s="75">
        <v>1128</v>
      </c>
      <c r="AN850" t="s">
        <v>65</v>
      </c>
      <c r="AO850" t="s">
        <v>2564</v>
      </c>
      <c r="AP850" t="s">
        <v>67</v>
      </c>
      <c r="AQ850" t="s">
        <v>68</v>
      </c>
      <c r="AR850" t="s">
        <v>69</v>
      </c>
      <c r="AS850" s="78"/>
      <c r="AT850" s="82" t="s">
        <v>3797</v>
      </c>
      <c r="AU850" s="78">
        <v>2026</v>
      </c>
      <c r="AV850" s="78">
        <v>3</v>
      </c>
      <c r="AW850" s="78" t="s">
        <v>71</v>
      </c>
      <c r="AX850" s="78">
        <v>1</v>
      </c>
      <c r="AY850" s="78">
        <v>0</v>
      </c>
      <c r="BT850" s="2" t="s">
        <v>71</v>
      </c>
      <c r="BU850" s="2">
        <v>1</v>
      </c>
      <c r="BV850" s="2">
        <v>0</v>
      </c>
    </row>
    <row r="851" spans="1:74" ht="15" customHeight="1" x14ac:dyDescent="0.25">
      <c r="A851" s="75">
        <v>5889891</v>
      </c>
      <c r="B851" t="s">
        <v>3891</v>
      </c>
      <c r="C851" t="s">
        <v>3892</v>
      </c>
      <c r="D851" t="s">
        <v>1388</v>
      </c>
      <c r="E851" t="s">
        <v>87</v>
      </c>
      <c r="F851" s="75">
        <v>437</v>
      </c>
      <c r="G851" s="75">
        <v>289301</v>
      </c>
      <c r="H851">
        <v>398.82</v>
      </c>
      <c r="I851" t="s">
        <v>55</v>
      </c>
      <c r="J851" s="75">
        <v>216233</v>
      </c>
      <c r="K851" t="s">
        <v>88</v>
      </c>
      <c r="L851" t="s">
        <v>89</v>
      </c>
      <c r="M851" s="81">
        <v>46106.523298611108</v>
      </c>
      <c r="N851" s="81">
        <v>46107.553067129629</v>
      </c>
      <c r="O851" t="s">
        <v>58</v>
      </c>
      <c r="P851" t="s">
        <v>59</v>
      </c>
      <c r="Q851" t="s">
        <v>90</v>
      </c>
      <c r="R851" t="s">
        <v>99</v>
      </c>
      <c r="S851" t="s">
        <v>1244</v>
      </c>
      <c r="U851" s="75"/>
      <c r="X851" t="s">
        <v>62</v>
      </c>
      <c r="Y851" t="s">
        <v>63</v>
      </c>
      <c r="AA851" t="s">
        <v>64</v>
      </c>
      <c r="AB851">
        <v>24.666665999999999</v>
      </c>
      <c r="AC851">
        <v>15.516666000000001</v>
      </c>
      <c r="AD851">
        <v>9.15</v>
      </c>
      <c r="AE851">
        <v>2.0499999999999998</v>
      </c>
      <c r="AF851">
        <v>0</v>
      </c>
      <c r="AG851">
        <v>7.1</v>
      </c>
      <c r="AH851">
        <v>7.1</v>
      </c>
      <c r="AI851">
        <v>6.45</v>
      </c>
      <c r="AJ851">
        <v>0.65</v>
      </c>
      <c r="AK851">
        <v>0</v>
      </c>
      <c r="AL851" s="76">
        <v>45012</v>
      </c>
      <c r="AM851" s="75">
        <v>1094</v>
      </c>
      <c r="AN851" t="s">
        <v>65</v>
      </c>
      <c r="AO851" t="s">
        <v>3487</v>
      </c>
      <c r="AP851" t="s">
        <v>67</v>
      </c>
      <c r="AQ851" t="s">
        <v>68</v>
      </c>
      <c r="AR851" t="s">
        <v>69</v>
      </c>
      <c r="AS851" s="79"/>
      <c r="AT851" s="82" t="s">
        <v>3797</v>
      </c>
      <c r="AU851" s="78">
        <v>2026</v>
      </c>
      <c r="AV851" s="78">
        <v>3</v>
      </c>
      <c r="AW851" s="78" t="s">
        <v>71</v>
      </c>
      <c r="AX851" s="78">
        <v>1</v>
      </c>
      <c r="AY851" s="78">
        <v>0</v>
      </c>
      <c r="BT851" s="3" t="s">
        <v>71</v>
      </c>
      <c r="BU851" s="3">
        <v>1</v>
      </c>
      <c r="BV851" s="3">
        <v>0</v>
      </c>
    </row>
    <row r="852" spans="1:74" ht="15" customHeight="1" x14ac:dyDescent="0.25">
      <c r="A852" s="75">
        <v>5887347</v>
      </c>
      <c r="B852" t="s">
        <v>3893</v>
      </c>
      <c r="C852" t="s">
        <v>3894</v>
      </c>
      <c r="D852" t="s">
        <v>1388</v>
      </c>
      <c r="E852" t="s">
        <v>87</v>
      </c>
      <c r="F852" s="75">
        <v>8</v>
      </c>
      <c r="G852" s="75">
        <v>290917</v>
      </c>
      <c r="H852">
        <v>2914.74</v>
      </c>
      <c r="I852" t="s">
        <v>114</v>
      </c>
      <c r="J852" s="75">
        <v>52957</v>
      </c>
      <c r="K852" t="s">
        <v>575</v>
      </c>
      <c r="L852" t="s">
        <v>576</v>
      </c>
      <c r="M852" s="81">
        <v>46105.607002314813</v>
      </c>
      <c r="N852" s="81">
        <v>46107.567384259259</v>
      </c>
      <c r="O852" t="s">
        <v>58</v>
      </c>
      <c r="P852" t="s">
        <v>59</v>
      </c>
      <c r="Q852" t="s">
        <v>77</v>
      </c>
      <c r="R852" t="s">
        <v>156</v>
      </c>
      <c r="S852" t="s">
        <v>1320</v>
      </c>
      <c r="U852" s="75"/>
      <c r="X852" t="s">
        <v>118</v>
      </c>
      <c r="Y852" t="s">
        <v>2376</v>
      </c>
      <c r="AA852" t="s">
        <v>81</v>
      </c>
      <c r="AB852">
        <v>46.949998999999998</v>
      </c>
      <c r="AC852">
        <v>42.033332999999999</v>
      </c>
      <c r="AD852">
        <v>4.9166660000000002</v>
      </c>
      <c r="AE852">
        <v>0.91666599999999998</v>
      </c>
      <c r="AF852">
        <v>0</v>
      </c>
      <c r="AG852">
        <v>4</v>
      </c>
      <c r="AH852">
        <v>4</v>
      </c>
      <c r="AI852">
        <v>3.3</v>
      </c>
      <c r="AJ852">
        <v>0.7</v>
      </c>
      <c r="AK852">
        <v>0</v>
      </c>
      <c r="AL852" s="76">
        <v>45220</v>
      </c>
      <c r="AM852" s="75">
        <v>885</v>
      </c>
      <c r="AN852" t="s">
        <v>65</v>
      </c>
      <c r="AO852" t="s">
        <v>3895</v>
      </c>
      <c r="AP852" t="s">
        <v>67</v>
      </c>
      <c r="AQ852" t="s">
        <v>121</v>
      </c>
      <c r="AR852" t="s">
        <v>69</v>
      </c>
      <c r="AS852" s="78"/>
      <c r="AT852" s="82" t="s">
        <v>3797</v>
      </c>
      <c r="AU852" s="78">
        <v>2026</v>
      </c>
      <c r="AV852" s="78">
        <v>3</v>
      </c>
      <c r="AW852" s="78" t="s">
        <v>347</v>
      </c>
      <c r="AX852" s="78">
        <v>1</v>
      </c>
      <c r="AY852" s="78">
        <v>0</v>
      </c>
      <c r="BT852" s="2" t="s">
        <v>347</v>
      </c>
      <c r="BU852" s="2">
        <v>1</v>
      </c>
      <c r="BV852" s="2">
        <v>0</v>
      </c>
    </row>
    <row r="853" spans="1:74" ht="15" customHeight="1" x14ac:dyDescent="0.25">
      <c r="A853" s="75">
        <v>5887345</v>
      </c>
      <c r="B853" t="s">
        <v>3896</v>
      </c>
      <c r="C853" t="s">
        <v>3897</v>
      </c>
      <c r="D853" t="s">
        <v>527</v>
      </c>
      <c r="E853" t="s">
        <v>87</v>
      </c>
      <c r="F853" s="75">
        <v>290</v>
      </c>
      <c r="G853" s="75">
        <v>285693</v>
      </c>
      <c r="H853">
        <v>616.59</v>
      </c>
      <c r="I853" t="s">
        <v>266</v>
      </c>
      <c r="J853" s="75">
        <v>49495</v>
      </c>
      <c r="K853" t="s">
        <v>460</v>
      </c>
      <c r="L853" t="s">
        <v>461</v>
      </c>
      <c r="M853" s="81">
        <v>46105.606828703712</v>
      </c>
      <c r="N853" s="81">
        <v>46107.591273148151</v>
      </c>
      <c r="O853" t="s">
        <v>58</v>
      </c>
      <c r="P853" t="s">
        <v>59</v>
      </c>
      <c r="Q853" t="s">
        <v>341</v>
      </c>
      <c r="R853" t="s">
        <v>99</v>
      </c>
      <c r="S853" t="s">
        <v>1244</v>
      </c>
      <c r="U853" s="75"/>
      <c r="X853" t="s">
        <v>62</v>
      </c>
      <c r="Y853" t="s">
        <v>63</v>
      </c>
      <c r="AA853" t="s">
        <v>416</v>
      </c>
      <c r="AB853">
        <v>47.500000999999997</v>
      </c>
      <c r="AC853">
        <v>24.3</v>
      </c>
      <c r="AD853">
        <v>23.200001</v>
      </c>
      <c r="AE853">
        <v>1.2</v>
      </c>
      <c r="AF853">
        <v>0</v>
      </c>
      <c r="AG853">
        <v>22.000001000000001</v>
      </c>
      <c r="AH853">
        <v>22.000001000000001</v>
      </c>
      <c r="AI853">
        <v>21.233333999999999</v>
      </c>
      <c r="AJ853">
        <v>0.76666699999999999</v>
      </c>
      <c r="AK853">
        <v>0</v>
      </c>
      <c r="AL853" s="76">
        <v>44862.480497685188</v>
      </c>
      <c r="AM853" s="75">
        <v>1243</v>
      </c>
      <c r="AN853" t="s">
        <v>65</v>
      </c>
      <c r="AO853" t="s">
        <v>3898</v>
      </c>
      <c r="AP853" t="s">
        <v>67</v>
      </c>
      <c r="AQ853" t="s">
        <v>68</v>
      </c>
      <c r="AR853" t="s">
        <v>69</v>
      </c>
      <c r="AS853" s="79"/>
      <c r="AT853" s="82" t="s">
        <v>3797</v>
      </c>
      <c r="AU853" s="78">
        <v>2026</v>
      </c>
      <c r="AV853" s="78">
        <v>3</v>
      </c>
      <c r="AW853" s="78" t="s">
        <v>71</v>
      </c>
      <c r="AX853" s="78">
        <v>0</v>
      </c>
      <c r="AY853" s="78">
        <v>0</v>
      </c>
      <c r="BT853" s="3" t="s">
        <v>71</v>
      </c>
      <c r="BU853" s="3">
        <v>0</v>
      </c>
      <c r="BV853" s="3">
        <v>0</v>
      </c>
    </row>
    <row r="854" spans="1:74" ht="15" customHeight="1" x14ac:dyDescent="0.25">
      <c r="A854" s="75">
        <v>5891863</v>
      </c>
      <c r="B854" t="s">
        <v>3899</v>
      </c>
      <c r="C854" t="s">
        <v>3900</v>
      </c>
      <c r="D854" t="s">
        <v>282</v>
      </c>
      <c r="E854" t="s">
        <v>105</v>
      </c>
      <c r="F854" s="75">
        <v>603</v>
      </c>
      <c r="G854" s="75">
        <v>342849</v>
      </c>
      <c r="H854">
        <v>225</v>
      </c>
      <c r="I854" t="s">
        <v>163</v>
      </c>
      <c r="J854" s="75">
        <v>48887</v>
      </c>
      <c r="K854" t="s">
        <v>164</v>
      </c>
      <c r="L854" t="s">
        <v>165</v>
      </c>
      <c r="M854" s="81">
        <v>46107.326307870368</v>
      </c>
      <c r="N854" s="81">
        <v>46107.624212962961</v>
      </c>
      <c r="O854" t="s">
        <v>58</v>
      </c>
      <c r="P854" t="s">
        <v>59</v>
      </c>
      <c r="Q854" t="s">
        <v>77</v>
      </c>
      <c r="R854" t="s">
        <v>131</v>
      </c>
      <c r="S854" t="s">
        <v>1316</v>
      </c>
      <c r="U854" s="75"/>
      <c r="X854" t="s">
        <v>62</v>
      </c>
      <c r="Y854" t="s">
        <v>2297</v>
      </c>
      <c r="AA854" t="s">
        <v>81</v>
      </c>
      <c r="AB854">
        <v>7.0833339999999998</v>
      </c>
      <c r="AC854">
        <v>0.76666699999999999</v>
      </c>
      <c r="AD854">
        <v>6.3166669999999998</v>
      </c>
      <c r="AE854">
        <v>4.266667</v>
      </c>
      <c r="AF854">
        <v>0</v>
      </c>
      <c r="AG854">
        <v>2.0499999999999998</v>
      </c>
      <c r="AH854">
        <v>2.0499999999999998</v>
      </c>
      <c r="AI854">
        <v>2.016667</v>
      </c>
      <c r="AJ854">
        <v>3.3333000000000002E-2</v>
      </c>
      <c r="AK854">
        <v>0</v>
      </c>
      <c r="AL854" s="76">
        <v>45867</v>
      </c>
      <c r="AM854" s="75">
        <v>240</v>
      </c>
      <c r="AN854" t="s">
        <v>65</v>
      </c>
      <c r="AO854" t="s">
        <v>3741</v>
      </c>
      <c r="AP854" t="s">
        <v>67</v>
      </c>
      <c r="AQ854" t="s">
        <v>68</v>
      </c>
      <c r="AR854" t="s">
        <v>69</v>
      </c>
      <c r="AS854" s="78"/>
      <c r="AT854" s="82" t="s">
        <v>3797</v>
      </c>
      <c r="AU854" s="78">
        <v>2026</v>
      </c>
      <c r="AV854" s="78">
        <v>3</v>
      </c>
      <c r="AW854" s="78" t="s">
        <v>137</v>
      </c>
      <c r="AX854" s="78">
        <v>1</v>
      </c>
      <c r="AY854" s="78">
        <v>0</v>
      </c>
      <c r="BT854" s="2" t="s">
        <v>137</v>
      </c>
      <c r="BU854" s="2">
        <v>1</v>
      </c>
      <c r="BV854" s="2">
        <v>0</v>
      </c>
    </row>
    <row r="855" spans="1:74" ht="15" customHeight="1" x14ac:dyDescent="0.25">
      <c r="A855" s="75">
        <v>5893631</v>
      </c>
      <c r="B855" t="s">
        <v>3901</v>
      </c>
      <c r="C855" t="s">
        <v>1083</v>
      </c>
      <c r="D855" t="s">
        <v>150</v>
      </c>
      <c r="E855" t="s">
        <v>54</v>
      </c>
      <c r="F855" s="75">
        <v>20</v>
      </c>
      <c r="G855" s="75">
        <v>302193</v>
      </c>
      <c r="H855">
        <v>900</v>
      </c>
      <c r="I855" t="s">
        <v>55</v>
      </c>
      <c r="J855" s="75">
        <v>64169</v>
      </c>
      <c r="K855" t="s">
        <v>1084</v>
      </c>
      <c r="L855" t="s">
        <v>1085</v>
      </c>
      <c r="M855" s="81">
        <v>46108.118460648147</v>
      </c>
      <c r="N855" s="81">
        <v>46108.315324074072</v>
      </c>
      <c r="O855" t="s">
        <v>624</v>
      </c>
      <c r="P855" t="s">
        <v>59</v>
      </c>
      <c r="Q855" t="s">
        <v>90</v>
      </c>
      <c r="R855" t="s">
        <v>99</v>
      </c>
      <c r="S855" t="s">
        <v>1244</v>
      </c>
      <c r="U855" s="75"/>
      <c r="X855" t="s">
        <v>118</v>
      </c>
      <c r="Y855" t="s">
        <v>119</v>
      </c>
      <c r="AA855" t="s">
        <v>81</v>
      </c>
      <c r="AB855">
        <v>4.7000010000000003</v>
      </c>
      <c r="AC855">
        <v>4.4833340000000002</v>
      </c>
      <c r="AD855">
        <v>0.216667</v>
      </c>
      <c r="AE855">
        <v>0.216667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76">
        <v>45460</v>
      </c>
      <c r="AM855" s="75">
        <v>648</v>
      </c>
      <c r="AN855" t="s">
        <v>65</v>
      </c>
      <c r="AO855" t="s">
        <v>1087</v>
      </c>
      <c r="AP855" t="s">
        <v>67</v>
      </c>
      <c r="AQ855" t="s">
        <v>121</v>
      </c>
      <c r="AR855" t="s">
        <v>69</v>
      </c>
      <c r="AS855" s="79"/>
      <c r="AT855" s="82" t="s">
        <v>3797</v>
      </c>
      <c r="AU855" s="78">
        <v>2026</v>
      </c>
      <c r="AV855" s="78">
        <v>3</v>
      </c>
      <c r="AW855" s="78" t="s">
        <v>122</v>
      </c>
      <c r="AX855" s="78">
        <v>1</v>
      </c>
      <c r="AY855" s="78">
        <v>0</v>
      </c>
      <c r="BT855" s="3" t="s">
        <v>122</v>
      </c>
      <c r="BU855" s="3">
        <v>1</v>
      </c>
      <c r="BV855" s="3">
        <v>0</v>
      </c>
    </row>
    <row r="856" spans="1:74" ht="15" customHeight="1" x14ac:dyDescent="0.25">
      <c r="A856" s="75">
        <v>5887107</v>
      </c>
      <c r="B856" t="s">
        <v>3902</v>
      </c>
      <c r="C856" t="s">
        <v>3903</v>
      </c>
      <c r="D856" t="s">
        <v>527</v>
      </c>
      <c r="E856" t="s">
        <v>54</v>
      </c>
      <c r="F856" s="75">
        <v>14</v>
      </c>
      <c r="G856" s="75">
        <v>341053</v>
      </c>
      <c r="H856">
        <v>425</v>
      </c>
      <c r="I856" t="s">
        <v>203</v>
      </c>
      <c r="J856" s="75">
        <v>226759</v>
      </c>
      <c r="K856" t="s">
        <v>736</v>
      </c>
      <c r="L856" t="s">
        <v>737</v>
      </c>
      <c r="M856" s="81">
        <v>46105.479537037027</v>
      </c>
      <c r="N856" s="81">
        <v>46108.350856481477</v>
      </c>
      <c r="O856" t="s">
        <v>475</v>
      </c>
      <c r="P856" t="s">
        <v>59</v>
      </c>
      <c r="Q856" t="s">
        <v>341</v>
      </c>
      <c r="R856" t="s">
        <v>144</v>
      </c>
      <c r="S856" t="s">
        <v>1491</v>
      </c>
      <c r="U856" s="75"/>
      <c r="X856" t="s">
        <v>62</v>
      </c>
      <c r="Y856" t="s">
        <v>233</v>
      </c>
      <c r="AA856" t="s">
        <v>101</v>
      </c>
      <c r="AB856">
        <v>68.783332000000001</v>
      </c>
      <c r="AC856">
        <v>56.816665999999998</v>
      </c>
      <c r="AD856">
        <v>11.966666</v>
      </c>
      <c r="AE856">
        <v>0.76666599999999996</v>
      </c>
      <c r="AF856">
        <v>0</v>
      </c>
      <c r="AG856">
        <v>11.2</v>
      </c>
      <c r="AH856">
        <v>11.2</v>
      </c>
      <c r="AI856">
        <v>9.35</v>
      </c>
      <c r="AJ856">
        <v>1.85</v>
      </c>
      <c r="AK856">
        <v>0</v>
      </c>
      <c r="AL856" s="76">
        <v>46013</v>
      </c>
      <c r="AM856" s="75">
        <v>92</v>
      </c>
      <c r="AN856" t="s">
        <v>65</v>
      </c>
      <c r="AO856" t="s">
        <v>3904</v>
      </c>
      <c r="AP856" t="s">
        <v>67</v>
      </c>
      <c r="AQ856" t="s">
        <v>68</v>
      </c>
      <c r="AR856" t="s">
        <v>69</v>
      </c>
      <c r="AS856" s="78"/>
      <c r="AT856" s="82" t="s">
        <v>3797</v>
      </c>
      <c r="AU856" s="78">
        <v>2026</v>
      </c>
      <c r="AV856" s="78">
        <v>3</v>
      </c>
      <c r="AW856" s="78" t="s">
        <v>137</v>
      </c>
      <c r="AX856" s="78">
        <v>0</v>
      </c>
      <c r="AY856" s="78">
        <v>0</v>
      </c>
      <c r="BT856" s="2" t="s">
        <v>137</v>
      </c>
      <c r="BU856" s="2">
        <v>0</v>
      </c>
      <c r="BV856" s="2">
        <v>0</v>
      </c>
    </row>
    <row r="857" spans="1:74" ht="15" customHeight="1" x14ac:dyDescent="0.25">
      <c r="A857" s="75">
        <v>5885823</v>
      </c>
      <c r="B857" t="s">
        <v>3905</v>
      </c>
      <c r="C857" t="s">
        <v>3906</v>
      </c>
      <c r="D857" t="s">
        <v>2379</v>
      </c>
      <c r="E857" t="s">
        <v>87</v>
      </c>
      <c r="F857" s="75">
        <v>818</v>
      </c>
      <c r="G857" s="75">
        <v>290361</v>
      </c>
      <c r="H857">
        <v>910</v>
      </c>
      <c r="I857" t="s">
        <v>114</v>
      </c>
      <c r="J857" s="75">
        <v>19921</v>
      </c>
      <c r="K857" t="s">
        <v>1325</v>
      </c>
      <c r="L857" t="s">
        <v>2612</v>
      </c>
      <c r="M857" s="81">
        <v>46104.486793981479</v>
      </c>
      <c r="N857" s="81">
        <v>46108.428518518522</v>
      </c>
      <c r="O857" t="s">
        <v>58</v>
      </c>
      <c r="P857" t="s">
        <v>59</v>
      </c>
      <c r="Q857" t="s">
        <v>130</v>
      </c>
      <c r="R857" t="s">
        <v>60</v>
      </c>
      <c r="S857" t="s">
        <v>583</v>
      </c>
      <c r="U857" s="75"/>
      <c r="X857" t="s">
        <v>118</v>
      </c>
      <c r="Y857" t="s">
        <v>119</v>
      </c>
      <c r="AA857" t="s">
        <v>101</v>
      </c>
      <c r="AB857">
        <v>94.516666999999998</v>
      </c>
      <c r="AC857">
        <v>79.616667000000007</v>
      </c>
      <c r="AD857">
        <v>14.9</v>
      </c>
      <c r="AE857">
        <v>3.4166660000000002</v>
      </c>
      <c r="AF857">
        <v>0</v>
      </c>
      <c r="AG857">
        <v>11.483333999999999</v>
      </c>
      <c r="AH857">
        <v>11.483333999999999</v>
      </c>
      <c r="AI857">
        <v>11.366667</v>
      </c>
      <c r="AJ857">
        <v>0.11666700000000001</v>
      </c>
      <c r="AK857">
        <v>0</v>
      </c>
      <c r="AL857" s="76">
        <v>45092.496539351851</v>
      </c>
      <c r="AM857" s="75">
        <v>1011</v>
      </c>
      <c r="AN857" t="s">
        <v>65</v>
      </c>
      <c r="AO857" t="s">
        <v>3907</v>
      </c>
      <c r="AP857" t="s">
        <v>67</v>
      </c>
      <c r="AQ857" t="s">
        <v>121</v>
      </c>
      <c r="AR857" t="s">
        <v>69</v>
      </c>
      <c r="AS857" s="79"/>
      <c r="AT857" s="82" t="s">
        <v>3797</v>
      </c>
      <c r="AU857" s="78">
        <v>2026</v>
      </c>
      <c r="AV857" s="78">
        <v>3</v>
      </c>
      <c r="AW857" s="78" t="s">
        <v>122</v>
      </c>
      <c r="AX857" s="78">
        <v>0</v>
      </c>
      <c r="AY857" s="78">
        <v>0</v>
      </c>
      <c r="BT857" s="3" t="s">
        <v>122</v>
      </c>
      <c r="BU857" s="3">
        <v>0</v>
      </c>
      <c r="BV857" s="3">
        <v>0</v>
      </c>
    </row>
    <row r="858" spans="1:74" ht="15" customHeight="1" x14ac:dyDescent="0.25">
      <c r="A858" s="75">
        <v>5893427</v>
      </c>
      <c r="B858" t="s">
        <v>3908</v>
      </c>
      <c r="C858" t="s">
        <v>3623</v>
      </c>
      <c r="D858" t="s">
        <v>527</v>
      </c>
      <c r="E858" t="s">
        <v>87</v>
      </c>
      <c r="F858" s="75">
        <v>54</v>
      </c>
      <c r="G858" s="75">
        <v>275347</v>
      </c>
      <c r="H858">
        <v>546.37</v>
      </c>
      <c r="I858" t="s">
        <v>55</v>
      </c>
      <c r="J858" s="75">
        <v>216233</v>
      </c>
      <c r="K858" t="s">
        <v>88</v>
      </c>
      <c r="L858" t="s">
        <v>89</v>
      </c>
      <c r="M858" s="81">
        <v>46107.764386574083</v>
      </c>
      <c r="N858" s="81">
        <v>46108.433958333328</v>
      </c>
      <c r="O858" t="s">
        <v>58</v>
      </c>
      <c r="P858" t="s">
        <v>59</v>
      </c>
      <c r="Q858" t="s">
        <v>90</v>
      </c>
      <c r="R858" t="s">
        <v>99</v>
      </c>
      <c r="S858" t="s">
        <v>1244</v>
      </c>
      <c r="U858" s="75"/>
      <c r="X858" t="s">
        <v>62</v>
      </c>
      <c r="Y858" t="s">
        <v>63</v>
      </c>
      <c r="AA858" t="s">
        <v>81</v>
      </c>
      <c r="AB858">
        <v>16.033332000000001</v>
      </c>
      <c r="AC858">
        <v>13.4</v>
      </c>
      <c r="AD858">
        <v>2.6333319999999998</v>
      </c>
      <c r="AE858">
        <v>0.46666600000000003</v>
      </c>
      <c r="AF858">
        <v>0</v>
      </c>
      <c r="AG858">
        <v>2.1666660000000002</v>
      </c>
      <c r="AH858">
        <v>2.1666660000000002</v>
      </c>
      <c r="AI858">
        <v>1.9</v>
      </c>
      <c r="AJ858">
        <v>0.26666600000000001</v>
      </c>
      <c r="AK858">
        <v>0</v>
      </c>
      <c r="AL858" s="76">
        <v>44980</v>
      </c>
      <c r="AM858" s="75">
        <v>1127</v>
      </c>
      <c r="AN858" t="s">
        <v>65</v>
      </c>
      <c r="AO858" t="s">
        <v>1614</v>
      </c>
      <c r="AP858" t="s">
        <v>67</v>
      </c>
      <c r="AQ858" t="s">
        <v>68</v>
      </c>
      <c r="AR858" t="s">
        <v>69</v>
      </c>
      <c r="AS858" s="78"/>
      <c r="AT858" s="82" t="s">
        <v>3797</v>
      </c>
      <c r="AU858" s="78">
        <v>2026</v>
      </c>
      <c r="AV858" s="78">
        <v>3</v>
      </c>
      <c r="AW858" s="78" t="s">
        <v>71</v>
      </c>
      <c r="AX858" s="78">
        <v>1</v>
      </c>
      <c r="AY858" s="78">
        <v>0</v>
      </c>
      <c r="BT858" s="2" t="s">
        <v>71</v>
      </c>
      <c r="BU858" s="2">
        <v>1</v>
      </c>
      <c r="BV858" s="2">
        <v>0</v>
      </c>
    </row>
    <row r="859" spans="1:74" ht="15" customHeight="1" x14ac:dyDescent="0.25">
      <c r="A859" s="75">
        <v>5873307</v>
      </c>
      <c r="B859" t="s">
        <v>3909</v>
      </c>
      <c r="C859" t="s">
        <v>3910</v>
      </c>
      <c r="D859" t="s">
        <v>2379</v>
      </c>
      <c r="E859" t="s">
        <v>87</v>
      </c>
      <c r="F859" s="75">
        <v>94</v>
      </c>
      <c r="G859" s="75">
        <v>279819</v>
      </c>
      <c r="H859">
        <v>2633.75</v>
      </c>
      <c r="I859" t="s">
        <v>266</v>
      </c>
      <c r="J859" s="75">
        <v>149307</v>
      </c>
      <c r="K859" t="s">
        <v>350</v>
      </c>
      <c r="L859" t="s">
        <v>351</v>
      </c>
      <c r="M859" s="81">
        <v>46097.445057870369</v>
      </c>
      <c r="N859" s="81">
        <v>46108.442384259259</v>
      </c>
      <c r="O859" t="s">
        <v>58</v>
      </c>
      <c r="P859" t="s">
        <v>59</v>
      </c>
      <c r="Q859" t="s">
        <v>90</v>
      </c>
      <c r="R859" t="s">
        <v>156</v>
      </c>
      <c r="S859" t="s">
        <v>1320</v>
      </c>
      <c r="U859" s="75">
        <v>215179</v>
      </c>
      <c r="V859" t="s">
        <v>3911</v>
      </c>
      <c r="W859" t="s">
        <v>3911</v>
      </c>
      <c r="X859" t="s">
        <v>62</v>
      </c>
      <c r="Y859" t="s">
        <v>271</v>
      </c>
      <c r="AA859" t="s">
        <v>101</v>
      </c>
      <c r="AB859">
        <v>263.683334</v>
      </c>
      <c r="AC859">
        <v>231.31666799999999</v>
      </c>
      <c r="AD859">
        <v>32.366666000000002</v>
      </c>
      <c r="AE859">
        <v>23.833333</v>
      </c>
      <c r="AF859">
        <v>0</v>
      </c>
      <c r="AG859">
        <v>8.5333330000000007</v>
      </c>
      <c r="AH859">
        <v>8.5333330000000007</v>
      </c>
      <c r="AI859">
        <v>7.8</v>
      </c>
      <c r="AJ859">
        <v>0.73333300000000001</v>
      </c>
      <c r="AK859">
        <v>0</v>
      </c>
      <c r="AL859" s="76">
        <v>44795</v>
      </c>
      <c r="AM859" s="75">
        <v>1302</v>
      </c>
      <c r="AN859" t="s">
        <v>65</v>
      </c>
      <c r="AO859" t="s">
        <v>2530</v>
      </c>
      <c r="AP859" t="s">
        <v>67</v>
      </c>
      <c r="AQ859" t="s">
        <v>68</v>
      </c>
      <c r="AR859" t="s">
        <v>69</v>
      </c>
      <c r="AS859" s="79"/>
      <c r="AT859" s="82" t="s">
        <v>3797</v>
      </c>
      <c r="AU859" s="78">
        <v>2026</v>
      </c>
      <c r="AV859" s="78">
        <v>3</v>
      </c>
      <c r="AW859" s="78" t="s">
        <v>137</v>
      </c>
      <c r="AX859" s="78">
        <v>0</v>
      </c>
      <c r="AY859" s="78">
        <v>0</v>
      </c>
      <c r="BT859" s="3" t="s">
        <v>137</v>
      </c>
      <c r="BU859" s="3">
        <v>0</v>
      </c>
      <c r="BV859" s="3">
        <v>0</v>
      </c>
    </row>
    <row r="860" spans="1:74" ht="15" customHeight="1" x14ac:dyDescent="0.25">
      <c r="A860" s="75">
        <v>5893511</v>
      </c>
      <c r="B860" t="s">
        <v>3912</v>
      </c>
      <c r="C860" t="s">
        <v>3913</v>
      </c>
      <c r="D860" t="s">
        <v>527</v>
      </c>
      <c r="E860" t="s">
        <v>87</v>
      </c>
      <c r="F860" s="75">
        <v>285</v>
      </c>
      <c r="G860" s="75">
        <v>286435</v>
      </c>
      <c r="H860">
        <v>364.96</v>
      </c>
      <c r="I860" t="s">
        <v>55</v>
      </c>
      <c r="J860" s="75">
        <v>218787</v>
      </c>
      <c r="K860" t="s">
        <v>96</v>
      </c>
      <c r="L860" t="s">
        <v>97</v>
      </c>
      <c r="M860" s="81">
        <v>46107.875451388893</v>
      </c>
      <c r="N860" s="81">
        <v>46108.459907407407</v>
      </c>
      <c r="O860" t="s">
        <v>58</v>
      </c>
      <c r="P860" t="s">
        <v>59</v>
      </c>
      <c r="Q860" t="s">
        <v>90</v>
      </c>
      <c r="R860" t="s">
        <v>99</v>
      </c>
      <c r="S860" t="s">
        <v>1244</v>
      </c>
      <c r="U860" s="75"/>
      <c r="X860" t="s">
        <v>62</v>
      </c>
      <c r="Y860" t="s">
        <v>63</v>
      </c>
      <c r="AA860" t="s">
        <v>81</v>
      </c>
      <c r="AB860">
        <v>13.983333</v>
      </c>
      <c r="AC860">
        <v>10.9</v>
      </c>
      <c r="AD860">
        <v>3.0833330000000001</v>
      </c>
      <c r="AE860">
        <v>0.26666699999999999</v>
      </c>
      <c r="AF860">
        <v>0</v>
      </c>
      <c r="AG860">
        <v>2.8166660000000001</v>
      </c>
      <c r="AH860">
        <v>2.8166660000000001</v>
      </c>
      <c r="AI860">
        <v>2.5499999999999998</v>
      </c>
      <c r="AJ860">
        <v>0.26666600000000001</v>
      </c>
      <c r="AK860">
        <v>0</v>
      </c>
      <c r="AL860" s="76">
        <v>44940</v>
      </c>
      <c r="AM860" s="75">
        <v>1167</v>
      </c>
      <c r="AN860" t="s">
        <v>65</v>
      </c>
      <c r="AO860" t="s">
        <v>3914</v>
      </c>
      <c r="AP860" t="s">
        <v>67</v>
      </c>
      <c r="AQ860" t="s">
        <v>68</v>
      </c>
      <c r="AR860" t="s">
        <v>69</v>
      </c>
      <c r="AS860" s="78"/>
      <c r="AT860" s="82" t="s">
        <v>3797</v>
      </c>
      <c r="AU860" s="78">
        <v>2026</v>
      </c>
      <c r="AV860" s="78">
        <v>3</v>
      </c>
      <c r="AW860" s="78" t="s">
        <v>71</v>
      </c>
      <c r="AX860" s="78">
        <v>1</v>
      </c>
      <c r="AY860" s="78">
        <v>0</v>
      </c>
      <c r="BT860" s="2" t="s">
        <v>71</v>
      </c>
      <c r="BU860" s="2">
        <v>1</v>
      </c>
      <c r="BV860" s="2">
        <v>0</v>
      </c>
    </row>
    <row r="861" spans="1:74" ht="15" customHeight="1" x14ac:dyDescent="0.25">
      <c r="A861" s="75">
        <v>5892303</v>
      </c>
      <c r="B861" t="s">
        <v>3915</v>
      </c>
      <c r="C861" t="s">
        <v>1548</v>
      </c>
      <c r="D861" t="s">
        <v>527</v>
      </c>
      <c r="E861" t="s">
        <v>87</v>
      </c>
      <c r="F861" s="75">
        <v>367</v>
      </c>
      <c r="G861" s="75">
        <v>286775</v>
      </c>
      <c r="H861">
        <v>364.96</v>
      </c>
      <c r="I861" t="s">
        <v>55</v>
      </c>
      <c r="J861" s="75">
        <v>218787</v>
      </c>
      <c r="K861" t="s">
        <v>96</v>
      </c>
      <c r="L861" t="s">
        <v>97</v>
      </c>
      <c r="M861" s="81">
        <v>46107.403425925928</v>
      </c>
      <c r="N861" s="81">
        <v>46108.461643518523</v>
      </c>
      <c r="O861" t="s">
        <v>277</v>
      </c>
      <c r="P861" t="s">
        <v>59</v>
      </c>
      <c r="Q861" t="s">
        <v>90</v>
      </c>
      <c r="R861" t="s">
        <v>99</v>
      </c>
      <c r="S861" t="s">
        <v>1244</v>
      </c>
      <c r="U861" s="75"/>
      <c r="X861" t="s">
        <v>62</v>
      </c>
      <c r="Y861" t="s">
        <v>63</v>
      </c>
      <c r="AA861" t="s">
        <v>101</v>
      </c>
      <c r="AB861">
        <v>25.316666000000001</v>
      </c>
      <c r="AC861">
        <v>14.733333</v>
      </c>
      <c r="AD861">
        <v>10.583333</v>
      </c>
      <c r="AE861">
        <v>0.13333300000000001</v>
      </c>
      <c r="AF861">
        <v>0</v>
      </c>
      <c r="AG861">
        <v>10.45</v>
      </c>
      <c r="AH861">
        <v>10.45</v>
      </c>
      <c r="AI861">
        <v>10.15</v>
      </c>
      <c r="AJ861">
        <v>0.3</v>
      </c>
      <c r="AK861">
        <v>0</v>
      </c>
      <c r="AL861" s="76">
        <v>44943</v>
      </c>
      <c r="AM861" s="75">
        <v>1164</v>
      </c>
      <c r="AN861" t="s">
        <v>65</v>
      </c>
      <c r="AO861" t="s">
        <v>478</v>
      </c>
      <c r="AP861" t="s">
        <v>67</v>
      </c>
      <c r="AQ861" t="s">
        <v>68</v>
      </c>
      <c r="AR861" t="s">
        <v>69</v>
      </c>
      <c r="AS861" s="79"/>
      <c r="AT861" s="82" t="s">
        <v>3797</v>
      </c>
      <c r="AU861" s="78">
        <v>2026</v>
      </c>
      <c r="AV861" s="78">
        <v>3</v>
      </c>
      <c r="AW861" s="78" t="s">
        <v>71</v>
      </c>
      <c r="AX861" s="78">
        <v>0</v>
      </c>
      <c r="AY861" s="78">
        <v>0</v>
      </c>
      <c r="BT861" s="3" t="s">
        <v>71</v>
      </c>
      <c r="BU861" s="3">
        <v>0</v>
      </c>
      <c r="BV861" s="3">
        <v>0</v>
      </c>
    </row>
    <row r="862" spans="1:74" ht="15" customHeight="1" x14ac:dyDescent="0.25">
      <c r="A862" s="75">
        <v>5886879</v>
      </c>
      <c r="B862" t="s">
        <v>3916</v>
      </c>
      <c r="C862" t="s">
        <v>3917</v>
      </c>
      <c r="D862" t="s">
        <v>2379</v>
      </c>
      <c r="E862" t="s">
        <v>87</v>
      </c>
      <c r="F862" s="75">
        <v>408</v>
      </c>
      <c r="G862" s="75">
        <v>288717</v>
      </c>
      <c r="H862">
        <v>525.95000000000005</v>
      </c>
      <c r="I862" t="s">
        <v>55</v>
      </c>
      <c r="J862" s="75">
        <v>218791</v>
      </c>
      <c r="K862" t="s">
        <v>312</v>
      </c>
      <c r="L862" t="s">
        <v>313</v>
      </c>
      <c r="M862" s="81">
        <v>46105.412557870368</v>
      </c>
      <c r="N862" s="81">
        <v>46108.46565972222</v>
      </c>
      <c r="O862" t="s">
        <v>58</v>
      </c>
      <c r="P862" t="s">
        <v>59</v>
      </c>
      <c r="Q862" t="s">
        <v>130</v>
      </c>
      <c r="R862" t="s">
        <v>60</v>
      </c>
      <c r="S862" t="s">
        <v>583</v>
      </c>
      <c r="U862" s="75"/>
      <c r="X862" t="s">
        <v>62</v>
      </c>
      <c r="Y862" t="s">
        <v>63</v>
      </c>
      <c r="AA862" t="s">
        <v>416</v>
      </c>
      <c r="AB862">
        <v>73.133331999999996</v>
      </c>
      <c r="AC862">
        <v>52.133333</v>
      </c>
      <c r="AD862">
        <v>20.999998999999999</v>
      </c>
      <c r="AE862">
        <v>0.75</v>
      </c>
      <c r="AF862">
        <v>0</v>
      </c>
      <c r="AG862">
        <v>20.249998999999999</v>
      </c>
      <c r="AH862">
        <v>20.249998999999999</v>
      </c>
      <c r="AI862">
        <v>20.049999</v>
      </c>
      <c r="AJ862">
        <v>0.2</v>
      </c>
      <c r="AK862">
        <v>0</v>
      </c>
      <c r="AL862" s="76">
        <v>44973.506805555553</v>
      </c>
      <c r="AM862" s="75">
        <v>1131</v>
      </c>
      <c r="AN862" t="s">
        <v>65</v>
      </c>
      <c r="AO862" t="s">
        <v>3918</v>
      </c>
      <c r="AP862" t="s">
        <v>67</v>
      </c>
      <c r="AQ862" t="s">
        <v>68</v>
      </c>
      <c r="AR862" t="s">
        <v>69</v>
      </c>
      <c r="AS862" s="78"/>
      <c r="AT862" s="82" t="s">
        <v>3797</v>
      </c>
      <c r="AU862" s="78">
        <v>2026</v>
      </c>
      <c r="AV862" s="78">
        <v>3</v>
      </c>
      <c r="AW862" s="78" t="s">
        <v>71</v>
      </c>
      <c r="AX862" s="78">
        <v>0</v>
      </c>
      <c r="AY862" s="78">
        <v>0</v>
      </c>
      <c r="BT862" s="2" t="s">
        <v>71</v>
      </c>
      <c r="BU862" s="2">
        <v>0</v>
      </c>
      <c r="BV862" s="2">
        <v>0</v>
      </c>
    </row>
    <row r="863" spans="1:74" ht="15" customHeight="1" x14ac:dyDescent="0.25">
      <c r="A863" s="75">
        <v>5889621</v>
      </c>
      <c r="B863" t="s">
        <v>3919</v>
      </c>
      <c r="C863" t="s">
        <v>210</v>
      </c>
      <c r="D863" t="s">
        <v>2379</v>
      </c>
      <c r="E863" t="s">
        <v>87</v>
      </c>
      <c r="F863" s="75">
        <v>422</v>
      </c>
      <c r="G863" s="75">
        <v>289265</v>
      </c>
      <c r="H863">
        <v>740.61</v>
      </c>
      <c r="I863" t="s">
        <v>55</v>
      </c>
      <c r="J863" s="75">
        <v>216233</v>
      </c>
      <c r="K863" t="s">
        <v>88</v>
      </c>
      <c r="L863" t="s">
        <v>89</v>
      </c>
      <c r="M863" s="81">
        <v>46106.517013888893</v>
      </c>
      <c r="N863" s="81">
        <v>46108.466203703712</v>
      </c>
      <c r="O863" t="s">
        <v>58</v>
      </c>
      <c r="P863" t="s">
        <v>59</v>
      </c>
      <c r="Q863" t="s">
        <v>90</v>
      </c>
      <c r="R863" t="s">
        <v>131</v>
      </c>
      <c r="S863" t="s">
        <v>1273</v>
      </c>
      <c r="U863" s="75"/>
      <c r="X863" t="s">
        <v>62</v>
      </c>
      <c r="Y863" t="s">
        <v>63</v>
      </c>
      <c r="AA863" t="s">
        <v>416</v>
      </c>
      <c r="AB863">
        <v>46.700001</v>
      </c>
      <c r="AC863">
        <v>33.283334000000004</v>
      </c>
      <c r="AD863">
        <v>13.416667</v>
      </c>
      <c r="AE863">
        <v>0.15</v>
      </c>
      <c r="AF863">
        <v>0</v>
      </c>
      <c r="AG863">
        <v>13.266667</v>
      </c>
      <c r="AH863">
        <v>13.266667</v>
      </c>
      <c r="AI863">
        <v>13.05</v>
      </c>
      <c r="AJ863">
        <v>0.216667</v>
      </c>
      <c r="AK863">
        <v>0</v>
      </c>
      <c r="AL863" s="76">
        <v>45021</v>
      </c>
      <c r="AM863" s="75">
        <v>1085</v>
      </c>
      <c r="AN863" t="s">
        <v>65</v>
      </c>
      <c r="AO863" t="s">
        <v>212</v>
      </c>
      <c r="AP863" t="s">
        <v>67</v>
      </c>
      <c r="AQ863" t="s">
        <v>68</v>
      </c>
      <c r="AR863" t="s">
        <v>69</v>
      </c>
      <c r="AS863" s="79"/>
      <c r="AT863" s="82" t="s">
        <v>3797</v>
      </c>
      <c r="AU863" s="78">
        <v>2026</v>
      </c>
      <c r="AV863" s="78">
        <v>3</v>
      </c>
      <c r="AW863" s="78" t="s">
        <v>71</v>
      </c>
      <c r="AX863" s="78">
        <v>0</v>
      </c>
      <c r="AY863" s="78">
        <v>0</v>
      </c>
      <c r="BT863" s="3" t="s">
        <v>71</v>
      </c>
      <c r="BU863" s="3">
        <v>0</v>
      </c>
      <c r="BV863" s="3">
        <v>0</v>
      </c>
    </row>
    <row r="864" spans="1:74" ht="15" customHeight="1" x14ac:dyDescent="0.25">
      <c r="A864" s="75">
        <v>5893485</v>
      </c>
      <c r="B864" t="s">
        <v>3920</v>
      </c>
      <c r="C864" t="s">
        <v>3921</v>
      </c>
      <c r="D864" t="s">
        <v>527</v>
      </c>
      <c r="E864" t="s">
        <v>87</v>
      </c>
      <c r="F864" s="75">
        <v>19</v>
      </c>
      <c r="G864" s="75">
        <v>290941</v>
      </c>
      <c r="H864">
        <v>0.01</v>
      </c>
      <c r="I864" t="s">
        <v>853</v>
      </c>
      <c r="J864" s="75">
        <v>52957</v>
      </c>
      <c r="K864" t="s">
        <v>575</v>
      </c>
      <c r="L864" t="s">
        <v>576</v>
      </c>
      <c r="M864" s="81">
        <v>46107.833680555559</v>
      </c>
      <c r="N864" s="81">
        <v>46108.515960648147</v>
      </c>
      <c r="O864" t="s">
        <v>58</v>
      </c>
      <c r="P864" t="s">
        <v>59</v>
      </c>
      <c r="Q864" t="s">
        <v>90</v>
      </c>
      <c r="R864" t="s">
        <v>99</v>
      </c>
      <c r="S864" t="s">
        <v>1244</v>
      </c>
      <c r="U864" s="75"/>
      <c r="X864" t="s">
        <v>118</v>
      </c>
      <c r="Y864" t="s">
        <v>3922</v>
      </c>
      <c r="AA864" t="s">
        <v>64</v>
      </c>
      <c r="AB864">
        <v>16.283332000000001</v>
      </c>
      <c r="AC864">
        <v>11.516666000000001</v>
      </c>
      <c r="AD864">
        <v>4.7666659999999998</v>
      </c>
      <c r="AE864">
        <v>0.53333399999999997</v>
      </c>
      <c r="AF864">
        <v>0</v>
      </c>
      <c r="AG864">
        <v>4.2333319999999999</v>
      </c>
      <c r="AH864">
        <v>4.2333319999999999</v>
      </c>
      <c r="AI864">
        <v>4.1166660000000004</v>
      </c>
      <c r="AJ864">
        <v>0.11666600000000001</v>
      </c>
      <c r="AK864">
        <v>0</v>
      </c>
      <c r="AL864" s="76">
        <v>45215</v>
      </c>
      <c r="AM864" s="75">
        <v>892</v>
      </c>
      <c r="AN864" t="s">
        <v>65</v>
      </c>
      <c r="AO864" t="s">
        <v>3923</v>
      </c>
      <c r="AP864" t="s">
        <v>67</v>
      </c>
      <c r="AQ864" t="s">
        <v>121</v>
      </c>
      <c r="AR864" t="s">
        <v>69</v>
      </c>
      <c r="AS864" s="78"/>
      <c r="AT864" s="82" t="s">
        <v>3797</v>
      </c>
      <c r="AU864" s="78">
        <v>2026</v>
      </c>
      <c r="AV864" s="78">
        <v>3</v>
      </c>
      <c r="AW864" s="78" t="s">
        <v>347</v>
      </c>
      <c r="AX864" s="78">
        <v>1</v>
      </c>
      <c r="AY864" s="78">
        <v>0</v>
      </c>
      <c r="BT864" s="2" t="s">
        <v>347</v>
      </c>
      <c r="BU864" s="2">
        <v>1</v>
      </c>
      <c r="BV864" s="2">
        <v>0</v>
      </c>
    </row>
    <row r="865" spans="1:74" ht="15" customHeight="1" x14ac:dyDescent="0.25">
      <c r="A865" s="75">
        <v>5887355</v>
      </c>
      <c r="B865" t="s">
        <v>3924</v>
      </c>
      <c r="C865" t="s">
        <v>3925</v>
      </c>
      <c r="D865" t="s">
        <v>527</v>
      </c>
      <c r="E865" t="s">
        <v>87</v>
      </c>
      <c r="F865" s="75">
        <v>93</v>
      </c>
      <c r="G865" s="75">
        <v>280013</v>
      </c>
      <c r="H865">
        <v>616.59</v>
      </c>
      <c r="I865" t="s">
        <v>266</v>
      </c>
      <c r="J865" s="75">
        <v>49495</v>
      </c>
      <c r="K865" t="s">
        <v>460</v>
      </c>
      <c r="L865" t="s">
        <v>461</v>
      </c>
      <c r="M865" s="81">
        <v>46105.614074074067</v>
      </c>
      <c r="N865" s="81">
        <v>46108.526018518518</v>
      </c>
      <c r="O865" t="s">
        <v>58</v>
      </c>
      <c r="P865" t="s">
        <v>59</v>
      </c>
      <c r="Q865" t="s">
        <v>341</v>
      </c>
      <c r="R865" t="s">
        <v>60</v>
      </c>
      <c r="S865" t="s">
        <v>1268</v>
      </c>
      <c r="U865" s="75"/>
      <c r="X865" t="s">
        <v>62</v>
      </c>
      <c r="Y865" t="s">
        <v>63</v>
      </c>
      <c r="AA865" t="s">
        <v>64</v>
      </c>
      <c r="AB865">
        <v>69.816665</v>
      </c>
      <c r="AC865">
        <v>19.350000000000001</v>
      </c>
      <c r="AD865">
        <v>50.466664999999999</v>
      </c>
      <c r="AE865">
        <v>43.316665999999998</v>
      </c>
      <c r="AF865">
        <v>0</v>
      </c>
      <c r="AG865">
        <v>7.1499990000000002</v>
      </c>
      <c r="AH865">
        <v>7.1499990000000002</v>
      </c>
      <c r="AI865">
        <v>6.8666660000000004</v>
      </c>
      <c r="AJ865">
        <v>0.283333</v>
      </c>
      <c r="AK865">
        <v>0</v>
      </c>
      <c r="AL865" s="76">
        <v>44774</v>
      </c>
      <c r="AM865" s="75">
        <v>1331</v>
      </c>
      <c r="AN865" t="s">
        <v>65</v>
      </c>
      <c r="AO865" t="s">
        <v>529</v>
      </c>
      <c r="AP865" t="s">
        <v>67</v>
      </c>
      <c r="AQ865" t="s">
        <v>68</v>
      </c>
      <c r="AR865" t="s">
        <v>69</v>
      </c>
      <c r="AS865" s="79"/>
      <c r="AT865" s="82" t="s">
        <v>3797</v>
      </c>
      <c r="AU865" s="78">
        <v>2026</v>
      </c>
      <c r="AV865" s="78">
        <v>3</v>
      </c>
      <c r="AW865" s="78" t="s">
        <v>71</v>
      </c>
      <c r="AX865" s="78">
        <v>1</v>
      </c>
      <c r="AY865" s="78">
        <v>0</v>
      </c>
      <c r="BT865" s="3" t="s">
        <v>71</v>
      </c>
      <c r="BU865" s="3">
        <v>1</v>
      </c>
      <c r="BV865" s="3">
        <v>0</v>
      </c>
    </row>
    <row r="866" spans="1:74" ht="15" customHeight="1" x14ac:dyDescent="0.25">
      <c r="A866" s="75">
        <v>5889497</v>
      </c>
      <c r="B866" t="s">
        <v>3926</v>
      </c>
      <c r="C866" t="s">
        <v>3927</v>
      </c>
      <c r="D866" t="s">
        <v>2379</v>
      </c>
      <c r="E866" t="s">
        <v>87</v>
      </c>
      <c r="F866" s="75">
        <v>57</v>
      </c>
      <c r="G866" s="75">
        <v>275351</v>
      </c>
      <c r="H866">
        <v>364.95</v>
      </c>
      <c r="I866" t="s">
        <v>55</v>
      </c>
      <c r="J866" s="75">
        <v>218787</v>
      </c>
      <c r="K866" t="s">
        <v>96</v>
      </c>
      <c r="L866" t="s">
        <v>97</v>
      </c>
      <c r="M866" s="81">
        <v>46106.495081018518</v>
      </c>
      <c r="N866" s="81">
        <v>46108.602199074077</v>
      </c>
      <c r="O866" t="s">
        <v>58</v>
      </c>
      <c r="P866" t="s">
        <v>59</v>
      </c>
      <c r="Q866" t="s">
        <v>130</v>
      </c>
      <c r="R866" t="s">
        <v>99</v>
      </c>
      <c r="S866" t="s">
        <v>1244</v>
      </c>
      <c r="U866" s="75"/>
      <c r="X866" t="s">
        <v>62</v>
      </c>
      <c r="Y866" t="s">
        <v>63</v>
      </c>
      <c r="AA866" t="s">
        <v>416</v>
      </c>
      <c r="AB866">
        <v>50.500000999999997</v>
      </c>
      <c r="AC866">
        <v>37.433332999999998</v>
      </c>
      <c r="AD866">
        <v>13.066668</v>
      </c>
      <c r="AE866">
        <v>0.33333400000000002</v>
      </c>
      <c r="AF866">
        <v>0</v>
      </c>
      <c r="AG866">
        <v>12.733333999999999</v>
      </c>
      <c r="AH866">
        <v>12.733333999999999</v>
      </c>
      <c r="AI866">
        <v>12.016667</v>
      </c>
      <c r="AJ866">
        <v>0.71666700000000005</v>
      </c>
      <c r="AK866">
        <v>0</v>
      </c>
      <c r="AL866" s="76">
        <v>44865</v>
      </c>
      <c r="AM866" s="75">
        <v>1241</v>
      </c>
      <c r="AN866" t="s">
        <v>65</v>
      </c>
      <c r="AO866" t="s">
        <v>546</v>
      </c>
      <c r="AP866" t="s">
        <v>67</v>
      </c>
      <c r="AQ866" t="s">
        <v>68</v>
      </c>
      <c r="AR866" t="s">
        <v>69</v>
      </c>
      <c r="AS866" s="78"/>
      <c r="AT866" s="82" t="s">
        <v>3797</v>
      </c>
      <c r="AU866" s="78">
        <v>2026</v>
      </c>
      <c r="AV866" s="78">
        <v>3</v>
      </c>
      <c r="AW866" s="78" t="s">
        <v>71</v>
      </c>
      <c r="AX866" s="78">
        <v>0</v>
      </c>
      <c r="AY866" s="78">
        <v>0</v>
      </c>
      <c r="BT866" s="2" t="s">
        <v>71</v>
      </c>
      <c r="BU866" s="2">
        <v>0</v>
      </c>
      <c r="BV866" s="2">
        <v>0</v>
      </c>
    </row>
    <row r="867" spans="1:74" ht="15" customHeight="1" x14ac:dyDescent="0.25">
      <c r="A867" s="75">
        <v>5886417</v>
      </c>
      <c r="B867" t="s">
        <v>3928</v>
      </c>
      <c r="C867" t="s">
        <v>3929</v>
      </c>
      <c r="D867" t="s">
        <v>809</v>
      </c>
      <c r="E867" t="s">
        <v>54</v>
      </c>
      <c r="F867" s="75">
        <v>1</v>
      </c>
      <c r="G867" s="75">
        <v>268881</v>
      </c>
      <c r="H867">
        <v>750</v>
      </c>
      <c r="I867" t="s">
        <v>114</v>
      </c>
      <c r="J867" s="75">
        <v>212207</v>
      </c>
      <c r="K867" t="s">
        <v>3930</v>
      </c>
      <c r="L867" t="s">
        <v>3931</v>
      </c>
      <c r="M867" s="81">
        <v>46104.676724537043</v>
      </c>
      <c r="N867" s="81">
        <v>46108.653831018521</v>
      </c>
      <c r="O867" t="s">
        <v>58</v>
      </c>
      <c r="P867" t="s">
        <v>59</v>
      </c>
      <c r="Q867" t="s">
        <v>130</v>
      </c>
      <c r="R867" t="s">
        <v>99</v>
      </c>
      <c r="S867" t="s">
        <v>1244</v>
      </c>
      <c r="T867" t="s">
        <v>342</v>
      </c>
      <c r="U867" s="75"/>
      <c r="X867" t="s">
        <v>118</v>
      </c>
      <c r="Y867" t="s">
        <v>400</v>
      </c>
      <c r="AA867" t="s">
        <v>295</v>
      </c>
      <c r="AB867">
        <v>95.316666999999995</v>
      </c>
      <c r="AC867">
        <v>50.916665999999999</v>
      </c>
      <c r="AD867">
        <v>44.400001000000003</v>
      </c>
      <c r="AE867">
        <v>0.05</v>
      </c>
      <c r="AF867">
        <v>0</v>
      </c>
      <c r="AG867">
        <v>44.350000999999999</v>
      </c>
      <c r="AH867">
        <v>44.350000999999999</v>
      </c>
      <c r="AI867">
        <v>43.55</v>
      </c>
      <c r="AJ867">
        <v>0.80000099999999996</v>
      </c>
      <c r="AK867">
        <v>0</v>
      </c>
      <c r="AL867" s="76">
        <v>36526</v>
      </c>
      <c r="AM867" s="75">
        <v>9578</v>
      </c>
      <c r="AN867" t="s">
        <v>65</v>
      </c>
      <c r="AO867" t="s">
        <v>3932</v>
      </c>
      <c r="AP867" t="s">
        <v>67</v>
      </c>
      <c r="AQ867" t="s">
        <v>121</v>
      </c>
      <c r="AR867" t="s">
        <v>69</v>
      </c>
      <c r="AS867" s="79"/>
      <c r="AT867" s="82" t="s">
        <v>3797</v>
      </c>
      <c r="AU867" s="78">
        <v>2026</v>
      </c>
      <c r="AV867" s="78">
        <v>3</v>
      </c>
      <c r="AW867" s="78" t="s">
        <v>122</v>
      </c>
      <c r="AX867" s="78">
        <v>0</v>
      </c>
      <c r="AY867" s="78">
        <v>1</v>
      </c>
      <c r="BT867" s="3" t="s">
        <v>122</v>
      </c>
      <c r="BU867" s="3">
        <v>0</v>
      </c>
      <c r="BV867" s="3">
        <v>1</v>
      </c>
    </row>
    <row r="868" spans="1:74" ht="15" customHeight="1" x14ac:dyDescent="0.25">
      <c r="A868" s="75">
        <v>5894683</v>
      </c>
      <c r="B868" t="s">
        <v>3933</v>
      </c>
      <c r="C868" t="s">
        <v>3934</v>
      </c>
      <c r="D868" t="s">
        <v>809</v>
      </c>
      <c r="E868" t="s">
        <v>87</v>
      </c>
      <c r="F868" s="75">
        <v>62</v>
      </c>
      <c r="G868" s="75">
        <v>275371</v>
      </c>
      <c r="H868">
        <v>368.16</v>
      </c>
      <c r="I868" t="s">
        <v>55</v>
      </c>
      <c r="J868" s="75">
        <v>218791</v>
      </c>
      <c r="K868" t="s">
        <v>312</v>
      </c>
      <c r="L868" t="s">
        <v>313</v>
      </c>
      <c r="M868" s="81">
        <v>46108.570023148153</v>
      </c>
      <c r="N868" s="81">
        <v>46109.435520833344</v>
      </c>
      <c r="O868" t="s">
        <v>58</v>
      </c>
      <c r="P868" t="s">
        <v>59</v>
      </c>
      <c r="Q868" t="s">
        <v>90</v>
      </c>
      <c r="R868" t="s">
        <v>99</v>
      </c>
      <c r="S868" t="s">
        <v>1244</v>
      </c>
      <c r="U868" s="75"/>
      <c r="X868" t="s">
        <v>62</v>
      </c>
      <c r="Y868" t="s">
        <v>63</v>
      </c>
      <c r="AA868" t="s">
        <v>81</v>
      </c>
      <c r="AB868">
        <v>20.716667000000001</v>
      </c>
      <c r="AC868">
        <v>17.25</v>
      </c>
      <c r="AD868">
        <v>3.4666670000000002</v>
      </c>
      <c r="AE868">
        <v>0.13333400000000001</v>
      </c>
      <c r="AF868">
        <v>0</v>
      </c>
      <c r="AG868">
        <v>3.3333330000000001</v>
      </c>
      <c r="AH868">
        <v>3.3333330000000001</v>
      </c>
      <c r="AI868">
        <v>3.25</v>
      </c>
      <c r="AJ868">
        <v>8.3333000000000004E-2</v>
      </c>
      <c r="AK868">
        <v>0</v>
      </c>
      <c r="AL868" s="76">
        <v>44861.686631944453</v>
      </c>
      <c r="AM868" s="75">
        <v>1246</v>
      </c>
      <c r="AN868" t="s">
        <v>65</v>
      </c>
      <c r="AO868" t="s">
        <v>3935</v>
      </c>
      <c r="AP868" t="s">
        <v>67</v>
      </c>
      <c r="AQ868" t="s">
        <v>68</v>
      </c>
      <c r="AR868" t="s">
        <v>69</v>
      </c>
      <c r="AS868" s="78"/>
      <c r="AT868" s="82" t="s">
        <v>3797</v>
      </c>
      <c r="AU868" s="78">
        <v>2026</v>
      </c>
      <c r="AV868" s="78">
        <v>3</v>
      </c>
      <c r="AW868" s="78" t="s">
        <v>71</v>
      </c>
      <c r="AX868" s="78">
        <v>1</v>
      </c>
      <c r="AY868" s="78">
        <v>0</v>
      </c>
      <c r="BT868" s="2" t="s">
        <v>71</v>
      </c>
      <c r="BU868" s="2">
        <v>1</v>
      </c>
      <c r="BV868" s="2">
        <v>0</v>
      </c>
    </row>
    <row r="869" spans="1:74" ht="15" customHeight="1" x14ac:dyDescent="0.25">
      <c r="A869" s="75">
        <v>5890901</v>
      </c>
      <c r="B869" t="s">
        <v>3936</v>
      </c>
      <c r="C869" t="s">
        <v>3937</v>
      </c>
      <c r="D869" t="s">
        <v>527</v>
      </c>
      <c r="E869" t="s">
        <v>54</v>
      </c>
      <c r="F869" s="75">
        <v>13</v>
      </c>
      <c r="G869" s="75">
        <v>333049</v>
      </c>
      <c r="H869">
        <v>250</v>
      </c>
      <c r="I869" t="s">
        <v>141</v>
      </c>
      <c r="J869" s="75">
        <v>88921</v>
      </c>
      <c r="K869" t="s">
        <v>1177</v>
      </c>
      <c r="L869" t="s">
        <v>1178</v>
      </c>
      <c r="M869" s="81">
        <v>46106.579479166663</v>
      </c>
      <c r="N869" s="81">
        <v>46110.313738425917</v>
      </c>
      <c r="O869" t="s">
        <v>58</v>
      </c>
      <c r="P869" t="s">
        <v>59</v>
      </c>
      <c r="Q869" t="s">
        <v>130</v>
      </c>
      <c r="R869" t="s">
        <v>131</v>
      </c>
      <c r="S869" t="s">
        <v>1273</v>
      </c>
      <c r="U869" s="75"/>
      <c r="X869" t="s">
        <v>62</v>
      </c>
      <c r="Y869" t="s">
        <v>63</v>
      </c>
      <c r="AA869" t="s">
        <v>295</v>
      </c>
      <c r="AB869">
        <v>89.449999000000005</v>
      </c>
      <c r="AC869">
        <v>50.383333</v>
      </c>
      <c r="AD869">
        <v>39.066665999999998</v>
      </c>
      <c r="AE869">
        <v>8.016667</v>
      </c>
      <c r="AF869">
        <v>6.1166669999999996</v>
      </c>
      <c r="AG869">
        <v>31.049999</v>
      </c>
      <c r="AH869">
        <v>37.166665999999999</v>
      </c>
      <c r="AI869">
        <v>29.35</v>
      </c>
      <c r="AJ869">
        <v>1.699999</v>
      </c>
      <c r="AK869">
        <v>0</v>
      </c>
      <c r="AL869" s="76">
        <v>45782.595682870371</v>
      </c>
      <c r="AM869" s="75">
        <v>323</v>
      </c>
      <c r="AN869" t="s">
        <v>65</v>
      </c>
      <c r="AO869" t="s">
        <v>1841</v>
      </c>
      <c r="AP869" t="s">
        <v>67</v>
      </c>
      <c r="AQ869" t="s">
        <v>68</v>
      </c>
      <c r="AR869" t="s">
        <v>69</v>
      </c>
      <c r="AS869" s="79"/>
      <c r="AT869" s="82" t="s">
        <v>3797</v>
      </c>
      <c r="AU869" s="78">
        <v>2026</v>
      </c>
      <c r="AV869" s="78">
        <v>3</v>
      </c>
      <c r="AW869" s="78" t="s">
        <v>71</v>
      </c>
      <c r="AX869" s="78">
        <v>0</v>
      </c>
      <c r="AY869" s="78">
        <v>1</v>
      </c>
      <c r="BT869" s="3" t="s">
        <v>71</v>
      </c>
      <c r="BU869" s="3">
        <v>0</v>
      </c>
      <c r="BV869" s="3">
        <v>1</v>
      </c>
    </row>
    <row r="870" spans="1:74" ht="15" customHeight="1" x14ac:dyDescent="0.25">
      <c r="A870" s="75">
        <v>5892009</v>
      </c>
      <c r="B870" t="s">
        <v>3938</v>
      </c>
      <c r="C870" t="s">
        <v>3939</v>
      </c>
      <c r="D870" t="s">
        <v>527</v>
      </c>
      <c r="E870" t="s">
        <v>54</v>
      </c>
      <c r="F870" s="75">
        <v>93</v>
      </c>
      <c r="G870" s="75">
        <v>240507</v>
      </c>
      <c r="H870">
        <v>188.59</v>
      </c>
      <c r="I870" t="s">
        <v>195</v>
      </c>
      <c r="J870" s="75">
        <v>1819</v>
      </c>
      <c r="K870" t="s">
        <v>759</v>
      </c>
      <c r="L870" t="s">
        <v>760</v>
      </c>
      <c r="M870" s="81">
        <v>46107.354351851849</v>
      </c>
      <c r="N870" s="81">
        <v>46110.314340277779</v>
      </c>
      <c r="O870" t="s">
        <v>58</v>
      </c>
      <c r="P870" t="s">
        <v>59</v>
      </c>
      <c r="Q870" t="s">
        <v>77</v>
      </c>
      <c r="R870" t="s">
        <v>60</v>
      </c>
      <c r="S870" t="s">
        <v>583</v>
      </c>
      <c r="U870" s="75"/>
      <c r="X870" t="s">
        <v>62</v>
      </c>
      <c r="Y870" t="s">
        <v>63</v>
      </c>
      <c r="AA870" t="s">
        <v>101</v>
      </c>
      <c r="AB870">
        <v>70.983333000000002</v>
      </c>
      <c r="AC870">
        <v>61.883333</v>
      </c>
      <c r="AD870">
        <v>9.1</v>
      </c>
      <c r="AE870">
        <v>0.11666700000000001</v>
      </c>
      <c r="AF870">
        <v>0</v>
      </c>
      <c r="AG870">
        <v>8.983333</v>
      </c>
      <c r="AH870">
        <v>8.983333</v>
      </c>
      <c r="AI870">
        <v>8.9333329999999993</v>
      </c>
      <c r="AJ870">
        <v>0.05</v>
      </c>
      <c r="AK870">
        <v>0</v>
      </c>
      <c r="AL870" s="76">
        <v>44169</v>
      </c>
      <c r="AM870" s="75">
        <v>1938</v>
      </c>
      <c r="AN870" t="s">
        <v>65</v>
      </c>
      <c r="AO870" t="s">
        <v>762</v>
      </c>
      <c r="AP870" t="s">
        <v>67</v>
      </c>
      <c r="AQ870" t="s">
        <v>68</v>
      </c>
      <c r="AR870" t="s">
        <v>69</v>
      </c>
      <c r="AS870" s="78"/>
      <c r="AT870" s="82" t="s">
        <v>3797</v>
      </c>
      <c r="AU870" s="78">
        <v>2026</v>
      </c>
      <c r="AV870" s="78">
        <v>3</v>
      </c>
      <c r="AW870" s="78" t="s">
        <v>71</v>
      </c>
      <c r="AX870" s="78">
        <v>0</v>
      </c>
      <c r="AY870" s="78">
        <v>0</v>
      </c>
      <c r="BT870" s="2" t="s">
        <v>71</v>
      </c>
      <c r="BU870" s="2">
        <v>0</v>
      </c>
      <c r="BV870" s="2">
        <v>0</v>
      </c>
    </row>
    <row r="871" spans="1:74" ht="15" customHeight="1" x14ac:dyDescent="0.25">
      <c r="A871" s="75">
        <v>5893509</v>
      </c>
      <c r="B871" t="s">
        <v>3940</v>
      </c>
      <c r="C871" t="s">
        <v>3941</v>
      </c>
      <c r="D871" t="s">
        <v>527</v>
      </c>
      <c r="E871" t="s">
        <v>54</v>
      </c>
      <c r="F871" s="75">
        <v>96</v>
      </c>
      <c r="G871" s="75">
        <v>347079</v>
      </c>
      <c r="H871">
        <v>299.89999999999998</v>
      </c>
      <c r="I871" t="s">
        <v>203</v>
      </c>
      <c r="J871" s="75">
        <v>130651</v>
      </c>
      <c r="K871" t="s">
        <v>3942</v>
      </c>
      <c r="L871" t="s">
        <v>3943</v>
      </c>
      <c r="M871" s="81">
        <v>46107.87462962963</v>
      </c>
      <c r="N871" s="81">
        <v>46110.320011574076</v>
      </c>
      <c r="O871" t="s">
        <v>58</v>
      </c>
      <c r="P871" t="s">
        <v>59</v>
      </c>
      <c r="Q871" t="s">
        <v>130</v>
      </c>
      <c r="R871" t="s">
        <v>99</v>
      </c>
      <c r="S871" t="s">
        <v>1244</v>
      </c>
      <c r="U871" s="75"/>
      <c r="X871" t="s">
        <v>62</v>
      </c>
      <c r="Y871" t="s">
        <v>63</v>
      </c>
      <c r="AA871" t="s">
        <v>416</v>
      </c>
      <c r="AB871">
        <v>58.599998999999997</v>
      </c>
      <c r="AC871">
        <v>44.366667</v>
      </c>
      <c r="AD871">
        <v>14.233332000000001</v>
      </c>
      <c r="AE871">
        <v>0.48333300000000001</v>
      </c>
      <c r="AF871">
        <v>0.183333</v>
      </c>
      <c r="AG871">
        <v>13.749999000000001</v>
      </c>
      <c r="AH871">
        <v>13.933332</v>
      </c>
      <c r="AI871">
        <v>13.066666</v>
      </c>
      <c r="AJ871">
        <v>0.68333299999999997</v>
      </c>
      <c r="AK871">
        <v>0</v>
      </c>
      <c r="AL871" s="76">
        <v>45975.578217592592</v>
      </c>
      <c r="AM871" s="75">
        <v>132</v>
      </c>
      <c r="AN871" t="s">
        <v>65</v>
      </c>
      <c r="AO871" t="s">
        <v>3944</v>
      </c>
      <c r="AP871" t="s">
        <v>67</v>
      </c>
      <c r="AQ871" t="s">
        <v>68</v>
      </c>
      <c r="AR871" t="s">
        <v>69</v>
      </c>
      <c r="AS871" s="79"/>
      <c r="AT871" s="82" t="s">
        <v>3797</v>
      </c>
      <c r="AU871" s="78">
        <v>2026</v>
      </c>
      <c r="AV871" s="78">
        <v>3</v>
      </c>
      <c r="AW871" s="78" t="s">
        <v>71</v>
      </c>
      <c r="AX871" s="78">
        <v>0</v>
      </c>
      <c r="AY871" s="78">
        <v>0</v>
      </c>
      <c r="BT871" s="3" t="s">
        <v>71</v>
      </c>
      <c r="BU871" s="3">
        <v>0</v>
      </c>
      <c r="BV871" s="3">
        <v>0</v>
      </c>
    </row>
    <row r="872" spans="1:74" ht="15" customHeight="1" x14ac:dyDescent="0.25">
      <c r="A872" s="75">
        <v>5894259</v>
      </c>
      <c r="B872" t="s">
        <v>3945</v>
      </c>
      <c r="C872" t="s">
        <v>3946</v>
      </c>
      <c r="D872" t="s">
        <v>527</v>
      </c>
      <c r="E872" t="s">
        <v>54</v>
      </c>
      <c r="F872" s="75">
        <v>14</v>
      </c>
      <c r="G872" s="75">
        <v>333051</v>
      </c>
      <c r="H872">
        <v>250</v>
      </c>
      <c r="I872" t="s">
        <v>141</v>
      </c>
      <c r="J872" s="75">
        <v>88921</v>
      </c>
      <c r="K872" t="s">
        <v>1177</v>
      </c>
      <c r="L872" t="s">
        <v>1178</v>
      </c>
      <c r="M872" s="81">
        <v>46108.433078703703</v>
      </c>
      <c r="N872" s="81">
        <v>46111.561793981477</v>
      </c>
      <c r="O872" t="s">
        <v>58</v>
      </c>
      <c r="P872" t="s">
        <v>59</v>
      </c>
      <c r="Q872" t="s">
        <v>130</v>
      </c>
      <c r="R872" t="s">
        <v>60</v>
      </c>
      <c r="S872" t="s">
        <v>583</v>
      </c>
      <c r="U872" s="75">
        <v>218999</v>
      </c>
      <c r="V872" t="s">
        <v>3947</v>
      </c>
      <c r="W872" t="s">
        <v>3947</v>
      </c>
      <c r="X872" t="s">
        <v>62</v>
      </c>
      <c r="Y872" t="s">
        <v>63</v>
      </c>
      <c r="Z872" t="s">
        <v>3948</v>
      </c>
      <c r="AA872" t="s">
        <v>64</v>
      </c>
      <c r="AB872">
        <v>74.950001999999998</v>
      </c>
      <c r="AC872">
        <v>36.783335000000001</v>
      </c>
      <c r="AD872">
        <v>38.166666999999997</v>
      </c>
      <c r="AE872">
        <v>32.700000000000003</v>
      </c>
      <c r="AF872">
        <v>32.200001</v>
      </c>
      <c r="AG872">
        <v>5.4666670000000002</v>
      </c>
      <c r="AH872">
        <v>37.666668000000001</v>
      </c>
      <c r="AI872">
        <v>5.033334</v>
      </c>
      <c r="AJ872">
        <v>0.43333300000000002</v>
      </c>
      <c r="AK872">
        <v>0</v>
      </c>
      <c r="AL872" s="76">
        <v>45786.716041666667</v>
      </c>
      <c r="AM872" s="75">
        <v>321</v>
      </c>
      <c r="AN872" t="s">
        <v>65</v>
      </c>
      <c r="AO872" t="s">
        <v>3837</v>
      </c>
      <c r="AP872" t="s">
        <v>67</v>
      </c>
      <c r="AQ872" t="s">
        <v>68</v>
      </c>
      <c r="AR872" t="s">
        <v>69</v>
      </c>
      <c r="AS872" s="78"/>
      <c r="AT872" s="82" t="s">
        <v>3949</v>
      </c>
      <c r="AU872" s="78">
        <v>2026</v>
      </c>
      <c r="AV872" s="78">
        <v>3</v>
      </c>
      <c r="AW872" s="78" t="s">
        <v>71</v>
      </c>
      <c r="AX872" s="78">
        <v>1</v>
      </c>
      <c r="AY872" s="78">
        <v>0</v>
      </c>
      <c r="BT872" s="2" t="s">
        <v>71</v>
      </c>
      <c r="BU872" s="2">
        <v>1</v>
      </c>
      <c r="BV872" s="2">
        <v>0</v>
      </c>
    </row>
    <row r="873" spans="1:74" ht="15" customHeight="1" x14ac:dyDescent="0.25">
      <c r="A873" s="75">
        <v>5896473</v>
      </c>
      <c r="B873" t="s">
        <v>3950</v>
      </c>
      <c r="C873" t="s">
        <v>2471</v>
      </c>
      <c r="D873" t="s">
        <v>150</v>
      </c>
      <c r="E873" t="s">
        <v>105</v>
      </c>
      <c r="F873" s="75">
        <v>2</v>
      </c>
      <c r="G873" s="75">
        <v>348021</v>
      </c>
      <c r="H873">
        <v>390.9</v>
      </c>
      <c r="I873" t="s">
        <v>175</v>
      </c>
      <c r="J873" s="75">
        <v>83605</v>
      </c>
      <c r="K873" t="s">
        <v>844</v>
      </c>
      <c r="L873" t="s">
        <v>845</v>
      </c>
      <c r="M873" s="81">
        <v>46110.757314814808</v>
      </c>
      <c r="N873" s="81">
        <v>46111.588784722233</v>
      </c>
      <c r="O873" t="s">
        <v>58</v>
      </c>
      <c r="P873" t="s">
        <v>59</v>
      </c>
      <c r="Q873" t="s">
        <v>90</v>
      </c>
      <c r="R873" t="s">
        <v>131</v>
      </c>
      <c r="S873" t="s">
        <v>1316</v>
      </c>
      <c r="U873" s="75">
        <v>219089</v>
      </c>
      <c r="V873" t="s">
        <v>3951</v>
      </c>
      <c r="W873" t="s">
        <v>3952</v>
      </c>
      <c r="X873" t="s">
        <v>62</v>
      </c>
      <c r="Y873" t="s">
        <v>63</v>
      </c>
      <c r="AA873" t="s">
        <v>64</v>
      </c>
      <c r="AB873">
        <v>19.883334000000001</v>
      </c>
      <c r="AC873">
        <v>14.283333000000001</v>
      </c>
      <c r="AD873">
        <v>5.6000009999999998</v>
      </c>
      <c r="AE873">
        <v>1.5</v>
      </c>
      <c r="AF873">
        <v>0</v>
      </c>
      <c r="AG873">
        <v>4.1000009999999998</v>
      </c>
      <c r="AH873">
        <v>4.1000009999999998</v>
      </c>
      <c r="AI873">
        <v>3.9333339999999999</v>
      </c>
      <c r="AJ873">
        <v>0.16666700000000001</v>
      </c>
      <c r="AK873">
        <v>0</v>
      </c>
      <c r="AL873" s="76"/>
      <c r="AM873" s="75"/>
      <c r="AN873" t="s">
        <v>135</v>
      </c>
      <c r="AO873" t="s">
        <v>3953</v>
      </c>
      <c r="AP873" t="s">
        <v>67</v>
      </c>
      <c r="AQ873" t="s">
        <v>68</v>
      </c>
      <c r="AR873" t="s">
        <v>69</v>
      </c>
      <c r="AS873" s="79"/>
      <c r="AT873" s="82" t="s">
        <v>3949</v>
      </c>
      <c r="AU873" s="78">
        <v>2026</v>
      </c>
      <c r="AV873" s="78">
        <v>3</v>
      </c>
      <c r="AW873" s="78" t="s">
        <v>71</v>
      </c>
      <c r="AX873" s="78">
        <v>1</v>
      </c>
      <c r="AY873" s="78">
        <v>0</v>
      </c>
      <c r="BT873" s="3" t="s">
        <v>71</v>
      </c>
      <c r="BU873" s="3">
        <v>1</v>
      </c>
      <c r="BV873" s="3">
        <v>0</v>
      </c>
    </row>
    <row r="874" spans="1:74" ht="15" customHeight="1" x14ac:dyDescent="0.25">
      <c r="A874" s="75">
        <v>5898367</v>
      </c>
      <c r="B874" t="s">
        <v>3954</v>
      </c>
      <c r="C874" t="s">
        <v>2725</v>
      </c>
      <c r="D874" t="s">
        <v>527</v>
      </c>
      <c r="E874" t="s">
        <v>87</v>
      </c>
      <c r="F874" s="75">
        <v>77</v>
      </c>
      <c r="G874" s="75">
        <v>275405</v>
      </c>
      <c r="H874">
        <v>368.16</v>
      </c>
      <c r="I874" t="s">
        <v>55</v>
      </c>
      <c r="J874" s="75">
        <v>218791</v>
      </c>
      <c r="K874" t="s">
        <v>312</v>
      </c>
      <c r="L874" t="s">
        <v>313</v>
      </c>
      <c r="M874" s="81">
        <v>46111.722916666673</v>
      </c>
      <c r="N874" s="81">
        <v>46112.363043981481</v>
      </c>
      <c r="O874" t="s">
        <v>277</v>
      </c>
      <c r="P874" t="s">
        <v>59</v>
      </c>
      <c r="Q874" t="s">
        <v>90</v>
      </c>
      <c r="R874" t="s">
        <v>99</v>
      </c>
      <c r="S874" t="s">
        <v>1244</v>
      </c>
      <c r="U874" s="75">
        <v>220267</v>
      </c>
      <c r="V874" t="s">
        <v>3955</v>
      </c>
      <c r="X874" t="s">
        <v>62</v>
      </c>
      <c r="Y874" t="s">
        <v>63</v>
      </c>
      <c r="AA874" t="s">
        <v>81</v>
      </c>
      <c r="AB874">
        <v>15.300001</v>
      </c>
      <c r="AC874">
        <v>13</v>
      </c>
      <c r="AD874">
        <v>2.300001</v>
      </c>
      <c r="AE874">
        <v>1.033334</v>
      </c>
      <c r="AF874">
        <v>0</v>
      </c>
      <c r="AG874">
        <v>1.266667</v>
      </c>
      <c r="AH874">
        <v>1.266667</v>
      </c>
      <c r="AI874">
        <v>0.5</v>
      </c>
      <c r="AJ874">
        <v>0.76666699999999999</v>
      </c>
      <c r="AK874">
        <v>0</v>
      </c>
      <c r="AL874" s="76">
        <v>44881.95034722222</v>
      </c>
      <c r="AM874" s="75">
        <v>1229</v>
      </c>
      <c r="AN874" t="s">
        <v>65</v>
      </c>
      <c r="AO874" t="s">
        <v>1208</v>
      </c>
      <c r="AP874" t="s">
        <v>67</v>
      </c>
      <c r="AQ874" t="s">
        <v>68</v>
      </c>
      <c r="AR874" t="s">
        <v>69</v>
      </c>
      <c r="AS874" s="78"/>
      <c r="AT874" s="82" t="s">
        <v>3949</v>
      </c>
      <c r="AU874" s="78">
        <v>2026</v>
      </c>
      <c r="AV874" s="78">
        <v>3</v>
      </c>
      <c r="AW874" s="78" t="s">
        <v>71</v>
      </c>
      <c r="AX874" s="78">
        <v>1</v>
      </c>
      <c r="AY874" s="78">
        <v>0</v>
      </c>
      <c r="BT874" s="2" t="s">
        <v>71</v>
      </c>
      <c r="BU874" s="2">
        <v>1</v>
      </c>
      <c r="BV874" s="2">
        <v>0</v>
      </c>
    </row>
    <row r="875" spans="1:74" ht="15" customHeight="1" x14ac:dyDescent="0.25">
      <c r="A875" s="75">
        <v>5898291</v>
      </c>
      <c r="B875" t="s">
        <v>3956</v>
      </c>
      <c r="C875" t="s">
        <v>1144</v>
      </c>
      <c r="D875" t="s">
        <v>956</v>
      </c>
      <c r="E875" t="s">
        <v>87</v>
      </c>
      <c r="F875" s="75">
        <v>337</v>
      </c>
      <c r="G875" s="75">
        <v>286679</v>
      </c>
      <c r="H875">
        <v>364.96</v>
      </c>
      <c r="I875" t="s">
        <v>55</v>
      </c>
      <c r="J875" s="75">
        <v>218787</v>
      </c>
      <c r="K875" t="s">
        <v>96</v>
      </c>
      <c r="L875" t="s">
        <v>97</v>
      </c>
      <c r="M875" s="81">
        <v>46111.702002314807</v>
      </c>
      <c r="N875" s="81">
        <v>46112.365613425929</v>
      </c>
      <c r="O875" t="s">
        <v>58</v>
      </c>
      <c r="P875" t="s">
        <v>59</v>
      </c>
      <c r="Q875" t="s">
        <v>90</v>
      </c>
      <c r="R875" t="s">
        <v>99</v>
      </c>
      <c r="S875" t="s">
        <v>1244</v>
      </c>
      <c r="U875" s="75">
        <v>220269</v>
      </c>
      <c r="V875" t="s">
        <v>3957</v>
      </c>
      <c r="X875" t="s">
        <v>62</v>
      </c>
      <c r="Y875" t="s">
        <v>63</v>
      </c>
      <c r="AA875" t="s">
        <v>81</v>
      </c>
      <c r="AB875">
        <v>15.866667</v>
      </c>
      <c r="AC875">
        <v>14.25</v>
      </c>
      <c r="AD875">
        <v>1.6166670000000001</v>
      </c>
      <c r="AE875">
        <v>0.283333</v>
      </c>
      <c r="AF875">
        <v>0</v>
      </c>
      <c r="AG875">
        <v>1.333334</v>
      </c>
      <c r="AH875">
        <v>1.333334</v>
      </c>
      <c r="AI875">
        <v>0</v>
      </c>
      <c r="AJ875">
        <v>1.333334</v>
      </c>
      <c r="AK875">
        <v>0</v>
      </c>
      <c r="AL875" s="76">
        <v>44910</v>
      </c>
      <c r="AM875" s="75">
        <v>1201</v>
      </c>
      <c r="AN875" t="s">
        <v>65</v>
      </c>
      <c r="AO875" t="s">
        <v>1147</v>
      </c>
      <c r="AP875" t="s">
        <v>67</v>
      </c>
      <c r="AQ875" t="s">
        <v>68</v>
      </c>
      <c r="AR875" t="s">
        <v>69</v>
      </c>
      <c r="AS875" s="79"/>
      <c r="AT875" s="82" t="s">
        <v>3949</v>
      </c>
      <c r="AU875" s="78">
        <v>2026</v>
      </c>
      <c r="AV875" s="78">
        <v>3</v>
      </c>
      <c r="AW875" s="78" t="s">
        <v>71</v>
      </c>
      <c r="AX875" s="78">
        <v>1</v>
      </c>
      <c r="AY875" s="78">
        <v>0</v>
      </c>
      <c r="BT875" s="3" t="s">
        <v>71</v>
      </c>
      <c r="BU875" s="3">
        <v>1</v>
      </c>
      <c r="BV875" s="3">
        <v>0</v>
      </c>
    </row>
    <row r="876" spans="1:74" ht="15" customHeight="1" x14ac:dyDescent="0.25">
      <c r="A876" s="75">
        <v>5898371</v>
      </c>
      <c r="B876" t="s">
        <v>3958</v>
      </c>
      <c r="C876" t="s">
        <v>1247</v>
      </c>
      <c r="D876" t="s">
        <v>527</v>
      </c>
      <c r="E876" t="s">
        <v>87</v>
      </c>
      <c r="F876" s="75">
        <v>336</v>
      </c>
      <c r="G876" s="75">
        <v>286677</v>
      </c>
      <c r="H876">
        <v>364.96</v>
      </c>
      <c r="I876" t="s">
        <v>55</v>
      </c>
      <c r="J876" s="75">
        <v>218787</v>
      </c>
      <c r="K876" t="s">
        <v>96</v>
      </c>
      <c r="L876" t="s">
        <v>97</v>
      </c>
      <c r="M876" s="81">
        <v>46111.722974537042</v>
      </c>
      <c r="N876" s="81">
        <v>46112.365648148138</v>
      </c>
      <c r="O876" t="s">
        <v>277</v>
      </c>
      <c r="P876" t="s">
        <v>59</v>
      </c>
      <c r="Q876" t="s">
        <v>90</v>
      </c>
      <c r="R876" t="s">
        <v>99</v>
      </c>
      <c r="S876" t="s">
        <v>1244</v>
      </c>
      <c r="U876" s="75">
        <v>220195</v>
      </c>
      <c r="V876" t="s">
        <v>3959</v>
      </c>
      <c r="X876" t="s">
        <v>62</v>
      </c>
      <c r="Y876" t="s">
        <v>63</v>
      </c>
      <c r="AA876" t="s">
        <v>81</v>
      </c>
      <c r="AB876">
        <v>15.366666</v>
      </c>
      <c r="AC876">
        <v>13.433332999999999</v>
      </c>
      <c r="AD876">
        <v>1.933333</v>
      </c>
      <c r="AE876">
        <v>0.65</v>
      </c>
      <c r="AF876">
        <v>0</v>
      </c>
      <c r="AG876">
        <v>1.2833330000000001</v>
      </c>
      <c r="AH876">
        <v>1.2833330000000001</v>
      </c>
      <c r="AI876">
        <v>0.5</v>
      </c>
      <c r="AJ876">
        <v>0.78333299999999995</v>
      </c>
      <c r="AK876">
        <v>0</v>
      </c>
      <c r="AL876" s="76">
        <v>44963</v>
      </c>
      <c r="AM876" s="75">
        <v>1148</v>
      </c>
      <c r="AN876" t="s">
        <v>65</v>
      </c>
      <c r="AO876" t="s">
        <v>1249</v>
      </c>
      <c r="AP876" t="s">
        <v>67</v>
      </c>
      <c r="AQ876" t="s">
        <v>68</v>
      </c>
      <c r="AR876" t="s">
        <v>69</v>
      </c>
      <c r="AS876" s="78"/>
      <c r="AT876" s="82" t="s">
        <v>3949</v>
      </c>
      <c r="AU876" s="78">
        <v>2026</v>
      </c>
      <c r="AV876" s="78">
        <v>3</v>
      </c>
      <c r="AW876" s="78" t="s">
        <v>71</v>
      </c>
      <c r="AX876" s="78">
        <v>1</v>
      </c>
      <c r="AY876" s="78">
        <v>0</v>
      </c>
      <c r="BT876" s="2" t="s">
        <v>71</v>
      </c>
      <c r="BU876" s="2">
        <v>1</v>
      </c>
      <c r="BV876" s="2">
        <v>0</v>
      </c>
    </row>
    <row r="877" spans="1:74" ht="15" customHeight="1" x14ac:dyDescent="0.25">
      <c r="A877" s="75">
        <v>5898431</v>
      </c>
      <c r="B877" t="s">
        <v>3960</v>
      </c>
      <c r="C877" t="s">
        <v>256</v>
      </c>
      <c r="D877" t="s">
        <v>956</v>
      </c>
      <c r="E877" t="s">
        <v>54</v>
      </c>
      <c r="F877" s="75">
        <v>6</v>
      </c>
      <c r="G877" s="75">
        <v>295417</v>
      </c>
      <c r="H877">
        <v>200</v>
      </c>
      <c r="I877" t="s">
        <v>55</v>
      </c>
      <c r="J877" s="75">
        <v>218297</v>
      </c>
      <c r="K877" t="s">
        <v>258</v>
      </c>
      <c r="L877" t="s">
        <v>259</v>
      </c>
      <c r="M877" s="81">
        <v>46111.731851851851</v>
      </c>
      <c r="N877" s="81">
        <v>46112.367083333331</v>
      </c>
      <c r="O877" t="s">
        <v>58</v>
      </c>
      <c r="P877" t="s">
        <v>59</v>
      </c>
      <c r="Q877" t="s">
        <v>77</v>
      </c>
      <c r="R877" t="s">
        <v>99</v>
      </c>
      <c r="S877" t="s">
        <v>1244</v>
      </c>
      <c r="U877" s="75">
        <v>220197</v>
      </c>
      <c r="V877" t="s">
        <v>3961</v>
      </c>
      <c r="X877" t="s">
        <v>62</v>
      </c>
      <c r="Y877" t="s">
        <v>63</v>
      </c>
      <c r="AA877" t="s">
        <v>81</v>
      </c>
      <c r="AB877">
        <v>15.2</v>
      </c>
      <c r="AC877">
        <v>13.45</v>
      </c>
      <c r="AD877">
        <v>1.75</v>
      </c>
      <c r="AE877">
        <v>0.2</v>
      </c>
      <c r="AF877">
        <v>0</v>
      </c>
      <c r="AG877">
        <v>1.55</v>
      </c>
      <c r="AH877">
        <v>1.55</v>
      </c>
      <c r="AI877">
        <v>0.05</v>
      </c>
      <c r="AJ877">
        <v>1.5</v>
      </c>
      <c r="AK877">
        <v>0</v>
      </c>
      <c r="AL877" s="76">
        <v>45287.721863425933</v>
      </c>
      <c r="AM877" s="75">
        <v>824</v>
      </c>
      <c r="AN877" t="s">
        <v>65</v>
      </c>
      <c r="AO877" t="s">
        <v>1190</v>
      </c>
      <c r="AP877" t="s">
        <v>67</v>
      </c>
      <c r="AQ877" t="s">
        <v>68</v>
      </c>
      <c r="AR877" t="s">
        <v>69</v>
      </c>
      <c r="AS877" s="79"/>
      <c r="AT877" s="82" t="s">
        <v>3949</v>
      </c>
      <c r="AU877" s="78">
        <v>2026</v>
      </c>
      <c r="AV877" s="78">
        <v>3</v>
      </c>
      <c r="AW877" s="78" t="s">
        <v>71</v>
      </c>
      <c r="AX877" s="78">
        <v>1</v>
      </c>
      <c r="AY877" s="78">
        <v>0</v>
      </c>
      <c r="BT877" s="3" t="s">
        <v>71</v>
      </c>
      <c r="BU877" s="3">
        <v>1</v>
      </c>
      <c r="BV877" s="3">
        <v>0</v>
      </c>
    </row>
    <row r="878" spans="1:74" ht="15" customHeight="1" x14ac:dyDescent="0.25">
      <c r="A878" s="75">
        <v>5897927</v>
      </c>
      <c r="B878" t="s">
        <v>3962</v>
      </c>
      <c r="C878" t="s">
        <v>2471</v>
      </c>
      <c r="D878" t="s">
        <v>2379</v>
      </c>
      <c r="E878" t="s">
        <v>105</v>
      </c>
      <c r="F878" s="75">
        <v>860</v>
      </c>
      <c r="G878" s="75">
        <v>326509</v>
      </c>
      <c r="H878">
        <v>1050.01</v>
      </c>
      <c r="I878" t="s">
        <v>55</v>
      </c>
      <c r="J878" s="75">
        <v>82709</v>
      </c>
      <c r="K878" t="s">
        <v>683</v>
      </c>
      <c r="L878" t="s">
        <v>684</v>
      </c>
      <c r="M878" s="81">
        <v>46111.597962962973</v>
      </c>
      <c r="N878" s="81">
        <v>46112.47115740741</v>
      </c>
      <c r="O878" t="s">
        <v>58</v>
      </c>
      <c r="P878" t="s">
        <v>59</v>
      </c>
      <c r="Q878" t="s">
        <v>90</v>
      </c>
      <c r="R878" t="s">
        <v>60</v>
      </c>
      <c r="S878" t="s">
        <v>583</v>
      </c>
      <c r="U878" s="75">
        <v>219965</v>
      </c>
      <c r="V878" t="s">
        <v>3963</v>
      </c>
      <c r="W878" t="s">
        <v>3964</v>
      </c>
      <c r="X878" t="s">
        <v>79</v>
      </c>
      <c r="Y878" t="s">
        <v>110</v>
      </c>
      <c r="AA878" t="s">
        <v>81</v>
      </c>
      <c r="AB878">
        <v>20.916665999999999</v>
      </c>
      <c r="AC878">
        <v>16.95</v>
      </c>
      <c r="AD878">
        <v>3.966666</v>
      </c>
      <c r="AE878">
        <v>0.1</v>
      </c>
      <c r="AF878">
        <v>0</v>
      </c>
      <c r="AG878">
        <v>3.8666659999999999</v>
      </c>
      <c r="AH878">
        <v>3.8666659999999999</v>
      </c>
      <c r="AI878">
        <v>3.8166660000000001</v>
      </c>
      <c r="AJ878">
        <v>0.05</v>
      </c>
      <c r="AK878">
        <v>0</v>
      </c>
      <c r="AL878" s="76">
        <v>45626.000011574077</v>
      </c>
      <c r="AM878" s="75">
        <v>485</v>
      </c>
      <c r="AN878" t="s">
        <v>65</v>
      </c>
      <c r="AO878" t="s">
        <v>686</v>
      </c>
      <c r="AP878" t="s">
        <v>67</v>
      </c>
      <c r="AQ878" t="s">
        <v>83</v>
      </c>
      <c r="AR878" t="s">
        <v>69</v>
      </c>
      <c r="AS878" s="78"/>
      <c r="AT878" s="82" t="s">
        <v>3949</v>
      </c>
      <c r="AU878" s="78">
        <v>2026</v>
      </c>
      <c r="AV878" s="78">
        <v>3</v>
      </c>
      <c r="AW878" s="78" t="s">
        <v>84</v>
      </c>
      <c r="AX878" s="78">
        <v>1</v>
      </c>
      <c r="AY878" s="78">
        <v>0</v>
      </c>
      <c r="BT878" s="2" t="s">
        <v>84</v>
      </c>
      <c r="BU878" s="2">
        <v>1</v>
      </c>
      <c r="BV878" s="2">
        <v>0</v>
      </c>
    </row>
    <row r="879" spans="1:74" ht="15" customHeight="1" x14ac:dyDescent="0.25">
      <c r="A879" s="75">
        <v>5896017</v>
      </c>
      <c r="B879" t="s">
        <v>3965</v>
      </c>
      <c r="C879" t="s">
        <v>3966</v>
      </c>
      <c r="D879" t="s">
        <v>1555</v>
      </c>
      <c r="E879" t="s">
        <v>126</v>
      </c>
      <c r="F879" s="75">
        <v>6</v>
      </c>
      <c r="G879" s="75">
        <v>94309</v>
      </c>
      <c r="H879">
        <v>0</v>
      </c>
      <c r="I879" t="s">
        <v>1405</v>
      </c>
      <c r="J879" s="75">
        <v>19489</v>
      </c>
      <c r="K879" t="s">
        <v>935</v>
      </c>
      <c r="L879" t="s">
        <v>936</v>
      </c>
      <c r="M879" s="81">
        <v>46109.77716435185</v>
      </c>
      <c r="N879" s="81">
        <v>46112.508460648147</v>
      </c>
      <c r="O879" t="s">
        <v>58</v>
      </c>
      <c r="P879" t="s">
        <v>59</v>
      </c>
      <c r="Q879" t="s">
        <v>130</v>
      </c>
      <c r="R879" t="s">
        <v>60</v>
      </c>
      <c r="S879" t="s">
        <v>583</v>
      </c>
      <c r="U879" s="75">
        <v>218897</v>
      </c>
      <c r="V879" t="s">
        <v>3967</v>
      </c>
      <c r="X879" t="s">
        <v>79</v>
      </c>
      <c r="Y879" t="s">
        <v>224</v>
      </c>
      <c r="AA879" t="s">
        <v>64</v>
      </c>
      <c r="AB879">
        <v>65.433334000000002</v>
      </c>
      <c r="AC879">
        <v>59.466667000000001</v>
      </c>
      <c r="AD879">
        <v>5.9666670000000002</v>
      </c>
      <c r="AE879">
        <v>0.15</v>
      </c>
      <c r="AF879">
        <v>0</v>
      </c>
      <c r="AG879">
        <v>5.8166669999999998</v>
      </c>
      <c r="AH879">
        <v>5.8166669999999998</v>
      </c>
      <c r="AI879">
        <v>5.1833330000000002</v>
      </c>
      <c r="AJ879">
        <v>0.63333399999999995</v>
      </c>
      <c r="AK879">
        <v>0</v>
      </c>
      <c r="AL879" s="76">
        <v>43437.6096875</v>
      </c>
      <c r="AM879" s="75">
        <v>2672</v>
      </c>
      <c r="AN879" t="s">
        <v>65</v>
      </c>
      <c r="AO879" t="s">
        <v>1407</v>
      </c>
      <c r="AP879" t="s">
        <v>67</v>
      </c>
      <c r="AQ879" t="s">
        <v>83</v>
      </c>
      <c r="AR879" t="s">
        <v>69</v>
      </c>
      <c r="AS879" s="79"/>
      <c r="AT879" s="82" t="s">
        <v>3949</v>
      </c>
      <c r="AU879" s="78">
        <v>2026</v>
      </c>
      <c r="AV879" s="78">
        <v>3</v>
      </c>
      <c r="AW879" s="78" t="s">
        <v>226</v>
      </c>
      <c r="AX879" s="78">
        <v>1</v>
      </c>
      <c r="AY879" s="78">
        <v>0</v>
      </c>
      <c r="BT879" s="3" t="s">
        <v>226</v>
      </c>
      <c r="BU879" s="3">
        <v>1</v>
      </c>
      <c r="BV879" s="3">
        <v>0</v>
      </c>
    </row>
    <row r="880" spans="1:74" ht="15" customHeight="1" x14ac:dyDescent="0.25">
      <c r="A880" s="75">
        <v>5895465</v>
      </c>
      <c r="B880" t="s">
        <v>3968</v>
      </c>
      <c r="C880" t="s">
        <v>3969</v>
      </c>
      <c r="D880" t="s">
        <v>527</v>
      </c>
      <c r="E880" t="s">
        <v>87</v>
      </c>
      <c r="F880" s="75">
        <v>1609</v>
      </c>
      <c r="G880" s="75">
        <v>349691</v>
      </c>
      <c r="H880">
        <v>334.78</v>
      </c>
      <c r="I880" t="s">
        <v>141</v>
      </c>
      <c r="J880" s="75">
        <v>6971</v>
      </c>
      <c r="K880" t="s">
        <v>369</v>
      </c>
      <c r="L880" t="s">
        <v>370</v>
      </c>
      <c r="M880" s="81">
        <v>46109.139409722222</v>
      </c>
      <c r="N880" s="81">
        <v>46112.529606481483</v>
      </c>
      <c r="O880" t="s">
        <v>58</v>
      </c>
      <c r="P880" t="s">
        <v>59</v>
      </c>
      <c r="Q880" t="s">
        <v>90</v>
      </c>
      <c r="R880" t="s">
        <v>60</v>
      </c>
      <c r="S880" t="s">
        <v>583</v>
      </c>
      <c r="U880" s="75">
        <v>220255</v>
      </c>
      <c r="V880" t="s">
        <v>3970</v>
      </c>
      <c r="W880" t="s">
        <v>3971</v>
      </c>
      <c r="X880" t="s">
        <v>79</v>
      </c>
      <c r="Y880" t="s">
        <v>224</v>
      </c>
      <c r="AA880" t="s">
        <v>416</v>
      </c>
      <c r="AB880">
        <v>81.3</v>
      </c>
      <c r="AC880">
        <v>65.116667000000007</v>
      </c>
      <c r="AD880">
        <v>16.183333000000001</v>
      </c>
      <c r="AE880">
        <v>0.35</v>
      </c>
      <c r="AF880">
        <v>0</v>
      </c>
      <c r="AG880">
        <v>15.833333</v>
      </c>
      <c r="AH880">
        <v>15.833333</v>
      </c>
      <c r="AI880">
        <v>15.55</v>
      </c>
      <c r="AJ880">
        <v>0.283333</v>
      </c>
      <c r="AK880">
        <v>0</v>
      </c>
      <c r="AL880" s="76">
        <v>46149</v>
      </c>
      <c r="AM880" s="75">
        <v>-39</v>
      </c>
      <c r="AN880" t="s">
        <v>1436</v>
      </c>
      <c r="AO880" t="s">
        <v>3972</v>
      </c>
      <c r="AP880" t="s">
        <v>67</v>
      </c>
      <c r="AQ880" t="s">
        <v>83</v>
      </c>
      <c r="AR880" t="s">
        <v>69</v>
      </c>
      <c r="AS880" s="78"/>
      <c r="AT880" s="82" t="s">
        <v>3949</v>
      </c>
      <c r="AU880" s="78">
        <v>2026</v>
      </c>
      <c r="AV880" s="78">
        <v>3</v>
      </c>
      <c r="AW880" s="78" t="s">
        <v>226</v>
      </c>
      <c r="AX880" s="78">
        <v>0</v>
      </c>
      <c r="AY880" s="78">
        <v>0</v>
      </c>
      <c r="BT880" s="2" t="s">
        <v>226</v>
      </c>
      <c r="BU880" s="2">
        <v>0</v>
      </c>
      <c r="BV880" s="2">
        <v>0</v>
      </c>
    </row>
    <row r="881" spans="1:74" ht="15" customHeight="1" x14ac:dyDescent="0.25">
      <c r="A881" s="75">
        <v>5895753</v>
      </c>
      <c r="B881" t="s">
        <v>3973</v>
      </c>
      <c r="C881" t="s">
        <v>3974</v>
      </c>
      <c r="D881" t="s">
        <v>1555</v>
      </c>
      <c r="E881" t="s">
        <v>54</v>
      </c>
      <c r="F881" s="75">
        <v>20</v>
      </c>
      <c r="G881" s="75">
        <v>277843</v>
      </c>
      <c r="H881">
        <v>628.98</v>
      </c>
      <c r="I881" t="s">
        <v>242</v>
      </c>
      <c r="J881" s="75">
        <v>229641</v>
      </c>
      <c r="K881" t="s">
        <v>3975</v>
      </c>
      <c r="L881" t="s">
        <v>3976</v>
      </c>
      <c r="M881" s="81">
        <v>46109.501481481479</v>
      </c>
      <c r="N881" s="81">
        <v>46112.549340277779</v>
      </c>
      <c r="O881" t="s">
        <v>58</v>
      </c>
      <c r="P881" t="s">
        <v>59</v>
      </c>
      <c r="Q881" t="s">
        <v>130</v>
      </c>
      <c r="R881" t="s">
        <v>60</v>
      </c>
      <c r="S881" t="s">
        <v>583</v>
      </c>
      <c r="T881" t="s">
        <v>507</v>
      </c>
      <c r="U881" s="75">
        <v>219085</v>
      </c>
      <c r="V881" t="s">
        <v>3977</v>
      </c>
      <c r="W881" t="s">
        <v>3978</v>
      </c>
      <c r="X881" t="s">
        <v>62</v>
      </c>
      <c r="Y881" t="s">
        <v>63</v>
      </c>
      <c r="AA881" t="s">
        <v>416</v>
      </c>
      <c r="AB881">
        <v>73.050000999999995</v>
      </c>
      <c r="AC881">
        <v>60.416666999999997</v>
      </c>
      <c r="AD881">
        <v>12.633334</v>
      </c>
      <c r="AE881">
        <v>0.1</v>
      </c>
      <c r="AF881">
        <v>0</v>
      </c>
      <c r="AG881">
        <v>12.533334</v>
      </c>
      <c r="AH881">
        <v>12.533334</v>
      </c>
      <c r="AI881">
        <v>12.266667</v>
      </c>
      <c r="AJ881">
        <v>0.26666699999999999</v>
      </c>
      <c r="AK881">
        <v>0</v>
      </c>
      <c r="AL881" s="76">
        <v>44477</v>
      </c>
      <c r="AM881" s="75">
        <v>1632</v>
      </c>
      <c r="AN881" t="s">
        <v>65</v>
      </c>
      <c r="AO881" t="s">
        <v>3979</v>
      </c>
      <c r="AP881" t="s">
        <v>67</v>
      </c>
      <c r="AQ881" t="s">
        <v>68</v>
      </c>
      <c r="AR881" t="s">
        <v>69</v>
      </c>
      <c r="AS881" s="79"/>
      <c r="AT881" s="82" t="s">
        <v>3949</v>
      </c>
      <c r="AU881" s="78">
        <v>2026</v>
      </c>
      <c r="AV881" s="78">
        <v>3</v>
      </c>
      <c r="AW881" s="78" t="s">
        <v>71</v>
      </c>
      <c r="AX881" s="78">
        <v>0</v>
      </c>
      <c r="AY881" s="78">
        <v>0</v>
      </c>
      <c r="BT881" s="3" t="s">
        <v>71</v>
      </c>
      <c r="BU881" s="3">
        <v>0</v>
      </c>
      <c r="BV881" s="3">
        <v>0</v>
      </c>
    </row>
    <row r="882" spans="1:74" ht="15" customHeight="1" x14ac:dyDescent="0.25">
      <c r="A882" s="75">
        <v>5896447</v>
      </c>
      <c r="B882" t="s">
        <v>3980</v>
      </c>
      <c r="C882" t="s">
        <v>3981</v>
      </c>
      <c r="D882" t="s">
        <v>527</v>
      </c>
      <c r="E882" t="s">
        <v>87</v>
      </c>
      <c r="F882" s="75">
        <v>536</v>
      </c>
      <c r="G882" s="75">
        <v>295497</v>
      </c>
      <c r="H882">
        <v>382.47</v>
      </c>
      <c r="I882" t="s">
        <v>55</v>
      </c>
      <c r="J882" s="75">
        <v>216233</v>
      </c>
      <c r="K882" t="s">
        <v>88</v>
      </c>
      <c r="L882" t="s">
        <v>89</v>
      </c>
      <c r="M882" s="81">
        <v>46110.715810185182</v>
      </c>
      <c r="N882" s="81">
        <v>46112.633912037039</v>
      </c>
      <c r="O882" t="s">
        <v>58</v>
      </c>
      <c r="P882" t="s">
        <v>59</v>
      </c>
      <c r="Q882" t="s">
        <v>90</v>
      </c>
      <c r="R882" t="s">
        <v>60</v>
      </c>
      <c r="S882" t="s">
        <v>583</v>
      </c>
      <c r="U882" s="75">
        <v>220257</v>
      </c>
      <c r="V882" t="s">
        <v>3982</v>
      </c>
      <c r="W882" t="s">
        <v>3983</v>
      </c>
      <c r="X882" t="s">
        <v>62</v>
      </c>
      <c r="Y882" t="s">
        <v>63</v>
      </c>
      <c r="AA882" t="s">
        <v>416</v>
      </c>
      <c r="AB882">
        <v>45.949998999999998</v>
      </c>
      <c r="AC882">
        <v>29.016666000000001</v>
      </c>
      <c r="AD882">
        <v>16.933333000000001</v>
      </c>
      <c r="AE882">
        <v>0.45</v>
      </c>
      <c r="AF882">
        <v>0</v>
      </c>
      <c r="AG882">
        <v>16.483332999999998</v>
      </c>
      <c r="AH882">
        <v>16.483332999999998</v>
      </c>
      <c r="AI882">
        <v>15.9</v>
      </c>
      <c r="AJ882">
        <v>0.58333299999999999</v>
      </c>
      <c r="AK882">
        <v>0</v>
      </c>
      <c r="AL882" s="76">
        <v>45435</v>
      </c>
      <c r="AM882" s="75">
        <v>675</v>
      </c>
      <c r="AN882" t="s">
        <v>65</v>
      </c>
      <c r="AO882" t="s">
        <v>3984</v>
      </c>
      <c r="AP882" t="s">
        <v>67</v>
      </c>
      <c r="AQ882" t="s">
        <v>68</v>
      </c>
      <c r="AR882" t="s">
        <v>69</v>
      </c>
      <c r="AS882" s="78"/>
      <c r="AT882" s="82" t="s">
        <v>3949</v>
      </c>
      <c r="AU882" s="78">
        <v>2026</v>
      </c>
      <c r="AV882" s="78">
        <v>3</v>
      </c>
      <c r="AW882" s="78" t="s">
        <v>71</v>
      </c>
      <c r="AX882" s="78">
        <v>0</v>
      </c>
      <c r="AY882" s="78">
        <v>0</v>
      </c>
      <c r="BT882" s="2" t="s">
        <v>71</v>
      </c>
      <c r="BU882" s="2">
        <v>0</v>
      </c>
      <c r="BV882" s="2">
        <v>0</v>
      </c>
    </row>
    <row r="883" spans="1:74" ht="15" customHeight="1" x14ac:dyDescent="0.25">
      <c r="A883" s="75">
        <v>5894529</v>
      </c>
      <c r="B883" t="s">
        <v>3985</v>
      </c>
      <c r="C883" t="s">
        <v>764</v>
      </c>
      <c r="D883" t="s">
        <v>527</v>
      </c>
      <c r="E883" t="s">
        <v>87</v>
      </c>
      <c r="F883" s="75">
        <v>340</v>
      </c>
      <c r="G883" s="75">
        <v>286689</v>
      </c>
      <c r="H883">
        <v>364.96</v>
      </c>
      <c r="I883" t="s">
        <v>55</v>
      </c>
      <c r="J883" s="75">
        <v>218787</v>
      </c>
      <c r="K883" t="s">
        <v>96</v>
      </c>
      <c r="L883" t="s">
        <v>97</v>
      </c>
      <c r="M883" s="81">
        <v>46108.500856481478</v>
      </c>
      <c r="N883" s="81">
        <v>46112.634062500001</v>
      </c>
      <c r="O883" t="s">
        <v>58</v>
      </c>
      <c r="P883" t="s">
        <v>59</v>
      </c>
      <c r="Q883" t="s">
        <v>90</v>
      </c>
      <c r="R883" t="s">
        <v>60</v>
      </c>
      <c r="S883" t="s">
        <v>583</v>
      </c>
      <c r="U883" s="75">
        <v>220253</v>
      </c>
      <c r="V883" t="s">
        <v>3986</v>
      </c>
      <c r="W883" t="s">
        <v>3987</v>
      </c>
      <c r="X883" t="s">
        <v>62</v>
      </c>
      <c r="Y883" t="s">
        <v>63</v>
      </c>
      <c r="AA883" t="s">
        <v>295</v>
      </c>
      <c r="AB883">
        <v>99.049999</v>
      </c>
      <c r="AC883">
        <v>74.716666000000004</v>
      </c>
      <c r="AD883">
        <v>24.333333</v>
      </c>
      <c r="AE883">
        <v>0.16666700000000001</v>
      </c>
      <c r="AF883">
        <v>0</v>
      </c>
      <c r="AG883">
        <v>24.166665999999999</v>
      </c>
      <c r="AH883">
        <v>24.166665999999999</v>
      </c>
      <c r="AI883">
        <v>23.466666</v>
      </c>
      <c r="AJ883">
        <v>0.7</v>
      </c>
      <c r="AK883">
        <v>0</v>
      </c>
      <c r="AL883" s="76">
        <v>44914</v>
      </c>
      <c r="AM883" s="75">
        <v>1194</v>
      </c>
      <c r="AN883" t="s">
        <v>65</v>
      </c>
      <c r="AO883" t="s">
        <v>766</v>
      </c>
      <c r="AP883" t="s">
        <v>67</v>
      </c>
      <c r="AQ883" t="s">
        <v>68</v>
      </c>
      <c r="AR883" t="s">
        <v>69</v>
      </c>
      <c r="AS883" s="79"/>
      <c r="AT883" s="82" t="s">
        <v>3949</v>
      </c>
      <c r="AU883" s="78">
        <v>2026</v>
      </c>
      <c r="AV883" s="78">
        <v>3</v>
      </c>
      <c r="AW883" s="78" t="s">
        <v>71</v>
      </c>
      <c r="AX883" s="78">
        <v>0</v>
      </c>
      <c r="AY883" s="78">
        <v>1</v>
      </c>
      <c r="BT883" s="3" t="s">
        <v>71</v>
      </c>
      <c r="BU883" s="3">
        <v>0</v>
      </c>
      <c r="BV883" s="3">
        <v>1</v>
      </c>
    </row>
    <row r="884" spans="1:74" ht="15" customHeight="1" x14ac:dyDescent="0.25">
      <c r="A884" s="75">
        <v>5896449</v>
      </c>
      <c r="B884" t="s">
        <v>3988</v>
      </c>
      <c r="C884" t="s">
        <v>3989</v>
      </c>
      <c r="D884" t="s">
        <v>2379</v>
      </c>
      <c r="E884" t="s">
        <v>87</v>
      </c>
      <c r="F884" s="75">
        <v>99</v>
      </c>
      <c r="G884" s="75">
        <v>275501</v>
      </c>
      <c r="H884">
        <v>350</v>
      </c>
      <c r="I884" t="s">
        <v>55</v>
      </c>
      <c r="J884" s="75">
        <v>218791</v>
      </c>
      <c r="K884" t="s">
        <v>312</v>
      </c>
      <c r="L884" t="s">
        <v>313</v>
      </c>
      <c r="M884" s="81">
        <v>46110.715833333343</v>
      </c>
      <c r="N884" s="81">
        <v>46112.636238425926</v>
      </c>
      <c r="O884" t="s">
        <v>58</v>
      </c>
      <c r="P884" t="s">
        <v>59</v>
      </c>
      <c r="Q884" t="s">
        <v>90</v>
      </c>
      <c r="R884" t="s">
        <v>60</v>
      </c>
      <c r="S884" t="s">
        <v>583</v>
      </c>
      <c r="U884" s="75">
        <v>219027</v>
      </c>
      <c r="V884" t="s">
        <v>3990</v>
      </c>
      <c r="W884" t="s">
        <v>3990</v>
      </c>
      <c r="X884" t="s">
        <v>62</v>
      </c>
      <c r="Y884" t="s">
        <v>63</v>
      </c>
      <c r="AA884" t="s">
        <v>416</v>
      </c>
      <c r="AB884">
        <v>45.999999000000003</v>
      </c>
      <c r="AC884">
        <v>27.75</v>
      </c>
      <c r="AD884">
        <v>18.249998999999999</v>
      </c>
      <c r="AE884">
        <v>0.35</v>
      </c>
      <c r="AF884">
        <v>0</v>
      </c>
      <c r="AG884">
        <v>17.899999000000001</v>
      </c>
      <c r="AH884">
        <v>17.899999000000001</v>
      </c>
      <c r="AI884">
        <v>17.149999999999999</v>
      </c>
      <c r="AJ884">
        <v>0.74999899999999997</v>
      </c>
      <c r="AK884">
        <v>0</v>
      </c>
      <c r="AL884" s="76">
        <v>44879.361805555563</v>
      </c>
      <c r="AM884" s="75">
        <v>1231</v>
      </c>
      <c r="AN884" t="s">
        <v>65</v>
      </c>
      <c r="AO884" t="s">
        <v>3991</v>
      </c>
      <c r="AP884" t="s">
        <v>67</v>
      </c>
      <c r="AQ884" t="s">
        <v>68</v>
      </c>
      <c r="AR884" t="s">
        <v>69</v>
      </c>
      <c r="AS884" s="78"/>
      <c r="AT884" s="82" t="s">
        <v>3949</v>
      </c>
      <c r="AU884" s="78">
        <v>2026</v>
      </c>
      <c r="AV884" s="78">
        <v>3</v>
      </c>
      <c r="AW884" s="78" t="s">
        <v>71</v>
      </c>
      <c r="AX884" s="78">
        <v>0</v>
      </c>
      <c r="AY884" s="78">
        <v>0</v>
      </c>
      <c r="BT884" s="2" t="s">
        <v>71</v>
      </c>
      <c r="BU884" s="2">
        <v>0</v>
      </c>
      <c r="BV884" s="2">
        <v>0</v>
      </c>
    </row>
    <row r="885" spans="1:74" ht="15" customHeight="1" x14ac:dyDescent="0.25">
      <c r="A885" s="75">
        <v>5896451</v>
      </c>
      <c r="B885" t="s">
        <v>3992</v>
      </c>
      <c r="C885" t="s">
        <v>3993</v>
      </c>
      <c r="D885" t="s">
        <v>2379</v>
      </c>
      <c r="E885" t="s">
        <v>87</v>
      </c>
      <c r="F885" s="75">
        <v>382</v>
      </c>
      <c r="G885" s="75">
        <v>286813</v>
      </c>
      <c r="H885">
        <v>364.96</v>
      </c>
      <c r="I885" t="s">
        <v>55</v>
      </c>
      <c r="J885" s="75">
        <v>218787</v>
      </c>
      <c r="K885" t="s">
        <v>96</v>
      </c>
      <c r="L885" t="s">
        <v>97</v>
      </c>
      <c r="M885" s="81">
        <v>46110.715856481482</v>
      </c>
      <c r="N885" s="81">
        <v>46112.636562500003</v>
      </c>
      <c r="O885" t="s">
        <v>58</v>
      </c>
      <c r="P885" t="s">
        <v>59</v>
      </c>
      <c r="Q885" t="s">
        <v>90</v>
      </c>
      <c r="R885" t="s">
        <v>60</v>
      </c>
      <c r="S885" t="s">
        <v>583</v>
      </c>
      <c r="U885" s="75">
        <v>219337</v>
      </c>
      <c r="V885" t="s">
        <v>3994</v>
      </c>
      <c r="W885" t="s">
        <v>3995</v>
      </c>
      <c r="X885" t="s">
        <v>62</v>
      </c>
      <c r="Y885" t="s">
        <v>63</v>
      </c>
      <c r="AA885" t="s">
        <v>416</v>
      </c>
      <c r="AB885">
        <v>46.016666000000001</v>
      </c>
      <c r="AC885">
        <v>29.333333</v>
      </c>
      <c r="AD885">
        <v>16.683333000000001</v>
      </c>
      <c r="AE885">
        <v>0.216667</v>
      </c>
      <c r="AF885">
        <v>0</v>
      </c>
      <c r="AG885">
        <v>16.466666</v>
      </c>
      <c r="AH885">
        <v>16.466666</v>
      </c>
      <c r="AI885">
        <v>15.316666</v>
      </c>
      <c r="AJ885">
        <v>1.1499999999999999</v>
      </c>
      <c r="AK885">
        <v>0</v>
      </c>
      <c r="AL885" s="76">
        <v>44935</v>
      </c>
      <c r="AM885" s="75">
        <v>1175</v>
      </c>
      <c r="AN885" t="s">
        <v>65</v>
      </c>
      <c r="AO885" t="s">
        <v>3996</v>
      </c>
      <c r="AP885" t="s">
        <v>67</v>
      </c>
      <c r="AQ885" t="s">
        <v>68</v>
      </c>
      <c r="AR885" t="s">
        <v>69</v>
      </c>
      <c r="AS885" s="79"/>
      <c r="AT885" s="82" t="s">
        <v>3949</v>
      </c>
      <c r="AU885" s="78">
        <v>2026</v>
      </c>
      <c r="AV885" s="78">
        <v>3</v>
      </c>
      <c r="AW885" s="78" t="s">
        <v>71</v>
      </c>
      <c r="AX885" s="78">
        <v>0</v>
      </c>
      <c r="AY885" s="78">
        <v>0</v>
      </c>
      <c r="BT885" s="3" t="s">
        <v>71</v>
      </c>
      <c r="BU885" s="3">
        <v>0</v>
      </c>
      <c r="BV885" s="3">
        <v>0</v>
      </c>
    </row>
    <row r="886" spans="1:74" ht="15" customHeight="1" x14ac:dyDescent="0.25">
      <c r="A886" s="75">
        <v>5895771</v>
      </c>
      <c r="B886" t="s">
        <v>3997</v>
      </c>
      <c r="C886" t="s">
        <v>3998</v>
      </c>
      <c r="D886" t="s">
        <v>2379</v>
      </c>
      <c r="E886" t="s">
        <v>54</v>
      </c>
      <c r="F886" s="75">
        <v>11</v>
      </c>
      <c r="G886" s="75">
        <v>63109</v>
      </c>
      <c r="H886">
        <v>381.28</v>
      </c>
      <c r="I886" t="s">
        <v>114</v>
      </c>
      <c r="J886" s="75">
        <v>56161</v>
      </c>
      <c r="K886" t="s">
        <v>275</v>
      </c>
      <c r="L886" t="s">
        <v>3999</v>
      </c>
      <c r="M886" s="81">
        <v>46109.51703703704</v>
      </c>
      <c r="N886" s="81">
        <v>46112.684560185182</v>
      </c>
      <c r="O886" t="s">
        <v>58</v>
      </c>
      <c r="P886" t="s">
        <v>59</v>
      </c>
      <c r="Q886" t="s">
        <v>130</v>
      </c>
      <c r="R886" t="s">
        <v>60</v>
      </c>
      <c r="S886" t="s">
        <v>583</v>
      </c>
      <c r="U886" s="75">
        <v>219737</v>
      </c>
      <c r="V886" t="s">
        <v>4000</v>
      </c>
      <c r="X886" t="s">
        <v>62</v>
      </c>
      <c r="Y886" t="s">
        <v>63</v>
      </c>
      <c r="AA886" t="s">
        <v>101</v>
      </c>
      <c r="AB886">
        <v>75.900000000000006</v>
      </c>
      <c r="AC886">
        <v>63.683334000000002</v>
      </c>
      <c r="AD886">
        <v>12.216666</v>
      </c>
      <c r="AE886">
        <v>0.35</v>
      </c>
      <c r="AF886">
        <v>0</v>
      </c>
      <c r="AG886">
        <v>11.866666</v>
      </c>
      <c r="AH886">
        <v>11.866666</v>
      </c>
      <c r="AI886">
        <v>11.716666</v>
      </c>
      <c r="AJ886">
        <v>0.15</v>
      </c>
      <c r="AK886">
        <v>0</v>
      </c>
      <c r="AL886" s="76">
        <v>43053.695162037038</v>
      </c>
      <c r="AM886" s="75">
        <v>3055</v>
      </c>
      <c r="AN886" t="s">
        <v>65</v>
      </c>
      <c r="AO886" t="s">
        <v>4001</v>
      </c>
      <c r="AP886" t="s">
        <v>67</v>
      </c>
      <c r="AQ886" t="s">
        <v>68</v>
      </c>
      <c r="AR886" t="s">
        <v>69</v>
      </c>
      <c r="AS886" s="78"/>
      <c r="AT886" s="82" t="s">
        <v>3949</v>
      </c>
      <c r="AU886" s="78">
        <v>2026</v>
      </c>
      <c r="AV886" s="78">
        <v>3</v>
      </c>
      <c r="AW886" s="78" t="s">
        <v>71</v>
      </c>
      <c r="AX886" s="78">
        <v>0</v>
      </c>
      <c r="AY886" s="78">
        <v>0</v>
      </c>
      <c r="BT886" s="2" t="s">
        <v>71</v>
      </c>
      <c r="BU886" s="2">
        <v>0</v>
      </c>
      <c r="BV886" s="2">
        <v>0</v>
      </c>
    </row>
    <row r="887" spans="1:74" ht="15" customHeight="1" x14ac:dyDescent="0.25">
      <c r="A887" s="75">
        <v>5896759</v>
      </c>
      <c r="B887" t="s">
        <v>4002</v>
      </c>
      <c r="C887" t="s">
        <v>4003</v>
      </c>
      <c r="D887" t="s">
        <v>809</v>
      </c>
      <c r="E887" t="s">
        <v>54</v>
      </c>
      <c r="F887" s="75">
        <v>1</v>
      </c>
      <c r="G887" s="75">
        <v>350631</v>
      </c>
      <c r="H887">
        <v>1100</v>
      </c>
      <c r="I887" t="s">
        <v>141</v>
      </c>
      <c r="J887" s="75">
        <v>229765</v>
      </c>
      <c r="K887" t="s">
        <v>4004</v>
      </c>
      <c r="L887" t="s">
        <v>4005</v>
      </c>
      <c r="M887" s="81">
        <v>46111.35670138889</v>
      </c>
      <c r="N887" s="81">
        <v>46112.706076388888</v>
      </c>
      <c r="O887" t="s">
        <v>391</v>
      </c>
      <c r="P887" t="s">
        <v>59</v>
      </c>
      <c r="Q887" t="s">
        <v>130</v>
      </c>
      <c r="R887" t="s">
        <v>60</v>
      </c>
      <c r="S887" t="s">
        <v>583</v>
      </c>
      <c r="U887" s="75">
        <v>219421</v>
      </c>
      <c r="V887" t="s">
        <v>4006</v>
      </c>
      <c r="X887" t="s">
        <v>62</v>
      </c>
      <c r="Y887" t="s">
        <v>63</v>
      </c>
      <c r="AA887" t="s">
        <v>416</v>
      </c>
      <c r="AB887">
        <v>32.316668</v>
      </c>
      <c r="AC887">
        <v>11.583334000000001</v>
      </c>
      <c r="AD887">
        <v>20.733333999999999</v>
      </c>
      <c r="AE887">
        <v>0.11666700000000001</v>
      </c>
      <c r="AF887">
        <v>0</v>
      </c>
      <c r="AG887">
        <v>20.616667</v>
      </c>
      <c r="AH887">
        <v>20.616667</v>
      </c>
      <c r="AI887">
        <v>20.283334</v>
      </c>
      <c r="AJ887">
        <v>0.33333299999999999</v>
      </c>
      <c r="AK887">
        <v>0</v>
      </c>
      <c r="AL887" s="76">
        <v>46056.496655092589</v>
      </c>
      <c r="AM887" s="75">
        <v>54</v>
      </c>
      <c r="AN887" t="s">
        <v>65</v>
      </c>
      <c r="AO887" t="s">
        <v>4007</v>
      </c>
      <c r="AP887" t="s">
        <v>67</v>
      </c>
      <c r="AQ887" t="s">
        <v>68</v>
      </c>
      <c r="AR887" t="s">
        <v>69</v>
      </c>
      <c r="AS887" s="79"/>
      <c r="AT887" s="82" t="s">
        <v>3949</v>
      </c>
      <c r="AU887" s="78">
        <v>2026</v>
      </c>
      <c r="AV887" s="78">
        <v>3</v>
      </c>
      <c r="AW887" s="78" t="s">
        <v>71</v>
      </c>
      <c r="AX887" s="78">
        <v>0</v>
      </c>
      <c r="AY887" s="78">
        <v>0</v>
      </c>
      <c r="BT887" s="3" t="s">
        <v>71</v>
      </c>
      <c r="BU887" s="3">
        <v>0</v>
      </c>
      <c r="BV887" s="3">
        <v>0</v>
      </c>
    </row>
    <row r="888" spans="1:74" ht="15" customHeight="1" x14ac:dyDescent="0.25">
      <c r="A888" s="75">
        <v>5895969</v>
      </c>
      <c r="B888" t="s">
        <v>4008</v>
      </c>
      <c r="C888" t="s">
        <v>4009</v>
      </c>
      <c r="D888" t="s">
        <v>1555</v>
      </c>
      <c r="E888" t="s">
        <v>87</v>
      </c>
      <c r="F888" s="75">
        <v>369</v>
      </c>
      <c r="G888" s="75">
        <v>286779</v>
      </c>
      <c r="H888">
        <v>364.96</v>
      </c>
      <c r="I888" t="s">
        <v>55</v>
      </c>
      <c r="J888" s="75">
        <v>218787</v>
      </c>
      <c r="K888" t="s">
        <v>96</v>
      </c>
      <c r="L888" t="s">
        <v>97</v>
      </c>
      <c r="M888" s="81">
        <v>46109.722812499997</v>
      </c>
      <c r="N888" s="81">
        <v>46112.77685185185</v>
      </c>
      <c r="O888" t="s">
        <v>58</v>
      </c>
      <c r="P888" t="s">
        <v>59</v>
      </c>
      <c r="Q888" t="s">
        <v>90</v>
      </c>
      <c r="R888" t="s">
        <v>156</v>
      </c>
      <c r="S888" t="s">
        <v>1320</v>
      </c>
      <c r="U888" s="75">
        <v>219087</v>
      </c>
      <c r="V888" t="s">
        <v>4010</v>
      </c>
      <c r="X888" t="s">
        <v>62</v>
      </c>
      <c r="Y888" t="s">
        <v>63</v>
      </c>
      <c r="AA888" t="s">
        <v>101</v>
      </c>
      <c r="AB888">
        <v>73.216667999999999</v>
      </c>
      <c r="AC888">
        <v>63.233333999999999</v>
      </c>
      <c r="AD888">
        <v>9.9833339999999993</v>
      </c>
      <c r="AE888">
        <v>0.15</v>
      </c>
      <c r="AF888">
        <v>0</v>
      </c>
      <c r="AG888">
        <v>9.8333340000000007</v>
      </c>
      <c r="AH888">
        <v>9.8333340000000007</v>
      </c>
      <c r="AI888">
        <v>9.6833340000000003</v>
      </c>
      <c r="AJ888">
        <v>0.15</v>
      </c>
      <c r="AK888">
        <v>0</v>
      </c>
      <c r="AL888" s="76">
        <v>44964</v>
      </c>
      <c r="AM888" s="75">
        <v>1145</v>
      </c>
      <c r="AN888" t="s">
        <v>65</v>
      </c>
      <c r="AO888" t="s">
        <v>4011</v>
      </c>
      <c r="AP888" t="s">
        <v>67</v>
      </c>
      <c r="AQ888" t="s">
        <v>68</v>
      </c>
      <c r="AR888" t="s">
        <v>69</v>
      </c>
      <c r="AS888" s="78"/>
      <c r="AT888" s="82" t="s">
        <v>3949</v>
      </c>
      <c r="AU888" s="78">
        <v>2026</v>
      </c>
      <c r="AV888" s="78">
        <v>3</v>
      </c>
      <c r="AW888" s="78" t="s">
        <v>71</v>
      </c>
      <c r="AX888" s="78">
        <v>0</v>
      </c>
      <c r="AY888" s="78">
        <v>0</v>
      </c>
      <c r="BT888" s="2" t="s">
        <v>71</v>
      </c>
      <c r="BU888" s="2">
        <v>0</v>
      </c>
      <c r="BV888" s="2">
        <v>0</v>
      </c>
    </row>
    <row r="889" spans="1:74" ht="15" customHeight="1" x14ac:dyDescent="0.25">
      <c r="A889" s="75">
        <v>5898663</v>
      </c>
      <c r="B889" t="s">
        <v>4012</v>
      </c>
      <c r="C889" t="s">
        <v>4013</v>
      </c>
      <c r="D889" t="s">
        <v>527</v>
      </c>
      <c r="E889" t="s">
        <v>87</v>
      </c>
      <c r="F889" s="75">
        <v>30</v>
      </c>
      <c r="G889" s="75">
        <v>279691</v>
      </c>
      <c r="H889">
        <v>516.22</v>
      </c>
      <c r="I889" t="s">
        <v>266</v>
      </c>
      <c r="J889" s="75">
        <v>149307</v>
      </c>
      <c r="K889" t="s">
        <v>350</v>
      </c>
      <c r="L889" t="s">
        <v>351</v>
      </c>
      <c r="M889" s="81">
        <v>46111.910057870373</v>
      </c>
      <c r="N889" s="81">
        <v>46113.308344907397</v>
      </c>
      <c r="O889" t="s">
        <v>624</v>
      </c>
      <c r="P889" t="s">
        <v>59</v>
      </c>
      <c r="Q889" t="s">
        <v>90</v>
      </c>
      <c r="R889" t="s">
        <v>99</v>
      </c>
      <c r="S889" t="s">
        <v>1244</v>
      </c>
      <c r="U889" s="75">
        <v>220233</v>
      </c>
      <c r="V889" t="s">
        <v>4014</v>
      </c>
      <c r="X889" t="s">
        <v>62</v>
      </c>
      <c r="Y889" t="s">
        <v>4015</v>
      </c>
      <c r="AA889" t="s">
        <v>101</v>
      </c>
      <c r="AB889">
        <v>33.499999000000003</v>
      </c>
      <c r="AC889">
        <v>19.850000000000001</v>
      </c>
      <c r="AD889">
        <v>13.649998999999999</v>
      </c>
      <c r="AE889">
        <v>2.1</v>
      </c>
      <c r="AF889">
        <v>0</v>
      </c>
      <c r="AG889">
        <v>11.549999</v>
      </c>
      <c r="AH889">
        <v>11.549999</v>
      </c>
      <c r="AI889">
        <v>10.883333</v>
      </c>
      <c r="AJ889">
        <v>0.66666599999999998</v>
      </c>
      <c r="AK889">
        <v>0</v>
      </c>
      <c r="AL889" s="76">
        <v>44803</v>
      </c>
      <c r="AM889" s="75">
        <v>1308</v>
      </c>
      <c r="AN889" t="s">
        <v>65</v>
      </c>
      <c r="AO889" t="s">
        <v>4016</v>
      </c>
      <c r="AP889" t="s">
        <v>67</v>
      </c>
      <c r="AQ889" t="s">
        <v>68</v>
      </c>
      <c r="AR889" t="s">
        <v>69</v>
      </c>
      <c r="AS889" s="79"/>
      <c r="AT889" s="82" t="s">
        <v>3949</v>
      </c>
      <c r="AU889" s="78">
        <v>2026</v>
      </c>
      <c r="AV889" s="78">
        <v>4</v>
      </c>
      <c r="AW889" s="78" t="s">
        <v>137</v>
      </c>
      <c r="AX889" s="78">
        <v>0</v>
      </c>
      <c r="AY889" s="78">
        <v>0</v>
      </c>
      <c r="BT889" s="3" t="s">
        <v>137</v>
      </c>
      <c r="BU889" s="3">
        <v>0</v>
      </c>
      <c r="BV889" s="3">
        <v>0</v>
      </c>
    </row>
    <row r="890" spans="1:74" ht="15" customHeight="1" x14ac:dyDescent="0.25">
      <c r="A890" s="75">
        <v>5896827</v>
      </c>
      <c r="B890" t="s">
        <v>4017</v>
      </c>
      <c r="C890" t="s">
        <v>4018</v>
      </c>
      <c r="D890" t="s">
        <v>1388</v>
      </c>
      <c r="E890" t="s">
        <v>87</v>
      </c>
      <c r="F890" s="75">
        <v>53</v>
      </c>
      <c r="G890" s="75">
        <v>280229</v>
      </c>
      <c r="H890">
        <v>926.83</v>
      </c>
      <c r="I890" t="s">
        <v>266</v>
      </c>
      <c r="J890" s="75">
        <v>201809</v>
      </c>
      <c r="K890" t="s">
        <v>505</v>
      </c>
      <c r="L890" t="s">
        <v>506</v>
      </c>
      <c r="M890" s="81">
        <v>46111.368495370371</v>
      </c>
      <c r="N890" s="81">
        <v>46113.359259259261</v>
      </c>
      <c r="O890" t="s">
        <v>58</v>
      </c>
      <c r="P890" t="s">
        <v>59</v>
      </c>
      <c r="Q890" t="s">
        <v>90</v>
      </c>
      <c r="R890" t="s">
        <v>99</v>
      </c>
      <c r="S890" t="s">
        <v>1244</v>
      </c>
      <c r="T890" t="s">
        <v>4019</v>
      </c>
      <c r="U890" s="75">
        <v>219459</v>
      </c>
      <c r="V890" t="s">
        <v>4020</v>
      </c>
      <c r="X890" t="s">
        <v>62</v>
      </c>
      <c r="Y890" t="s">
        <v>4021</v>
      </c>
      <c r="AA890" t="s">
        <v>81</v>
      </c>
      <c r="AB890">
        <v>47.7</v>
      </c>
      <c r="AC890">
        <v>45.016666999999998</v>
      </c>
      <c r="AD890">
        <v>2.6833330000000002</v>
      </c>
      <c r="AE890">
        <v>0.05</v>
      </c>
      <c r="AF890">
        <v>0</v>
      </c>
      <c r="AG890">
        <v>2.6333329999999999</v>
      </c>
      <c r="AH890">
        <v>2.6333329999999999</v>
      </c>
      <c r="AI890">
        <v>2.5833330000000001</v>
      </c>
      <c r="AJ890">
        <v>0.05</v>
      </c>
      <c r="AK890">
        <v>0</v>
      </c>
      <c r="AL890" s="76">
        <v>44399</v>
      </c>
      <c r="AM890" s="75">
        <v>1712</v>
      </c>
      <c r="AN890" t="s">
        <v>65</v>
      </c>
      <c r="AO890" t="s">
        <v>4022</v>
      </c>
      <c r="AP890" t="s">
        <v>67</v>
      </c>
      <c r="AQ890" t="s">
        <v>68</v>
      </c>
      <c r="AR890" t="s">
        <v>69</v>
      </c>
      <c r="AS890" s="78"/>
      <c r="AT890" s="82" t="s">
        <v>3949</v>
      </c>
      <c r="AU890" s="78">
        <v>2026</v>
      </c>
      <c r="AV890" s="78">
        <v>4</v>
      </c>
      <c r="AW890" s="78" t="s">
        <v>137</v>
      </c>
      <c r="AX890" s="78">
        <v>1</v>
      </c>
      <c r="AY890" s="78">
        <v>0</v>
      </c>
      <c r="BT890" s="2" t="s">
        <v>137</v>
      </c>
      <c r="BU890" s="2">
        <v>1</v>
      </c>
      <c r="BV890" s="2">
        <v>0</v>
      </c>
    </row>
    <row r="891" spans="1:74" ht="15" customHeight="1" x14ac:dyDescent="0.25">
      <c r="A891" s="75">
        <v>5898639</v>
      </c>
      <c r="B891" t="s">
        <v>4023</v>
      </c>
      <c r="C891" t="s">
        <v>4024</v>
      </c>
      <c r="D891" t="s">
        <v>150</v>
      </c>
      <c r="E891" t="s">
        <v>105</v>
      </c>
      <c r="F891" s="75">
        <v>930</v>
      </c>
      <c r="G891" s="75">
        <v>328359</v>
      </c>
      <c r="H891">
        <v>600</v>
      </c>
      <c r="I891" t="s">
        <v>175</v>
      </c>
      <c r="J891" s="75">
        <v>83605</v>
      </c>
      <c r="K891" t="s">
        <v>844</v>
      </c>
      <c r="L891" t="s">
        <v>845</v>
      </c>
      <c r="M891" s="81">
        <v>46111.868738425917</v>
      </c>
      <c r="N891" s="81">
        <v>46113.388414351852</v>
      </c>
      <c r="O891" t="s">
        <v>58</v>
      </c>
      <c r="P891" t="s">
        <v>59</v>
      </c>
      <c r="Q891" t="s">
        <v>90</v>
      </c>
      <c r="R891" t="s">
        <v>131</v>
      </c>
      <c r="S891" t="s">
        <v>1316</v>
      </c>
      <c r="U891" s="75">
        <v>220221</v>
      </c>
      <c r="V891" t="s">
        <v>4025</v>
      </c>
      <c r="X891" t="s">
        <v>62</v>
      </c>
      <c r="Y891" t="s">
        <v>1380</v>
      </c>
      <c r="AA891" t="s">
        <v>295</v>
      </c>
      <c r="AB891">
        <v>36.416665999999999</v>
      </c>
      <c r="AC891">
        <v>0.15</v>
      </c>
      <c r="AD891">
        <v>36.266666000000001</v>
      </c>
      <c r="AE891">
        <v>0.48333300000000001</v>
      </c>
      <c r="AF891">
        <v>0</v>
      </c>
      <c r="AG891">
        <v>35.783332999999999</v>
      </c>
      <c r="AH891">
        <v>35.783332999999999</v>
      </c>
      <c r="AI891">
        <v>35.533332999999999</v>
      </c>
      <c r="AJ891">
        <v>0.25</v>
      </c>
      <c r="AK891">
        <v>0</v>
      </c>
      <c r="AL891" s="76">
        <v>45777.749374999999</v>
      </c>
      <c r="AM891" s="75">
        <v>334</v>
      </c>
      <c r="AN891" t="s">
        <v>65</v>
      </c>
      <c r="AO891" t="s">
        <v>1381</v>
      </c>
      <c r="AP891" t="s">
        <v>67</v>
      </c>
      <c r="AQ891" t="s">
        <v>68</v>
      </c>
      <c r="AR891" t="s">
        <v>69</v>
      </c>
      <c r="AS891" s="79"/>
      <c r="AT891" s="82" t="s">
        <v>3949</v>
      </c>
      <c r="AU891" s="78">
        <v>2026</v>
      </c>
      <c r="AV891" s="78">
        <v>4</v>
      </c>
      <c r="AW891" s="78" t="s">
        <v>137</v>
      </c>
      <c r="AX891" s="78">
        <v>0</v>
      </c>
      <c r="AY891" s="78">
        <v>1</v>
      </c>
      <c r="BT891" s="3" t="s">
        <v>137</v>
      </c>
      <c r="BU891" s="3">
        <v>0</v>
      </c>
      <c r="BV891" s="3">
        <v>1</v>
      </c>
    </row>
    <row r="892" spans="1:74" ht="15" customHeight="1" x14ac:dyDescent="0.25">
      <c r="A892" s="75">
        <v>5894939</v>
      </c>
      <c r="B892" t="s">
        <v>4026</v>
      </c>
      <c r="C892" t="s">
        <v>4027</v>
      </c>
      <c r="D892" t="s">
        <v>1388</v>
      </c>
      <c r="E892" t="s">
        <v>126</v>
      </c>
      <c r="F892" s="75">
        <v>21</v>
      </c>
      <c r="G892" s="75">
        <v>336107</v>
      </c>
      <c r="H892">
        <v>0</v>
      </c>
      <c r="I892" t="s">
        <v>1184</v>
      </c>
      <c r="J892" s="75">
        <v>204503</v>
      </c>
      <c r="K892" t="s">
        <v>4028</v>
      </c>
      <c r="L892" t="s">
        <v>4029</v>
      </c>
      <c r="M892" s="81">
        <v>46108.656400462962</v>
      </c>
      <c r="N892" s="81">
        <v>46113.404143518521</v>
      </c>
      <c r="O892" t="s">
        <v>475</v>
      </c>
      <c r="P892" t="s">
        <v>59</v>
      </c>
      <c r="Q892" t="s">
        <v>905</v>
      </c>
      <c r="R892" t="s">
        <v>99</v>
      </c>
      <c r="S892" t="s">
        <v>1375</v>
      </c>
      <c r="U892" s="75">
        <v>220787</v>
      </c>
      <c r="V892" t="s">
        <v>4030</v>
      </c>
      <c r="W892" t="s">
        <v>4031</v>
      </c>
      <c r="X892" t="s">
        <v>62</v>
      </c>
      <c r="Y892" t="s">
        <v>1186</v>
      </c>
      <c r="AA892" t="s">
        <v>416</v>
      </c>
      <c r="AB892">
        <v>113.816667</v>
      </c>
      <c r="AC892">
        <v>99.716667000000001</v>
      </c>
      <c r="AD892">
        <v>14.1</v>
      </c>
      <c r="AE892">
        <v>0.15</v>
      </c>
      <c r="AF892">
        <v>0</v>
      </c>
      <c r="AG892">
        <v>13.95</v>
      </c>
      <c r="AH892">
        <v>13.95</v>
      </c>
      <c r="AI892">
        <v>12</v>
      </c>
      <c r="AJ892">
        <v>1.95</v>
      </c>
      <c r="AK892">
        <v>0</v>
      </c>
      <c r="AL892" s="76"/>
      <c r="AM892" s="75"/>
      <c r="AN892" t="s">
        <v>135</v>
      </c>
      <c r="AO892" t="s">
        <v>4032</v>
      </c>
      <c r="AP892" t="s">
        <v>67</v>
      </c>
      <c r="AQ892" t="s">
        <v>68</v>
      </c>
      <c r="AR892" t="s">
        <v>69</v>
      </c>
      <c r="AS892" s="78"/>
      <c r="AT892" s="82" t="s">
        <v>3949</v>
      </c>
      <c r="AU892" s="78">
        <v>2026</v>
      </c>
      <c r="AV892" s="78">
        <v>4</v>
      </c>
      <c r="AW892" s="78" t="s">
        <v>137</v>
      </c>
      <c r="AX892" s="78">
        <v>0</v>
      </c>
      <c r="AY892" s="78">
        <v>0</v>
      </c>
      <c r="BT892" s="2" t="s">
        <v>137</v>
      </c>
      <c r="BU892" s="2">
        <v>0</v>
      </c>
      <c r="BV892" s="2">
        <v>0</v>
      </c>
    </row>
    <row r="893" spans="1:74" ht="15" customHeight="1" x14ac:dyDescent="0.25">
      <c r="A893" s="75">
        <v>5898103</v>
      </c>
      <c r="B893" t="s">
        <v>4033</v>
      </c>
      <c r="C893" t="s">
        <v>4034</v>
      </c>
      <c r="D893" t="s">
        <v>527</v>
      </c>
      <c r="E893" t="s">
        <v>105</v>
      </c>
      <c r="F893" s="75">
        <v>1131</v>
      </c>
      <c r="G893" s="75">
        <v>333539</v>
      </c>
      <c r="H893">
        <v>456.52</v>
      </c>
      <c r="I893" t="s">
        <v>175</v>
      </c>
      <c r="J893" s="75">
        <v>83605</v>
      </c>
      <c r="K893" t="s">
        <v>844</v>
      </c>
      <c r="L893" t="s">
        <v>845</v>
      </c>
      <c r="M893" s="81">
        <v>46111.651435185187</v>
      </c>
      <c r="N893" s="81">
        <v>46113.420868055553</v>
      </c>
      <c r="O893" t="s">
        <v>475</v>
      </c>
      <c r="P893" t="s">
        <v>59</v>
      </c>
      <c r="Q893" t="s">
        <v>130</v>
      </c>
      <c r="R893" t="s">
        <v>131</v>
      </c>
      <c r="S893" t="s">
        <v>1695</v>
      </c>
      <c r="U893" s="75">
        <v>221555</v>
      </c>
      <c r="V893" t="s">
        <v>4035</v>
      </c>
      <c r="W893" t="s">
        <v>4036</v>
      </c>
      <c r="X893" t="s">
        <v>62</v>
      </c>
      <c r="Y893" t="s">
        <v>63</v>
      </c>
      <c r="AA893" t="s">
        <v>295</v>
      </c>
      <c r="AB893">
        <v>42.366667</v>
      </c>
      <c r="AC893">
        <v>7.0666659999999997</v>
      </c>
      <c r="AD893">
        <v>35.300001000000002</v>
      </c>
      <c r="AE893">
        <v>1.25</v>
      </c>
      <c r="AF893">
        <v>0</v>
      </c>
      <c r="AG893">
        <v>34.050001000000002</v>
      </c>
      <c r="AH893">
        <v>34.050001000000002</v>
      </c>
      <c r="AI893">
        <v>33.383333999999998</v>
      </c>
      <c r="AJ893">
        <v>0.66666700000000001</v>
      </c>
      <c r="AK893">
        <v>0</v>
      </c>
      <c r="AL893" s="76">
        <v>45895</v>
      </c>
      <c r="AM893" s="75">
        <v>216</v>
      </c>
      <c r="AN893" t="s">
        <v>65</v>
      </c>
      <c r="AO893" t="s">
        <v>1888</v>
      </c>
      <c r="AP893" t="s">
        <v>67</v>
      </c>
      <c r="AQ893" t="s">
        <v>68</v>
      </c>
      <c r="AR893" t="s">
        <v>69</v>
      </c>
      <c r="AS893" s="79"/>
      <c r="AT893" s="82" t="s">
        <v>3949</v>
      </c>
      <c r="AU893" s="78">
        <v>2026</v>
      </c>
      <c r="AV893" s="78">
        <v>4</v>
      </c>
      <c r="AW893" s="78" t="s">
        <v>71</v>
      </c>
      <c r="AX893" s="78">
        <v>0</v>
      </c>
      <c r="AY893" s="78">
        <v>1</v>
      </c>
      <c r="BT893" s="3" t="s">
        <v>71</v>
      </c>
      <c r="BU893" s="3">
        <v>0</v>
      </c>
      <c r="BV893" s="3">
        <v>1</v>
      </c>
    </row>
    <row r="894" spans="1:74" ht="15" customHeight="1" x14ac:dyDescent="0.25">
      <c r="A894" s="75">
        <v>5900413</v>
      </c>
      <c r="B894" t="s">
        <v>4037</v>
      </c>
      <c r="C894" t="s">
        <v>154</v>
      </c>
      <c r="D894" t="s">
        <v>2379</v>
      </c>
      <c r="E894" t="s">
        <v>87</v>
      </c>
      <c r="F894" s="75">
        <v>266</v>
      </c>
      <c r="G894" s="75">
        <v>286377</v>
      </c>
      <c r="H894">
        <v>364.96</v>
      </c>
      <c r="I894" t="s">
        <v>55</v>
      </c>
      <c r="J894" s="75">
        <v>218787</v>
      </c>
      <c r="K894" t="s">
        <v>96</v>
      </c>
      <c r="L894" t="s">
        <v>97</v>
      </c>
      <c r="M894" s="81">
        <v>46112.79246527778</v>
      </c>
      <c r="N894" s="81">
        <v>46113.431817129633</v>
      </c>
      <c r="O894" t="s">
        <v>58</v>
      </c>
      <c r="P894" t="s">
        <v>59</v>
      </c>
      <c r="Q894" t="s">
        <v>90</v>
      </c>
      <c r="R894" t="s">
        <v>99</v>
      </c>
      <c r="S894" t="s">
        <v>1244</v>
      </c>
      <c r="U894" s="75"/>
      <c r="X894" t="s">
        <v>62</v>
      </c>
      <c r="Y894" t="s">
        <v>63</v>
      </c>
      <c r="AA894" t="s">
        <v>81</v>
      </c>
      <c r="AB894">
        <v>15.316666</v>
      </c>
      <c r="AC894">
        <v>13.283333000000001</v>
      </c>
      <c r="AD894">
        <v>2.0333329999999998</v>
      </c>
      <c r="AE894">
        <v>0.4</v>
      </c>
      <c r="AF894">
        <v>0</v>
      </c>
      <c r="AG894">
        <v>1.6333329999999999</v>
      </c>
      <c r="AH894">
        <v>1.6333329999999999</v>
      </c>
      <c r="AI894">
        <v>0</v>
      </c>
      <c r="AJ894">
        <v>1.6333329999999999</v>
      </c>
      <c r="AK894">
        <v>0</v>
      </c>
      <c r="AL894" s="76">
        <v>44890</v>
      </c>
      <c r="AM894" s="75">
        <v>1222</v>
      </c>
      <c r="AN894" t="s">
        <v>65</v>
      </c>
      <c r="AO894" t="s">
        <v>159</v>
      </c>
      <c r="AP894" t="s">
        <v>67</v>
      </c>
      <c r="AQ894" t="s">
        <v>68</v>
      </c>
      <c r="AR894" t="s">
        <v>69</v>
      </c>
      <c r="AS894" s="78"/>
      <c r="AT894" s="82" t="s">
        <v>3949</v>
      </c>
      <c r="AU894" s="78">
        <v>2026</v>
      </c>
      <c r="AV894" s="78">
        <v>4</v>
      </c>
      <c r="AW894" s="78" t="s">
        <v>71</v>
      </c>
      <c r="AX894" s="78">
        <v>1</v>
      </c>
      <c r="AY894" s="78">
        <v>0</v>
      </c>
      <c r="BT894" s="2" t="s">
        <v>71</v>
      </c>
      <c r="BU894" s="2">
        <v>1</v>
      </c>
      <c r="BV894" s="2">
        <v>0</v>
      </c>
    </row>
    <row r="895" spans="1:74" ht="15" customHeight="1" x14ac:dyDescent="0.25">
      <c r="A895" s="75">
        <v>5900301</v>
      </c>
      <c r="B895" t="s">
        <v>4038</v>
      </c>
      <c r="C895" t="s">
        <v>4039</v>
      </c>
      <c r="D895" t="s">
        <v>150</v>
      </c>
      <c r="E895" t="s">
        <v>105</v>
      </c>
      <c r="F895" s="75">
        <v>624</v>
      </c>
      <c r="G895" s="75">
        <v>342901</v>
      </c>
      <c r="H895">
        <v>225</v>
      </c>
      <c r="I895" t="s">
        <v>163</v>
      </c>
      <c r="J895" s="75">
        <v>48887</v>
      </c>
      <c r="K895" t="s">
        <v>164</v>
      </c>
      <c r="L895" t="s">
        <v>165</v>
      </c>
      <c r="M895" s="81">
        <v>46112.749398148153</v>
      </c>
      <c r="N895" s="81">
        <v>46113.527974537043</v>
      </c>
      <c r="O895" t="s">
        <v>58</v>
      </c>
      <c r="P895" t="s">
        <v>59</v>
      </c>
      <c r="Q895" t="s">
        <v>77</v>
      </c>
      <c r="R895" t="s">
        <v>131</v>
      </c>
      <c r="S895" t="s">
        <v>1316</v>
      </c>
      <c r="U895" s="75">
        <v>221201</v>
      </c>
      <c r="V895" t="s">
        <v>4040</v>
      </c>
      <c r="W895" t="s">
        <v>4040</v>
      </c>
      <c r="X895" t="s">
        <v>62</v>
      </c>
      <c r="Y895" t="s">
        <v>63</v>
      </c>
      <c r="AA895" t="s">
        <v>64</v>
      </c>
      <c r="AB895">
        <v>18.616667</v>
      </c>
      <c r="AC895">
        <v>14.283334</v>
      </c>
      <c r="AD895">
        <v>4.3333329999999997</v>
      </c>
      <c r="AE895">
        <v>0.11666700000000001</v>
      </c>
      <c r="AF895">
        <v>0</v>
      </c>
      <c r="AG895">
        <v>4.216666</v>
      </c>
      <c r="AH895">
        <v>4.216666</v>
      </c>
      <c r="AI895">
        <v>3.5833330000000001</v>
      </c>
      <c r="AJ895">
        <v>0.63333300000000003</v>
      </c>
      <c r="AK895">
        <v>0</v>
      </c>
      <c r="AL895" s="76">
        <v>45894</v>
      </c>
      <c r="AM895" s="75">
        <v>218</v>
      </c>
      <c r="AN895" t="s">
        <v>65</v>
      </c>
      <c r="AO895" t="s">
        <v>3259</v>
      </c>
      <c r="AP895" t="s">
        <v>67</v>
      </c>
      <c r="AQ895" t="s">
        <v>68</v>
      </c>
      <c r="AR895" t="s">
        <v>69</v>
      </c>
      <c r="AS895" s="79"/>
      <c r="AT895" s="82" t="s">
        <v>3949</v>
      </c>
      <c r="AU895" s="78">
        <v>2026</v>
      </c>
      <c r="AV895" s="78">
        <v>4</v>
      </c>
      <c r="AW895" s="78" t="s">
        <v>71</v>
      </c>
      <c r="AX895" s="78">
        <v>1</v>
      </c>
      <c r="AY895" s="78">
        <v>0</v>
      </c>
      <c r="BT895" s="3" t="s">
        <v>71</v>
      </c>
      <c r="BU895" s="3">
        <v>1</v>
      </c>
      <c r="BV895" s="3">
        <v>0</v>
      </c>
    </row>
    <row r="896" spans="1:74" ht="15" customHeight="1" x14ac:dyDescent="0.25">
      <c r="A896" s="75">
        <v>5897819</v>
      </c>
      <c r="B896" t="s">
        <v>4041</v>
      </c>
      <c r="C896" t="s">
        <v>4042</v>
      </c>
      <c r="D896" t="s">
        <v>1555</v>
      </c>
      <c r="E896" t="s">
        <v>54</v>
      </c>
      <c r="F896" s="75">
        <v>7</v>
      </c>
      <c r="G896" s="75">
        <v>325039</v>
      </c>
      <c r="H896">
        <v>800</v>
      </c>
      <c r="I896" t="s">
        <v>114</v>
      </c>
      <c r="J896" s="75">
        <v>201963</v>
      </c>
      <c r="K896" t="s">
        <v>3248</v>
      </c>
      <c r="L896" t="s">
        <v>3249</v>
      </c>
      <c r="M896" s="81">
        <v>46111.567499999997</v>
      </c>
      <c r="N896" s="81">
        <v>46113.583819444437</v>
      </c>
      <c r="O896" t="s">
        <v>58</v>
      </c>
      <c r="P896" t="s">
        <v>59</v>
      </c>
      <c r="R896" t="s">
        <v>60</v>
      </c>
      <c r="S896" t="s">
        <v>3805</v>
      </c>
      <c r="U896" s="75">
        <v>219903</v>
      </c>
      <c r="V896" t="s">
        <v>4043</v>
      </c>
      <c r="X896" t="s">
        <v>79</v>
      </c>
      <c r="Y896" t="s">
        <v>224</v>
      </c>
      <c r="AA896" t="s">
        <v>101</v>
      </c>
      <c r="AB896">
        <v>48.300001000000002</v>
      </c>
      <c r="AC896">
        <v>36.766666999999998</v>
      </c>
      <c r="AD896">
        <v>11.533334</v>
      </c>
      <c r="AE896">
        <v>0.2</v>
      </c>
      <c r="AF896">
        <v>0</v>
      </c>
      <c r="AG896">
        <v>11.333334000000001</v>
      </c>
      <c r="AH896">
        <v>11.333334000000001</v>
      </c>
      <c r="AI896">
        <v>10.283334</v>
      </c>
      <c r="AJ896">
        <v>1.05</v>
      </c>
      <c r="AK896">
        <v>0</v>
      </c>
      <c r="AL896" s="76">
        <v>45531.894155092603</v>
      </c>
      <c r="AM896" s="75">
        <v>579</v>
      </c>
      <c r="AN896" t="s">
        <v>65</v>
      </c>
      <c r="AO896" t="s">
        <v>3251</v>
      </c>
      <c r="AP896" t="s">
        <v>67</v>
      </c>
      <c r="AQ896" t="s">
        <v>83</v>
      </c>
      <c r="AR896" t="s">
        <v>69</v>
      </c>
      <c r="AS896" s="78"/>
      <c r="AT896" s="82" t="s">
        <v>3949</v>
      </c>
      <c r="AU896" s="78">
        <v>2026</v>
      </c>
      <c r="AV896" s="78">
        <v>4</v>
      </c>
      <c r="AW896" s="78" t="s">
        <v>226</v>
      </c>
      <c r="AX896" s="78">
        <v>0</v>
      </c>
      <c r="AY896" s="78">
        <v>0</v>
      </c>
      <c r="BT896" s="2" t="s">
        <v>226</v>
      </c>
      <c r="BU896" s="2">
        <v>0</v>
      </c>
      <c r="BV896" s="2">
        <v>0</v>
      </c>
    </row>
    <row r="897" spans="1:74" ht="15" customHeight="1" x14ac:dyDescent="0.25">
      <c r="A897" s="75">
        <v>5901339</v>
      </c>
      <c r="B897" t="s">
        <v>4044</v>
      </c>
      <c r="C897" t="s">
        <v>1916</v>
      </c>
      <c r="D897" t="s">
        <v>527</v>
      </c>
      <c r="E897" t="s">
        <v>87</v>
      </c>
      <c r="F897" s="75">
        <v>295</v>
      </c>
      <c r="G897" s="75">
        <v>286465</v>
      </c>
      <c r="H897">
        <v>364.96</v>
      </c>
      <c r="I897" t="s">
        <v>55</v>
      </c>
      <c r="J897" s="75">
        <v>218787</v>
      </c>
      <c r="K897" t="s">
        <v>96</v>
      </c>
      <c r="L897" t="s">
        <v>97</v>
      </c>
      <c r="M897" s="81">
        <v>46113.479814814818</v>
      </c>
      <c r="N897" s="81">
        <v>46113.616423611107</v>
      </c>
      <c r="O897" t="s">
        <v>277</v>
      </c>
      <c r="P897" t="s">
        <v>59</v>
      </c>
      <c r="Q897" t="s">
        <v>90</v>
      </c>
      <c r="R897" t="s">
        <v>99</v>
      </c>
      <c r="S897" t="s">
        <v>1244</v>
      </c>
      <c r="U897" s="75">
        <v>221877</v>
      </c>
      <c r="V897" t="s">
        <v>4045</v>
      </c>
      <c r="X897" t="s">
        <v>62</v>
      </c>
      <c r="Y897" t="s">
        <v>63</v>
      </c>
      <c r="AA897" t="s">
        <v>81</v>
      </c>
      <c r="AB897">
        <v>3.25</v>
      </c>
      <c r="AC897">
        <v>0</v>
      </c>
      <c r="AD897">
        <v>3.25</v>
      </c>
      <c r="AE897">
        <v>0.1</v>
      </c>
      <c r="AF897">
        <v>0</v>
      </c>
      <c r="AG897">
        <v>3.15</v>
      </c>
      <c r="AI897">
        <v>2.1</v>
      </c>
      <c r="AJ897">
        <v>1.05</v>
      </c>
      <c r="AK897">
        <v>0</v>
      </c>
      <c r="AL897" s="76">
        <v>44922</v>
      </c>
      <c r="AM897" s="75">
        <v>1191</v>
      </c>
      <c r="AN897" t="s">
        <v>65</v>
      </c>
      <c r="AO897" t="s">
        <v>1919</v>
      </c>
      <c r="AP897" t="s">
        <v>67</v>
      </c>
      <c r="AQ897" t="s">
        <v>68</v>
      </c>
      <c r="AR897" t="s">
        <v>69</v>
      </c>
      <c r="AS897" s="79"/>
      <c r="AT897" s="82" t="s">
        <v>3949</v>
      </c>
      <c r="AU897" s="78">
        <v>2026</v>
      </c>
      <c r="AV897" s="78">
        <v>4</v>
      </c>
      <c r="AW897" s="78" t="s">
        <v>71</v>
      </c>
      <c r="AX897" s="78">
        <v>1</v>
      </c>
      <c r="AY897" s="78">
        <v>0</v>
      </c>
      <c r="BT897" s="3" t="s">
        <v>71</v>
      </c>
      <c r="BU897" s="3">
        <v>1</v>
      </c>
      <c r="BV897" s="3">
        <v>0</v>
      </c>
    </row>
    <row r="898" spans="1:74" ht="15" customHeight="1" x14ac:dyDescent="0.25">
      <c r="A898" s="75">
        <v>5901475</v>
      </c>
      <c r="B898" t="s">
        <v>4046</v>
      </c>
      <c r="C898" t="s">
        <v>4047</v>
      </c>
      <c r="D898" t="s">
        <v>527</v>
      </c>
      <c r="E898" t="s">
        <v>87</v>
      </c>
      <c r="F898" s="75">
        <v>298</v>
      </c>
      <c r="G898" s="75">
        <v>286477</v>
      </c>
      <c r="H898">
        <v>364.96</v>
      </c>
      <c r="I898" t="s">
        <v>55</v>
      </c>
      <c r="J898" s="75">
        <v>218787</v>
      </c>
      <c r="K898" t="s">
        <v>96</v>
      </c>
      <c r="L898" t="s">
        <v>97</v>
      </c>
      <c r="M898" s="81">
        <v>46113.542222222219</v>
      </c>
      <c r="N898" s="81">
        <v>46113.616712962961</v>
      </c>
      <c r="O898" t="s">
        <v>277</v>
      </c>
      <c r="P898" t="s">
        <v>59</v>
      </c>
      <c r="Q898" t="s">
        <v>90</v>
      </c>
      <c r="R898" t="s">
        <v>99</v>
      </c>
      <c r="S898" t="s">
        <v>1244</v>
      </c>
      <c r="U898" s="75">
        <v>221895</v>
      </c>
      <c r="V898" t="s">
        <v>4048</v>
      </c>
      <c r="X898" t="s">
        <v>62</v>
      </c>
      <c r="Y898" t="s">
        <v>63</v>
      </c>
      <c r="AA898" t="s">
        <v>81</v>
      </c>
      <c r="AB898">
        <v>1.75</v>
      </c>
      <c r="AC898">
        <v>0</v>
      </c>
      <c r="AD898">
        <v>1.75</v>
      </c>
      <c r="AE898">
        <v>0.23333300000000001</v>
      </c>
      <c r="AF898">
        <v>0</v>
      </c>
      <c r="AG898">
        <v>1.516667</v>
      </c>
      <c r="AI898">
        <v>1.4666669999999999</v>
      </c>
      <c r="AJ898">
        <v>0.05</v>
      </c>
      <c r="AK898">
        <v>0</v>
      </c>
      <c r="AL898" s="76">
        <v>44923</v>
      </c>
      <c r="AM898" s="75">
        <v>1190</v>
      </c>
      <c r="AN898" t="s">
        <v>65</v>
      </c>
      <c r="AO898" t="s">
        <v>4049</v>
      </c>
      <c r="AP898" t="s">
        <v>67</v>
      </c>
      <c r="AQ898" t="s">
        <v>68</v>
      </c>
      <c r="AR898" t="s">
        <v>69</v>
      </c>
      <c r="AS898" s="78"/>
      <c r="AT898" s="82" t="s">
        <v>3949</v>
      </c>
      <c r="AU898" s="78">
        <v>2026</v>
      </c>
      <c r="AV898" s="78">
        <v>4</v>
      </c>
      <c r="AW898" s="78" t="s">
        <v>71</v>
      </c>
      <c r="AX898" s="78">
        <v>1</v>
      </c>
      <c r="AY898" s="78">
        <v>0</v>
      </c>
      <c r="BT898" s="2" t="s">
        <v>71</v>
      </c>
      <c r="BU898" s="2">
        <v>1</v>
      </c>
      <c r="BV898" s="2">
        <v>0</v>
      </c>
    </row>
    <row r="899" spans="1:74" ht="15" customHeight="1" x14ac:dyDescent="0.25">
      <c r="A899" s="75">
        <v>5899819</v>
      </c>
      <c r="B899" t="s">
        <v>4050</v>
      </c>
      <c r="C899" t="s">
        <v>4051</v>
      </c>
      <c r="D899" t="s">
        <v>1555</v>
      </c>
      <c r="E899" t="s">
        <v>54</v>
      </c>
      <c r="F899" s="75">
        <v>96</v>
      </c>
      <c r="G899" s="75">
        <v>347079</v>
      </c>
      <c r="H899">
        <v>299.89999999999998</v>
      </c>
      <c r="I899" t="s">
        <v>203</v>
      </c>
      <c r="J899" s="75">
        <v>130651</v>
      </c>
      <c r="K899" t="s">
        <v>3942</v>
      </c>
      <c r="L899" t="s">
        <v>3943</v>
      </c>
      <c r="M899" s="81">
        <v>46112.611770833333</v>
      </c>
      <c r="N899" s="81">
        <v>46113.700381944444</v>
      </c>
      <c r="O899" t="s">
        <v>58</v>
      </c>
      <c r="P899" t="s">
        <v>59</v>
      </c>
      <c r="Q899" t="s">
        <v>90</v>
      </c>
      <c r="R899" t="s">
        <v>99</v>
      </c>
      <c r="S899" t="s">
        <v>1244</v>
      </c>
      <c r="U899" s="75">
        <v>221109</v>
      </c>
      <c r="V899" t="s">
        <v>4052</v>
      </c>
      <c r="X899" t="s">
        <v>62</v>
      </c>
      <c r="Y899" t="s">
        <v>63</v>
      </c>
      <c r="AA899" t="s">
        <v>81</v>
      </c>
      <c r="AB899">
        <v>26.066666000000001</v>
      </c>
      <c r="AC899">
        <v>24.016667000000002</v>
      </c>
      <c r="AD899">
        <v>2.0499990000000001</v>
      </c>
      <c r="AE899">
        <v>0.68333299999999997</v>
      </c>
      <c r="AF899">
        <v>0</v>
      </c>
      <c r="AG899">
        <v>1.3666659999999999</v>
      </c>
      <c r="AH899">
        <v>1.3666659999999999</v>
      </c>
      <c r="AI899">
        <v>1.183333</v>
      </c>
      <c r="AJ899">
        <v>0.183333</v>
      </c>
      <c r="AK899">
        <v>0</v>
      </c>
      <c r="AL899" s="76">
        <v>45975.578217592592</v>
      </c>
      <c r="AM899" s="75">
        <v>137</v>
      </c>
      <c r="AN899" t="s">
        <v>65</v>
      </c>
      <c r="AO899" t="s">
        <v>3944</v>
      </c>
      <c r="AP899" t="s">
        <v>67</v>
      </c>
      <c r="AQ899" t="s">
        <v>68</v>
      </c>
      <c r="AR899" t="s">
        <v>69</v>
      </c>
      <c r="AS899" s="79"/>
      <c r="AT899" s="82" t="s">
        <v>3949</v>
      </c>
      <c r="AU899" s="78">
        <v>2026</v>
      </c>
      <c r="AV899" s="78">
        <v>4</v>
      </c>
      <c r="AW899" s="78" t="s">
        <v>71</v>
      </c>
      <c r="AX899" s="78">
        <v>1</v>
      </c>
      <c r="AY899" s="78">
        <v>0</v>
      </c>
      <c r="BT899" s="3" t="s">
        <v>71</v>
      </c>
      <c r="BU899" s="3">
        <v>1</v>
      </c>
      <c r="BV899" s="3">
        <v>0</v>
      </c>
    </row>
    <row r="900" spans="1:74" ht="15" customHeight="1" x14ac:dyDescent="0.25">
      <c r="A900" s="75">
        <v>5900465</v>
      </c>
      <c r="B900" t="s">
        <v>4053</v>
      </c>
      <c r="C900" t="s">
        <v>4054</v>
      </c>
      <c r="D900" t="s">
        <v>1555</v>
      </c>
      <c r="E900" t="s">
        <v>87</v>
      </c>
      <c r="F900" s="75">
        <v>1608</v>
      </c>
      <c r="G900" s="75">
        <v>349687</v>
      </c>
      <c r="H900">
        <v>334.78</v>
      </c>
      <c r="I900" t="s">
        <v>203</v>
      </c>
      <c r="J900" s="75">
        <v>6971</v>
      </c>
      <c r="K900" t="s">
        <v>369</v>
      </c>
      <c r="L900" t="s">
        <v>370</v>
      </c>
      <c r="M900" s="81">
        <v>46112.813402777778</v>
      </c>
      <c r="N900" s="81">
        <v>46113.705462962957</v>
      </c>
      <c r="O900" t="s">
        <v>58</v>
      </c>
      <c r="P900" t="s">
        <v>59</v>
      </c>
      <c r="Q900" t="s">
        <v>90</v>
      </c>
      <c r="R900" t="s">
        <v>60</v>
      </c>
      <c r="S900" t="s">
        <v>1268</v>
      </c>
      <c r="U900" s="75">
        <v>221223</v>
      </c>
      <c r="V900" t="s">
        <v>4055</v>
      </c>
      <c r="X900" t="s">
        <v>79</v>
      </c>
      <c r="Y900" t="s">
        <v>224</v>
      </c>
      <c r="AA900" t="s">
        <v>64</v>
      </c>
      <c r="AB900">
        <v>21.35</v>
      </c>
      <c r="AC900">
        <v>14.066667000000001</v>
      </c>
      <c r="AD900">
        <v>7.2833329999999998</v>
      </c>
      <c r="AE900">
        <v>0.66666700000000001</v>
      </c>
      <c r="AF900">
        <v>0</v>
      </c>
      <c r="AG900">
        <v>6.6166660000000004</v>
      </c>
      <c r="AH900">
        <v>6.6166660000000004</v>
      </c>
      <c r="AI900">
        <v>4.483333</v>
      </c>
      <c r="AJ900">
        <v>2.1333329999999999</v>
      </c>
      <c r="AK900">
        <v>0</v>
      </c>
      <c r="AL900" s="76">
        <v>46149</v>
      </c>
      <c r="AM900" s="75">
        <v>-36</v>
      </c>
      <c r="AN900" t="s">
        <v>1436</v>
      </c>
      <c r="AO900" t="s">
        <v>2924</v>
      </c>
      <c r="AP900" t="s">
        <v>67</v>
      </c>
      <c r="AQ900" t="s">
        <v>83</v>
      </c>
      <c r="AR900" t="s">
        <v>69</v>
      </c>
      <c r="AS900" s="78"/>
      <c r="AT900" s="82" t="s">
        <v>3949</v>
      </c>
      <c r="AU900" s="78">
        <v>2026</v>
      </c>
      <c r="AV900" s="78">
        <v>4</v>
      </c>
      <c r="AW900" s="78" t="s">
        <v>226</v>
      </c>
      <c r="AX900" s="78">
        <v>1</v>
      </c>
      <c r="AY900" s="78">
        <v>0</v>
      </c>
      <c r="BT900" s="2" t="s">
        <v>226</v>
      </c>
      <c r="BU900" s="2">
        <v>1</v>
      </c>
      <c r="BV900" s="2">
        <v>0</v>
      </c>
    </row>
    <row r="901" spans="1:74" ht="15" customHeight="1" x14ac:dyDescent="0.25">
      <c r="A901" s="75">
        <v>5899441</v>
      </c>
      <c r="B901" t="s">
        <v>4056</v>
      </c>
      <c r="C901" t="s">
        <v>4057</v>
      </c>
      <c r="D901" t="s">
        <v>2379</v>
      </c>
      <c r="E901" t="s">
        <v>87</v>
      </c>
      <c r="F901" s="75">
        <v>210</v>
      </c>
      <c r="G901" s="75">
        <v>286097</v>
      </c>
      <c r="H901">
        <v>500</v>
      </c>
      <c r="I901" t="s">
        <v>55</v>
      </c>
      <c r="J901" s="75">
        <v>218787</v>
      </c>
      <c r="K901" t="s">
        <v>96</v>
      </c>
      <c r="L901" t="s">
        <v>97</v>
      </c>
      <c r="M901" s="81">
        <v>46112.486840277779</v>
      </c>
      <c r="N901" s="81">
        <v>46113.725532407407</v>
      </c>
      <c r="O901" t="s">
        <v>58</v>
      </c>
      <c r="P901" t="s">
        <v>59</v>
      </c>
      <c r="Q901" t="s">
        <v>90</v>
      </c>
      <c r="R901" t="s">
        <v>131</v>
      </c>
      <c r="S901" t="s">
        <v>1273</v>
      </c>
      <c r="U901" s="75">
        <v>221301</v>
      </c>
      <c r="V901" t="s">
        <v>4058</v>
      </c>
      <c r="W901" t="s">
        <v>4059</v>
      </c>
      <c r="X901" t="s">
        <v>62</v>
      </c>
      <c r="Y901" t="s">
        <v>63</v>
      </c>
      <c r="AA901" t="s">
        <v>101</v>
      </c>
      <c r="AB901">
        <v>29.666665999999999</v>
      </c>
      <c r="AC901">
        <v>18.733333999999999</v>
      </c>
      <c r="AD901">
        <v>10.933332</v>
      </c>
      <c r="AE901">
        <v>0.38333299999999998</v>
      </c>
      <c r="AF901">
        <v>0</v>
      </c>
      <c r="AG901">
        <v>10.549999</v>
      </c>
      <c r="AH901">
        <v>10.549999</v>
      </c>
      <c r="AI901">
        <v>9.483333</v>
      </c>
      <c r="AJ901">
        <v>1.0666659999999999</v>
      </c>
      <c r="AK901">
        <v>0</v>
      </c>
      <c r="AL901" s="76">
        <v>44873.983449074083</v>
      </c>
      <c r="AM901" s="75">
        <v>1238</v>
      </c>
      <c r="AN901" t="s">
        <v>65</v>
      </c>
      <c r="AO901" t="s">
        <v>4060</v>
      </c>
      <c r="AP901" t="s">
        <v>67</v>
      </c>
      <c r="AQ901" t="s">
        <v>68</v>
      </c>
      <c r="AR901" t="s">
        <v>69</v>
      </c>
      <c r="AS901" s="79"/>
      <c r="AT901" s="82" t="s">
        <v>3949</v>
      </c>
      <c r="AU901" s="78">
        <v>2026</v>
      </c>
      <c r="AV901" s="78">
        <v>4</v>
      </c>
      <c r="AW901" s="78" t="s">
        <v>71</v>
      </c>
      <c r="AX901" s="78">
        <v>0</v>
      </c>
      <c r="AY901" s="78">
        <v>0</v>
      </c>
      <c r="BT901" s="3" t="s">
        <v>71</v>
      </c>
      <c r="BU901" s="3">
        <v>0</v>
      </c>
      <c r="BV901" s="3">
        <v>0</v>
      </c>
    </row>
    <row r="902" spans="1:74" ht="15" customHeight="1" x14ac:dyDescent="0.25">
      <c r="A902" s="75">
        <v>5898529</v>
      </c>
      <c r="B902" t="s">
        <v>4061</v>
      </c>
      <c r="C902" t="s">
        <v>4062</v>
      </c>
      <c r="D902" t="s">
        <v>1555</v>
      </c>
      <c r="E902" t="s">
        <v>87</v>
      </c>
      <c r="F902" s="75">
        <v>873</v>
      </c>
      <c r="G902" s="75">
        <v>349997</v>
      </c>
      <c r="H902">
        <v>950</v>
      </c>
      <c r="I902" t="s">
        <v>175</v>
      </c>
      <c r="J902" s="75">
        <v>19917</v>
      </c>
      <c r="K902" t="s">
        <v>1325</v>
      </c>
      <c r="L902" t="s">
        <v>1326</v>
      </c>
      <c r="M902" s="81">
        <v>46111.791574074072</v>
      </c>
      <c r="N902" s="81">
        <v>46113.750752314823</v>
      </c>
      <c r="O902" t="s">
        <v>58</v>
      </c>
      <c r="P902" t="s">
        <v>59</v>
      </c>
      <c r="Q902" t="s">
        <v>130</v>
      </c>
      <c r="R902" t="s">
        <v>99</v>
      </c>
      <c r="S902" t="s">
        <v>1244</v>
      </c>
      <c r="U902" s="75">
        <v>220339</v>
      </c>
      <c r="V902" t="s">
        <v>4063</v>
      </c>
      <c r="X902" t="s">
        <v>79</v>
      </c>
      <c r="Y902" t="s">
        <v>224</v>
      </c>
      <c r="AA902" t="s">
        <v>101</v>
      </c>
      <c r="AB902">
        <v>46.966667000000001</v>
      </c>
      <c r="AC902">
        <v>36.183332999999998</v>
      </c>
      <c r="AD902">
        <v>10.783334</v>
      </c>
      <c r="AE902">
        <v>1.6333329999999999</v>
      </c>
      <c r="AF902">
        <v>0</v>
      </c>
      <c r="AG902">
        <v>9.1500009999999996</v>
      </c>
      <c r="AH902">
        <v>9.1500009999999996</v>
      </c>
      <c r="AI902">
        <v>8.8833339999999996</v>
      </c>
      <c r="AJ902">
        <v>0.26666699999999999</v>
      </c>
      <c r="AK902">
        <v>0</v>
      </c>
      <c r="AL902" s="76">
        <v>46051.579016203701</v>
      </c>
      <c r="AM902" s="75">
        <v>60</v>
      </c>
      <c r="AN902" t="s">
        <v>65</v>
      </c>
      <c r="AO902" t="s">
        <v>3164</v>
      </c>
      <c r="AP902" t="s">
        <v>67</v>
      </c>
      <c r="AQ902" t="s">
        <v>83</v>
      </c>
      <c r="AR902" t="s">
        <v>69</v>
      </c>
      <c r="AS902" s="78"/>
      <c r="AT902" s="82" t="s">
        <v>3949</v>
      </c>
      <c r="AU902" s="78">
        <v>2026</v>
      </c>
      <c r="AV902" s="78">
        <v>4</v>
      </c>
      <c r="AW902" s="78" t="s">
        <v>226</v>
      </c>
      <c r="AX902" s="78">
        <v>0</v>
      </c>
      <c r="AY902" s="78">
        <v>0</v>
      </c>
      <c r="BT902" s="2" t="s">
        <v>226</v>
      </c>
      <c r="BU902" s="2">
        <v>0</v>
      </c>
      <c r="BV902" s="2">
        <v>0</v>
      </c>
    </row>
    <row r="903" spans="1:74" ht="15" customHeight="1" x14ac:dyDescent="0.25">
      <c r="A903" s="75">
        <v>5898703</v>
      </c>
      <c r="B903" t="s">
        <v>4064</v>
      </c>
      <c r="C903" t="s">
        <v>4065</v>
      </c>
      <c r="D903" t="s">
        <v>1555</v>
      </c>
      <c r="E903" t="s">
        <v>87</v>
      </c>
      <c r="F903" s="75">
        <v>521</v>
      </c>
      <c r="G903" s="75">
        <v>321269</v>
      </c>
      <c r="H903">
        <v>368.17</v>
      </c>
      <c r="I903" t="s">
        <v>55</v>
      </c>
      <c r="J903" s="75">
        <v>218791</v>
      </c>
      <c r="K903" t="s">
        <v>312</v>
      </c>
      <c r="L903" t="s">
        <v>313</v>
      </c>
      <c r="M903" s="81">
        <v>46111.95884259259</v>
      </c>
      <c r="N903" s="81">
        <v>46113.752430555563</v>
      </c>
      <c r="O903" t="s">
        <v>58</v>
      </c>
      <c r="P903" t="s">
        <v>59</v>
      </c>
      <c r="Q903" t="s">
        <v>90</v>
      </c>
      <c r="R903" t="s">
        <v>60</v>
      </c>
      <c r="S903" t="s">
        <v>583</v>
      </c>
      <c r="U903" s="75">
        <v>220235</v>
      </c>
      <c r="V903" t="s">
        <v>4066</v>
      </c>
      <c r="W903" t="s">
        <v>4066</v>
      </c>
      <c r="X903" t="s">
        <v>62</v>
      </c>
      <c r="Y903" t="s">
        <v>63</v>
      </c>
      <c r="AA903" t="s">
        <v>64</v>
      </c>
      <c r="AB903">
        <v>42.983333999999999</v>
      </c>
      <c r="AC903">
        <v>34.833334000000001</v>
      </c>
      <c r="AD903">
        <v>8.15</v>
      </c>
      <c r="AE903">
        <v>0.9</v>
      </c>
      <c r="AF903">
        <v>0</v>
      </c>
      <c r="AG903">
        <v>7.25</v>
      </c>
      <c r="AH903">
        <v>7.25</v>
      </c>
      <c r="AI903">
        <v>6.9666670000000002</v>
      </c>
      <c r="AJ903">
        <v>0.283333</v>
      </c>
      <c r="AK903">
        <v>0</v>
      </c>
      <c r="AL903" s="76">
        <v>45475.80709490741</v>
      </c>
      <c r="AM903" s="75">
        <v>636</v>
      </c>
      <c r="AN903" t="s">
        <v>65</v>
      </c>
      <c r="AO903" t="s">
        <v>4067</v>
      </c>
      <c r="AP903" t="s">
        <v>67</v>
      </c>
      <c r="AQ903" t="s">
        <v>68</v>
      </c>
      <c r="AR903" t="s">
        <v>69</v>
      </c>
      <c r="AS903" s="79"/>
      <c r="AT903" s="82" t="s">
        <v>3949</v>
      </c>
      <c r="AU903" s="78">
        <v>2026</v>
      </c>
      <c r="AV903" s="78">
        <v>4</v>
      </c>
      <c r="AW903" s="78" t="s">
        <v>71</v>
      </c>
      <c r="AX903" s="78">
        <v>1</v>
      </c>
      <c r="AY903" s="78">
        <v>0</v>
      </c>
      <c r="BT903" s="3" t="s">
        <v>71</v>
      </c>
      <c r="BU903" s="3">
        <v>1</v>
      </c>
      <c r="BV903" s="3">
        <v>0</v>
      </c>
    </row>
    <row r="904" spans="1:74" ht="15" customHeight="1" x14ac:dyDescent="0.25">
      <c r="A904" s="75">
        <v>5899465</v>
      </c>
      <c r="B904" t="s">
        <v>4068</v>
      </c>
      <c r="C904" t="s">
        <v>3720</v>
      </c>
      <c r="D904" t="s">
        <v>956</v>
      </c>
      <c r="E904" t="s">
        <v>105</v>
      </c>
      <c r="F904" s="75">
        <v>1072</v>
      </c>
      <c r="G904" s="75">
        <v>332301</v>
      </c>
      <c r="H904">
        <v>525</v>
      </c>
      <c r="I904" t="s">
        <v>175</v>
      </c>
      <c r="J904" s="75">
        <v>83605</v>
      </c>
      <c r="K904" t="s">
        <v>844</v>
      </c>
      <c r="L904" t="s">
        <v>845</v>
      </c>
      <c r="M904" s="81">
        <v>46112.487696759257</v>
      </c>
      <c r="N904" s="81">
        <v>46114.495196759257</v>
      </c>
      <c r="O904" t="s">
        <v>58</v>
      </c>
      <c r="P904" t="s">
        <v>59</v>
      </c>
      <c r="Q904" t="s">
        <v>130</v>
      </c>
      <c r="R904" t="s">
        <v>60</v>
      </c>
      <c r="S904" t="s">
        <v>1268</v>
      </c>
      <c r="U904" s="75">
        <v>222091</v>
      </c>
      <c r="V904" t="s">
        <v>4069</v>
      </c>
      <c r="X904" t="s">
        <v>62</v>
      </c>
      <c r="Y904" t="s">
        <v>287</v>
      </c>
      <c r="AA904" t="s">
        <v>64</v>
      </c>
      <c r="AB904">
        <v>48.083331999999999</v>
      </c>
      <c r="AC904">
        <v>40.066665999999998</v>
      </c>
      <c r="AD904">
        <v>8.0166660000000007</v>
      </c>
      <c r="AE904">
        <v>1.6667000000000001E-2</v>
      </c>
      <c r="AF904">
        <v>0</v>
      </c>
      <c r="AG904">
        <v>7.9999989999999999</v>
      </c>
      <c r="AH904">
        <v>7.9999989999999999</v>
      </c>
      <c r="AI904">
        <v>7.5333329999999998</v>
      </c>
      <c r="AJ904">
        <v>0.46666600000000003</v>
      </c>
      <c r="AK904">
        <v>0</v>
      </c>
      <c r="AL904" s="76">
        <v>45808.717766203707</v>
      </c>
      <c r="AM904" s="75">
        <v>303</v>
      </c>
      <c r="AN904" t="s">
        <v>65</v>
      </c>
      <c r="AO904" t="s">
        <v>3723</v>
      </c>
      <c r="AP904" t="s">
        <v>67</v>
      </c>
      <c r="AQ904" t="s">
        <v>68</v>
      </c>
      <c r="AR904" t="s">
        <v>69</v>
      </c>
      <c r="AS904" s="78"/>
      <c r="AT904" s="82" t="s">
        <v>3949</v>
      </c>
      <c r="AU904" s="78">
        <v>2026</v>
      </c>
      <c r="AV904" s="78">
        <v>4</v>
      </c>
      <c r="AW904" s="78" t="s">
        <v>137</v>
      </c>
      <c r="AX904" s="78">
        <v>1</v>
      </c>
      <c r="AY904" s="78">
        <v>0</v>
      </c>
      <c r="BT904" s="2" t="s">
        <v>137</v>
      </c>
      <c r="BU904" s="2">
        <v>1</v>
      </c>
      <c r="BV904" s="2">
        <v>0</v>
      </c>
    </row>
    <row r="905" spans="1:74" ht="15" customHeight="1" x14ac:dyDescent="0.25">
      <c r="A905" s="75">
        <v>5895163</v>
      </c>
      <c r="B905" t="s">
        <v>4070</v>
      </c>
      <c r="C905" t="s">
        <v>988</v>
      </c>
      <c r="D905" t="s">
        <v>2379</v>
      </c>
      <c r="E905" t="s">
        <v>87</v>
      </c>
      <c r="F905" s="75">
        <v>297</v>
      </c>
      <c r="G905" s="75">
        <v>286473</v>
      </c>
      <c r="H905">
        <v>364.96</v>
      </c>
      <c r="I905" t="s">
        <v>55</v>
      </c>
      <c r="J905" s="75">
        <v>218787</v>
      </c>
      <c r="K905" t="s">
        <v>96</v>
      </c>
      <c r="L905" t="s">
        <v>97</v>
      </c>
      <c r="M905" s="81">
        <v>46108.764513888891</v>
      </c>
      <c r="N905" s="81">
        <v>46114.497048611112</v>
      </c>
      <c r="O905" t="s">
        <v>58</v>
      </c>
      <c r="P905" t="s">
        <v>59</v>
      </c>
      <c r="Q905" t="s">
        <v>90</v>
      </c>
      <c r="R905" t="s">
        <v>60</v>
      </c>
      <c r="S905" t="s">
        <v>583</v>
      </c>
      <c r="U905" s="75">
        <v>218695</v>
      </c>
      <c r="V905" t="s">
        <v>4071</v>
      </c>
      <c r="W905" t="s">
        <v>4071</v>
      </c>
      <c r="X905" t="s">
        <v>62</v>
      </c>
      <c r="Y905" t="s">
        <v>63</v>
      </c>
      <c r="AA905" t="s">
        <v>295</v>
      </c>
      <c r="AB905">
        <v>137.466666</v>
      </c>
      <c r="AC905">
        <v>107.63333299999999</v>
      </c>
      <c r="AD905">
        <v>29.833333</v>
      </c>
      <c r="AE905">
        <v>2.35</v>
      </c>
      <c r="AF905">
        <v>0</v>
      </c>
      <c r="AG905">
        <v>27.483332999999998</v>
      </c>
      <c r="AH905">
        <v>27.483332999999998</v>
      </c>
      <c r="AI905">
        <v>26.583333</v>
      </c>
      <c r="AJ905">
        <v>0.9</v>
      </c>
      <c r="AK905">
        <v>0</v>
      </c>
      <c r="AL905" s="76">
        <v>44924</v>
      </c>
      <c r="AM905" s="75">
        <v>1184</v>
      </c>
      <c r="AN905" t="s">
        <v>65</v>
      </c>
      <c r="AO905" t="s">
        <v>991</v>
      </c>
      <c r="AP905" t="s">
        <v>67</v>
      </c>
      <c r="AQ905" t="s">
        <v>68</v>
      </c>
      <c r="AR905" t="s">
        <v>69</v>
      </c>
      <c r="AS905" s="79"/>
      <c r="AT905" s="82" t="s">
        <v>3949</v>
      </c>
      <c r="AU905" s="78">
        <v>2026</v>
      </c>
      <c r="AV905" s="78">
        <v>4</v>
      </c>
      <c r="AW905" s="78" t="s">
        <v>71</v>
      </c>
      <c r="AX905" s="78">
        <v>0</v>
      </c>
      <c r="AY905" s="78">
        <v>1</v>
      </c>
      <c r="BT905" s="3" t="s">
        <v>71</v>
      </c>
      <c r="BU905" s="3">
        <v>0</v>
      </c>
      <c r="BV905" s="3">
        <v>1</v>
      </c>
    </row>
    <row r="906" spans="1:74" ht="15" customHeight="1" x14ac:dyDescent="0.25">
      <c r="A906" s="75">
        <v>5895231</v>
      </c>
      <c r="B906" t="s">
        <v>4072</v>
      </c>
      <c r="C906" t="s">
        <v>2998</v>
      </c>
      <c r="D906" t="s">
        <v>2379</v>
      </c>
      <c r="E906" t="s">
        <v>87</v>
      </c>
      <c r="F906" s="75">
        <v>129</v>
      </c>
      <c r="G906" s="75">
        <v>285597</v>
      </c>
      <c r="H906">
        <v>368.16</v>
      </c>
      <c r="I906" t="s">
        <v>55</v>
      </c>
      <c r="J906" s="75">
        <v>218791</v>
      </c>
      <c r="K906" t="s">
        <v>312</v>
      </c>
      <c r="L906" t="s">
        <v>313</v>
      </c>
      <c r="M906" s="81">
        <v>46108.806145833332</v>
      </c>
      <c r="N906" s="81">
        <v>46114.497199074067</v>
      </c>
      <c r="O906" t="s">
        <v>58</v>
      </c>
      <c r="P906" t="s">
        <v>59</v>
      </c>
      <c r="Q906" t="s">
        <v>90</v>
      </c>
      <c r="R906" t="s">
        <v>60</v>
      </c>
      <c r="S906" t="s">
        <v>583</v>
      </c>
      <c r="U906" s="75">
        <v>221281</v>
      </c>
      <c r="V906" t="s">
        <v>4073</v>
      </c>
      <c r="W906" t="s">
        <v>4073</v>
      </c>
      <c r="X906" t="s">
        <v>62</v>
      </c>
      <c r="Y906" t="s">
        <v>63</v>
      </c>
      <c r="AA906" t="s">
        <v>295</v>
      </c>
      <c r="AB906">
        <v>136.45000200000001</v>
      </c>
      <c r="AC906">
        <v>106.33333399999999</v>
      </c>
      <c r="AD906">
        <v>30.116668000000001</v>
      </c>
      <c r="AE906">
        <v>0.33333400000000002</v>
      </c>
      <c r="AF906">
        <v>0</v>
      </c>
      <c r="AG906">
        <v>29.783334</v>
      </c>
      <c r="AH906">
        <v>29.783334</v>
      </c>
      <c r="AI906">
        <v>28.6</v>
      </c>
      <c r="AJ906">
        <v>1.1833340000000001</v>
      </c>
      <c r="AK906">
        <v>0</v>
      </c>
      <c r="AL906" s="76">
        <v>44897.547465277778</v>
      </c>
      <c r="AM906" s="75">
        <v>1211</v>
      </c>
      <c r="AN906" t="s">
        <v>65</v>
      </c>
      <c r="AO906" t="s">
        <v>3000</v>
      </c>
      <c r="AP906" t="s">
        <v>67</v>
      </c>
      <c r="AQ906" t="s">
        <v>68</v>
      </c>
      <c r="AR906" t="s">
        <v>69</v>
      </c>
      <c r="AS906" s="78"/>
      <c r="AT906" s="82" t="s">
        <v>3949</v>
      </c>
      <c r="AU906" s="78">
        <v>2026</v>
      </c>
      <c r="AV906" s="78">
        <v>4</v>
      </c>
      <c r="AW906" s="78" t="s">
        <v>71</v>
      </c>
      <c r="AX906" s="78">
        <v>0</v>
      </c>
      <c r="AY906" s="78">
        <v>1</v>
      </c>
      <c r="BT906" s="2" t="s">
        <v>71</v>
      </c>
      <c r="BU906" s="2">
        <v>0</v>
      </c>
      <c r="BV906" s="2">
        <v>1</v>
      </c>
    </row>
    <row r="907" spans="1:74" ht="15" customHeight="1" x14ac:dyDescent="0.25">
      <c r="A907" s="75">
        <v>5899005</v>
      </c>
      <c r="B907" t="s">
        <v>4074</v>
      </c>
      <c r="C907" t="s">
        <v>4075</v>
      </c>
      <c r="D907" t="s">
        <v>1555</v>
      </c>
      <c r="E907" t="s">
        <v>87</v>
      </c>
      <c r="F907" s="75">
        <v>16</v>
      </c>
      <c r="G907" s="75">
        <v>250813</v>
      </c>
      <c r="H907">
        <v>2383.33</v>
      </c>
      <c r="I907" t="s">
        <v>114</v>
      </c>
      <c r="J907" s="75">
        <v>203391</v>
      </c>
      <c r="K907" t="s">
        <v>622</v>
      </c>
      <c r="L907" t="s">
        <v>623</v>
      </c>
      <c r="M907" s="81">
        <v>46112.382511574076</v>
      </c>
      <c r="N907" s="81">
        <v>46114.525625000002</v>
      </c>
      <c r="O907" t="s">
        <v>58</v>
      </c>
      <c r="P907" t="s">
        <v>59</v>
      </c>
      <c r="Q907" t="s">
        <v>130</v>
      </c>
      <c r="R907" t="s">
        <v>144</v>
      </c>
      <c r="S907" t="s">
        <v>1491</v>
      </c>
      <c r="U907" s="75">
        <v>221609</v>
      </c>
      <c r="V907" t="s">
        <v>4076</v>
      </c>
      <c r="W907" t="s">
        <v>4076</v>
      </c>
      <c r="X907" t="s">
        <v>118</v>
      </c>
      <c r="Y907" t="s">
        <v>119</v>
      </c>
      <c r="AA907" t="s">
        <v>81</v>
      </c>
      <c r="AB907">
        <v>51.366666000000002</v>
      </c>
      <c r="AC907">
        <v>47.3</v>
      </c>
      <c r="AD907">
        <v>4.0666659999999997</v>
      </c>
      <c r="AE907">
        <v>1.1333329999999999</v>
      </c>
      <c r="AF907">
        <v>0</v>
      </c>
      <c r="AG907">
        <v>2.9333330000000002</v>
      </c>
      <c r="AH907">
        <v>2.9333330000000002</v>
      </c>
      <c r="AI907">
        <v>2.7833329999999998</v>
      </c>
      <c r="AJ907">
        <v>0.15</v>
      </c>
      <c r="AK907">
        <v>0</v>
      </c>
      <c r="AL907" s="76">
        <v>44624</v>
      </c>
      <c r="AM907" s="75">
        <v>1488</v>
      </c>
      <c r="AN907" t="s">
        <v>65</v>
      </c>
      <c r="AO907" t="s">
        <v>626</v>
      </c>
      <c r="AP907" t="s">
        <v>67</v>
      </c>
      <c r="AQ907" t="s">
        <v>121</v>
      </c>
      <c r="AR907" t="s">
        <v>69</v>
      </c>
      <c r="AS907" s="79"/>
      <c r="AT907" s="82" t="s">
        <v>3949</v>
      </c>
      <c r="AU907" s="78">
        <v>2026</v>
      </c>
      <c r="AV907" s="78">
        <v>4</v>
      </c>
      <c r="AW907" s="78" t="s">
        <v>122</v>
      </c>
      <c r="AX907" s="78">
        <v>1</v>
      </c>
      <c r="AY907" s="78">
        <v>0</v>
      </c>
      <c r="BT907" s="3" t="s">
        <v>122</v>
      </c>
      <c r="BU907" s="3">
        <v>1</v>
      </c>
      <c r="BV907" s="3">
        <v>0</v>
      </c>
    </row>
    <row r="908" spans="1:74" ht="15" customHeight="1" x14ac:dyDescent="0.25">
      <c r="A908" s="75">
        <v>5900461</v>
      </c>
      <c r="B908" t="s">
        <v>4077</v>
      </c>
      <c r="C908" t="s">
        <v>4078</v>
      </c>
      <c r="D908" t="s">
        <v>1555</v>
      </c>
      <c r="E908" t="s">
        <v>87</v>
      </c>
      <c r="F908" s="75">
        <v>186</v>
      </c>
      <c r="G908" s="75">
        <v>285895</v>
      </c>
      <c r="H908">
        <v>398.82</v>
      </c>
      <c r="I908" t="s">
        <v>55</v>
      </c>
      <c r="J908" s="75">
        <v>216233</v>
      </c>
      <c r="K908" t="s">
        <v>88</v>
      </c>
      <c r="L908" t="s">
        <v>89</v>
      </c>
      <c r="M908" s="81">
        <v>46112.813333333332</v>
      </c>
      <c r="N908" s="81">
        <v>46114.5312962963</v>
      </c>
      <c r="O908" t="s">
        <v>58</v>
      </c>
      <c r="P908" t="s">
        <v>59</v>
      </c>
      <c r="Q908" t="s">
        <v>90</v>
      </c>
      <c r="R908" t="s">
        <v>99</v>
      </c>
      <c r="S908" t="s">
        <v>1244</v>
      </c>
      <c r="U908" s="75"/>
      <c r="X908" t="s">
        <v>62</v>
      </c>
      <c r="Y908" t="s">
        <v>63</v>
      </c>
      <c r="AA908" t="s">
        <v>81</v>
      </c>
      <c r="AB908">
        <v>41.199998999999998</v>
      </c>
      <c r="AC908">
        <v>39.200000000000003</v>
      </c>
      <c r="AD908">
        <v>1.9999990000000001</v>
      </c>
      <c r="AE908">
        <v>0.66666599999999998</v>
      </c>
      <c r="AF908">
        <v>0</v>
      </c>
      <c r="AG908">
        <v>1.3333330000000001</v>
      </c>
      <c r="AH908">
        <v>1.3333330000000001</v>
      </c>
      <c r="AI908">
        <v>0</v>
      </c>
      <c r="AJ908">
        <v>1.3333330000000001</v>
      </c>
      <c r="AK908">
        <v>0</v>
      </c>
      <c r="AL908" s="76">
        <v>44870</v>
      </c>
      <c r="AM908" s="75">
        <v>1242</v>
      </c>
      <c r="AN908" t="s">
        <v>65</v>
      </c>
      <c r="AO908" t="s">
        <v>4079</v>
      </c>
      <c r="AP908" t="s">
        <v>67</v>
      </c>
      <c r="AQ908" t="s">
        <v>68</v>
      </c>
      <c r="AR908" t="s">
        <v>69</v>
      </c>
      <c r="AS908" s="78"/>
      <c r="AT908" s="82" t="s">
        <v>3949</v>
      </c>
      <c r="AU908" s="78">
        <v>2026</v>
      </c>
      <c r="AV908" s="78">
        <v>4</v>
      </c>
      <c r="AW908" s="78" t="s">
        <v>71</v>
      </c>
      <c r="AX908" s="78">
        <v>1</v>
      </c>
      <c r="AY908" s="78">
        <v>0</v>
      </c>
      <c r="BT908" s="2" t="s">
        <v>71</v>
      </c>
      <c r="BU908" s="2">
        <v>1</v>
      </c>
      <c r="BV908" s="2">
        <v>0</v>
      </c>
    </row>
    <row r="909" spans="1:74" ht="15" customHeight="1" x14ac:dyDescent="0.25">
      <c r="A909" s="75">
        <v>5896969</v>
      </c>
      <c r="B909" t="s">
        <v>4080</v>
      </c>
      <c r="C909" t="s">
        <v>1548</v>
      </c>
      <c r="D909" t="s">
        <v>2379</v>
      </c>
      <c r="E909" t="s">
        <v>87</v>
      </c>
      <c r="F909" s="75">
        <v>367</v>
      </c>
      <c r="G909" s="75">
        <v>286775</v>
      </c>
      <c r="H909">
        <v>364.96</v>
      </c>
      <c r="I909" t="s">
        <v>55</v>
      </c>
      <c r="J909" s="75">
        <v>218787</v>
      </c>
      <c r="K909" t="s">
        <v>96</v>
      </c>
      <c r="L909" t="s">
        <v>97</v>
      </c>
      <c r="M909" s="81">
        <v>46111.389456018522</v>
      </c>
      <c r="N909" s="81">
        <v>46114.655081018522</v>
      </c>
      <c r="O909" t="s">
        <v>58</v>
      </c>
      <c r="P909" t="s">
        <v>59</v>
      </c>
      <c r="Q909" t="s">
        <v>90</v>
      </c>
      <c r="R909" t="s">
        <v>60</v>
      </c>
      <c r="S909" t="s">
        <v>583</v>
      </c>
      <c r="U909" s="75">
        <v>219637</v>
      </c>
      <c r="V909" t="s">
        <v>4081</v>
      </c>
      <c r="W909" t="s">
        <v>4081</v>
      </c>
      <c r="X909" t="s">
        <v>62</v>
      </c>
      <c r="Y909" t="s">
        <v>63</v>
      </c>
      <c r="AA909" t="s">
        <v>416</v>
      </c>
      <c r="AB909">
        <v>78.283333999999996</v>
      </c>
      <c r="AC909">
        <v>59.183332999999998</v>
      </c>
      <c r="AD909">
        <v>19.100000999999999</v>
      </c>
      <c r="AE909">
        <v>0.26666699999999999</v>
      </c>
      <c r="AF909">
        <v>0</v>
      </c>
      <c r="AG909">
        <v>18.833334000000001</v>
      </c>
      <c r="AH909">
        <v>18.833334000000001</v>
      </c>
      <c r="AI909">
        <v>17.216667000000001</v>
      </c>
      <c r="AJ909">
        <v>1.6166670000000001</v>
      </c>
      <c r="AK909">
        <v>0</v>
      </c>
      <c r="AL909" s="76">
        <v>44943</v>
      </c>
      <c r="AM909" s="75">
        <v>1168</v>
      </c>
      <c r="AN909" t="s">
        <v>65</v>
      </c>
      <c r="AO909" t="s">
        <v>478</v>
      </c>
      <c r="AP909" t="s">
        <v>67</v>
      </c>
      <c r="AQ909" t="s">
        <v>68</v>
      </c>
      <c r="AR909" t="s">
        <v>69</v>
      </c>
      <c r="AS909" s="79"/>
      <c r="AT909" s="82" t="s">
        <v>3949</v>
      </c>
      <c r="AU909" s="78">
        <v>2026</v>
      </c>
      <c r="AV909" s="78">
        <v>4</v>
      </c>
      <c r="AW909" s="78" t="s">
        <v>71</v>
      </c>
      <c r="AX909" s="78">
        <v>0</v>
      </c>
      <c r="AY909" s="78">
        <v>0</v>
      </c>
      <c r="BT909" s="3" t="s">
        <v>71</v>
      </c>
      <c r="BU909" s="3">
        <v>0</v>
      </c>
      <c r="BV909" s="3">
        <v>0</v>
      </c>
    </row>
    <row r="910" spans="1:74" ht="15" customHeight="1" x14ac:dyDescent="0.25">
      <c r="A910" s="75">
        <v>5897639</v>
      </c>
      <c r="B910" t="s">
        <v>4082</v>
      </c>
      <c r="C910" t="s">
        <v>4083</v>
      </c>
      <c r="D910" t="s">
        <v>2379</v>
      </c>
      <c r="E910" t="s">
        <v>87</v>
      </c>
      <c r="F910" s="75">
        <v>519</v>
      </c>
      <c r="G910" s="75">
        <v>293315</v>
      </c>
      <c r="H910">
        <v>368.16</v>
      </c>
      <c r="I910" t="s">
        <v>55</v>
      </c>
      <c r="J910" s="75">
        <v>218791</v>
      </c>
      <c r="K910" t="s">
        <v>312</v>
      </c>
      <c r="L910" t="s">
        <v>313</v>
      </c>
      <c r="M910" s="81">
        <v>46111.507581018523</v>
      </c>
      <c r="N910" s="81">
        <v>46114.656400462962</v>
      </c>
      <c r="O910" t="s">
        <v>58</v>
      </c>
      <c r="P910" t="s">
        <v>59</v>
      </c>
      <c r="Q910" t="s">
        <v>90</v>
      </c>
      <c r="R910" t="s">
        <v>60</v>
      </c>
      <c r="S910" t="s">
        <v>583</v>
      </c>
      <c r="U910" s="75">
        <v>221775</v>
      </c>
      <c r="V910" t="s">
        <v>4084</v>
      </c>
      <c r="X910" t="s">
        <v>62</v>
      </c>
      <c r="Y910" t="s">
        <v>63</v>
      </c>
      <c r="AA910" t="s">
        <v>295</v>
      </c>
      <c r="AB910">
        <v>75.516666000000001</v>
      </c>
      <c r="AC910">
        <v>36.433332999999998</v>
      </c>
      <c r="AD910">
        <v>39.083333000000003</v>
      </c>
      <c r="AE910">
        <v>0.183333</v>
      </c>
      <c r="AF910">
        <v>0</v>
      </c>
      <c r="AG910">
        <v>38.9</v>
      </c>
      <c r="AH910">
        <v>38.9</v>
      </c>
      <c r="AI910">
        <v>38.049999999999997</v>
      </c>
      <c r="AJ910">
        <v>0.85</v>
      </c>
      <c r="AK910">
        <v>0</v>
      </c>
      <c r="AL910" s="76">
        <v>45127.428194444437</v>
      </c>
      <c r="AM910" s="75">
        <v>984</v>
      </c>
      <c r="AN910" t="s">
        <v>65</v>
      </c>
      <c r="AO910" t="s">
        <v>4085</v>
      </c>
      <c r="AP910" t="s">
        <v>67</v>
      </c>
      <c r="AQ910" t="s">
        <v>68</v>
      </c>
      <c r="AR910" t="s">
        <v>69</v>
      </c>
      <c r="AS910" s="78"/>
      <c r="AT910" s="82" t="s">
        <v>3949</v>
      </c>
      <c r="AU910" s="78">
        <v>2026</v>
      </c>
      <c r="AV910" s="78">
        <v>4</v>
      </c>
      <c r="AW910" s="78" t="s">
        <v>71</v>
      </c>
      <c r="AX910" s="78">
        <v>0</v>
      </c>
      <c r="AY910" s="78">
        <v>1</v>
      </c>
      <c r="BT910" s="2" t="s">
        <v>71</v>
      </c>
      <c r="BU910" s="2">
        <v>0</v>
      </c>
      <c r="BV910" s="2">
        <v>1</v>
      </c>
    </row>
    <row r="911" spans="1:74" ht="15" customHeight="1" x14ac:dyDescent="0.25">
      <c r="A911" s="75">
        <v>5898625</v>
      </c>
      <c r="B911" t="s">
        <v>4086</v>
      </c>
      <c r="C911" t="s">
        <v>4087</v>
      </c>
      <c r="D911" t="s">
        <v>2379</v>
      </c>
      <c r="E911" t="s">
        <v>87</v>
      </c>
      <c r="F911" s="75">
        <v>388</v>
      </c>
      <c r="G911" s="75">
        <v>286831</v>
      </c>
      <c r="H911">
        <v>364.96</v>
      </c>
      <c r="I911" t="s">
        <v>55</v>
      </c>
      <c r="J911" s="75">
        <v>218787</v>
      </c>
      <c r="K911" t="s">
        <v>96</v>
      </c>
      <c r="L911" t="s">
        <v>97</v>
      </c>
      <c r="M911" s="81">
        <v>46111.861724537041</v>
      </c>
      <c r="N911" s="81">
        <v>46114.737071759257</v>
      </c>
      <c r="O911" t="s">
        <v>58</v>
      </c>
      <c r="P911" t="s">
        <v>59</v>
      </c>
      <c r="Q911" t="s">
        <v>90</v>
      </c>
      <c r="R911" t="s">
        <v>99</v>
      </c>
      <c r="S911" t="s">
        <v>583</v>
      </c>
      <c r="U911" s="75">
        <v>220921</v>
      </c>
      <c r="V911" t="s">
        <v>4088</v>
      </c>
      <c r="W911" t="s">
        <v>4088</v>
      </c>
      <c r="X911" t="s">
        <v>62</v>
      </c>
      <c r="Y911" t="s">
        <v>63</v>
      </c>
      <c r="Z911" t="s">
        <v>4089</v>
      </c>
      <c r="AA911" t="s">
        <v>416</v>
      </c>
      <c r="AB911">
        <v>68.900000000000006</v>
      </c>
      <c r="AC911">
        <v>40.383333</v>
      </c>
      <c r="AD911">
        <v>28.516667000000002</v>
      </c>
      <c r="AE911">
        <v>12.883333</v>
      </c>
      <c r="AF911">
        <v>12.683332999999999</v>
      </c>
      <c r="AG911">
        <v>15.633334</v>
      </c>
      <c r="AH911">
        <v>28.316666999999999</v>
      </c>
      <c r="AI911">
        <v>14.716666999999999</v>
      </c>
      <c r="AJ911">
        <v>0.91666700000000001</v>
      </c>
      <c r="AK911">
        <v>0</v>
      </c>
      <c r="AL911" s="76">
        <v>44909</v>
      </c>
      <c r="AM911" s="75">
        <v>1202</v>
      </c>
      <c r="AN911" t="s">
        <v>65</v>
      </c>
      <c r="AO911" t="s">
        <v>4090</v>
      </c>
      <c r="AP911" t="s">
        <v>67</v>
      </c>
      <c r="AQ911" t="s">
        <v>68</v>
      </c>
      <c r="AR911" t="s">
        <v>69</v>
      </c>
      <c r="AS911" s="79"/>
      <c r="AT911" s="82" t="s">
        <v>3949</v>
      </c>
      <c r="AU911" s="78">
        <v>2026</v>
      </c>
      <c r="AV911" s="78">
        <v>4</v>
      </c>
      <c r="AW911" s="78" t="s">
        <v>71</v>
      </c>
      <c r="AX911" s="78">
        <v>0</v>
      </c>
      <c r="AY911" s="78">
        <v>0</v>
      </c>
      <c r="BT911" s="3" t="s">
        <v>71</v>
      </c>
      <c r="BU911" s="3">
        <v>0</v>
      </c>
      <c r="BV911" s="3">
        <v>0</v>
      </c>
    </row>
    <row r="912" spans="1:74" ht="15" customHeight="1" x14ac:dyDescent="0.25">
      <c r="A912" s="75">
        <v>5898623</v>
      </c>
      <c r="B912" t="s">
        <v>4091</v>
      </c>
      <c r="C912" t="s">
        <v>4092</v>
      </c>
      <c r="D912" t="s">
        <v>2379</v>
      </c>
      <c r="E912" t="s">
        <v>87</v>
      </c>
      <c r="F912" s="75">
        <v>70</v>
      </c>
      <c r="G912" s="75">
        <v>275389</v>
      </c>
      <c r="H912">
        <v>368.16</v>
      </c>
      <c r="I912" t="s">
        <v>55</v>
      </c>
      <c r="J912" s="75">
        <v>218791</v>
      </c>
      <c r="K912" t="s">
        <v>312</v>
      </c>
      <c r="L912" t="s">
        <v>313</v>
      </c>
      <c r="M912" s="81">
        <v>46111.861701388887</v>
      </c>
      <c r="N912" s="81">
        <v>46114.739675925928</v>
      </c>
      <c r="O912" t="s">
        <v>58</v>
      </c>
      <c r="P912" t="s">
        <v>59</v>
      </c>
      <c r="Q912" t="s">
        <v>90</v>
      </c>
      <c r="R912" t="s">
        <v>131</v>
      </c>
      <c r="S912" t="s">
        <v>1273</v>
      </c>
      <c r="U912" s="75">
        <v>221287</v>
      </c>
      <c r="V912" t="s">
        <v>4093</v>
      </c>
      <c r="W912" t="s">
        <v>4094</v>
      </c>
      <c r="X912" t="s">
        <v>62</v>
      </c>
      <c r="Y912" t="s">
        <v>63</v>
      </c>
      <c r="AA912" t="s">
        <v>295</v>
      </c>
      <c r="AB912">
        <v>68.95</v>
      </c>
      <c r="AC912">
        <v>37.5</v>
      </c>
      <c r="AD912">
        <v>31.45</v>
      </c>
      <c r="AE912">
        <v>0.55000000000000004</v>
      </c>
      <c r="AF912">
        <v>0</v>
      </c>
      <c r="AG912">
        <v>30.9</v>
      </c>
      <c r="AH912">
        <v>30.9</v>
      </c>
      <c r="AI912">
        <v>29.2</v>
      </c>
      <c r="AJ912">
        <v>1.7</v>
      </c>
      <c r="AK912">
        <v>0</v>
      </c>
      <c r="AL912" s="76">
        <v>44882.537662037037</v>
      </c>
      <c r="AM912" s="75">
        <v>1229</v>
      </c>
      <c r="AN912" t="s">
        <v>65</v>
      </c>
      <c r="AO912" t="s">
        <v>4095</v>
      </c>
      <c r="AP912" t="s">
        <v>67</v>
      </c>
      <c r="AQ912" t="s">
        <v>68</v>
      </c>
      <c r="AR912" t="s">
        <v>69</v>
      </c>
      <c r="AS912" s="78"/>
      <c r="AT912" s="82" t="s">
        <v>3949</v>
      </c>
      <c r="AU912" s="78">
        <v>2026</v>
      </c>
      <c r="AV912" s="78">
        <v>4</v>
      </c>
      <c r="AW912" s="78" t="s">
        <v>71</v>
      </c>
      <c r="AX912" s="78">
        <v>0</v>
      </c>
      <c r="AY912" s="78">
        <v>1</v>
      </c>
      <c r="BT912" s="2" t="s">
        <v>71</v>
      </c>
      <c r="BU912" s="2">
        <v>0</v>
      </c>
      <c r="BV912" s="2">
        <v>1</v>
      </c>
    </row>
    <row r="913" spans="1:74" ht="15" customHeight="1" x14ac:dyDescent="0.25">
      <c r="A913" s="75">
        <v>5898621</v>
      </c>
      <c r="B913" t="s">
        <v>4096</v>
      </c>
      <c r="C913" t="s">
        <v>4097</v>
      </c>
      <c r="D913" t="s">
        <v>2379</v>
      </c>
      <c r="E913" t="s">
        <v>87</v>
      </c>
      <c r="F913" s="75">
        <v>387</v>
      </c>
      <c r="G913" s="75">
        <v>286829</v>
      </c>
      <c r="H913">
        <v>364.96</v>
      </c>
      <c r="I913" t="s">
        <v>55</v>
      </c>
      <c r="J913" s="75">
        <v>218787</v>
      </c>
      <c r="K913" t="s">
        <v>96</v>
      </c>
      <c r="L913" t="s">
        <v>97</v>
      </c>
      <c r="M913" s="81">
        <v>46111.861655092587</v>
      </c>
      <c r="N913" s="81">
        <v>46114.744664351849</v>
      </c>
      <c r="O913" t="s">
        <v>58</v>
      </c>
      <c r="P913" t="s">
        <v>59</v>
      </c>
      <c r="Q913" t="s">
        <v>90</v>
      </c>
      <c r="R913" t="s">
        <v>131</v>
      </c>
      <c r="S913" t="s">
        <v>1273</v>
      </c>
      <c r="U913" s="75">
        <v>220293</v>
      </c>
      <c r="V913" t="s">
        <v>4098</v>
      </c>
      <c r="W913" t="s">
        <v>4098</v>
      </c>
      <c r="X913" t="s">
        <v>62</v>
      </c>
      <c r="Y913" t="s">
        <v>63</v>
      </c>
      <c r="AA913" t="s">
        <v>295</v>
      </c>
      <c r="AB913">
        <v>69.033334999999994</v>
      </c>
      <c r="AC913">
        <v>39.966667000000001</v>
      </c>
      <c r="AD913">
        <v>29.066668</v>
      </c>
      <c r="AE913">
        <v>0.31666699999999998</v>
      </c>
      <c r="AF913">
        <v>0</v>
      </c>
      <c r="AG913">
        <v>28.750001000000001</v>
      </c>
      <c r="AH913">
        <v>28.750001000000001</v>
      </c>
      <c r="AI913">
        <v>27.450001</v>
      </c>
      <c r="AJ913">
        <v>1.3</v>
      </c>
      <c r="AK913">
        <v>0</v>
      </c>
      <c r="AL913" s="76">
        <v>44908</v>
      </c>
      <c r="AM913" s="75">
        <v>1203</v>
      </c>
      <c r="AN913" t="s">
        <v>65</v>
      </c>
      <c r="AO913" t="s">
        <v>4099</v>
      </c>
      <c r="AP913" t="s">
        <v>67</v>
      </c>
      <c r="AQ913" t="s">
        <v>68</v>
      </c>
      <c r="AR913" t="s">
        <v>69</v>
      </c>
      <c r="AS913" s="79"/>
      <c r="AT913" s="82" t="s">
        <v>3949</v>
      </c>
      <c r="AU913" s="78">
        <v>2026</v>
      </c>
      <c r="AV913" s="78">
        <v>4</v>
      </c>
      <c r="AW913" s="78" t="s">
        <v>71</v>
      </c>
      <c r="AX913" s="78">
        <v>0</v>
      </c>
      <c r="AY913" s="78">
        <v>1</v>
      </c>
      <c r="BT913" s="3" t="s">
        <v>71</v>
      </c>
      <c r="BU913" s="3">
        <v>0</v>
      </c>
      <c r="BV913" s="3">
        <v>1</v>
      </c>
    </row>
    <row r="914" spans="1:74" ht="15" customHeight="1" x14ac:dyDescent="0.25">
      <c r="A914" s="75">
        <v>5902605</v>
      </c>
      <c r="B914" t="s">
        <v>4100</v>
      </c>
      <c r="C914" t="s">
        <v>4101</v>
      </c>
      <c r="D914" t="s">
        <v>1388</v>
      </c>
      <c r="E914" t="s">
        <v>54</v>
      </c>
      <c r="F914" s="75">
        <v>1</v>
      </c>
      <c r="G914" s="75">
        <v>290793</v>
      </c>
      <c r="H914">
        <v>4402.8599999999997</v>
      </c>
      <c r="I914" t="s">
        <v>114</v>
      </c>
      <c r="J914" s="75">
        <v>217643</v>
      </c>
      <c r="K914" t="s">
        <v>4102</v>
      </c>
      <c r="L914" t="s">
        <v>4103</v>
      </c>
      <c r="M914" s="81">
        <v>46114.369375000002</v>
      </c>
      <c r="N914" s="81">
        <v>46115.44153935185</v>
      </c>
      <c r="O914" t="s">
        <v>58</v>
      </c>
      <c r="P914" t="s">
        <v>59</v>
      </c>
      <c r="Q914" t="s">
        <v>130</v>
      </c>
      <c r="R914" t="s">
        <v>60</v>
      </c>
      <c r="S914" t="s">
        <v>583</v>
      </c>
      <c r="U914" s="75">
        <v>222457</v>
      </c>
      <c r="V914" t="s">
        <v>4104</v>
      </c>
      <c r="W914" t="s">
        <v>4104</v>
      </c>
      <c r="X914" t="s">
        <v>118</v>
      </c>
      <c r="Y914" t="s">
        <v>119</v>
      </c>
      <c r="AA914" t="s">
        <v>64</v>
      </c>
      <c r="AB914">
        <v>25.683333999999999</v>
      </c>
      <c r="AC914">
        <v>20.3</v>
      </c>
      <c r="AD914">
        <v>5.3833339999999996</v>
      </c>
      <c r="AE914">
        <v>6.6667000000000004E-2</v>
      </c>
      <c r="AF914">
        <v>0</v>
      </c>
      <c r="AG914">
        <v>5.3166669999999998</v>
      </c>
      <c r="AH914">
        <v>5.3166669999999998</v>
      </c>
      <c r="AI914">
        <v>5.1166669999999996</v>
      </c>
      <c r="AJ914">
        <v>0.2</v>
      </c>
      <c r="AK914">
        <v>0</v>
      </c>
      <c r="AL914" s="76">
        <v>45128</v>
      </c>
      <c r="AM914" s="75">
        <v>986</v>
      </c>
      <c r="AN914" t="s">
        <v>65</v>
      </c>
      <c r="AO914" t="s">
        <v>4105</v>
      </c>
      <c r="AP914" t="s">
        <v>67</v>
      </c>
      <c r="AQ914" t="s">
        <v>121</v>
      </c>
      <c r="AR914" t="s">
        <v>69</v>
      </c>
      <c r="AS914" s="78"/>
      <c r="AT914" s="82" t="s">
        <v>3949</v>
      </c>
      <c r="AU914" s="78">
        <v>2026</v>
      </c>
      <c r="AV914" s="78">
        <v>4</v>
      </c>
      <c r="AW914" s="78" t="s">
        <v>122</v>
      </c>
      <c r="AX914" s="78">
        <v>1</v>
      </c>
      <c r="AY914" s="78">
        <v>0</v>
      </c>
      <c r="BT914" s="2" t="s">
        <v>122</v>
      </c>
      <c r="BU914" s="2">
        <v>1</v>
      </c>
      <c r="BV914" s="2">
        <v>0</v>
      </c>
    </row>
    <row r="915" spans="1:74" ht="15" customHeight="1" x14ac:dyDescent="0.25">
      <c r="A915" s="75">
        <v>5903161</v>
      </c>
      <c r="B915" t="s">
        <v>4106</v>
      </c>
      <c r="C915" t="s">
        <v>4107</v>
      </c>
      <c r="D915" t="s">
        <v>956</v>
      </c>
      <c r="E915" t="s">
        <v>87</v>
      </c>
      <c r="F915" s="75">
        <v>225</v>
      </c>
      <c r="G915" s="75">
        <v>286247</v>
      </c>
      <c r="H915">
        <v>368.16</v>
      </c>
      <c r="I915" t="s">
        <v>55</v>
      </c>
      <c r="J915" s="75">
        <v>218791</v>
      </c>
      <c r="K915" t="s">
        <v>312</v>
      </c>
      <c r="L915" t="s">
        <v>313</v>
      </c>
      <c r="M915" s="81">
        <v>46114.556319444448</v>
      </c>
      <c r="N915" s="81">
        <v>46116.406134259261</v>
      </c>
      <c r="O915" t="s">
        <v>58</v>
      </c>
      <c r="P915" t="s">
        <v>59</v>
      </c>
      <c r="Q915" t="s">
        <v>98</v>
      </c>
      <c r="R915" t="s">
        <v>99</v>
      </c>
      <c r="S915" t="s">
        <v>1244</v>
      </c>
      <c r="U915" s="75"/>
      <c r="X915" t="s">
        <v>62</v>
      </c>
      <c r="Y915" t="s">
        <v>63</v>
      </c>
      <c r="AA915" t="s">
        <v>81</v>
      </c>
      <c r="AB915">
        <v>44.333334000000001</v>
      </c>
      <c r="AC915">
        <v>37.450000000000003</v>
      </c>
      <c r="AD915">
        <v>6.8833339999999996</v>
      </c>
      <c r="AE915">
        <v>6.766667</v>
      </c>
      <c r="AF915">
        <v>0</v>
      </c>
      <c r="AG915">
        <v>0.11666700000000001</v>
      </c>
      <c r="AH915">
        <v>0.11666700000000001</v>
      </c>
      <c r="AI915">
        <v>0</v>
      </c>
      <c r="AJ915">
        <v>0.11666700000000001</v>
      </c>
      <c r="AK915">
        <v>0</v>
      </c>
      <c r="AL915" s="76">
        <v>44876.622743055559</v>
      </c>
      <c r="AM915" s="75">
        <v>1237</v>
      </c>
      <c r="AN915" t="s">
        <v>65</v>
      </c>
      <c r="AO915" t="s">
        <v>660</v>
      </c>
      <c r="AP915" t="s">
        <v>67</v>
      </c>
      <c r="AQ915" t="s">
        <v>68</v>
      </c>
      <c r="AR915" t="s">
        <v>69</v>
      </c>
      <c r="AS915" s="79"/>
      <c r="AT915" s="82" t="s">
        <v>3949</v>
      </c>
      <c r="AU915" s="78">
        <v>2026</v>
      </c>
      <c r="AV915" s="78">
        <v>4</v>
      </c>
      <c r="AW915" s="78" t="s">
        <v>71</v>
      </c>
      <c r="AX915" s="78">
        <v>1</v>
      </c>
      <c r="AY915" s="78">
        <v>0</v>
      </c>
      <c r="BT915" s="3" t="s">
        <v>71</v>
      </c>
      <c r="BU915" s="3">
        <v>1</v>
      </c>
      <c r="BV915" s="3">
        <v>0</v>
      </c>
    </row>
    <row r="916" spans="1:74" ht="15" customHeight="1" x14ac:dyDescent="0.25">
      <c r="A916" s="75">
        <v>5902979</v>
      </c>
      <c r="B916" t="s">
        <v>4108</v>
      </c>
      <c r="C916" t="s">
        <v>4109</v>
      </c>
      <c r="D916" t="s">
        <v>282</v>
      </c>
      <c r="E916" t="s">
        <v>54</v>
      </c>
      <c r="F916" s="75">
        <v>106</v>
      </c>
      <c r="G916" s="75">
        <v>295677</v>
      </c>
      <c r="H916">
        <v>100</v>
      </c>
      <c r="I916" t="s">
        <v>195</v>
      </c>
      <c r="J916" s="75">
        <v>13955</v>
      </c>
      <c r="K916" t="s">
        <v>75</v>
      </c>
      <c r="L916" t="s">
        <v>76</v>
      </c>
      <c r="M916" s="81">
        <v>46114.455347222232</v>
      </c>
      <c r="N916" s="81">
        <v>46116.539050925923</v>
      </c>
      <c r="O916" t="s">
        <v>58</v>
      </c>
      <c r="P916" t="s">
        <v>59</v>
      </c>
      <c r="Q916" t="s">
        <v>77</v>
      </c>
      <c r="R916" t="s">
        <v>60</v>
      </c>
      <c r="S916" t="s">
        <v>583</v>
      </c>
      <c r="U916" s="75">
        <v>222839</v>
      </c>
      <c r="V916" t="s">
        <v>4110</v>
      </c>
      <c r="W916" t="s">
        <v>4110</v>
      </c>
      <c r="X916" t="s">
        <v>62</v>
      </c>
      <c r="Y916" t="s">
        <v>63</v>
      </c>
      <c r="AA916" t="s">
        <v>101</v>
      </c>
      <c r="AB916">
        <v>49.916666999999997</v>
      </c>
      <c r="AC916">
        <v>38.35</v>
      </c>
      <c r="AD916">
        <v>11.566667000000001</v>
      </c>
      <c r="AE916">
        <v>8.3333000000000004E-2</v>
      </c>
      <c r="AF916">
        <v>0</v>
      </c>
      <c r="AG916">
        <v>11.483333999999999</v>
      </c>
      <c r="AH916">
        <v>11.483333999999999</v>
      </c>
      <c r="AI916">
        <v>10.083334000000001</v>
      </c>
      <c r="AJ916">
        <v>1.4</v>
      </c>
      <c r="AK916">
        <v>0</v>
      </c>
      <c r="AL916" s="76">
        <v>45344</v>
      </c>
      <c r="AM916" s="75">
        <v>770</v>
      </c>
      <c r="AN916" t="s">
        <v>65</v>
      </c>
      <c r="AO916" t="s">
        <v>1689</v>
      </c>
      <c r="AP916" t="s">
        <v>67</v>
      </c>
      <c r="AQ916" t="s">
        <v>68</v>
      </c>
      <c r="AR916" t="s">
        <v>69</v>
      </c>
      <c r="AS916" s="78"/>
      <c r="AT916" s="82" t="s">
        <v>3949</v>
      </c>
      <c r="AU916" s="78">
        <v>2026</v>
      </c>
      <c r="AV916" s="78">
        <v>4</v>
      </c>
      <c r="AW916" s="78" t="s">
        <v>71</v>
      </c>
      <c r="AX916" s="78">
        <v>0</v>
      </c>
      <c r="AY916" s="78">
        <v>0</v>
      </c>
      <c r="BT916" s="2" t="s">
        <v>71</v>
      </c>
      <c r="BU916" s="2">
        <v>0</v>
      </c>
      <c r="BV916" s="2">
        <v>0</v>
      </c>
    </row>
    <row r="917" spans="1:74" ht="15" customHeight="1" x14ac:dyDescent="0.25">
      <c r="A917" s="75">
        <v>5904197</v>
      </c>
      <c r="B917" t="s">
        <v>4111</v>
      </c>
      <c r="C917" t="s">
        <v>4112</v>
      </c>
      <c r="D917" t="s">
        <v>1555</v>
      </c>
      <c r="E917" t="s">
        <v>87</v>
      </c>
      <c r="F917" s="75">
        <v>128</v>
      </c>
      <c r="G917" s="75">
        <v>285591</v>
      </c>
      <c r="H917">
        <v>368.16</v>
      </c>
      <c r="I917" t="s">
        <v>55</v>
      </c>
      <c r="J917" s="75">
        <v>218791</v>
      </c>
      <c r="K917" t="s">
        <v>312</v>
      </c>
      <c r="L917" t="s">
        <v>313</v>
      </c>
      <c r="M917" s="81">
        <v>46115.59783564815</v>
      </c>
      <c r="N917" s="81">
        <v>46118.500196759262</v>
      </c>
      <c r="O917" t="s">
        <v>58</v>
      </c>
      <c r="P917" t="s">
        <v>59</v>
      </c>
      <c r="Q917" t="s">
        <v>90</v>
      </c>
      <c r="R917" t="s">
        <v>60</v>
      </c>
      <c r="S917" t="s">
        <v>583</v>
      </c>
      <c r="U917" s="75">
        <v>223343</v>
      </c>
      <c r="V917" t="s">
        <v>4113</v>
      </c>
      <c r="X917" t="s">
        <v>62</v>
      </c>
      <c r="Y917" t="s">
        <v>63</v>
      </c>
      <c r="AA917" t="s">
        <v>81</v>
      </c>
      <c r="AB917">
        <v>69.616667000000007</v>
      </c>
      <c r="AC917">
        <v>69.45</v>
      </c>
      <c r="AD917">
        <v>0.16666700000000001</v>
      </c>
      <c r="AE917">
        <v>0.05</v>
      </c>
      <c r="AF917">
        <v>0</v>
      </c>
      <c r="AG917">
        <v>0.11666700000000001</v>
      </c>
      <c r="AH917">
        <v>0.11666700000000001</v>
      </c>
      <c r="AI917">
        <v>0</v>
      </c>
      <c r="AJ917">
        <v>0.11666700000000001</v>
      </c>
      <c r="AK917">
        <v>0</v>
      </c>
      <c r="AL917" s="76">
        <v>45076.684317129628</v>
      </c>
      <c r="AM917" s="75">
        <v>1038</v>
      </c>
      <c r="AN917" t="s">
        <v>65</v>
      </c>
      <c r="AO917" t="s">
        <v>4114</v>
      </c>
      <c r="AP917" t="s">
        <v>67</v>
      </c>
      <c r="AQ917" t="s">
        <v>68</v>
      </c>
      <c r="AR917" t="s">
        <v>69</v>
      </c>
      <c r="AS917" s="79"/>
      <c r="AT917" s="82" t="s">
        <v>4115</v>
      </c>
      <c r="AU917" s="78">
        <v>2026</v>
      </c>
      <c r="AV917" s="78">
        <v>4</v>
      </c>
      <c r="AW917" s="78" t="s">
        <v>71</v>
      </c>
      <c r="AX917" s="78">
        <v>1</v>
      </c>
      <c r="AY917" s="78">
        <v>0</v>
      </c>
      <c r="BT917" s="3" t="s">
        <v>71</v>
      </c>
      <c r="BU917" s="3">
        <v>1</v>
      </c>
      <c r="BV917" s="3">
        <v>0</v>
      </c>
    </row>
    <row r="918" spans="1:74" ht="15" customHeight="1" x14ac:dyDescent="0.25">
      <c r="A918" s="75">
        <v>5901277</v>
      </c>
      <c r="B918" t="s">
        <v>4116</v>
      </c>
      <c r="C918" t="s">
        <v>4117</v>
      </c>
      <c r="D918" t="s">
        <v>1555</v>
      </c>
      <c r="E918" t="s">
        <v>105</v>
      </c>
      <c r="F918" s="75">
        <v>117</v>
      </c>
      <c r="G918" s="75">
        <v>301977</v>
      </c>
      <c r="H918">
        <v>574.5</v>
      </c>
      <c r="I918" t="s">
        <v>55</v>
      </c>
      <c r="J918" s="75">
        <v>225215</v>
      </c>
      <c r="K918" t="s">
        <v>106</v>
      </c>
      <c r="L918" t="s">
        <v>107</v>
      </c>
      <c r="M918" s="81">
        <v>46113.46570601852</v>
      </c>
      <c r="N918" s="81">
        <v>46118.505798611113</v>
      </c>
      <c r="O918" t="s">
        <v>58</v>
      </c>
      <c r="P918" t="s">
        <v>59</v>
      </c>
      <c r="Q918" t="s">
        <v>90</v>
      </c>
      <c r="R918" t="s">
        <v>60</v>
      </c>
      <c r="S918" t="s">
        <v>583</v>
      </c>
      <c r="U918" s="75">
        <v>221883</v>
      </c>
      <c r="V918" t="s">
        <v>4118</v>
      </c>
      <c r="W918" t="s">
        <v>4118</v>
      </c>
      <c r="X918" t="s">
        <v>62</v>
      </c>
      <c r="Y918" t="s">
        <v>63</v>
      </c>
      <c r="AA918" t="s">
        <v>416</v>
      </c>
      <c r="AB918">
        <v>120.866664</v>
      </c>
      <c r="AC918">
        <v>97.749999000000003</v>
      </c>
      <c r="AD918">
        <v>23.116665000000001</v>
      </c>
      <c r="AE918">
        <v>0.95</v>
      </c>
      <c r="AF918">
        <v>0</v>
      </c>
      <c r="AG918">
        <v>22.166664999999998</v>
      </c>
      <c r="AH918">
        <v>22.166664999999998</v>
      </c>
      <c r="AI918">
        <v>21.799999</v>
      </c>
      <c r="AJ918">
        <v>0.36666599999999999</v>
      </c>
      <c r="AK918">
        <v>0</v>
      </c>
      <c r="AL918" s="76">
        <v>45408.709340277783</v>
      </c>
      <c r="AM918" s="75">
        <v>704</v>
      </c>
      <c r="AN918" t="s">
        <v>65</v>
      </c>
      <c r="AO918" t="s">
        <v>4119</v>
      </c>
      <c r="AP918" t="s">
        <v>67</v>
      </c>
      <c r="AQ918" t="s">
        <v>68</v>
      </c>
      <c r="AR918" t="s">
        <v>69</v>
      </c>
      <c r="AS918" s="78"/>
      <c r="AT918" s="82" t="s">
        <v>4115</v>
      </c>
      <c r="AU918" s="78">
        <v>2026</v>
      </c>
      <c r="AV918" s="78">
        <v>4</v>
      </c>
      <c r="AW918" s="78" t="s">
        <v>71</v>
      </c>
      <c r="AX918" s="78">
        <v>0</v>
      </c>
      <c r="AY918" s="78">
        <v>0</v>
      </c>
      <c r="BT918" s="2" t="s">
        <v>71</v>
      </c>
      <c r="BU918" s="2">
        <v>0</v>
      </c>
      <c r="BV918" s="2">
        <v>0</v>
      </c>
    </row>
    <row r="919" spans="1:74" ht="15" customHeight="1" x14ac:dyDescent="0.25">
      <c r="A919" s="75">
        <v>5905669</v>
      </c>
      <c r="B919" t="s">
        <v>4120</v>
      </c>
      <c r="C919" t="s">
        <v>988</v>
      </c>
      <c r="D919" t="s">
        <v>150</v>
      </c>
      <c r="E919" t="s">
        <v>87</v>
      </c>
      <c r="F919" s="75">
        <v>297</v>
      </c>
      <c r="G919" s="75">
        <v>286473</v>
      </c>
      <c r="H919">
        <v>364.96</v>
      </c>
      <c r="I919" t="s">
        <v>55</v>
      </c>
      <c r="J919" s="75">
        <v>218787</v>
      </c>
      <c r="K919" t="s">
        <v>96</v>
      </c>
      <c r="L919" t="s">
        <v>97</v>
      </c>
      <c r="M919" s="81">
        <v>46118.00744212963</v>
      </c>
      <c r="N919" s="81">
        <v>46118.571736111109</v>
      </c>
      <c r="O919" t="s">
        <v>58</v>
      </c>
      <c r="P919" t="s">
        <v>59</v>
      </c>
      <c r="Q919" t="s">
        <v>90</v>
      </c>
      <c r="R919" t="s">
        <v>131</v>
      </c>
      <c r="S919" t="s">
        <v>1316</v>
      </c>
      <c r="U919" s="75">
        <v>223643</v>
      </c>
      <c r="V919" t="s">
        <v>4121</v>
      </c>
      <c r="W919" t="s">
        <v>4121</v>
      </c>
      <c r="X919" t="s">
        <v>62</v>
      </c>
      <c r="Y919" t="s">
        <v>63</v>
      </c>
      <c r="AA919" t="s">
        <v>64</v>
      </c>
      <c r="AB919">
        <v>13.466666</v>
      </c>
      <c r="AC919">
        <v>2.5833330000000001</v>
      </c>
      <c r="AD919">
        <v>10.883333</v>
      </c>
      <c r="AE919">
        <v>6.1333330000000004</v>
      </c>
      <c r="AF919">
        <v>0</v>
      </c>
      <c r="AG919">
        <v>4.75</v>
      </c>
      <c r="AH919">
        <v>4.75</v>
      </c>
      <c r="AI919">
        <v>3.6833330000000002</v>
      </c>
      <c r="AJ919">
        <v>1.066667</v>
      </c>
      <c r="AK919">
        <v>0</v>
      </c>
      <c r="AL919" s="76">
        <v>44924</v>
      </c>
      <c r="AM919" s="75">
        <v>1194</v>
      </c>
      <c r="AN919" t="s">
        <v>65</v>
      </c>
      <c r="AO919" t="s">
        <v>991</v>
      </c>
      <c r="AP919" t="s">
        <v>67</v>
      </c>
      <c r="AQ919" t="s">
        <v>68</v>
      </c>
      <c r="AR919" t="s">
        <v>69</v>
      </c>
      <c r="AS919" s="79"/>
      <c r="AT919" s="82" t="s">
        <v>4115</v>
      </c>
      <c r="AU919" s="78">
        <v>2026</v>
      </c>
      <c r="AV919" s="78">
        <v>4</v>
      </c>
      <c r="AW919" s="78" t="s">
        <v>71</v>
      </c>
      <c r="AX919" s="78">
        <v>1</v>
      </c>
      <c r="AY919" s="78">
        <v>0</v>
      </c>
      <c r="BT919" s="3" t="s">
        <v>71</v>
      </c>
      <c r="BU919" s="3">
        <v>1</v>
      </c>
      <c r="BV919" s="3">
        <v>0</v>
      </c>
    </row>
    <row r="920" spans="1:74" ht="15" customHeight="1" x14ac:dyDescent="0.25">
      <c r="A920" s="75">
        <v>5899617</v>
      </c>
      <c r="B920" t="s">
        <v>4122</v>
      </c>
      <c r="C920" t="s">
        <v>4123</v>
      </c>
      <c r="D920" t="s">
        <v>2379</v>
      </c>
      <c r="E920" t="s">
        <v>54</v>
      </c>
      <c r="F920" s="75">
        <v>9</v>
      </c>
      <c r="G920" s="75">
        <v>240005</v>
      </c>
      <c r="H920">
        <v>628.98</v>
      </c>
      <c r="I920" t="s">
        <v>114</v>
      </c>
      <c r="J920" s="75">
        <v>201859</v>
      </c>
      <c r="K920" t="s">
        <v>4124</v>
      </c>
      <c r="L920" t="s">
        <v>4125</v>
      </c>
      <c r="M920" s="81">
        <v>46112.554444444453</v>
      </c>
      <c r="N920" s="81">
        <v>46118.650949074072</v>
      </c>
      <c r="O920" t="s">
        <v>58</v>
      </c>
      <c r="P920" t="s">
        <v>59</v>
      </c>
      <c r="Q920" t="s">
        <v>130</v>
      </c>
      <c r="R920" t="s">
        <v>99</v>
      </c>
      <c r="S920" t="s">
        <v>1244</v>
      </c>
      <c r="U920" s="75">
        <v>223307</v>
      </c>
      <c r="V920" t="s">
        <v>4126</v>
      </c>
      <c r="W920" t="s">
        <v>4127</v>
      </c>
      <c r="X920" t="s">
        <v>62</v>
      </c>
      <c r="Y920" t="s">
        <v>63</v>
      </c>
      <c r="AA920" t="s">
        <v>295</v>
      </c>
      <c r="AB920">
        <v>146.13333399999999</v>
      </c>
      <c r="AC920">
        <v>110.566666</v>
      </c>
      <c r="AD920">
        <v>35.566668</v>
      </c>
      <c r="AE920">
        <v>0.83333299999999999</v>
      </c>
      <c r="AF920">
        <v>0</v>
      </c>
      <c r="AG920">
        <v>34.733334999999997</v>
      </c>
      <c r="AH920">
        <v>34.733334999999997</v>
      </c>
      <c r="AI920">
        <v>31.916667</v>
      </c>
      <c r="AJ920">
        <v>2.8166679999999999</v>
      </c>
      <c r="AK920">
        <v>0</v>
      </c>
      <c r="AL920" s="76">
        <v>44327</v>
      </c>
      <c r="AM920" s="75">
        <v>1785</v>
      </c>
      <c r="AN920" t="s">
        <v>65</v>
      </c>
      <c r="AO920" t="s">
        <v>4128</v>
      </c>
      <c r="AP920" t="s">
        <v>67</v>
      </c>
      <c r="AQ920" t="s">
        <v>68</v>
      </c>
      <c r="AR920" t="s">
        <v>69</v>
      </c>
      <c r="AS920" s="78"/>
      <c r="AT920" s="82" t="s">
        <v>4115</v>
      </c>
      <c r="AU920" s="78">
        <v>2026</v>
      </c>
      <c r="AV920" s="78">
        <v>4</v>
      </c>
      <c r="AW920" s="78" t="s">
        <v>71</v>
      </c>
      <c r="AX920" s="78">
        <v>0</v>
      </c>
      <c r="AY920" s="78">
        <v>1</v>
      </c>
      <c r="BT920" s="2" t="s">
        <v>71</v>
      </c>
      <c r="BU920" s="2">
        <v>0</v>
      </c>
      <c r="BV920" s="2">
        <v>1</v>
      </c>
    </row>
    <row r="921" spans="1:74" ht="15" customHeight="1" x14ac:dyDescent="0.25">
      <c r="A921" s="75">
        <v>5900995</v>
      </c>
      <c r="B921" t="s">
        <v>4129</v>
      </c>
      <c r="C921" t="s">
        <v>4130</v>
      </c>
      <c r="D921" t="s">
        <v>2379</v>
      </c>
      <c r="E921" t="s">
        <v>87</v>
      </c>
      <c r="F921" s="75">
        <v>79</v>
      </c>
      <c r="G921" s="75">
        <v>275417</v>
      </c>
      <c r="H921">
        <v>368.16</v>
      </c>
      <c r="I921" t="s">
        <v>55</v>
      </c>
      <c r="J921" s="75">
        <v>218791</v>
      </c>
      <c r="K921" t="s">
        <v>312</v>
      </c>
      <c r="L921" t="s">
        <v>313</v>
      </c>
      <c r="M921" s="81">
        <v>46113.398946759262</v>
      </c>
      <c r="N921" s="81">
        <v>46118.65184027778</v>
      </c>
      <c r="O921" t="s">
        <v>58</v>
      </c>
      <c r="P921" t="s">
        <v>59</v>
      </c>
      <c r="Q921" t="s">
        <v>2562</v>
      </c>
      <c r="R921" t="s">
        <v>99</v>
      </c>
      <c r="S921" t="s">
        <v>1244</v>
      </c>
      <c r="U921" s="75">
        <v>223339</v>
      </c>
      <c r="V921" t="s">
        <v>4131</v>
      </c>
      <c r="W921" t="s">
        <v>4132</v>
      </c>
      <c r="X921" t="s">
        <v>62</v>
      </c>
      <c r="Y921" t="s">
        <v>63</v>
      </c>
      <c r="AA921" t="s">
        <v>101</v>
      </c>
      <c r="AB921">
        <v>125.950002</v>
      </c>
      <c r="AC921">
        <v>113.033334</v>
      </c>
      <c r="AD921">
        <v>12.916668</v>
      </c>
      <c r="AE921">
        <v>1.6666669999999999</v>
      </c>
      <c r="AF921">
        <v>0</v>
      </c>
      <c r="AG921">
        <v>11.250000999999999</v>
      </c>
      <c r="AH921">
        <v>11.250000999999999</v>
      </c>
      <c r="AI921">
        <v>10.100001000000001</v>
      </c>
      <c r="AJ921">
        <v>1.1499999999999999</v>
      </c>
      <c r="AK921">
        <v>0</v>
      </c>
      <c r="AL921" s="76">
        <v>44875.627060185187</v>
      </c>
      <c r="AM921" s="75">
        <v>1237</v>
      </c>
      <c r="AN921" t="s">
        <v>65</v>
      </c>
      <c r="AO921" t="s">
        <v>4133</v>
      </c>
      <c r="AP921" t="s">
        <v>67</v>
      </c>
      <c r="AQ921" t="s">
        <v>68</v>
      </c>
      <c r="AR921" t="s">
        <v>69</v>
      </c>
      <c r="AS921" s="79"/>
      <c r="AT921" s="82" t="s">
        <v>4115</v>
      </c>
      <c r="AU921" s="78">
        <v>2026</v>
      </c>
      <c r="AV921" s="78">
        <v>4</v>
      </c>
      <c r="AW921" s="78" t="s">
        <v>71</v>
      </c>
      <c r="AX921" s="78">
        <v>0</v>
      </c>
      <c r="AY921" s="78">
        <v>0</v>
      </c>
      <c r="BT921" s="3" t="s">
        <v>71</v>
      </c>
      <c r="BU921" s="3">
        <v>0</v>
      </c>
      <c r="BV921" s="3">
        <v>0</v>
      </c>
    </row>
    <row r="922" spans="1:74" ht="15" customHeight="1" x14ac:dyDescent="0.25">
      <c r="A922" s="75">
        <v>5904359</v>
      </c>
      <c r="B922" t="s">
        <v>4134</v>
      </c>
      <c r="C922" t="s">
        <v>4135</v>
      </c>
      <c r="D922" t="s">
        <v>2379</v>
      </c>
      <c r="E922" t="s">
        <v>105</v>
      </c>
      <c r="F922" s="75">
        <v>863</v>
      </c>
      <c r="G922" s="75">
        <v>326521</v>
      </c>
      <c r="H922">
        <v>1050.01</v>
      </c>
      <c r="I922" t="s">
        <v>55</v>
      </c>
      <c r="J922" s="75">
        <v>82709</v>
      </c>
      <c r="K922" t="s">
        <v>683</v>
      </c>
      <c r="L922" t="s">
        <v>684</v>
      </c>
      <c r="M922" s="81">
        <v>46115.743530092594</v>
      </c>
      <c r="N922" s="81">
        <v>46118.656435185178</v>
      </c>
      <c r="O922" t="s">
        <v>58</v>
      </c>
      <c r="P922" t="s">
        <v>59</v>
      </c>
      <c r="Q922" t="s">
        <v>90</v>
      </c>
      <c r="R922" t="s">
        <v>99</v>
      </c>
      <c r="S922" t="s">
        <v>1244</v>
      </c>
      <c r="U922" s="75">
        <v>223239</v>
      </c>
      <c r="V922" t="s">
        <v>4136</v>
      </c>
      <c r="W922" t="s">
        <v>4136</v>
      </c>
      <c r="X922" t="s">
        <v>79</v>
      </c>
      <c r="Y922" t="s">
        <v>110</v>
      </c>
      <c r="AA922" t="s">
        <v>81</v>
      </c>
      <c r="AB922">
        <v>69.866665999999995</v>
      </c>
      <c r="AC922">
        <v>69.383332999999993</v>
      </c>
      <c r="AD922">
        <v>0.48333300000000001</v>
      </c>
      <c r="AE922">
        <v>0.41666599999999998</v>
      </c>
      <c r="AF922">
        <v>0</v>
      </c>
      <c r="AG922">
        <v>6.6667000000000004E-2</v>
      </c>
      <c r="AH922">
        <v>6.6667000000000004E-2</v>
      </c>
      <c r="AI922">
        <v>6.6667000000000004E-2</v>
      </c>
      <c r="AJ922">
        <v>0</v>
      </c>
      <c r="AK922">
        <v>0</v>
      </c>
      <c r="AL922" s="76">
        <v>45626.000011574077</v>
      </c>
      <c r="AM922" s="75">
        <v>489</v>
      </c>
      <c r="AN922" t="s">
        <v>65</v>
      </c>
      <c r="AO922" t="s">
        <v>3054</v>
      </c>
      <c r="AP922" t="s">
        <v>67</v>
      </c>
      <c r="AQ922" t="s">
        <v>83</v>
      </c>
      <c r="AR922" t="s">
        <v>69</v>
      </c>
      <c r="AS922" s="78"/>
      <c r="AT922" s="82" t="s">
        <v>4115</v>
      </c>
      <c r="AU922" s="78">
        <v>2026</v>
      </c>
      <c r="AV922" s="78">
        <v>4</v>
      </c>
      <c r="AW922" s="78" t="s">
        <v>84</v>
      </c>
      <c r="AX922" s="78">
        <v>1</v>
      </c>
      <c r="AY922" s="78">
        <v>0</v>
      </c>
      <c r="BT922" s="2" t="s">
        <v>84</v>
      </c>
      <c r="BU922" s="2">
        <v>1</v>
      </c>
      <c r="BV922" s="2">
        <v>0</v>
      </c>
    </row>
    <row r="923" spans="1:74" ht="15" customHeight="1" x14ac:dyDescent="0.25">
      <c r="A923" s="75">
        <v>5904661</v>
      </c>
      <c r="B923" t="s">
        <v>4137</v>
      </c>
      <c r="C923" t="s">
        <v>4138</v>
      </c>
      <c r="D923" t="s">
        <v>2379</v>
      </c>
      <c r="E923" t="s">
        <v>54</v>
      </c>
      <c r="F923" s="75">
        <v>1</v>
      </c>
      <c r="G923" s="75">
        <v>320949</v>
      </c>
      <c r="H923">
        <v>700</v>
      </c>
      <c r="I923" t="s">
        <v>114</v>
      </c>
      <c r="J923" s="75">
        <v>219891</v>
      </c>
      <c r="K923" t="s">
        <v>828</v>
      </c>
      <c r="L923" t="s">
        <v>4139</v>
      </c>
      <c r="M923" s="81">
        <v>46116.383842592593</v>
      </c>
      <c r="N923" s="81">
        <v>46118.70034722222</v>
      </c>
      <c r="O923" t="s">
        <v>58</v>
      </c>
      <c r="P923" t="s">
        <v>59</v>
      </c>
      <c r="R923" t="s">
        <v>99</v>
      </c>
      <c r="S923" t="s">
        <v>1244</v>
      </c>
      <c r="U923" s="75">
        <v>223381</v>
      </c>
      <c r="V923" t="s">
        <v>4140</v>
      </c>
      <c r="W923" t="s">
        <v>4140</v>
      </c>
      <c r="X923" t="s">
        <v>62</v>
      </c>
      <c r="Y923" t="s">
        <v>931</v>
      </c>
      <c r="AA923" t="s">
        <v>101</v>
      </c>
      <c r="AB923">
        <v>55.550001000000002</v>
      </c>
      <c r="AC923">
        <v>44.583333000000003</v>
      </c>
      <c r="AD923">
        <v>10.966668</v>
      </c>
      <c r="AE923">
        <v>0.26666699999999999</v>
      </c>
      <c r="AF923">
        <v>0</v>
      </c>
      <c r="AG923">
        <v>10.700001</v>
      </c>
      <c r="AH923">
        <v>10.700001</v>
      </c>
      <c r="AI923">
        <v>10.683334</v>
      </c>
      <c r="AJ923">
        <v>1.6667000000000001E-2</v>
      </c>
      <c r="AK923">
        <v>0</v>
      </c>
      <c r="AL923" s="76">
        <v>45489</v>
      </c>
      <c r="AM923" s="75">
        <v>627</v>
      </c>
      <c r="AN923" t="s">
        <v>65</v>
      </c>
      <c r="AO923" t="s">
        <v>4141</v>
      </c>
      <c r="AP923" t="s">
        <v>67</v>
      </c>
      <c r="AQ923" t="s">
        <v>68</v>
      </c>
      <c r="AR923" t="s">
        <v>69</v>
      </c>
      <c r="AS923" s="79"/>
      <c r="AT923" s="82" t="s">
        <v>4115</v>
      </c>
      <c r="AU923" s="78">
        <v>2026</v>
      </c>
      <c r="AV923" s="78">
        <v>4</v>
      </c>
      <c r="AW923" s="78" t="s">
        <v>71</v>
      </c>
      <c r="AX923" s="78">
        <v>0</v>
      </c>
      <c r="AY923" s="78">
        <v>0</v>
      </c>
      <c r="BT923" s="3" t="s">
        <v>71</v>
      </c>
      <c r="BU923" s="3">
        <v>0</v>
      </c>
      <c r="BV923" s="3">
        <v>0</v>
      </c>
    </row>
    <row r="924" spans="1:74" ht="15" customHeight="1" x14ac:dyDescent="0.25">
      <c r="A924" s="75">
        <v>5901399</v>
      </c>
      <c r="B924" t="s">
        <v>4142</v>
      </c>
      <c r="C924" t="s">
        <v>4143</v>
      </c>
      <c r="D924" t="s">
        <v>809</v>
      </c>
      <c r="E924" t="s">
        <v>54</v>
      </c>
      <c r="F924" s="75">
        <v>799</v>
      </c>
      <c r="G924" s="75">
        <v>255419</v>
      </c>
      <c r="H924">
        <v>1078.49</v>
      </c>
      <c r="I924" t="s">
        <v>114</v>
      </c>
      <c r="J924" s="75">
        <v>41827</v>
      </c>
      <c r="K924" t="s">
        <v>1745</v>
      </c>
      <c r="L924" t="s">
        <v>1746</v>
      </c>
      <c r="M924" s="81">
        <v>46113.49900462963</v>
      </c>
      <c r="N924" s="81">
        <v>46118.711863425917</v>
      </c>
      <c r="O924" t="s">
        <v>58</v>
      </c>
      <c r="P924" t="s">
        <v>59</v>
      </c>
      <c r="Q924" t="s">
        <v>130</v>
      </c>
      <c r="R924" t="s">
        <v>156</v>
      </c>
      <c r="S924" t="s">
        <v>1320</v>
      </c>
      <c r="U924" s="75">
        <v>223567</v>
      </c>
      <c r="V924" t="s">
        <v>4144</v>
      </c>
      <c r="W924" t="s">
        <v>4145</v>
      </c>
      <c r="X924" t="s">
        <v>62</v>
      </c>
      <c r="Y924" t="s">
        <v>63</v>
      </c>
      <c r="AA924" t="s">
        <v>295</v>
      </c>
      <c r="AB924">
        <v>124.950001</v>
      </c>
      <c r="AC924">
        <v>93.283332999999999</v>
      </c>
      <c r="AD924">
        <v>31.666668000000001</v>
      </c>
      <c r="AE924">
        <v>0.16666700000000001</v>
      </c>
      <c r="AF924">
        <v>0</v>
      </c>
      <c r="AG924">
        <v>31.500001000000001</v>
      </c>
      <c r="AH924">
        <v>31.500001000000001</v>
      </c>
      <c r="AI924">
        <v>29.666667</v>
      </c>
      <c r="AJ924">
        <v>1.833334</v>
      </c>
      <c r="AK924">
        <v>0</v>
      </c>
      <c r="AL924" s="76">
        <v>45210.585509259261</v>
      </c>
      <c r="AM924" s="75">
        <v>902</v>
      </c>
      <c r="AN924" t="s">
        <v>65</v>
      </c>
      <c r="AO924" t="s">
        <v>1749</v>
      </c>
      <c r="AP924" t="s">
        <v>67</v>
      </c>
      <c r="AQ924" t="s">
        <v>68</v>
      </c>
      <c r="AR924" t="s">
        <v>69</v>
      </c>
      <c r="AS924" s="78"/>
      <c r="AT924" s="82" t="s">
        <v>4115</v>
      </c>
      <c r="AU924" s="78">
        <v>2026</v>
      </c>
      <c r="AV924" s="78">
        <v>4</v>
      </c>
      <c r="AW924" s="78" t="s">
        <v>71</v>
      </c>
      <c r="AX924" s="78">
        <v>0</v>
      </c>
      <c r="AY924" s="78">
        <v>1</v>
      </c>
      <c r="BT924" s="2" t="s">
        <v>71</v>
      </c>
      <c r="BU924" s="2">
        <v>0</v>
      </c>
      <c r="BV924" s="2">
        <v>1</v>
      </c>
    </row>
    <row r="925" spans="1:74" ht="15" customHeight="1" x14ac:dyDescent="0.25">
      <c r="A925" s="75">
        <v>5906339</v>
      </c>
      <c r="B925" t="s">
        <v>4146</v>
      </c>
      <c r="C925" t="s">
        <v>4147</v>
      </c>
      <c r="D925" t="s">
        <v>956</v>
      </c>
      <c r="E925" t="s">
        <v>87</v>
      </c>
      <c r="F925" s="75">
        <v>32</v>
      </c>
      <c r="G925" s="75">
        <v>280187</v>
      </c>
      <c r="H925">
        <v>926.83</v>
      </c>
      <c r="I925" t="s">
        <v>266</v>
      </c>
      <c r="J925" s="75">
        <v>201809</v>
      </c>
      <c r="K925" t="s">
        <v>505</v>
      </c>
      <c r="L925" t="s">
        <v>506</v>
      </c>
      <c r="M925" s="81">
        <v>46118.427581018521</v>
      </c>
      <c r="N925" s="81">
        <v>46119.456261574072</v>
      </c>
      <c r="O925" t="s">
        <v>58</v>
      </c>
      <c r="P925" t="s">
        <v>59</v>
      </c>
      <c r="Q925" t="s">
        <v>77</v>
      </c>
      <c r="R925" t="s">
        <v>99</v>
      </c>
      <c r="S925" t="s">
        <v>1244</v>
      </c>
      <c r="T925" t="s">
        <v>507</v>
      </c>
      <c r="U925" s="75">
        <v>224761</v>
      </c>
      <c r="V925" t="s">
        <v>4148</v>
      </c>
      <c r="W925" t="s">
        <v>4148</v>
      </c>
      <c r="X925" t="s">
        <v>62</v>
      </c>
      <c r="Y925" t="s">
        <v>510</v>
      </c>
      <c r="AA925" t="s">
        <v>64</v>
      </c>
      <c r="AB925">
        <v>24.566665</v>
      </c>
      <c r="AC925">
        <v>17.216666</v>
      </c>
      <c r="AD925">
        <v>7.3499990000000004</v>
      </c>
      <c r="AE925">
        <v>1.3833329999999999</v>
      </c>
      <c r="AF925">
        <v>0</v>
      </c>
      <c r="AG925">
        <v>5.966666</v>
      </c>
      <c r="AH925">
        <v>5.966666</v>
      </c>
      <c r="AI925">
        <v>2.65</v>
      </c>
      <c r="AJ925">
        <v>3.3166660000000001</v>
      </c>
      <c r="AK925">
        <v>0</v>
      </c>
      <c r="AL925" s="76">
        <v>44364</v>
      </c>
      <c r="AM925" s="75">
        <v>1754</v>
      </c>
      <c r="AN925" t="s">
        <v>65</v>
      </c>
      <c r="AO925" t="s">
        <v>511</v>
      </c>
      <c r="AP925" t="s">
        <v>67</v>
      </c>
      <c r="AQ925" t="s">
        <v>68</v>
      </c>
      <c r="AR925" t="s">
        <v>69</v>
      </c>
      <c r="AS925" s="79"/>
      <c r="AT925" s="82" t="s">
        <v>4115</v>
      </c>
      <c r="AU925" s="78">
        <v>2026</v>
      </c>
      <c r="AV925" s="78">
        <v>4</v>
      </c>
      <c r="AW925" s="78" t="s">
        <v>137</v>
      </c>
      <c r="AX925" s="78">
        <v>1</v>
      </c>
      <c r="AY925" s="78">
        <v>0</v>
      </c>
      <c r="BT925" s="3" t="s">
        <v>137</v>
      </c>
      <c r="BU925" s="3">
        <v>1</v>
      </c>
      <c r="BV925" s="3">
        <v>0</v>
      </c>
    </row>
    <row r="926" spans="1:74" ht="15" customHeight="1" x14ac:dyDescent="0.25">
      <c r="A926" s="75">
        <v>5901955</v>
      </c>
      <c r="B926" t="s">
        <v>4149</v>
      </c>
      <c r="C926" t="s">
        <v>443</v>
      </c>
      <c r="D926" t="s">
        <v>527</v>
      </c>
      <c r="E926" t="s">
        <v>54</v>
      </c>
      <c r="F926" s="75">
        <v>22</v>
      </c>
      <c r="G926" s="75">
        <v>322683</v>
      </c>
      <c r="H926">
        <v>399</v>
      </c>
      <c r="I926" t="s">
        <v>114</v>
      </c>
      <c r="J926" s="75">
        <v>219061</v>
      </c>
      <c r="K926" t="s">
        <v>444</v>
      </c>
      <c r="L926" t="s">
        <v>445</v>
      </c>
      <c r="M926" s="81">
        <v>46113.706886574073</v>
      </c>
      <c r="N926" s="81">
        <v>46119.515277777777</v>
      </c>
      <c r="O926" t="s">
        <v>58</v>
      </c>
      <c r="P926" t="s">
        <v>59</v>
      </c>
      <c r="Q926" t="s">
        <v>77</v>
      </c>
      <c r="R926" t="s">
        <v>60</v>
      </c>
      <c r="S926" t="s">
        <v>1268</v>
      </c>
      <c r="U926" s="75">
        <v>223711</v>
      </c>
      <c r="V926" t="s">
        <v>4150</v>
      </c>
      <c r="W926" t="s">
        <v>4151</v>
      </c>
      <c r="X926" t="s">
        <v>62</v>
      </c>
      <c r="Y926" t="s">
        <v>448</v>
      </c>
      <c r="AA926" t="s">
        <v>295</v>
      </c>
      <c r="AB926">
        <v>139.316665</v>
      </c>
      <c r="AC926">
        <v>106.35</v>
      </c>
      <c r="AD926">
        <v>32.966664999999999</v>
      </c>
      <c r="AE926">
        <v>0.38333299999999998</v>
      </c>
      <c r="AF926">
        <v>0</v>
      </c>
      <c r="AG926">
        <v>32.583331999999999</v>
      </c>
      <c r="AH926">
        <v>32.583331999999999</v>
      </c>
      <c r="AI926">
        <v>29.066666000000001</v>
      </c>
      <c r="AJ926">
        <v>3.5166659999999998</v>
      </c>
      <c r="AK926">
        <v>0</v>
      </c>
      <c r="AL926" s="76">
        <v>45535.767395833333</v>
      </c>
      <c r="AM926" s="75">
        <v>577</v>
      </c>
      <c r="AN926" t="s">
        <v>65</v>
      </c>
      <c r="AO926" t="s">
        <v>450</v>
      </c>
      <c r="AP926" t="s">
        <v>67</v>
      </c>
      <c r="AQ926" t="s">
        <v>68</v>
      </c>
      <c r="AR926" t="s">
        <v>69</v>
      </c>
      <c r="AS926" s="78"/>
      <c r="AT926" s="82" t="s">
        <v>4115</v>
      </c>
      <c r="AU926" s="78">
        <v>2026</v>
      </c>
      <c r="AV926" s="78">
        <v>4</v>
      </c>
      <c r="AW926" s="78" t="s">
        <v>137</v>
      </c>
      <c r="AX926" s="78">
        <v>0</v>
      </c>
      <c r="AY926" s="78">
        <v>1</v>
      </c>
      <c r="BT926" s="2" t="s">
        <v>137</v>
      </c>
      <c r="BU926" s="2">
        <v>0</v>
      </c>
      <c r="BV926" s="2">
        <v>1</v>
      </c>
    </row>
    <row r="927" spans="1:74" ht="15" customHeight="1" x14ac:dyDescent="0.25">
      <c r="A927" s="75">
        <v>5905415</v>
      </c>
      <c r="B927" t="s">
        <v>4152</v>
      </c>
      <c r="C927" t="s">
        <v>4153</v>
      </c>
      <c r="D927" t="s">
        <v>1555</v>
      </c>
      <c r="E927" t="s">
        <v>87</v>
      </c>
      <c r="F927" s="75">
        <v>34</v>
      </c>
      <c r="G927" s="75">
        <v>290983</v>
      </c>
      <c r="H927">
        <v>2914.74</v>
      </c>
      <c r="I927" t="s">
        <v>114</v>
      </c>
      <c r="J927" s="75">
        <v>52957</v>
      </c>
      <c r="K927" t="s">
        <v>575</v>
      </c>
      <c r="L927" t="s">
        <v>576</v>
      </c>
      <c r="M927" s="81">
        <v>46117.535057870373</v>
      </c>
      <c r="N927" s="81">
        <v>46119.523969907408</v>
      </c>
      <c r="O927" t="s">
        <v>58</v>
      </c>
      <c r="P927" t="s">
        <v>59</v>
      </c>
      <c r="Q927" t="s">
        <v>90</v>
      </c>
      <c r="R927" t="s">
        <v>144</v>
      </c>
      <c r="S927" t="s">
        <v>2121</v>
      </c>
      <c r="U927" s="75">
        <v>224045</v>
      </c>
      <c r="V927" t="s">
        <v>4154</v>
      </c>
      <c r="X927" t="s">
        <v>118</v>
      </c>
      <c r="Y927" t="s">
        <v>119</v>
      </c>
      <c r="AA927" t="s">
        <v>81</v>
      </c>
      <c r="AB927">
        <v>47.683332999999998</v>
      </c>
      <c r="AC927">
        <v>42.866666000000002</v>
      </c>
      <c r="AD927">
        <v>4.8166669999999998</v>
      </c>
      <c r="AE927">
        <v>1.016667</v>
      </c>
      <c r="AF927">
        <v>0</v>
      </c>
      <c r="AG927">
        <v>3.8</v>
      </c>
      <c r="AH927">
        <v>3.8</v>
      </c>
      <c r="AI927">
        <v>3.016667</v>
      </c>
      <c r="AJ927">
        <v>0.78333299999999995</v>
      </c>
      <c r="AK927">
        <v>0</v>
      </c>
      <c r="AL927" s="76">
        <v>45132</v>
      </c>
      <c r="AM927" s="75">
        <v>985</v>
      </c>
      <c r="AN927" t="s">
        <v>65</v>
      </c>
      <c r="AO927" t="s">
        <v>4155</v>
      </c>
      <c r="AP927" t="s">
        <v>67</v>
      </c>
      <c r="AQ927" t="s">
        <v>121</v>
      </c>
      <c r="AR927" t="s">
        <v>69</v>
      </c>
      <c r="AS927" s="79"/>
      <c r="AT927" s="82" t="s">
        <v>4115</v>
      </c>
      <c r="AU927" s="78">
        <v>2026</v>
      </c>
      <c r="AV927" s="78">
        <v>4</v>
      </c>
      <c r="AW927" s="78" t="s">
        <v>122</v>
      </c>
      <c r="AX927" s="78">
        <v>1</v>
      </c>
      <c r="AY927" s="78">
        <v>0</v>
      </c>
      <c r="BT927" s="3" t="s">
        <v>122</v>
      </c>
      <c r="BU927" s="3">
        <v>1</v>
      </c>
      <c r="BV927" s="3">
        <v>0</v>
      </c>
    </row>
    <row r="928" spans="1:74" ht="15" customHeight="1" x14ac:dyDescent="0.25">
      <c r="A928" s="75">
        <v>5902601</v>
      </c>
      <c r="B928" t="s">
        <v>4156</v>
      </c>
      <c r="C928" t="s">
        <v>1893</v>
      </c>
      <c r="D928" t="s">
        <v>1555</v>
      </c>
      <c r="E928" t="s">
        <v>54</v>
      </c>
      <c r="F928" s="75">
        <v>79</v>
      </c>
      <c r="G928" s="75">
        <v>322679</v>
      </c>
      <c r="H928">
        <v>399</v>
      </c>
      <c r="I928" t="s">
        <v>114</v>
      </c>
      <c r="J928" s="75">
        <v>60121</v>
      </c>
      <c r="K928" t="s">
        <v>481</v>
      </c>
      <c r="L928" t="s">
        <v>482</v>
      </c>
      <c r="M928" s="81">
        <v>46114.368217592593</v>
      </c>
      <c r="N928" s="81">
        <v>46119.559687499997</v>
      </c>
      <c r="O928" t="s">
        <v>58</v>
      </c>
      <c r="P928" t="s">
        <v>59</v>
      </c>
      <c r="Q928" t="s">
        <v>77</v>
      </c>
      <c r="R928" t="s">
        <v>144</v>
      </c>
      <c r="S928" t="s">
        <v>1491</v>
      </c>
      <c r="U928" s="75">
        <v>224215</v>
      </c>
      <c r="V928" t="s">
        <v>4157</v>
      </c>
      <c r="W928" t="s">
        <v>4158</v>
      </c>
      <c r="X928" t="s">
        <v>79</v>
      </c>
      <c r="Y928" t="s">
        <v>80</v>
      </c>
      <c r="AA928" t="s">
        <v>81</v>
      </c>
      <c r="AB928">
        <v>124.533333</v>
      </c>
      <c r="AC928">
        <v>122.216667</v>
      </c>
      <c r="AD928">
        <v>2.3166660000000001</v>
      </c>
      <c r="AE928">
        <v>0.216666</v>
      </c>
      <c r="AF928">
        <v>0</v>
      </c>
      <c r="AG928">
        <v>2.1</v>
      </c>
      <c r="AH928">
        <v>2.1</v>
      </c>
      <c r="AI928">
        <v>2.0333329999999998</v>
      </c>
      <c r="AJ928">
        <v>6.6667000000000004E-2</v>
      </c>
      <c r="AK928">
        <v>0</v>
      </c>
      <c r="AL928" s="76">
        <v>45504</v>
      </c>
      <c r="AM928" s="75">
        <v>610</v>
      </c>
      <c r="AN928" t="s">
        <v>65</v>
      </c>
      <c r="AO928" t="s">
        <v>4159</v>
      </c>
      <c r="AP928" t="s">
        <v>67</v>
      </c>
      <c r="AQ928" t="s">
        <v>83</v>
      </c>
      <c r="AR928" t="s">
        <v>69</v>
      </c>
      <c r="AS928" s="78"/>
      <c r="AT928" s="82" t="s">
        <v>4115</v>
      </c>
      <c r="AU928" s="78">
        <v>2026</v>
      </c>
      <c r="AV928" s="78">
        <v>4</v>
      </c>
      <c r="AW928" s="78" t="s">
        <v>84</v>
      </c>
      <c r="AX928" s="78">
        <v>1</v>
      </c>
      <c r="AY928" s="78">
        <v>0</v>
      </c>
      <c r="BT928" s="2" t="s">
        <v>84</v>
      </c>
      <c r="BU928" s="2">
        <v>1</v>
      </c>
      <c r="BV928" s="2">
        <v>0</v>
      </c>
    </row>
    <row r="929" spans="1:74" ht="15" customHeight="1" x14ac:dyDescent="0.25">
      <c r="A929" s="75">
        <v>5905381</v>
      </c>
      <c r="B929" t="s">
        <v>4160</v>
      </c>
      <c r="C929" t="s">
        <v>3700</v>
      </c>
      <c r="D929" t="s">
        <v>1555</v>
      </c>
      <c r="E929" t="s">
        <v>87</v>
      </c>
      <c r="F929" s="75">
        <v>525</v>
      </c>
      <c r="G929" s="75">
        <v>333123</v>
      </c>
      <c r="H929">
        <v>710.28</v>
      </c>
      <c r="I929" t="s">
        <v>114</v>
      </c>
      <c r="J929" s="75">
        <v>218791</v>
      </c>
      <c r="K929" t="s">
        <v>312</v>
      </c>
      <c r="L929" t="s">
        <v>313</v>
      </c>
      <c r="M929" s="81">
        <v>46117.486631944441</v>
      </c>
      <c r="N929" s="81">
        <v>46119.564305555563</v>
      </c>
      <c r="O929" t="s">
        <v>58</v>
      </c>
      <c r="P929" t="s">
        <v>59</v>
      </c>
      <c r="Q929" t="s">
        <v>90</v>
      </c>
      <c r="R929" t="s">
        <v>60</v>
      </c>
      <c r="S929" t="s">
        <v>583</v>
      </c>
      <c r="U929" s="75">
        <v>223889</v>
      </c>
      <c r="V929" t="s">
        <v>4161</v>
      </c>
      <c r="X929" t="s">
        <v>62</v>
      </c>
      <c r="Y929" t="s">
        <v>63</v>
      </c>
      <c r="AA929" t="s">
        <v>416</v>
      </c>
      <c r="AB929">
        <v>49.800001000000002</v>
      </c>
      <c r="AC929">
        <v>37.549999999999997</v>
      </c>
      <c r="AD929">
        <v>12.250000999999999</v>
      </c>
      <c r="AE929">
        <v>0.13333400000000001</v>
      </c>
      <c r="AF929">
        <v>0</v>
      </c>
      <c r="AG929">
        <v>12.116667</v>
      </c>
      <c r="AH929">
        <v>12.116667</v>
      </c>
      <c r="AI929">
        <v>11.4</v>
      </c>
      <c r="AJ929">
        <v>0.71666700000000005</v>
      </c>
      <c r="AK929">
        <v>0</v>
      </c>
      <c r="AL929" s="76">
        <v>45775.448518518519</v>
      </c>
      <c r="AM929" s="75">
        <v>342</v>
      </c>
      <c r="AN929" t="s">
        <v>65</v>
      </c>
      <c r="AO929" t="s">
        <v>3702</v>
      </c>
      <c r="AP929" t="s">
        <v>67</v>
      </c>
      <c r="AQ929" t="s">
        <v>68</v>
      </c>
      <c r="AR929" t="s">
        <v>69</v>
      </c>
      <c r="AS929" s="79"/>
      <c r="AT929" s="82" t="s">
        <v>4115</v>
      </c>
      <c r="AU929" s="78">
        <v>2026</v>
      </c>
      <c r="AV929" s="78">
        <v>4</v>
      </c>
      <c r="AW929" s="78" t="s">
        <v>71</v>
      </c>
      <c r="AX929" s="78">
        <v>0</v>
      </c>
      <c r="AY929" s="78">
        <v>0</v>
      </c>
      <c r="BT929" s="3" t="s">
        <v>71</v>
      </c>
      <c r="BU929" s="3">
        <v>0</v>
      </c>
      <c r="BV929" s="3">
        <v>0</v>
      </c>
    </row>
    <row r="930" spans="1:74" ht="15" customHeight="1" x14ac:dyDescent="0.25">
      <c r="A930" s="75">
        <v>5906267</v>
      </c>
      <c r="B930" t="s">
        <v>4162</v>
      </c>
      <c r="C930" t="s">
        <v>4163</v>
      </c>
      <c r="D930" t="s">
        <v>150</v>
      </c>
      <c r="E930" t="s">
        <v>87</v>
      </c>
      <c r="F930" s="75">
        <v>34</v>
      </c>
      <c r="G930" s="75">
        <v>275255</v>
      </c>
      <c r="H930">
        <v>525.95000000000005</v>
      </c>
      <c r="I930" t="s">
        <v>55</v>
      </c>
      <c r="J930" s="75">
        <v>218791</v>
      </c>
      <c r="K930" t="s">
        <v>312</v>
      </c>
      <c r="L930" t="s">
        <v>313</v>
      </c>
      <c r="M930" s="81">
        <v>46118.417638888888</v>
      </c>
      <c r="N930" s="81">
        <v>46119.593090277784</v>
      </c>
      <c r="O930" t="s">
        <v>277</v>
      </c>
      <c r="P930" t="s">
        <v>59</v>
      </c>
      <c r="Q930" t="s">
        <v>90</v>
      </c>
      <c r="R930" t="s">
        <v>99</v>
      </c>
      <c r="S930" t="s">
        <v>1244</v>
      </c>
      <c r="U930" s="75">
        <v>224201</v>
      </c>
      <c r="V930" t="s">
        <v>4164</v>
      </c>
      <c r="X930" t="s">
        <v>62</v>
      </c>
      <c r="Y930" t="s">
        <v>63</v>
      </c>
      <c r="AA930" t="s">
        <v>416</v>
      </c>
      <c r="AB930">
        <v>28.150001</v>
      </c>
      <c r="AC930">
        <v>11.3</v>
      </c>
      <c r="AD930">
        <v>16.850000999999999</v>
      </c>
      <c r="AE930">
        <v>0.4</v>
      </c>
      <c r="AF930">
        <v>0</v>
      </c>
      <c r="AG930">
        <v>16.450001</v>
      </c>
      <c r="AH930">
        <v>16.450001</v>
      </c>
      <c r="AI930">
        <v>16.066666999999999</v>
      </c>
      <c r="AJ930">
        <v>0.38333400000000001</v>
      </c>
      <c r="AK930">
        <v>0</v>
      </c>
      <c r="AL930" s="76">
        <v>44862.561180555553</v>
      </c>
      <c r="AM930" s="75">
        <v>1255</v>
      </c>
      <c r="AN930" t="s">
        <v>65</v>
      </c>
      <c r="AO930" t="s">
        <v>436</v>
      </c>
      <c r="AP930" t="s">
        <v>67</v>
      </c>
      <c r="AQ930" t="s">
        <v>68</v>
      </c>
      <c r="AR930" t="s">
        <v>69</v>
      </c>
      <c r="AS930" s="78"/>
      <c r="AT930" s="82" t="s">
        <v>4115</v>
      </c>
      <c r="AU930" s="78">
        <v>2026</v>
      </c>
      <c r="AV930" s="78">
        <v>4</v>
      </c>
      <c r="AW930" s="78" t="s">
        <v>71</v>
      </c>
      <c r="AX930" s="78">
        <v>0</v>
      </c>
      <c r="AY930" s="78">
        <v>0</v>
      </c>
      <c r="BT930" s="2" t="s">
        <v>71</v>
      </c>
      <c r="BU930" s="2">
        <v>0</v>
      </c>
      <c r="BV930" s="2">
        <v>0</v>
      </c>
    </row>
    <row r="931" spans="1:74" ht="15" customHeight="1" x14ac:dyDescent="0.25">
      <c r="A931" s="75">
        <v>5906049</v>
      </c>
      <c r="B931" t="s">
        <v>4165</v>
      </c>
      <c r="C931" t="s">
        <v>922</v>
      </c>
      <c r="D931" t="s">
        <v>527</v>
      </c>
      <c r="E931" t="s">
        <v>87</v>
      </c>
      <c r="F931" s="75">
        <v>481</v>
      </c>
      <c r="G931" s="75">
        <v>301959</v>
      </c>
      <c r="H931">
        <v>512.08000000000004</v>
      </c>
      <c r="I931" t="s">
        <v>55</v>
      </c>
      <c r="J931" s="75">
        <v>49495</v>
      </c>
      <c r="K931" t="s">
        <v>460</v>
      </c>
      <c r="L931" t="s">
        <v>461</v>
      </c>
      <c r="M931" s="81">
        <v>46118.382291666669</v>
      </c>
      <c r="N931" s="81">
        <v>46119.599710648137</v>
      </c>
      <c r="O931" t="s">
        <v>58</v>
      </c>
      <c r="P931" t="s">
        <v>59</v>
      </c>
      <c r="Q931" t="s">
        <v>90</v>
      </c>
      <c r="R931" t="s">
        <v>60</v>
      </c>
      <c r="S931" t="s">
        <v>1942</v>
      </c>
      <c r="U931" s="75">
        <v>224305</v>
      </c>
      <c r="V931" t="s">
        <v>4166</v>
      </c>
      <c r="W931" t="s">
        <v>4166</v>
      </c>
      <c r="X931" t="s">
        <v>62</v>
      </c>
      <c r="Y931" t="s">
        <v>63</v>
      </c>
      <c r="AA931" t="s">
        <v>416</v>
      </c>
      <c r="AB931">
        <v>29.133333</v>
      </c>
      <c r="AC931">
        <v>14.383333</v>
      </c>
      <c r="AD931">
        <v>14.75</v>
      </c>
      <c r="AE931">
        <v>1.833334</v>
      </c>
      <c r="AF931">
        <v>0</v>
      </c>
      <c r="AG931">
        <v>12.916665999999999</v>
      </c>
      <c r="AH931">
        <v>12.916665999999999</v>
      </c>
      <c r="AI931">
        <v>11.016666000000001</v>
      </c>
      <c r="AJ931">
        <v>1.9</v>
      </c>
      <c r="AK931">
        <v>0</v>
      </c>
      <c r="AL931" s="76">
        <v>45387</v>
      </c>
      <c r="AM931" s="75">
        <v>731</v>
      </c>
      <c r="AN931" t="s">
        <v>65</v>
      </c>
      <c r="AO931" t="s">
        <v>923</v>
      </c>
      <c r="AP931" t="s">
        <v>67</v>
      </c>
      <c r="AQ931" t="s">
        <v>68</v>
      </c>
      <c r="AR931" t="s">
        <v>69</v>
      </c>
      <c r="AS931" s="79"/>
      <c r="AT931" s="82" t="s">
        <v>4115</v>
      </c>
      <c r="AU931" s="78">
        <v>2026</v>
      </c>
      <c r="AV931" s="78">
        <v>4</v>
      </c>
      <c r="AW931" s="78" t="s">
        <v>71</v>
      </c>
      <c r="AX931" s="78">
        <v>0</v>
      </c>
      <c r="AY931" s="78">
        <v>0</v>
      </c>
      <c r="BT931" s="3" t="s">
        <v>71</v>
      </c>
      <c r="BU931" s="3">
        <v>0</v>
      </c>
      <c r="BV931" s="3">
        <v>0</v>
      </c>
    </row>
    <row r="932" spans="1:74" ht="15" customHeight="1" x14ac:dyDescent="0.25">
      <c r="A932" s="75">
        <v>5906077</v>
      </c>
      <c r="B932" t="s">
        <v>4167</v>
      </c>
      <c r="C932" t="s">
        <v>4168</v>
      </c>
      <c r="D932" t="s">
        <v>282</v>
      </c>
      <c r="E932" t="s">
        <v>54</v>
      </c>
      <c r="F932" s="75">
        <v>1</v>
      </c>
      <c r="G932" s="75">
        <v>254945</v>
      </c>
      <c r="H932">
        <v>1047.25</v>
      </c>
      <c r="I932" t="s">
        <v>114</v>
      </c>
      <c r="J932" s="75">
        <v>204493</v>
      </c>
      <c r="K932" t="s">
        <v>943</v>
      </c>
      <c r="L932" t="s">
        <v>944</v>
      </c>
      <c r="M932" s="81">
        <v>46118.386388888888</v>
      </c>
      <c r="N932" s="81">
        <v>46119.609050925923</v>
      </c>
      <c r="O932" t="s">
        <v>58</v>
      </c>
      <c r="P932" t="s">
        <v>59</v>
      </c>
      <c r="Q932" t="s">
        <v>130</v>
      </c>
      <c r="R932" t="s">
        <v>60</v>
      </c>
      <c r="S932" t="s">
        <v>583</v>
      </c>
      <c r="U932" s="75">
        <v>224751</v>
      </c>
      <c r="V932" t="s">
        <v>4169</v>
      </c>
      <c r="W932" t="s">
        <v>4170</v>
      </c>
      <c r="X932" t="s">
        <v>62</v>
      </c>
      <c r="Y932" t="s">
        <v>63</v>
      </c>
      <c r="AA932" t="s">
        <v>416</v>
      </c>
      <c r="AB932">
        <v>29.266667000000002</v>
      </c>
      <c r="AC932">
        <v>14.983333</v>
      </c>
      <c r="AD932">
        <v>14.283334</v>
      </c>
      <c r="AE932">
        <v>1.6667000000000001E-2</v>
      </c>
      <c r="AF932">
        <v>0</v>
      </c>
      <c r="AG932">
        <v>14.266667</v>
      </c>
      <c r="AH932">
        <v>14.266667</v>
      </c>
      <c r="AI932">
        <v>13.8</v>
      </c>
      <c r="AJ932">
        <v>0.466667</v>
      </c>
      <c r="AK932">
        <v>0</v>
      </c>
      <c r="AL932" s="76">
        <v>44844.379606481481</v>
      </c>
      <c r="AM932" s="75">
        <v>1274</v>
      </c>
      <c r="AN932" t="s">
        <v>65</v>
      </c>
      <c r="AO932" t="s">
        <v>946</v>
      </c>
      <c r="AP932" t="s">
        <v>67</v>
      </c>
      <c r="AQ932" t="s">
        <v>68</v>
      </c>
      <c r="AR932" t="s">
        <v>69</v>
      </c>
      <c r="AS932" s="78"/>
      <c r="AT932" s="82" t="s">
        <v>4115</v>
      </c>
      <c r="AU932" s="78">
        <v>2026</v>
      </c>
      <c r="AV932" s="78">
        <v>4</v>
      </c>
      <c r="AW932" s="78" t="s">
        <v>71</v>
      </c>
      <c r="AX932" s="78">
        <v>0</v>
      </c>
      <c r="AY932" s="78">
        <v>0</v>
      </c>
      <c r="BT932" s="2" t="s">
        <v>71</v>
      </c>
      <c r="BU932" s="2">
        <v>0</v>
      </c>
      <c r="BV932" s="2">
        <v>0</v>
      </c>
    </row>
    <row r="933" spans="1:74" ht="15" customHeight="1" x14ac:dyDescent="0.25">
      <c r="A933" s="75">
        <v>5902421</v>
      </c>
      <c r="B933" t="s">
        <v>4171</v>
      </c>
      <c r="C933" t="s">
        <v>4172</v>
      </c>
      <c r="D933" t="s">
        <v>1555</v>
      </c>
      <c r="E933" t="s">
        <v>87</v>
      </c>
      <c r="F933" s="75">
        <v>134</v>
      </c>
      <c r="G933" s="75">
        <v>285609</v>
      </c>
      <c r="H933">
        <v>368.16</v>
      </c>
      <c r="I933" t="s">
        <v>55</v>
      </c>
      <c r="J933" s="75">
        <v>218791</v>
      </c>
      <c r="K933" t="s">
        <v>312</v>
      </c>
      <c r="L933" t="s">
        <v>313</v>
      </c>
      <c r="M933" s="81">
        <v>46113.993414351848</v>
      </c>
      <c r="N933" s="81">
        <v>46119.612615740742</v>
      </c>
      <c r="O933" t="s">
        <v>58</v>
      </c>
      <c r="P933" t="s">
        <v>59</v>
      </c>
      <c r="Q933" t="s">
        <v>90</v>
      </c>
      <c r="R933" t="s">
        <v>60</v>
      </c>
      <c r="S933" t="s">
        <v>583</v>
      </c>
      <c r="U933" s="75">
        <v>223717</v>
      </c>
      <c r="V933" t="s">
        <v>4173</v>
      </c>
      <c r="W933" t="s">
        <v>4173</v>
      </c>
      <c r="X933" t="s">
        <v>62</v>
      </c>
      <c r="Y933" t="s">
        <v>63</v>
      </c>
      <c r="AA933" t="s">
        <v>101</v>
      </c>
      <c r="AB933">
        <v>134.716666</v>
      </c>
      <c r="AC933">
        <v>117.833333</v>
      </c>
      <c r="AD933">
        <v>16.883333</v>
      </c>
      <c r="AE933">
        <v>7.9333330000000002</v>
      </c>
      <c r="AF933">
        <v>0</v>
      </c>
      <c r="AG933">
        <v>8.9499999999999993</v>
      </c>
      <c r="AH933">
        <v>8.9499999999999993</v>
      </c>
      <c r="AI933">
        <v>7.5333329999999998</v>
      </c>
      <c r="AJ933">
        <v>1.4166669999999999</v>
      </c>
      <c r="AK933">
        <v>0</v>
      </c>
      <c r="AL933" s="76">
        <v>44925.489583333343</v>
      </c>
      <c r="AM933" s="75">
        <v>1188</v>
      </c>
      <c r="AN933" t="s">
        <v>65</v>
      </c>
      <c r="AO933" t="s">
        <v>4174</v>
      </c>
      <c r="AP933" t="s">
        <v>67</v>
      </c>
      <c r="AQ933" t="s">
        <v>68</v>
      </c>
      <c r="AR933" t="s">
        <v>69</v>
      </c>
      <c r="AS933" s="79"/>
      <c r="AT933" s="82" t="s">
        <v>4115</v>
      </c>
      <c r="AU933" s="78">
        <v>2026</v>
      </c>
      <c r="AV933" s="78">
        <v>4</v>
      </c>
      <c r="AW933" s="78" t="s">
        <v>71</v>
      </c>
      <c r="AX933" s="78">
        <v>0</v>
      </c>
      <c r="AY933" s="78">
        <v>0</v>
      </c>
      <c r="BT933" s="3" t="s">
        <v>71</v>
      </c>
      <c r="BU933" s="3">
        <v>0</v>
      </c>
      <c r="BV933" s="3">
        <v>0</v>
      </c>
    </row>
    <row r="934" spans="1:74" ht="15" customHeight="1" x14ac:dyDescent="0.25">
      <c r="A934" s="75">
        <v>5908177</v>
      </c>
      <c r="B934" t="s">
        <v>4175</v>
      </c>
      <c r="C934" t="s">
        <v>396</v>
      </c>
      <c r="D934" t="s">
        <v>162</v>
      </c>
      <c r="E934" t="s">
        <v>54</v>
      </c>
      <c r="F934" s="75">
        <v>1</v>
      </c>
      <c r="G934" s="75">
        <v>330947</v>
      </c>
      <c r="H934">
        <v>800</v>
      </c>
      <c r="I934" t="s">
        <v>141</v>
      </c>
      <c r="J934" s="75">
        <v>225005</v>
      </c>
      <c r="K934" t="s">
        <v>397</v>
      </c>
      <c r="L934" t="s">
        <v>398</v>
      </c>
      <c r="M934" s="81">
        <v>46119.417060185187</v>
      </c>
      <c r="N934" s="81">
        <v>46119.621331018519</v>
      </c>
      <c r="O934" t="s">
        <v>58</v>
      </c>
      <c r="P934" t="s">
        <v>59</v>
      </c>
      <c r="Q934" t="s">
        <v>90</v>
      </c>
      <c r="R934" t="s">
        <v>99</v>
      </c>
      <c r="S934" t="s">
        <v>1244</v>
      </c>
      <c r="U934" s="75">
        <v>225287</v>
      </c>
      <c r="V934" t="s">
        <v>4176</v>
      </c>
      <c r="X934" t="s">
        <v>118</v>
      </c>
      <c r="Y934" t="s">
        <v>400</v>
      </c>
      <c r="AA934" t="s">
        <v>81</v>
      </c>
      <c r="AB934">
        <v>4.8499999999999996</v>
      </c>
      <c r="AC934">
        <v>2.266667</v>
      </c>
      <c r="AD934">
        <v>2.5833330000000001</v>
      </c>
      <c r="AE934">
        <v>0.65</v>
      </c>
      <c r="AF934">
        <v>0</v>
      </c>
      <c r="AG934">
        <v>1.933333</v>
      </c>
      <c r="AH934">
        <v>1.933333</v>
      </c>
      <c r="AI934">
        <v>1.8</v>
      </c>
      <c r="AJ934">
        <v>0.13333300000000001</v>
      </c>
      <c r="AK934">
        <v>0</v>
      </c>
      <c r="AL934" s="76">
        <v>45713</v>
      </c>
      <c r="AM934" s="75">
        <v>406</v>
      </c>
      <c r="AN934" t="s">
        <v>65</v>
      </c>
      <c r="AO934" t="s">
        <v>401</v>
      </c>
      <c r="AP934" t="s">
        <v>67</v>
      </c>
      <c r="AQ934" t="s">
        <v>121</v>
      </c>
      <c r="AR934" t="s">
        <v>69</v>
      </c>
      <c r="AS934" s="78"/>
      <c r="AT934" s="82" t="s">
        <v>4115</v>
      </c>
      <c r="AU934" s="78">
        <v>2026</v>
      </c>
      <c r="AV934" s="78">
        <v>4</v>
      </c>
      <c r="AW934" s="78" t="s">
        <v>122</v>
      </c>
      <c r="AX934" s="78">
        <v>1</v>
      </c>
      <c r="AY934" s="78">
        <v>0</v>
      </c>
      <c r="BT934" s="2" t="s">
        <v>122</v>
      </c>
      <c r="BU934" s="2">
        <v>1</v>
      </c>
      <c r="BV934" s="2">
        <v>0</v>
      </c>
    </row>
    <row r="935" spans="1:74" ht="15" customHeight="1" x14ac:dyDescent="0.25">
      <c r="A935" s="75">
        <v>5905651</v>
      </c>
      <c r="B935" t="s">
        <v>4177</v>
      </c>
      <c r="C935" t="s">
        <v>4178</v>
      </c>
      <c r="D935" t="s">
        <v>527</v>
      </c>
      <c r="E935" t="s">
        <v>87</v>
      </c>
      <c r="F935" s="75">
        <v>1</v>
      </c>
      <c r="G935" s="75">
        <v>279637</v>
      </c>
      <c r="H935">
        <v>880</v>
      </c>
      <c r="I935" t="s">
        <v>266</v>
      </c>
      <c r="J935" s="75">
        <v>210995</v>
      </c>
      <c r="K935" t="s">
        <v>968</v>
      </c>
      <c r="L935" t="s">
        <v>969</v>
      </c>
      <c r="M935" s="81">
        <v>46117.972777777781</v>
      </c>
      <c r="N935" s="81">
        <v>46119.622546296298</v>
      </c>
      <c r="O935" t="s">
        <v>58</v>
      </c>
      <c r="P935" t="s">
        <v>59</v>
      </c>
      <c r="Q935" t="s">
        <v>90</v>
      </c>
      <c r="R935" t="s">
        <v>60</v>
      </c>
      <c r="S935" t="s">
        <v>583</v>
      </c>
      <c r="T935" t="s">
        <v>970</v>
      </c>
      <c r="U935" s="75">
        <v>224749</v>
      </c>
      <c r="V935" t="s">
        <v>4179</v>
      </c>
      <c r="X935" t="s">
        <v>79</v>
      </c>
      <c r="Y935" t="s">
        <v>224</v>
      </c>
      <c r="AA935" t="s">
        <v>101</v>
      </c>
      <c r="AB935">
        <v>39.516668000000003</v>
      </c>
      <c r="AC935">
        <v>22.983333999999999</v>
      </c>
      <c r="AD935">
        <v>16.533334</v>
      </c>
      <c r="AE935">
        <v>8.0500000000000007</v>
      </c>
      <c r="AF935">
        <v>0</v>
      </c>
      <c r="AG935">
        <v>8.4833339999999993</v>
      </c>
      <c r="AH935">
        <v>8.4833339999999993</v>
      </c>
      <c r="AI935">
        <v>6.2</v>
      </c>
      <c r="AJ935">
        <v>2.283334</v>
      </c>
      <c r="AK935">
        <v>0</v>
      </c>
      <c r="AL935" s="76">
        <v>44496</v>
      </c>
      <c r="AM935" s="75">
        <v>1621</v>
      </c>
      <c r="AN935" t="s">
        <v>65</v>
      </c>
      <c r="AO935" t="s">
        <v>972</v>
      </c>
      <c r="AP935" t="s">
        <v>67</v>
      </c>
      <c r="AQ935" t="s">
        <v>83</v>
      </c>
      <c r="AR935" t="s">
        <v>69</v>
      </c>
      <c r="AS935" s="79"/>
      <c r="AT935" s="82" t="s">
        <v>4115</v>
      </c>
      <c r="AU935" s="78">
        <v>2026</v>
      </c>
      <c r="AV935" s="78">
        <v>4</v>
      </c>
      <c r="AW935" s="78" t="s">
        <v>226</v>
      </c>
      <c r="AX935" s="78">
        <v>0</v>
      </c>
      <c r="AY935" s="78">
        <v>0</v>
      </c>
      <c r="BT935" s="3" t="s">
        <v>226</v>
      </c>
      <c r="BU935" s="3">
        <v>0</v>
      </c>
      <c r="BV935" s="3">
        <v>0</v>
      </c>
    </row>
    <row r="936" spans="1:74" ht="15" customHeight="1" x14ac:dyDescent="0.25">
      <c r="A936" s="75">
        <v>5901739</v>
      </c>
      <c r="B936" t="s">
        <v>4180</v>
      </c>
      <c r="C936" t="s">
        <v>4181</v>
      </c>
      <c r="D936" t="s">
        <v>1555</v>
      </c>
      <c r="E936" t="s">
        <v>87</v>
      </c>
      <c r="F936" s="75">
        <v>10</v>
      </c>
      <c r="G936" s="75">
        <v>290847</v>
      </c>
      <c r="H936">
        <v>664.19</v>
      </c>
      <c r="I936" t="s">
        <v>55</v>
      </c>
      <c r="J936" s="75">
        <v>216065</v>
      </c>
      <c r="K936" t="s">
        <v>3470</v>
      </c>
      <c r="L936" t="s">
        <v>3471</v>
      </c>
      <c r="M936" s="81">
        <v>46113.646180555559</v>
      </c>
      <c r="N936" s="81">
        <v>46119.750775462962</v>
      </c>
      <c r="O936" t="s">
        <v>58</v>
      </c>
      <c r="P936" t="s">
        <v>59</v>
      </c>
      <c r="Q936" t="s">
        <v>90</v>
      </c>
      <c r="R936" t="s">
        <v>60</v>
      </c>
      <c r="S936" t="s">
        <v>583</v>
      </c>
      <c r="U936" s="75">
        <v>223689</v>
      </c>
      <c r="V936" t="s">
        <v>4182</v>
      </c>
      <c r="W936" t="s">
        <v>4183</v>
      </c>
      <c r="X936" t="s">
        <v>62</v>
      </c>
      <c r="Y936" t="s">
        <v>702</v>
      </c>
      <c r="AA936" t="s">
        <v>295</v>
      </c>
      <c r="AB936">
        <v>146.41666499999999</v>
      </c>
      <c r="AC936">
        <v>116.049999</v>
      </c>
      <c r="AD936">
        <v>30.366665999999999</v>
      </c>
      <c r="AE936">
        <v>8.3333000000000004E-2</v>
      </c>
      <c r="AF936">
        <v>0</v>
      </c>
      <c r="AG936">
        <v>30.283332999999999</v>
      </c>
      <c r="AH936">
        <v>30.283332999999999</v>
      </c>
      <c r="AI936">
        <v>28.083334000000001</v>
      </c>
      <c r="AJ936">
        <v>2.199999</v>
      </c>
      <c r="AK936">
        <v>0</v>
      </c>
      <c r="AL936" s="76">
        <v>45125</v>
      </c>
      <c r="AM936" s="75">
        <v>988</v>
      </c>
      <c r="AN936" t="s">
        <v>65</v>
      </c>
      <c r="AO936" t="s">
        <v>4184</v>
      </c>
      <c r="AP936" t="s">
        <v>67</v>
      </c>
      <c r="AQ936" t="s">
        <v>68</v>
      </c>
      <c r="AR936" t="s">
        <v>69</v>
      </c>
      <c r="AS936" s="78"/>
      <c r="AT936" s="82" t="s">
        <v>4115</v>
      </c>
      <c r="AU936" s="78">
        <v>2026</v>
      </c>
      <c r="AV936" s="78">
        <v>4</v>
      </c>
      <c r="AW936" s="78" t="s">
        <v>137</v>
      </c>
      <c r="AX936" s="78">
        <v>0</v>
      </c>
      <c r="AY936" s="78">
        <v>1</v>
      </c>
      <c r="BT936" s="2" t="s">
        <v>137</v>
      </c>
      <c r="BU936" s="2">
        <v>0</v>
      </c>
      <c r="BV936" s="2">
        <v>1</v>
      </c>
    </row>
    <row r="937" spans="1:74" ht="15" customHeight="1" x14ac:dyDescent="0.25">
      <c r="A937" s="75">
        <v>5904955</v>
      </c>
      <c r="B937" t="s">
        <v>4185</v>
      </c>
      <c r="C937" t="s">
        <v>4186</v>
      </c>
      <c r="D937" t="s">
        <v>1555</v>
      </c>
      <c r="E937" t="s">
        <v>54</v>
      </c>
      <c r="F937" s="75">
        <v>1</v>
      </c>
      <c r="G937" s="75">
        <v>266299</v>
      </c>
      <c r="H937">
        <v>628.98</v>
      </c>
      <c r="I937" t="s">
        <v>3117</v>
      </c>
      <c r="J937" s="75">
        <v>211283</v>
      </c>
      <c r="K937" t="s">
        <v>3118</v>
      </c>
      <c r="L937" t="s">
        <v>3119</v>
      </c>
      <c r="M937" s="81">
        <v>46116.597314814811</v>
      </c>
      <c r="N937" s="81">
        <v>46119.814467592587</v>
      </c>
      <c r="O937" t="s">
        <v>58</v>
      </c>
      <c r="P937" t="s">
        <v>59</v>
      </c>
      <c r="Q937" t="s">
        <v>341</v>
      </c>
      <c r="R937" t="s">
        <v>60</v>
      </c>
      <c r="S937" t="s">
        <v>583</v>
      </c>
      <c r="U937" s="75">
        <v>223807</v>
      </c>
      <c r="V937" t="s">
        <v>4187</v>
      </c>
      <c r="W937" t="s">
        <v>4187</v>
      </c>
      <c r="X937" t="s">
        <v>62</v>
      </c>
      <c r="Y937" t="s">
        <v>63</v>
      </c>
      <c r="AA937" t="s">
        <v>101</v>
      </c>
      <c r="AB937">
        <v>77.116664999999998</v>
      </c>
      <c r="AC937">
        <v>66.133332999999993</v>
      </c>
      <c r="AD937">
        <v>10.983332000000001</v>
      </c>
      <c r="AE937">
        <v>0.13333300000000001</v>
      </c>
      <c r="AF937">
        <v>0</v>
      </c>
      <c r="AG937">
        <v>10.849999</v>
      </c>
      <c r="AH937">
        <v>10.849999</v>
      </c>
      <c r="AI937">
        <v>10.116666</v>
      </c>
      <c r="AJ937">
        <v>0.73333300000000001</v>
      </c>
      <c r="AK937">
        <v>0</v>
      </c>
      <c r="AL937" s="76">
        <v>36526</v>
      </c>
      <c r="AM937" s="75">
        <v>9590</v>
      </c>
      <c r="AN937" t="s">
        <v>65</v>
      </c>
      <c r="AO937" t="s">
        <v>3121</v>
      </c>
      <c r="AP937" t="s">
        <v>67</v>
      </c>
      <c r="AQ937" t="s">
        <v>68</v>
      </c>
      <c r="AR937" t="s">
        <v>69</v>
      </c>
      <c r="AS937" s="79"/>
      <c r="AT937" s="82" t="s">
        <v>4115</v>
      </c>
      <c r="AU937" s="78">
        <v>2026</v>
      </c>
      <c r="AV937" s="78">
        <v>4</v>
      </c>
      <c r="AW937" s="78" t="s">
        <v>71</v>
      </c>
      <c r="AX937" s="78">
        <v>0</v>
      </c>
      <c r="AY937" s="78">
        <v>0</v>
      </c>
      <c r="BT937" s="3" t="s">
        <v>71</v>
      </c>
      <c r="BU937" s="3">
        <v>0</v>
      </c>
      <c r="BV937" s="3">
        <v>0</v>
      </c>
    </row>
    <row r="938" spans="1:74" ht="15" customHeight="1" x14ac:dyDescent="0.25">
      <c r="A938" s="75">
        <v>5903641</v>
      </c>
      <c r="B938" t="s">
        <v>4188</v>
      </c>
      <c r="C938" t="s">
        <v>4189</v>
      </c>
      <c r="D938" t="s">
        <v>1555</v>
      </c>
      <c r="E938" t="s">
        <v>87</v>
      </c>
      <c r="F938" s="75">
        <v>366</v>
      </c>
      <c r="G938" s="75">
        <v>286773</v>
      </c>
      <c r="H938">
        <v>364.96</v>
      </c>
      <c r="I938" t="s">
        <v>55</v>
      </c>
      <c r="J938" s="75">
        <v>218787</v>
      </c>
      <c r="K938" t="s">
        <v>96</v>
      </c>
      <c r="L938" t="s">
        <v>97</v>
      </c>
      <c r="M938" s="81">
        <v>46114.694976851853</v>
      </c>
      <c r="N938" s="81">
        <v>46119.815752314818</v>
      </c>
      <c r="O938" t="s">
        <v>58</v>
      </c>
      <c r="P938" t="s">
        <v>59</v>
      </c>
      <c r="Q938" t="s">
        <v>90</v>
      </c>
      <c r="R938" t="s">
        <v>60</v>
      </c>
      <c r="S938" t="s">
        <v>583</v>
      </c>
      <c r="U938" s="75">
        <v>223737</v>
      </c>
      <c r="V938" t="s">
        <v>4190</v>
      </c>
      <c r="W938" t="s">
        <v>4191</v>
      </c>
      <c r="X938" t="s">
        <v>62</v>
      </c>
      <c r="Y938" t="s">
        <v>63</v>
      </c>
      <c r="AA938" t="s">
        <v>416</v>
      </c>
      <c r="AB938">
        <v>122.83333399999999</v>
      </c>
      <c r="AC938">
        <v>107.766667</v>
      </c>
      <c r="AD938">
        <v>15.066667000000001</v>
      </c>
      <c r="AE938">
        <v>0.13333300000000001</v>
      </c>
      <c r="AF938">
        <v>0</v>
      </c>
      <c r="AG938">
        <v>14.933334</v>
      </c>
      <c r="AH938">
        <v>14.933334</v>
      </c>
      <c r="AI938">
        <v>13.566667000000001</v>
      </c>
      <c r="AJ938">
        <v>1.3666670000000001</v>
      </c>
      <c r="AK938">
        <v>0</v>
      </c>
      <c r="AL938" s="76">
        <v>44960</v>
      </c>
      <c r="AM938" s="75">
        <v>1154</v>
      </c>
      <c r="AN938" t="s">
        <v>65</v>
      </c>
      <c r="AO938" t="s">
        <v>3871</v>
      </c>
      <c r="AP938" t="s">
        <v>67</v>
      </c>
      <c r="AQ938" t="s">
        <v>68</v>
      </c>
      <c r="AR938" t="s">
        <v>69</v>
      </c>
      <c r="AS938" s="78"/>
      <c r="AT938" s="82" t="s">
        <v>4115</v>
      </c>
      <c r="AU938" s="78">
        <v>2026</v>
      </c>
      <c r="AV938" s="78">
        <v>4</v>
      </c>
      <c r="AW938" s="78" t="s">
        <v>71</v>
      </c>
      <c r="AX938" s="78">
        <v>0</v>
      </c>
      <c r="AY938" s="78">
        <v>0</v>
      </c>
      <c r="BT938" s="2" t="s">
        <v>71</v>
      </c>
      <c r="BU938" s="2">
        <v>0</v>
      </c>
      <c r="BV938" s="2">
        <v>0</v>
      </c>
    </row>
    <row r="939" spans="1:74" ht="15" customHeight="1" x14ac:dyDescent="0.25">
      <c r="A939" s="75">
        <v>5905295</v>
      </c>
      <c r="B939" t="s">
        <v>4192</v>
      </c>
      <c r="C939" t="s">
        <v>4193</v>
      </c>
      <c r="D939" t="s">
        <v>1555</v>
      </c>
      <c r="E939" t="s">
        <v>87</v>
      </c>
      <c r="F939" s="75">
        <v>531</v>
      </c>
      <c r="G939" s="75">
        <v>347277</v>
      </c>
      <c r="H939">
        <v>382.47</v>
      </c>
      <c r="I939" t="s">
        <v>175</v>
      </c>
      <c r="J939" s="75">
        <v>218791</v>
      </c>
      <c r="K939" t="s">
        <v>312</v>
      </c>
      <c r="L939" t="s">
        <v>313</v>
      </c>
      <c r="M939" s="81">
        <v>46117.38957175926</v>
      </c>
      <c r="N939" s="81">
        <v>46119.816412037027</v>
      </c>
      <c r="O939" t="s">
        <v>58</v>
      </c>
      <c r="P939" t="s">
        <v>59</v>
      </c>
      <c r="Q939" t="s">
        <v>90</v>
      </c>
      <c r="R939" t="s">
        <v>60</v>
      </c>
      <c r="S939" t="s">
        <v>583</v>
      </c>
      <c r="U939" s="75">
        <v>223945</v>
      </c>
      <c r="V939" t="s">
        <v>4194</v>
      </c>
      <c r="W939" t="s">
        <v>4195</v>
      </c>
      <c r="X939" t="s">
        <v>62</v>
      </c>
      <c r="Y939" t="s">
        <v>63</v>
      </c>
      <c r="AA939" t="s">
        <v>101</v>
      </c>
      <c r="AB939">
        <v>58.183332999999998</v>
      </c>
      <c r="AC939">
        <v>46.766666999999998</v>
      </c>
      <c r="AD939">
        <v>11.416665999999999</v>
      </c>
      <c r="AE939">
        <v>0.38333299999999998</v>
      </c>
      <c r="AF939">
        <v>0</v>
      </c>
      <c r="AG939">
        <v>11.033333000000001</v>
      </c>
      <c r="AH939">
        <v>11.033333000000001</v>
      </c>
      <c r="AI939">
        <v>10.55</v>
      </c>
      <c r="AJ939">
        <v>0.48333300000000001</v>
      </c>
      <c r="AK939">
        <v>0</v>
      </c>
      <c r="AL939" s="76">
        <v>45945.738692129627</v>
      </c>
      <c r="AM939" s="75">
        <v>171</v>
      </c>
      <c r="AN939" t="s">
        <v>65</v>
      </c>
      <c r="AO939" t="s">
        <v>1261</v>
      </c>
      <c r="AP939" t="s">
        <v>67</v>
      </c>
      <c r="AQ939" t="s">
        <v>68</v>
      </c>
      <c r="AR939" t="s">
        <v>69</v>
      </c>
      <c r="AS939" s="79"/>
      <c r="AT939" s="82" t="s">
        <v>4115</v>
      </c>
      <c r="AU939" s="78">
        <v>2026</v>
      </c>
      <c r="AV939" s="78">
        <v>4</v>
      </c>
      <c r="AW939" s="78" t="s">
        <v>71</v>
      </c>
      <c r="AX939" s="78">
        <v>0</v>
      </c>
      <c r="AY939" s="78">
        <v>0</v>
      </c>
      <c r="BT939" s="3" t="s">
        <v>71</v>
      </c>
      <c r="BU939" s="3">
        <v>0</v>
      </c>
      <c r="BV939" s="3">
        <v>0</v>
      </c>
    </row>
    <row r="940" spans="1:74" ht="15" customHeight="1" x14ac:dyDescent="0.25">
      <c r="A940" s="75">
        <v>5897375</v>
      </c>
      <c r="B940" t="s">
        <v>4196</v>
      </c>
      <c r="C940" t="s">
        <v>4197</v>
      </c>
      <c r="D940" t="s">
        <v>1555</v>
      </c>
      <c r="E940" t="s">
        <v>54</v>
      </c>
      <c r="F940" s="75">
        <v>1</v>
      </c>
      <c r="G940" s="75">
        <v>302483</v>
      </c>
      <c r="H940">
        <v>600</v>
      </c>
      <c r="I940" t="s">
        <v>114</v>
      </c>
      <c r="J940" s="75">
        <v>219579</v>
      </c>
      <c r="K940" t="s">
        <v>4198</v>
      </c>
      <c r="L940" t="s">
        <v>4199</v>
      </c>
      <c r="M940" s="81">
        <v>46111.455127314817</v>
      </c>
      <c r="N940" s="81">
        <v>46119.817465277767</v>
      </c>
      <c r="O940" t="s">
        <v>58</v>
      </c>
      <c r="P940" t="s">
        <v>59</v>
      </c>
      <c r="Q940" t="s">
        <v>130</v>
      </c>
      <c r="R940" t="s">
        <v>60</v>
      </c>
      <c r="S940" t="s">
        <v>583</v>
      </c>
      <c r="U940" s="75">
        <v>223645</v>
      </c>
      <c r="V940" t="s">
        <v>4200</v>
      </c>
      <c r="W940" t="s">
        <v>4201</v>
      </c>
      <c r="X940" t="s">
        <v>62</v>
      </c>
      <c r="Y940" t="s">
        <v>63</v>
      </c>
      <c r="AA940" t="s">
        <v>295</v>
      </c>
      <c r="AB940">
        <v>200.49999800000001</v>
      </c>
      <c r="AC940">
        <v>152.73333400000001</v>
      </c>
      <c r="AD940">
        <v>47.766663999999999</v>
      </c>
      <c r="AE940">
        <v>0.25</v>
      </c>
      <c r="AF940">
        <v>0</v>
      </c>
      <c r="AG940">
        <v>47.516663999999999</v>
      </c>
      <c r="AH940">
        <v>47.516663999999999</v>
      </c>
      <c r="AI940">
        <v>44.349998999999997</v>
      </c>
      <c r="AJ940">
        <v>3.1666650000000001</v>
      </c>
      <c r="AK940">
        <v>0</v>
      </c>
      <c r="AL940" s="76">
        <v>45463</v>
      </c>
      <c r="AM940" s="75">
        <v>648</v>
      </c>
      <c r="AN940" t="s">
        <v>65</v>
      </c>
      <c r="AO940" t="s">
        <v>4202</v>
      </c>
      <c r="AP940" t="s">
        <v>67</v>
      </c>
      <c r="AQ940" t="s">
        <v>68</v>
      </c>
      <c r="AR940" t="s">
        <v>69</v>
      </c>
      <c r="AS940" s="78"/>
      <c r="AT940" s="82" t="s">
        <v>4115</v>
      </c>
      <c r="AU940" s="78">
        <v>2026</v>
      </c>
      <c r="AV940" s="78">
        <v>4</v>
      </c>
      <c r="AW940" s="78" t="s">
        <v>71</v>
      </c>
      <c r="AX940" s="78">
        <v>0</v>
      </c>
      <c r="AY940" s="78">
        <v>1</v>
      </c>
      <c r="BT940" s="2" t="s">
        <v>71</v>
      </c>
      <c r="BU940" s="2">
        <v>0</v>
      </c>
      <c r="BV940" s="2">
        <v>1</v>
      </c>
    </row>
    <row r="941" spans="1:74" ht="15" customHeight="1" x14ac:dyDescent="0.25">
      <c r="A941" s="75">
        <v>5908105</v>
      </c>
      <c r="B941" t="s">
        <v>4203</v>
      </c>
      <c r="C941" t="s">
        <v>4204</v>
      </c>
      <c r="D941" t="s">
        <v>1555</v>
      </c>
      <c r="E941" t="s">
        <v>126</v>
      </c>
      <c r="F941" s="75">
        <v>21</v>
      </c>
      <c r="G941" s="75">
        <v>336107</v>
      </c>
      <c r="H941">
        <v>0</v>
      </c>
      <c r="I941" t="s">
        <v>1184</v>
      </c>
      <c r="J941" s="75">
        <v>204503</v>
      </c>
      <c r="K941" t="s">
        <v>4028</v>
      </c>
      <c r="L941" t="s">
        <v>4029</v>
      </c>
      <c r="M941" s="81">
        <v>46119.400555555563</v>
      </c>
      <c r="N941" s="81">
        <v>46120.466122685182</v>
      </c>
      <c r="O941" t="s">
        <v>58</v>
      </c>
      <c r="P941" t="s">
        <v>59</v>
      </c>
      <c r="Q941" t="s">
        <v>130</v>
      </c>
      <c r="R941" t="s">
        <v>156</v>
      </c>
      <c r="S941" t="s">
        <v>1320</v>
      </c>
      <c r="U941" s="75">
        <v>225181</v>
      </c>
      <c r="V941" t="s">
        <v>4205</v>
      </c>
      <c r="X941" t="s">
        <v>62</v>
      </c>
      <c r="Y941" t="s">
        <v>1186</v>
      </c>
      <c r="AA941" t="s">
        <v>64</v>
      </c>
      <c r="AB941">
        <v>25.533332999999999</v>
      </c>
      <c r="AC941">
        <v>18.649999999999999</v>
      </c>
      <c r="AD941">
        <v>6.8833330000000004</v>
      </c>
      <c r="AE941">
        <v>0.216667</v>
      </c>
      <c r="AF941">
        <v>0</v>
      </c>
      <c r="AG941">
        <v>6.6666660000000002</v>
      </c>
      <c r="AH941">
        <v>6.6666660000000002</v>
      </c>
      <c r="AI941">
        <v>6.6333330000000004</v>
      </c>
      <c r="AJ941">
        <v>3.3333000000000002E-2</v>
      </c>
      <c r="AK941">
        <v>0</v>
      </c>
      <c r="AL941" s="76"/>
      <c r="AM941" s="75"/>
      <c r="AN941" t="s">
        <v>135</v>
      </c>
      <c r="AO941" t="s">
        <v>4032</v>
      </c>
      <c r="AP941" t="s">
        <v>67</v>
      </c>
      <c r="AQ941" t="s">
        <v>68</v>
      </c>
      <c r="AR941" t="s">
        <v>69</v>
      </c>
      <c r="AS941" s="79"/>
      <c r="AT941" s="82" t="s">
        <v>4115</v>
      </c>
      <c r="AU941" s="78">
        <v>2026</v>
      </c>
      <c r="AV941" s="78">
        <v>4</v>
      </c>
      <c r="AW941" s="78" t="s">
        <v>137</v>
      </c>
      <c r="AX941" s="78">
        <v>1</v>
      </c>
      <c r="AY941" s="78">
        <v>0</v>
      </c>
      <c r="BT941" s="3" t="s">
        <v>137</v>
      </c>
      <c r="BU941" s="3">
        <v>1</v>
      </c>
      <c r="BV941" s="3">
        <v>0</v>
      </c>
    </row>
    <row r="942" spans="1:74" ht="15" customHeight="1" x14ac:dyDescent="0.25">
      <c r="A942" s="75">
        <v>5905395</v>
      </c>
      <c r="B942" t="s">
        <v>4206</v>
      </c>
      <c r="C942" t="s">
        <v>4207</v>
      </c>
      <c r="D942" t="s">
        <v>1555</v>
      </c>
      <c r="E942" t="s">
        <v>105</v>
      </c>
      <c r="F942" s="75">
        <v>13</v>
      </c>
      <c r="G942" s="75">
        <v>345621</v>
      </c>
      <c r="H942">
        <v>646.5</v>
      </c>
      <c r="I942" t="s">
        <v>203</v>
      </c>
      <c r="J942" s="75">
        <v>204139</v>
      </c>
      <c r="K942" t="s">
        <v>1000</v>
      </c>
      <c r="L942" t="s">
        <v>1001</v>
      </c>
      <c r="M942" s="81">
        <v>46117.500636574077</v>
      </c>
      <c r="N942" s="81">
        <v>46120.469131944446</v>
      </c>
      <c r="O942" t="s">
        <v>58</v>
      </c>
      <c r="P942" t="s">
        <v>59</v>
      </c>
      <c r="Q942" t="s">
        <v>90</v>
      </c>
      <c r="R942" t="s">
        <v>60</v>
      </c>
      <c r="S942" t="s">
        <v>583</v>
      </c>
      <c r="U942" s="75">
        <v>225269</v>
      </c>
      <c r="V942" t="s">
        <v>4208</v>
      </c>
      <c r="X942" t="s">
        <v>62</v>
      </c>
      <c r="Y942" t="s">
        <v>63</v>
      </c>
      <c r="AA942" t="s">
        <v>416</v>
      </c>
      <c r="AB942">
        <v>71.133334000000005</v>
      </c>
      <c r="AC942">
        <v>47.9</v>
      </c>
      <c r="AD942">
        <v>23.233333999999999</v>
      </c>
      <c r="AE942">
        <v>0.85</v>
      </c>
      <c r="AF942">
        <v>0</v>
      </c>
      <c r="AG942">
        <v>22.383334000000001</v>
      </c>
      <c r="AH942">
        <v>22.383334000000001</v>
      </c>
      <c r="AI942">
        <v>19.866667</v>
      </c>
      <c r="AJ942">
        <v>2.516667</v>
      </c>
      <c r="AK942">
        <v>0</v>
      </c>
      <c r="AL942" s="76">
        <v>44315</v>
      </c>
      <c r="AM942" s="75">
        <v>1802</v>
      </c>
      <c r="AN942" t="s">
        <v>65</v>
      </c>
      <c r="AO942" t="s">
        <v>1685</v>
      </c>
      <c r="AP942" t="s">
        <v>67</v>
      </c>
      <c r="AQ942" t="s">
        <v>68</v>
      </c>
      <c r="AR942" t="s">
        <v>69</v>
      </c>
      <c r="AS942" s="78"/>
      <c r="AT942" s="82" t="s">
        <v>4115</v>
      </c>
      <c r="AU942" s="78">
        <v>2026</v>
      </c>
      <c r="AV942" s="78">
        <v>4</v>
      </c>
      <c r="AW942" s="78" t="s">
        <v>71</v>
      </c>
      <c r="AX942" s="78">
        <v>0</v>
      </c>
      <c r="AY942" s="78">
        <v>0</v>
      </c>
      <c r="BT942" s="2" t="s">
        <v>71</v>
      </c>
      <c r="BU942" s="2">
        <v>0</v>
      </c>
      <c r="BV942" s="2">
        <v>0</v>
      </c>
    </row>
    <row r="943" spans="1:74" ht="15" customHeight="1" x14ac:dyDescent="0.25">
      <c r="A943" s="75">
        <v>5908945</v>
      </c>
      <c r="B943" t="s">
        <v>4209</v>
      </c>
      <c r="C943" t="s">
        <v>4210</v>
      </c>
      <c r="D943" t="s">
        <v>2379</v>
      </c>
      <c r="E943" t="s">
        <v>54</v>
      </c>
      <c r="F943" s="75">
        <v>17</v>
      </c>
      <c r="G943" s="75">
        <v>300001</v>
      </c>
      <c r="H943">
        <v>640</v>
      </c>
      <c r="I943" t="s">
        <v>55</v>
      </c>
      <c r="J943" s="75">
        <v>202197</v>
      </c>
      <c r="K943" t="s">
        <v>305</v>
      </c>
      <c r="L943" t="s">
        <v>306</v>
      </c>
      <c r="M943" s="81">
        <v>46119.632638888892</v>
      </c>
      <c r="N943" s="81">
        <v>46120.493414351848</v>
      </c>
      <c r="O943" t="s">
        <v>58</v>
      </c>
      <c r="P943" t="s">
        <v>59</v>
      </c>
      <c r="Q943" t="s">
        <v>90</v>
      </c>
      <c r="R943" t="s">
        <v>99</v>
      </c>
      <c r="S943" t="s">
        <v>1244</v>
      </c>
      <c r="U943" s="75">
        <v>225627</v>
      </c>
      <c r="V943" t="s">
        <v>4211</v>
      </c>
      <c r="X943" t="s">
        <v>79</v>
      </c>
      <c r="Y943" t="s">
        <v>224</v>
      </c>
      <c r="AA943" t="s">
        <v>81</v>
      </c>
      <c r="AB943">
        <v>20.6</v>
      </c>
      <c r="AC943">
        <v>18.116667</v>
      </c>
      <c r="AD943">
        <v>2.483333</v>
      </c>
      <c r="AE943">
        <v>0.13333300000000001</v>
      </c>
      <c r="AF943">
        <v>0</v>
      </c>
      <c r="AG943">
        <v>2.35</v>
      </c>
      <c r="AH943">
        <v>2.35</v>
      </c>
      <c r="AI943">
        <v>2.3166669999999998</v>
      </c>
      <c r="AJ943">
        <v>3.3333000000000002E-2</v>
      </c>
      <c r="AK943">
        <v>0</v>
      </c>
      <c r="AL943" s="76">
        <v>45316</v>
      </c>
      <c r="AM943" s="75">
        <v>803</v>
      </c>
      <c r="AN943" t="s">
        <v>65</v>
      </c>
      <c r="AO943" t="s">
        <v>2428</v>
      </c>
      <c r="AP943" t="s">
        <v>67</v>
      </c>
      <c r="AQ943" t="s">
        <v>83</v>
      </c>
      <c r="AR943" t="s">
        <v>69</v>
      </c>
      <c r="AS943" s="79"/>
      <c r="AT943" s="82" t="s">
        <v>4115</v>
      </c>
      <c r="AU943" s="78">
        <v>2026</v>
      </c>
      <c r="AV943" s="78">
        <v>4</v>
      </c>
      <c r="AW943" s="78" t="s">
        <v>226</v>
      </c>
      <c r="AX943" s="78">
        <v>1</v>
      </c>
      <c r="AY943" s="78">
        <v>0</v>
      </c>
      <c r="BT943" s="3" t="s">
        <v>226</v>
      </c>
      <c r="BU943" s="3">
        <v>1</v>
      </c>
      <c r="BV943" s="3">
        <v>0</v>
      </c>
    </row>
    <row r="944" spans="1:74" ht="15" customHeight="1" x14ac:dyDescent="0.25">
      <c r="A944" s="75">
        <v>5906989</v>
      </c>
      <c r="B944" t="s">
        <v>4212</v>
      </c>
      <c r="C944" t="s">
        <v>4213</v>
      </c>
      <c r="D944" t="s">
        <v>1555</v>
      </c>
      <c r="E944" t="s">
        <v>54</v>
      </c>
      <c r="F944" s="75">
        <v>1</v>
      </c>
      <c r="G944" s="75">
        <v>48391</v>
      </c>
      <c r="H944">
        <v>650</v>
      </c>
      <c r="I944" t="s">
        <v>114</v>
      </c>
      <c r="J944" s="75">
        <v>49051</v>
      </c>
      <c r="K944" t="s">
        <v>4214</v>
      </c>
      <c r="L944" t="s">
        <v>4215</v>
      </c>
      <c r="M944" s="81">
        <v>46118.620844907397</v>
      </c>
      <c r="N944" s="81">
        <v>46120.495439814818</v>
      </c>
      <c r="O944" t="s">
        <v>58</v>
      </c>
      <c r="P944" t="s">
        <v>59</v>
      </c>
      <c r="Q944" t="s">
        <v>77</v>
      </c>
      <c r="R944" t="s">
        <v>99</v>
      </c>
      <c r="S944" t="s">
        <v>1244</v>
      </c>
      <c r="U944" s="75">
        <v>224781</v>
      </c>
      <c r="V944" t="s">
        <v>4216</v>
      </c>
      <c r="X944" t="s">
        <v>62</v>
      </c>
      <c r="Y944" t="s">
        <v>63</v>
      </c>
      <c r="AA944" t="s">
        <v>416</v>
      </c>
      <c r="AB944">
        <v>44.900001000000003</v>
      </c>
      <c r="AC944">
        <v>31.066666999999999</v>
      </c>
      <c r="AD944">
        <v>13.833334000000001</v>
      </c>
      <c r="AE944">
        <v>6.6667000000000004E-2</v>
      </c>
      <c r="AF944">
        <v>0</v>
      </c>
      <c r="AG944">
        <v>13.766667</v>
      </c>
      <c r="AH944">
        <v>13.766667</v>
      </c>
      <c r="AI944">
        <v>13.433334</v>
      </c>
      <c r="AJ944">
        <v>0.33333299999999999</v>
      </c>
      <c r="AK944">
        <v>0</v>
      </c>
      <c r="AL944" s="76">
        <v>43042</v>
      </c>
      <c r="AM944" s="75">
        <v>3076</v>
      </c>
      <c r="AN944" t="s">
        <v>65</v>
      </c>
      <c r="AO944" t="s">
        <v>4217</v>
      </c>
      <c r="AP944" t="s">
        <v>67</v>
      </c>
      <c r="AQ944" t="s">
        <v>68</v>
      </c>
      <c r="AR944" t="s">
        <v>69</v>
      </c>
      <c r="AS944" s="78"/>
      <c r="AT944" s="82" t="s">
        <v>4115</v>
      </c>
      <c r="AU944" s="78">
        <v>2026</v>
      </c>
      <c r="AV944" s="78">
        <v>4</v>
      </c>
      <c r="AW944" s="78" t="s">
        <v>71</v>
      </c>
      <c r="AX944" s="78">
        <v>0</v>
      </c>
      <c r="AY944" s="78">
        <v>0</v>
      </c>
      <c r="BT944" s="2" t="s">
        <v>71</v>
      </c>
      <c r="BU944" s="2">
        <v>0</v>
      </c>
      <c r="BV944" s="2">
        <v>0</v>
      </c>
    </row>
    <row r="945" spans="1:74" ht="15" customHeight="1" x14ac:dyDescent="0.25">
      <c r="A945" s="75">
        <v>5904203</v>
      </c>
      <c r="B945" t="s">
        <v>4218</v>
      </c>
      <c r="C945" t="s">
        <v>4219</v>
      </c>
      <c r="D945" t="s">
        <v>1555</v>
      </c>
      <c r="E945" t="s">
        <v>54</v>
      </c>
      <c r="F945" s="75">
        <v>41</v>
      </c>
      <c r="G945" s="75">
        <v>300243</v>
      </c>
      <c r="H945">
        <v>640</v>
      </c>
      <c r="I945" t="s">
        <v>55</v>
      </c>
      <c r="J945" s="75">
        <v>202197</v>
      </c>
      <c r="K945" t="s">
        <v>305</v>
      </c>
      <c r="L945" t="s">
        <v>306</v>
      </c>
      <c r="M945" s="81">
        <v>46115.604629629634</v>
      </c>
      <c r="N945" s="81">
        <v>46120.5002662037</v>
      </c>
      <c r="O945" t="s">
        <v>58</v>
      </c>
      <c r="P945" t="s">
        <v>59</v>
      </c>
      <c r="Q945" t="s">
        <v>90</v>
      </c>
      <c r="R945" t="s">
        <v>99</v>
      </c>
      <c r="S945" t="s">
        <v>1244</v>
      </c>
      <c r="U945" s="75">
        <v>224733</v>
      </c>
      <c r="V945" t="s">
        <v>4220</v>
      </c>
      <c r="X945" t="s">
        <v>62</v>
      </c>
      <c r="Y945" t="s">
        <v>63</v>
      </c>
      <c r="AA945" t="s">
        <v>295</v>
      </c>
      <c r="AB945">
        <v>117.316667</v>
      </c>
      <c r="AC945">
        <v>81.783333999999996</v>
      </c>
      <c r="AD945">
        <v>35.533332999999999</v>
      </c>
      <c r="AE945">
        <v>0.45</v>
      </c>
      <c r="AF945">
        <v>0</v>
      </c>
      <c r="AG945">
        <v>35.083333000000003</v>
      </c>
      <c r="AH945">
        <v>35.083333000000003</v>
      </c>
      <c r="AI945">
        <v>29.75</v>
      </c>
      <c r="AJ945">
        <v>5.3333329999999997</v>
      </c>
      <c r="AK945">
        <v>0</v>
      </c>
      <c r="AL945" s="76">
        <v>45427</v>
      </c>
      <c r="AM945" s="75">
        <v>688</v>
      </c>
      <c r="AN945" t="s">
        <v>65</v>
      </c>
      <c r="AO945" t="s">
        <v>4221</v>
      </c>
      <c r="AP945" t="s">
        <v>67</v>
      </c>
      <c r="AQ945" t="s">
        <v>68</v>
      </c>
      <c r="AR945" t="s">
        <v>69</v>
      </c>
      <c r="AS945" s="79"/>
      <c r="AT945" s="82" t="s">
        <v>4115</v>
      </c>
      <c r="AU945" s="78">
        <v>2026</v>
      </c>
      <c r="AV945" s="78">
        <v>4</v>
      </c>
      <c r="AW945" s="78" t="s">
        <v>71</v>
      </c>
      <c r="AX945" s="78">
        <v>0</v>
      </c>
      <c r="AY945" s="78">
        <v>1</v>
      </c>
      <c r="BT945" s="3" t="s">
        <v>71</v>
      </c>
      <c r="BU945" s="3">
        <v>0</v>
      </c>
      <c r="BV945" s="3">
        <v>1</v>
      </c>
    </row>
    <row r="946" spans="1:74" ht="15" customHeight="1" x14ac:dyDescent="0.25">
      <c r="A946" s="75">
        <v>5906561</v>
      </c>
      <c r="B946" t="s">
        <v>4222</v>
      </c>
      <c r="C946" t="s">
        <v>4223</v>
      </c>
      <c r="D946" t="s">
        <v>1555</v>
      </c>
      <c r="E946" t="s">
        <v>54</v>
      </c>
      <c r="F946" s="75">
        <v>16</v>
      </c>
      <c r="G946" s="75">
        <v>298395</v>
      </c>
      <c r="H946">
        <v>640</v>
      </c>
      <c r="I946" t="s">
        <v>55</v>
      </c>
      <c r="J946" s="75">
        <v>202197</v>
      </c>
      <c r="K946" t="s">
        <v>305</v>
      </c>
      <c r="L946" t="s">
        <v>306</v>
      </c>
      <c r="M946" s="81">
        <v>46118.473078703697</v>
      </c>
      <c r="N946" s="81">
        <v>46120.501851851863</v>
      </c>
      <c r="O946" t="s">
        <v>58</v>
      </c>
      <c r="P946" t="s">
        <v>59</v>
      </c>
      <c r="Q946" t="s">
        <v>90</v>
      </c>
      <c r="R946" t="s">
        <v>60</v>
      </c>
      <c r="S946" t="s">
        <v>583</v>
      </c>
      <c r="U946" s="75">
        <v>224767</v>
      </c>
      <c r="V946" t="s">
        <v>4224</v>
      </c>
      <c r="W946" t="s">
        <v>4225</v>
      </c>
      <c r="X946" t="s">
        <v>62</v>
      </c>
      <c r="Y946" t="s">
        <v>63</v>
      </c>
      <c r="AA946" t="s">
        <v>101</v>
      </c>
      <c r="AB946">
        <v>48.583331000000001</v>
      </c>
      <c r="AC946">
        <v>36.883333</v>
      </c>
      <c r="AD946">
        <v>11.699998000000001</v>
      </c>
      <c r="AE946">
        <v>1.733333</v>
      </c>
      <c r="AF946">
        <v>0</v>
      </c>
      <c r="AG946">
        <v>9.9666650000000008</v>
      </c>
      <c r="AH946">
        <v>9.9666650000000008</v>
      </c>
      <c r="AI946">
        <v>8.8999989999999993</v>
      </c>
      <c r="AJ946">
        <v>1.0666659999999999</v>
      </c>
      <c r="AK946">
        <v>0</v>
      </c>
      <c r="AL946" s="76">
        <v>45302</v>
      </c>
      <c r="AM946" s="75">
        <v>816</v>
      </c>
      <c r="AN946" t="s">
        <v>65</v>
      </c>
      <c r="AO946" t="s">
        <v>309</v>
      </c>
      <c r="AP946" t="s">
        <v>67</v>
      </c>
      <c r="AQ946" t="s">
        <v>68</v>
      </c>
      <c r="AR946" t="s">
        <v>69</v>
      </c>
      <c r="AS946" s="78"/>
      <c r="AT946" s="82" t="s">
        <v>4115</v>
      </c>
      <c r="AU946" s="78">
        <v>2026</v>
      </c>
      <c r="AV946" s="78">
        <v>4</v>
      </c>
      <c r="AW946" s="78" t="s">
        <v>71</v>
      </c>
      <c r="AX946" s="78">
        <v>0</v>
      </c>
      <c r="AY946" s="78">
        <v>0</v>
      </c>
      <c r="BT946" s="2" t="s">
        <v>71</v>
      </c>
      <c r="BU946" s="2">
        <v>0</v>
      </c>
      <c r="BV946" s="2">
        <v>0</v>
      </c>
    </row>
    <row r="947" spans="1:74" ht="15" customHeight="1" x14ac:dyDescent="0.25">
      <c r="A947" s="75">
        <v>5887229</v>
      </c>
      <c r="B947" t="s">
        <v>4226</v>
      </c>
      <c r="C947" t="s">
        <v>4227</v>
      </c>
      <c r="D947" t="s">
        <v>1555</v>
      </c>
      <c r="E947" t="s">
        <v>54</v>
      </c>
      <c r="F947" s="75">
        <v>1</v>
      </c>
      <c r="G947" s="75">
        <v>347409</v>
      </c>
      <c r="H947">
        <v>1799.9</v>
      </c>
      <c r="I947" t="s">
        <v>203</v>
      </c>
      <c r="J947" s="75">
        <v>228617</v>
      </c>
      <c r="K947" t="s">
        <v>4228</v>
      </c>
      <c r="L947" t="s">
        <v>4229</v>
      </c>
      <c r="M947" s="81">
        <v>46105.540729166663</v>
      </c>
      <c r="N947" s="81">
        <v>46120.50577546296</v>
      </c>
      <c r="O947" t="s">
        <v>58</v>
      </c>
      <c r="P947" t="s">
        <v>59</v>
      </c>
      <c r="Q947" t="s">
        <v>130</v>
      </c>
      <c r="R947" t="s">
        <v>60</v>
      </c>
      <c r="S947" t="s">
        <v>583</v>
      </c>
      <c r="U947" s="75">
        <v>219405</v>
      </c>
      <c r="V947" t="s">
        <v>4230</v>
      </c>
      <c r="W947" t="s">
        <v>4230</v>
      </c>
      <c r="X947" t="s">
        <v>62</v>
      </c>
      <c r="Y947" t="s">
        <v>63</v>
      </c>
      <c r="Z947" t="s">
        <v>4231</v>
      </c>
      <c r="AA947" t="s">
        <v>416</v>
      </c>
      <c r="AB947">
        <v>358.95</v>
      </c>
      <c r="AC947">
        <v>296.30000100000001</v>
      </c>
      <c r="AD947">
        <v>62.649999000000001</v>
      </c>
      <c r="AE947">
        <v>45.516666999999998</v>
      </c>
      <c r="AF947">
        <v>45.416666999999997</v>
      </c>
      <c r="AG947">
        <v>17.133331999999999</v>
      </c>
      <c r="AH947">
        <v>62.549999</v>
      </c>
      <c r="AI947">
        <v>15.199999</v>
      </c>
      <c r="AJ947">
        <v>1.933333</v>
      </c>
      <c r="AK947">
        <v>0</v>
      </c>
      <c r="AL947" s="76">
        <v>45954.588217592587</v>
      </c>
      <c r="AM947" s="75">
        <v>150</v>
      </c>
      <c r="AN947" t="s">
        <v>65</v>
      </c>
      <c r="AO947" t="s">
        <v>4232</v>
      </c>
      <c r="AP947" t="s">
        <v>67</v>
      </c>
      <c r="AQ947" t="s">
        <v>68</v>
      </c>
      <c r="AR947" t="s">
        <v>69</v>
      </c>
      <c r="AS947" s="79"/>
      <c r="AT947" s="82" t="s">
        <v>4115</v>
      </c>
      <c r="AU947" s="78">
        <v>2026</v>
      </c>
      <c r="AV947" s="78">
        <v>4</v>
      </c>
      <c r="AW947" s="78" t="s">
        <v>71</v>
      </c>
      <c r="AX947" s="78">
        <v>0</v>
      </c>
      <c r="AY947" s="78">
        <v>0</v>
      </c>
      <c r="BT947" s="3" t="s">
        <v>71</v>
      </c>
      <c r="BU947" s="3">
        <v>0</v>
      </c>
      <c r="BV947" s="3">
        <v>0</v>
      </c>
    </row>
    <row r="948" spans="1:74" ht="15" customHeight="1" x14ac:dyDescent="0.25">
      <c r="A948" s="75">
        <v>5905473</v>
      </c>
      <c r="B948" t="s">
        <v>4233</v>
      </c>
      <c r="C948" t="s">
        <v>4234</v>
      </c>
      <c r="D948" t="s">
        <v>1555</v>
      </c>
      <c r="E948" t="s">
        <v>54</v>
      </c>
      <c r="F948" s="75">
        <v>27</v>
      </c>
      <c r="G948" s="75">
        <v>333095</v>
      </c>
      <c r="H948">
        <v>250</v>
      </c>
      <c r="I948" t="s">
        <v>141</v>
      </c>
      <c r="J948" s="75">
        <v>88921</v>
      </c>
      <c r="K948" t="s">
        <v>1177</v>
      </c>
      <c r="L948" t="s">
        <v>1178</v>
      </c>
      <c r="M948" s="81">
        <v>46117.604143518518</v>
      </c>
      <c r="N948" s="81">
        <v>46120.507199074083</v>
      </c>
      <c r="O948" t="s">
        <v>58</v>
      </c>
      <c r="P948" t="s">
        <v>59</v>
      </c>
      <c r="Q948" t="s">
        <v>130</v>
      </c>
      <c r="R948" t="s">
        <v>99</v>
      </c>
      <c r="S948" t="s">
        <v>1244</v>
      </c>
      <c r="U948" s="75">
        <v>223571</v>
      </c>
      <c r="V948" t="s">
        <v>4235</v>
      </c>
      <c r="W948" t="s">
        <v>4235</v>
      </c>
      <c r="X948" t="s">
        <v>62</v>
      </c>
      <c r="Y948" t="s">
        <v>63</v>
      </c>
      <c r="AA948" t="s">
        <v>295</v>
      </c>
      <c r="AB948">
        <v>69.616667000000007</v>
      </c>
      <c r="AC948">
        <v>40.799999999999997</v>
      </c>
      <c r="AD948">
        <v>28.816666999999999</v>
      </c>
      <c r="AE948">
        <v>0.13333300000000001</v>
      </c>
      <c r="AF948">
        <v>0</v>
      </c>
      <c r="AG948">
        <v>28.683333999999999</v>
      </c>
      <c r="AH948">
        <v>28.683333999999999</v>
      </c>
      <c r="AI948">
        <v>28.633334000000001</v>
      </c>
      <c r="AJ948">
        <v>0.05</v>
      </c>
      <c r="AK948">
        <v>0</v>
      </c>
      <c r="AL948" s="76">
        <v>45783</v>
      </c>
      <c r="AM948" s="75">
        <v>334</v>
      </c>
      <c r="AN948" t="s">
        <v>65</v>
      </c>
      <c r="AO948" t="s">
        <v>4236</v>
      </c>
      <c r="AP948" t="s">
        <v>67</v>
      </c>
      <c r="AQ948" t="s">
        <v>68</v>
      </c>
      <c r="AR948" t="s">
        <v>69</v>
      </c>
      <c r="AS948" s="78"/>
      <c r="AT948" s="82" t="s">
        <v>4115</v>
      </c>
      <c r="AU948" s="78">
        <v>2026</v>
      </c>
      <c r="AV948" s="78">
        <v>4</v>
      </c>
      <c r="AW948" s="78" t="s">
        <v>71</v>
      </c>
      <c r="AX948" s="78">
        <v>0</v>
      </c>
      <c r="AY948" s="78">
        <v>1</v>
      </c>
      <c r="BT948" s="2" t="s">
        <v>71</v>
      </c>
      <c r="BU948" s="2">
        <v>0</v>
      </c>
      <c r="BV948" s="2">
        <v>1</v>
      </c>
    </row>
    <row r="949" spans="1:74" ht="15" customHeight="1" x14ac:dyDescent="0.25">
      <c r="A949" s="75">
        <v>5883021</v>
      </c>
      <c r="B949" t="s">
        <v>4237</v>
      </c>
      <c r="C949" t="s">
        <v>4238</v>
      </c>
      <c r="D949" t="s">
        <v>1555</v>
      </c>
      <c r="E949" t="s">
        <v>54</v>
      </c>
      <c r="F949" s="75">
        <v>1</v>
      </c>
      <c r="G949" s="75">
        <v>329517</v>
      </c>
      <c r="H949">
        <v>1000</v>
      </c>
      <c r="I949" t="s">
        <v>141</v>
      </c>
      <c r="J949" s="75">
        <v>225013</v>
      </c>
      <c r="K949" t="s">
        <v>2026</v>
      </c>
      <c r="L949" t="s">
        <v>2027</v>
      </c>
      <c r="M949" s="81">
        <v>46101.720439814817</v>
      </c>
      <c r="N949" s="81">
        <v>46120.519780092603</v>
      </c>
      <c r="O949" t="s">
        <v>58</v>
      </c>
      <c r="P949" t="s">
        <v>59</v>
      </c>
      <c r="Q949" t="s">
        <v>130</v>
      </c>
      <c r="R949" t="s">
        <v>60</v>
      </c>
      <c r="S949" t="s">
        <v>583</v>
      </c>
      <c r="U949" s="75">
        <v>218701</v>
      </c>
      <c r="V949" t="s">
        <v>4239</v>
      </c>
      <c r="X949" t="s">
        <v>62</v>
      </c>
      <c r="Y949" t="s">
        <v>63</v>
      </c>
      <c r="Z949" t="s">
        <v>4231</v>
      </c>
      <c r="AA949" t="s">
        <v>295</v>
      </c>
      <c r="AB949">
        <v>450.98333400000001</v>
      </c>
      <c r="AC949">
        <v>407.55</v>
      </c>
      <c r="AD949">
        <v>43.433334000000002</v>
      </c>
      <c r="AE949">
        <v>7.7166670000000002</v>
      </c>
      <c r="AF949">
        <v>6.15</v>
      </c>
      <c r="AG949">
        <v>35.716667000000001</v>
      </c>
      <c r="AH949">
        <v>41.866667</v>
      </c>
      <c r="AI949">
        <v>35.049999999999997</v>
      </c>
      <c r="AJ949">
        <v>0.66666700000000001</v>
      </c>
      <c r="AK949">
        <v>0</v>
      </c>
      <c r="AL949" s="76">
        <v>45686.662638888891</v>
      </c>
      <c r="AM949" s="75">
        <v>415</v>
      </c>
      <c r="AN949" t="s">
        <v>65</v>
      </c>
      <c r="AO949" t="s">
        <v>2029</v>
      </c>
      <c r="AP949" t="s">
        <v>67</v>
      </c>
      <c r="AQ949" t="s">
        <v>68</v>
      </c>
      <c r="AR949" t="s">
        <v>69</v>
      </c>
      <c r="AS949" s="79"/>
      <c r="AT949" s="82" t="s">
        <v>4115</v>
      </c>
      <c r="AU949" s="78">
        <v>2026</v>
      </c>
      <c r="AV949" s="78">
        <v>4</v>
      </c>
      <c r="AW949" s="78" t="s">
        <v>71</v>
      </c>
      <c r="AX949" s="78">
        <v>0</v>
      </c>
      <c r="AY949" s="78">
        <v>1</v>
      </c>
      <c r="BT949" s="3" t="s">
        <v>71</v>
      </c>
      <c r="BU949" s="3">
        <v>0</v>
      </c>
      <c r="BV949" s="3">
        <v>1</v>
      </c>
    </row>
    <row r="950" spans="1:74" ht="15" customHeight="1" x14ac:dyDescent="0.25">
      <c r="A950" s="75">
        <v>5909561</v>
      </c>
      <c r="B950" t="s">
        <v>4240</v>
      </c>
      <c r="C950" t="s">
        <v>1893</v>
      </c>
      <c r="D950" t="s">
        <v>527</v>
      </c>
      <c r="E950" t="s">
        <v>126</v>
      </c>
      <c r="F950" s="75">
        <v>7</v>
      </c>
      <c r="G950" s="75">
        <v>330869</v>
      </c>
      <c r="H950">
        <v>5000</v>
      </c>
      <c r="I950" t="s">
        <v>2049</v>
      </c>
      <c r="J950" s="75">
        <v>219529</v>
      </c>
      <c r="K950" t="s">
        <v>2050</v>
      </c>
      <c r="L950" t="s">
        <v>2051</v>
      </c>
      <c r="M950" s="81">
        <v>46120.278275462973</v>
      </c>
      <c r="N950" s="81">
        <v>46120.524097222216</v>
      </c>
      <c r="O950" t="s">
        <v>58</v>
      </c>
      <c r="P950" t="s">
        <v>59</v>
      </c>
      <c r="Q950" t="s">
        <v>90</v>
      </c>
      <c r="R950" t="s">
        <v>99</v>
      </c>
      <c r="S950" t="s">
        <v>1244</v>
      </c>
      <c r="U950" s="75">
        <v>225851</v>
      </c>
      <c r="V950" t="s">
        <v>4241</v>
      </c>
      <c r="X950" t="s">
        <v>2053</v>
      </c>
      <c r="Y950" t="s">
        <v>2054</v>
      </c>
      <c r="AA950" t="s">
        <v>64</v>
      </c>
      <c r="AB950">
        <v>5.8333339999999998</v>
      </c>
      <c r="AC950">
        <v>1.35</v>
      </c>
      <c r="AD950">
        <v>4.4833340000000002</v>
      </c>
      <c r="AE950">
        <v>0.16666700000000001</v>
      </c>
      <c r="AF950">
        <v>0</v>
      </c>
      <c r="AG950">
        <v>4.3166669999999998</v>
      </c>
      <c r="AH950">
        <v>4.3166669999999998</v>
      </c>
      <c r="AI950">
        <v>4</v>
      </c>
      <c r="AJ950">
        <v>0.31666699999999998</v>
      </c>
      <c r="AK950">
        <v>0</v>
      </c>
      <c r="AL950" s="76">
        <v>45671</v>
      </c>
      <c r="AM950" s="75">
        <v>449</v>
      </c>
      <c r="AN950" t="s">
        <v>65</v>
      </c>
      <c r="AO950" t="s">
        <v>2055</v>
      </c>
      <c r="AP950" t="s">
        <v>67</v>
      </c>
      <c r="AQ950" t="s">
        <v>121</v>
      </c>
      <c r="AR950" t="s">
        <v>69</v>
      </c>
      <c r="AS950" s="78"/>
      <c r="AT950" s="82" t="s">
        <v>4115</v>
      </c>
      <c r="AU950" s="78">
        <v>2026</v>
      </c>
      <c r="AV950" s="78">
        <v>4</v>
      </c>
      <c r="AW950" s="78" t="s">
        <v>2056</v>
      </c>
      <c r="AX950" s="78">
        <v>1</v>
      </c>
      <c r="AY950" s="78">
        <v>0</v>
      </c>
      <c r="BT950" s="2" t="s">
        <v>2056</v>
      </c>
      <c r="BU950" s="2">
        <v>1</v>
      </c>
      <c r="BV950" s="2">
        <v>0</v>
      </c>
    </row>
    <row r="951" spans="1:74" ht="15" customHeight="1" x14ac:dyDescent="0.25">
      <c r="A951" s="75">
        <v>5905055</v>
      </c>
      <c r="B951" t="s">
        <v>4242</v>
      </c>
      <c r="C951" t="s">
        <v>4243</v>
      </c>
      <c r="D951" t="s">
        <v>1555</v>
      </c>
      <c r="E951" t="s">
        <v>87</v>
      </c>
      <c r="F951" s="75">
        <v>256</v>
      </c>
      <c r="G951" s="75">
        <v>286355</v>
      </c>
      <c r="H951">
        <v>364.96</v>
      </c>
      <c r="I951" t="s">
        <v>55</v>
      </c>
      <c r="J951" s="75">
        <v>218787</v>
      </c>
      <c r="K951" t="s">
        <v>96</v>
      </c>
      <c r="L951" t="s">
        <v>97</v>
      </c>
      <c r="M951" s="81">
        <v>46116.722708333327</v>
      </c>
      <c r="N951" s="81">
        <v>46120.524212962962</v>
      </c>
      <c r="O951" t="s">
        <v>58</v>
      </c>
      <c r="P951" t="s">
        <v>59</v>
      </c>
      <c r="Q951" t="s">
        <v>90</v>
      </c>
      <c r="R951" t="s">
        <v>99</v>
      </c>
      <c r="S951" t="s">
        <v>1244</v>
      </c>
      <c r="U951" s="75">
        <v>224741</v>
      </c>
      <c r="V951" t="s">
        <v>4244</v>
      </c>
      <c r="X951" t="s">
        <v>62</v>
      </c>
      <c r="Y951" t="s">
        <v>63</v>
      </c>
      <c r="AA951" t="s">
        <v>416</v>
      </c>
      <c r="AB951">
        <v>91.116665999999995</v>
      </c>
      <c r="AC951">
        <v>71.566665999999998</v>
      </c>
      <c r="AD951">
        <v>19.55</v>
      </c>
      <c r="AE951">
        <v>1.566667</v>
      </c>
      <c r="AF951">
        <v>0</v>
      </c>
      <c r="AG951">
        <v>17.983332999999998</v>
      </c>
      <c r="AH951">
        <v>17.983332999999998</v>
      </c>
      <c r="AI951">
        <v>17.616665999999999</v>
      </c>
      <c r="AJ951">
        <v>0.36666700000000002</v>
      </c>
      <c r="AK951">
        <v>0</v>
      </c>
      <c r="AL951" s="76">
        <v>44970</v>
      </c>
      <c r="AM951" s="75">
        <v>1146</v>
      </c>
      <c r="AN951" t="s">
        <v>65</v>
      </c>
      <c r="AO951" t="s">
        <v>4245</v>
      </c>
      <c r="AP951" t="s">
        <v>67</v>
      </c>
      <c r="AQ951" t="s">
        <v>68</v>
      </c>
      <c r="AR951" t="s">
        <v>69</v>
      </c>
      <c r="AS951" s="79"/>
      <c r="AT951" s="82" t="s">
        <v>4115</v>
      </c>
      <c r="AU951" s="78">
        <v>2026</v>
      </c>
      <c r="AV951" s="78">
        <v>4</v>
      </c>
      <c r="AW951" s="78" t="s">
        <v>71</v>
      </c>
      <c r="AX951" s="78">
        <v>0</v>
      </c>
      <c r="AY951" s="78">
        <v>0</v>
      </c>
      <c r="BT951" s="3" t="s">
        <v>71</v>
      </c>
      <c r="BU951" s="3">
        <v>0</v>
      </c>
      <c r="BV951" s="3">
        <v>0</v>
      </c>
    </row>
    <row r="952" spans="1:74" ht="15" customHeight="1" x14ac:dyDescent="0.25">
      <c r="A952" s="75">
        <v>5902169</v>
      </c>
      <c r="B952" t="s">
        <v>4246</v>
      </c>
      <c r="C952" t="s">
        <v>438</v>
      </c>
      <c r="D952" t="s">
        <v>1555</v>
      </c>
      <c r="E952" t="s">
        <v>87</v>
      </c>
      <c r="F952" s="75">
        <v>30</v>
      </c>
      <c r="G952" s="75">
        <v>275247</v>
      </c>
      <c r="H952">
        <v>569.71</v>
      </c>
      <c r="I952" t="s">
        <v>55</v>
      </c>
      <c r="J952" s="75">
        <v>216233</v>
      </c>
      <c r="K952" t="s">
        <v>88</v>
      </c>
      <c r="L952" t="s">
        <v>89</v>
      </c>
      <c r="M952" s="81">
        <v>46113.785185185188</v>
      </c>
      <c r="N952" s="81">
        <v>46120.525763888887</v>
      </c>
      <c r="O952" t="s">
        <v>58</v>
      </c>
      <c r="P952" t="s">
        <v>59</v>
      </c>
      <c r="Q952" t="s">
        <v>90</v>
      </c>
      <c r="R952" t="s">
        <v>99</v>
      </c>
      <c r="S952" t="s">
        <v>1244</v>
      </c>
      <c r="U952" s="75">
        <v>223715</v>
      </c>
      <c r="V952" t="s">
        <v>4247</v>
      </c>
      <c r="X952" t="s">
        <v>62</v>
      </c>
      <c r="Y952" t="s">
        <v>63</v>
      </c>
      <c r="AA952" t="s">
        <v>416</v>
      </c>
      <c r="AB952">
        <v>161.61666700000001</v>
      </c>
      <c r="AC952">
        <v>142.58333400000001</v>
      </c>
      <c r="AD952">
        <v>19.033332999999999</v>
      </c>
      <c r="AE952">
        <v>0.61666699999999997</v>
      </c>
      <c r="AF952">
        <v>0</v>
      </c>
      <c r="AG952">
        <v>18.416665999999999</v>
      </c>
      <c r="AH952">
        <v>18.416665999999999</v>
      </c>
      <c r="AI952">
        <v>17</v>
      </c>
      <c r="AJ952">
        <v>1.416666</v>
      </c>
      <c r="AK952">
        <v>0</v>
      </c>
      <c r="AL952" s="76">
        <v>44838</v>
      </c>
      <c r="AM952" s="75">
        <v>1275</v>
      </c>
      <c r="AN952" t="s">
        <v>65</v>
      </c>
      <c r="AO952" t="s">
        <v>441</v>
      </c>
      <c r="AP952" t="s">
        <v>67</v>
      </c>
      <c r="AQ952" t="s">
        <v>68</v>
      </c>
      <c r="AR952" t="s">
        <v>69</v>
      </c>
      <c r="AS952" s="78"/>
      <c r="AT952" s="82" t="s">
        <v>4115</v>
      </c>
      <c r="AU952" s="78">
        <v>2026</v>
      </c>
      <c r="AV952" s="78">
        <v>4</v>
      </c>
      <c r="AW952" s="78" t="s">
        <v>71</v>
      </c>
      <c r="AX952" s="78">
        <v>0</v>
      </c>
      <c r="AY952" s="78">
        <v>0</v>
      </c>
      <c r="BT952" s="2" t="s">
        <v>71</v>
      </c>
      <c r="BU952" s="2">
        <v>0</v>
      </c>
      <c r="BV952" s="2">
        <v>0</v>
      </c>
    </row>
    <row r="953" spans="1:74" ht="15" customHeight="1" x14ac:dyDescent="0.25">
      <c r="A953" s="75">
        <v>5891153</v>
      </c>
      <c r="B953" t="s">
        <v>4248</v>
      </c>
      <c r="C953" t="s">
        <v>4249</v>
      </c>
      <c r="D953" t="s">
        <v>1555</v>
      </c>
      <c r="E953" t="s">
        <v>126</v>
      </c>
      <c r="F953" s="75">
        <v>1</v>
      </c>
      <c r="G953" s="75">
        <v>81935</v>
      </c>
      <c r="H953">
        <v>3500</v>
      </c>
      <c r="I953" t="s">
        <v>114</v>
      </c>
      <c r="J953" s="75">
        <v>66247</v>
      </c>
      <c r="K953" t="s">
        <v>4250</v>
      </c>
      <c r="L953" t="s">
        <v>4251</v>
      </c>
      <c r="M953" s="81">
        <v>46106.678020833337</v>
      </c>
      <c r="N953" s="81">
        <v>46120.627905092602</v>
      </c>
      <c r="O953" t="s">
        <v>58</v>
      </c>
      <c r="P953" t="s">
        <v>59</v>
      </c>
      <c r="Q953" t="s">
        <v>130</v>
      </c>
      <c r="R953" t="s">
        <v>60</v>
      </c>
      <c r="S953" t="s">
        <v>583</v>
      </c>
      <c r="U953" s="75"/>
      <c r="X953" t="s">
        <v>118</v>
      </c>
      <c r="Y953" t="s">
        <v>119</v>
      </c>
      <c r="Z953" t="s">
        <v>4252</v>
      </c>
      <c r="AA953" t="s">
        <v>64</v>
      </c>
      <c r="AB953">
        <v>334.73333300000002</v>
      </c>
      <c r="AC953">
        <v>320.61666700000001</v>
      </c>
      <c r="AD953">
        <v>14.116666</v>
      </c>
      <c r="AE953">
        <v>7.2666659999999998</v>
      </c>
      <c r="AF953">
        <v>0</v>
      </c>
      <c r="AG953">
        <v>6.85</v>
      </c>
      <c r="AH953">
        <v>6.85</v>
      </c>
      <c r="AI953">
        <v>6.7</v>
      </c>
      <c r="AJ953">
        <v>0.15</v>
      </c>
      <c r="AK953">
        <v>0</v>
      </c>
      <c r="AL953" s="76">
        <v>43293</v>
      </c>
      <c r="AM953" s="75">
        <v>2813</v>
      </c>
      <c r="AN953" t="s">
        <v>65</v>
      </c>
      <c r="AO953" t="s">
        <v>4253</v>
      </c>
      <c r="AP953" t="s">
        <v>67</v>
      </c>
      <c r="AQ953" t="s">
        <v>121</v>
      </c>
      <c r="AR953" t="s">
        <v>69</v>
      </c>
      <c r="AS953" s="79"/>
      <c r="AT953" s="82" t="s">
        <v>4115</v>
      </c>
      <c r="AU953" s="78">
        <v>2026</v>
      </c>
      <c r="AV953" s="78">
        <v>4</v>
      </c>
      <c r="AW953" s="78" t="s">
        <v>122</v>
      </c>
      <c r="AX953" s="78">
        <v>1</v>
      </c>
      <c r="AY953" s="78">
        <v>0</v>
      </c>
      <c r="BT953" s="3" t="s">
        <v>122</v>
      </c>
      <c r="BU953" s="3">
        <v>1</v>
      </c>
      <c r="BV953" s="3">
        <v>0</v>
      </c>
    </row>
    <row r="954" spans="1:74" ht="15" customHeight="1" x14ac:dyDescent="0.25">
      <c r="A954" s="75">
        <v>5907337</v>
      </c>
      <c r="B954" t="s">
        <v>4254</v>
      </c>
      <c r="C954" t="s">
        <v>600</v>
      </c>
      <c r="D954" t="s">
        <v>1388</v>
      </c>
      <c r="E954" t="s">
        <v>87</v>
      </c>
      <c r="F954" s="75">
        <v>42</v>
      </c>
      <c r="G954" s="75">
        <v>275271</v>
      </c>
      <c r="H954">
        <v>398.82</v>
      </c>
      <c r="I954" t="s">
        <v>55</v>
      </c>
      <c r="J954" s="75">
        <v>216233</v>
      </c>
      <c r="K954" t="s">
        <v>88</v>
      </c>
      <c r="L954" t="s">
        <v>89</v>
      </c>
      <c r="M954" s="81">
        <v>46118.750671296293</v>
      </c>
      <c r="N954" s="81">
        <v>46121.451319444437</v>
      </c>
      <c r="O954" t="s">
        <v>58</v>
      </c>
      <c r="P954" t="s">
        <v>59</v>
      </c>
      <c r="Q954" t="s">
        <v>90</v>
      </c>
      <c r="R954" t="s">
        <v>131</v>
      </c>
      <c r="S954" t="s">
        <v>1273</v>
      </c>
      <c r="U954" s="75">
        <v>225823</v>
      </c>
      <c r="V954" t="s">
        <v>4255</v>
      </c>
      <c r="W954" t="s">
        <v>4256</v>
      </c>
      <c r="X954" t="s">
        <v>62</v>
      </c>
      <c r="Y954" t="s">
        <v>63</v>
      </c>
      <c r="AA954" t="s">
        <v>416</v>
      </c>
      <c r="AB954">
        <v>64.7</v>
      </c>
      <c r="AC954">
        <v>42.066667000000002</v>
      </c>
      <c r="AD954">
        <v>22.633333</v>
      </c>
      <c r="AE954">
        <v>1.75</v>
      </c>
      <c r="AF954">
        <v>0</v>
      </c>
      <c r="AG954">
        <v>20.883333</v>
      </c>
      <c r="AH954">
        <v>20.883333</v>
      </c>
      <c r="AI954">
        <v>19.883333</v>
      </c>
      <c r="AJ954">
        <v>1</v>
      </c>
      <c r="AK954">
        <v>0</v>
      </c>
      <c r="AL954" s="76">
        <v>44873</v>
      </c>
      <c r="AM954" s="75">
        <v>1245</v>
      </c>
      <c r="AN954" t="s">
        <v>65</v>
      </c>
      <c r="AO954" t="s">
        <v>602</v>
      </c>
      <c r="AP954" t="s">
        <v>67</v>
      </c>
      <c r="AQ954" t="s">
        <v>68</v>
      </c>
      <c r="AR954" t="s">
        <v>69</v>
      </c>
      <c r="AS954" s="78"/>
      <c r="AT954" s="82" t="s">
        <v>4115</v>
      </c>
      <c r="AU954" s="78">
        <v>2026</v>
      </c>
      <c r="AV954" s="78">
        <v>4</v>
      </c>
      <c r="AW954" s="78" t="s">
        <v>71</v>
      </c>
      <c r="AX954" s="78">
        <v>0</v>
      </c>
      <c r="AY954" s="78">
        <v>0</v>
      </c>
      <c r="BT954" s="2" t="s">
        <v>71</v>
      </c>
      <c r="BU954" s="2">
        <v>0</v>
      </c>
      <c r="BV954" s="2">
        <v>0</v>
      </c>
    </row>
    <row r="955" spans="1:74" ht="15" customHeight="1" x14ac:dyDescent="0.25">
      <c r="A955" s="75">
        <v>5910719</v>
      </c>
      <c r="B955" t="s">
        <v>4257</v>
      </c>
      <c r="C955" t="s">
        <v>4258</v>
      </c>
      <c r="D955" t="s">
        <v>527</v>
      </c>
      <c r="E955" t="s">
        <v>54</v>
      </c>
      <c r="F955" s="75">
        <v>5</v>
      </c>
      <c r="G955" s="75">
        <v>341027</v>
      </c>
      <c r="H955">
        <v>425</v>
      </c>
      <c r="I955" t="s">
        <v>141</v>
      </c>
      <c r="J955" s="75">
        <v>226759</v>
      </c>
      <c r="K955" t="s">
        <v>736</v>
      </c>
      <c r="L955" t="s">
        <v>737</v>
      </c>
      <c r="M955" s="81">
        <v>46120.685671296298</v>
      </c>
      <c r="N955" s="81">
        <v>46121.453518518523</v>
      </c>
      <c r="O955" t="s">
        <v>277</v>
      </c>
      <c r="P955" t="s">
        <v>59</v>
      </c>
      <c r="Q955" t="s">
        <v>130</v>
      </c>
      <c r="R955" t="s">
        <v>99</v>
      </c>
      <c r="S955" t="s">
        <v>1244</v>
      </c>
      <c r="U955" s="75">
        <v>226669</v>
      </c>
      <c r="V955" t="s">
        <v>4259</v>
      </c>
      <c r="X955" t="s">
        <v>62</v>
      </c>
      <c r="Y955" t="s">
        <v>63</v>
      </c>
      <c r="AA955" t="s">
        <v>416</v>
      </c>
      <c r="AB955">
        <v>18.366665999999999</v>
      </c>
      <c r="AC955">
        <v>1.066667</v>
      </c>
      <c r="AD955">
        <v>17.299999</v>
      </c>
      <c r="AE955">
        <v>8.3333000000000004E-2</v>
      </c>
      <c r="AF955">
        <v>0</v>
      </c>
      <c r="AG955">
        <v>17.216666</v>
      </c>
      <c r="AH955">
        <v>17.216666</v>
      </c>
      <c r="AI955">
        <v>16.466666</v>
      </c>
      <c r="AJ955">
        <v>0.75</v>
      </c>
      <c r="AK955">
        <v>0</v>
      </c>
      <c r="AL955" s="76">
        <v>45880.698460648149</v>
      </c>
      <c r="AM955" s="75">
        <v>239</v>
      </c>
      <c r="AN955" t="s">
        <v>65</v>
      </c>
      <c r="AO955" t="s">
        <v>4260</v>
      </c>
      <c r="AP955" t="s">
        <v>67</v>
      </c>
      <c r="AQ955" t="s">
        <v>68</v>
      </c>
      <c r="AR955" t="s">
        <v>69</v>
      </c>
      <c r="AS955" s="79"/>
      <c r="AT955" s="82" t="s">
        <v>4115</v>
      </c>
      <c r="AU955" s="78">
        <v>2026</v>
      </c>
      <c r="AV955" s="78">
        <v>4</v>
      </c>
      <c r="AW955" s="78" t="s">
        <v>71</v>
      </c>
      <c r="AX955" s="78">
        <v>0</v>
      </c>
      <c r="AY955" s="78">
        <v>0</v>
      </c>
      <c r="BT955" s="3" t="s">
        <v>71</v>
      </c>
      <c r="BU955" s="3">
        <v>0</v>
      </c>
      <c r="BV955" s="3">
        <v>0</v>
      </c>
    </row>
    <row r="956" spans="1:74" ht="15" customHeight="1" x14ac:dyDescent="0.25">
      <c r="A956" s="75">
        <v>5909841</v>
      </c>
      <c r="B956" t="s">
        <v>4261</v>
      </c>
      <c r="C956" t="s">
        <v>4262</v>
      </c>
      <c r="D956" t="s">
        <v>1555</v>
      </c>
      <c r="E956" t="s">
        <v>87</v>
      </c>
      <c r="F956" s="75">
        <v>521</v>
      </c>
      <c r="G956" s="75">
        <v>321269</v>
      </c>
      <c r="H956">
        <v>368.17</v>
      </c>
      <c r="I956" t="s">
        <v>55</v>
      </c>
      <c r="J956" s="75">
        <v>218791</v>
      </c>
      <c r="K956" t="s">
        <v>312</v>
      </c>
      <c r="L956" t="s">
        <v>313</v>
      </c>
      <c r="M956" s="81">
        <v>46120.410393518519</v>
      </c>
      <c r="N956" s="81">
        <v>46121.46329861111</v>
      </c>
      <c r="O956" t="s">
        <v>58</v>
      </c>
      <c r="P956" t="s">
        <v>59</v>
      </c>
      <c r="R956" t="s">
        <v>60</v>
      </c>
      <c r="S956" t="s">
        <v>1268</v>
      </c>
      <c r="U956" s="75">
        <v>226349</v>
      </c>
      <c r="V956" t="s">
        <v>4263</v>
      </c>
      <c r="W956" t="s">
        <v>4263</v>
      </c>
      <c r="X956" t="s">
        <v>62</v>
      </c>
      <c r="Y956" t="s">
        <v>63</v>
      </c>
      <c r="AA956" t="s">
        <v>81</v>
      </c>
      <c r="AB956">
        <v>25.233333999999999</v>
      </c>
      <c r="AC956">
        <v>23.7</v>
      </c>
      <c r="AD956">
        <v>1.533334</v>
      </c>
      <c r="AE956">
        <v>1.033334</v>
      </c>
      <c r="AF956">
        <v>0</v>
      </c>
      <c r="AG956">
        <v>0.5</v>
      </c>
      <c r="AH956">
        <v>0.5</v>
      </c>
      <c r="AI956">
        <v>0.2</v>
      </c>
      <c r="AJ956">
        <v>0.3</v>
      </c>
      <c r="AK956">
        <v>0</v>
      </c>
      <c r="AL956" s="76">
        <v>45475.80709490741</v>
      </c>
      <c r="AM956" s="75">
        <v>644</v>
      </c>
      <c r="AN956" t="s">
        <v>65</v>
      </c>
      <c r="AO956" t="s">
        <v>4067</v>
      </c>
      <c r="AP956" t="s">
        <v>67</v>
      </c>
      <c r="AQ956" t="s">
        <v>68</v>
      </c>
      <c r="AR956" t="s">
        <v>69</v>
      </c>
      <c r="AS956" s="78"/>
      <c r="AT956" s="82" t="s">
        <v>4115</v>
      </c>
      <c r="AU956" s="78">
        <v>2026</v>
      </c>
      <c r="AV956" s="78">
        <v>4</v>
      </c>
      <c r="AW956" s="78" t="s">
        <v>71</v>
      </c>
      <c r="AX956" s="78">
        <v>1</v>
      </c>
      <c r="AY956" s="78">
        <v>0</v>
      </c>
      <c r="BT956" s="2" t="s">
        <v>71</v>
      </c>
      <c r="BU956" s="2">
        <v>1</v>
      </c>
      <c r="BV956" s="2">
        <v>0</v>
      </c>
    </row>
    <row r="957" spans="1:74" ht="15" customHeight="1" x14ac:dyDescent="0.25">
      <c r="A957" s="75">
        <v>5906953</v>
      </c>
      <c r="B957" t="s">
        <v>4264</v>
      </c>
      <c r="C957" t="s">
        <v>4265</v>
      </c>
      <c r="D957" t="s">
        <v>1555</v>
      </c>
      <c r="E957" t="s">
        <v>105</v>
      </c>
      <c r="F957" s="75">
        <v>1070</v>
      </c>
      <c r="G957" s="75">
        <v>332937</v>
      </c>
      <c r="H957">
        <v>674.25</v>
      </c>
      <c r="I957" t="s">
        <v>141</v>
      </c>
      <c r="J957" s="75">
        <v>15269</v>
      </c>
      <c r="K957" t="s">
        <v>1193</v>
      </c>
      <c r="L957" t="s">
        <v>4266</v>
      </c>
      <c r="M957" s="81">
        <v>46118.609085648153</v>
      </c>
      <c r="N957" s="81">
        <v>46121.509317129632</v>
      </c>
      <c r="O957" t="s">
        <v>58</v>
      </c>
      <c r="P957" t="s">
        <v>59</v>
      </c>
      <c r="R957" t="s">
        <v>60</v>
      </c>
      <c r="S957" t="s">
        <v>583</v>
      </c>
      <c r="U957" s="75">
        <v>224775</v>
      </c>
      <c r="V957" t="s">
        <v>4267</v>
      </c>
      <c r="W957" t="s">
        <v>4268</v>
      </c>
      <c r="X957" t="s">
        <v>62</v>
      </c>
      <c r="Y957" t="s">
        <v>63</v>
      </c>
      <c r="AA957" t="s">
        <v>416</v>
      </c>
      <c r="AB957">
        <v>69.516666999999998</v>
      </c>
      <c r="AC957">
        <v>45.816665999999998</v>
      </c>
      <c r="AD957">
        <v>23.700001</v>
      </c>
      <c r="AE957">
        <v>6.6667000000000004E-2</v>
      </c>
      <c r="AF957">
        <v>0</v>
      </c>
      <c r="AG957">
        <v>23.633334000000001</v>
      </c>
      <c r="AH957">
        <v>23.633334000000001</v>
      </c>
      <c r="AI957">
        <v>22.466667000000001</v>
      </c>
      <c r="AJ957">
        <v>1.1666669999999999</v>
      </c>
      <c r="AK957">
        <v>0</v>
      </c>
      <c r="AL957" s="76">
        <v>45796.435601851852</v>
      </c>
      <c r="AM957" s="75">
        <v>322</v>
      </c>
      <c r="AN957" t="s">
        <v>65</v>
      </c>
      <c r="AO957" t="s">
        <v>4269</v>
      </c>
      <c r="AP957" t="s">
        <v>67</v>
      </c>
      <c r="AQ957" t="s">
        <v>68</v>
      </c>
      <c r="AR957" t="s">
        <v>69</v>
      </c>
      <c r="AS957" s="79"/>
      <c r="AT957" s="82" t="s">
        <v>4115</v>
      </c>
      <c r="AU957" s="78">
        <v>2026</v>
      </c>
      <c r="AV957" s="78">
        <v>4</v>
      </c>
      <c r="AW957" s="78" t="s">
        <v>71</v>
      </c>
      <c r="AX957" s="78">
        <v>0</v>
      </c>
      <c r="AY957" s="78">
        <v>0</v>
      </c>
      <c r="BT957" s="3" t="s">
        <v>71</v>
      </c>
      <c r="BU957" s="3">
        <v>0</v>
      </c>
      <c r="BV957" s="3">
        <v>0</v>
      </c>
    </row>
    <row r="958" spans="1:74" ht="15" customHeight="1" x14ac:dyDescent="0.25">
      <c r="A958" s="75">
        <v>5909637</v>
      </c>
      <c r="B958" t="s">
        <v>4270</v>
      </c>
      <c r="C958" t="s">
        <v>1369</v>
      </c>
      <c r="D958" t="s">
        <v>1555</v>
      </c>
      <c r="E958" t="s">
        <v>87</v>
      </c>
      <c r="F958" s="75">
        <v>154</v>
      </c>
      <c r="G958" s="75">
        <v>285763</v>
      </c>
      <c r="H958">
        <v>368.16</v>
      </c>
      <c r="I958" t="s">
        <v>55</v>
      </c>
      <c r="J958" s="75">
        <v>218791</v>
      </c>
      <c r="K958" t="s">
        <v>312</v>
      </c>
      <c r="L958" t="s">
        <v>313</v>
      </c>
      <c r="M958" s="81">
        <v>46120.354895833327</v>
      </c>
      <c r="N958" s="81">
        <v>46121.514120370368</v>
      </c>
      <c r="O958" t="s">
        <v>58</v>
      </c>
      <c r="P958" t="s">
        <v>59</v>
      </c>
      <c r="Q958" t="s">
        <v>90</v>
      </c>
      <c r="R958" t="s">
        <v>60</v>
      </c>
      <c r="S958" t="s">
        <v>583</v>
      </c>
      <c r="U958" s="75">
        <v>225999</v>
      </c>
      <c r="V958" t="s">
        <v>4271</v>
      </c>
      <c r="W958" t="s">
        <v>4271</v>
      </c>
      <c r="X958" t="s">
        <v>62</v>
      </c>
      <c r="Y958" t="s">
        <v>63</v>
      </c>
      <c r="AA958" t="s">
        <v>81</v>
      </c>
      <c r="AB958">
        <v>27.750001000000001</v>
      </c>
      <c r="AC958">
        <v>24.3</v>
      </c>
      <c r="AD958">
        <v>3.4500009999999999</v>
      </c>
      <c r="AE958">
        <v>0.15</v>
      </c>
      <c r="AF958">
        <v>0</v>
      </c>
      <c r="AG958">
        <v>3.300001</v>
      </c>
      <c r="AH958">
        <v>3.300001</v>
      </c>
      <c r="AI958">
        <v>3.283334</v>
      </c>
      <c r="AJ958">
        <v>1.6667000000000001E-2</v>
      </c>
      <c r="AK958">
        <v>0</v>
      </c>
      <c r="AL958" s="76">
        <v>44876.671053240738</v>
      </c>
      <c r="AM958" s="75">
        <v>1243</v>
      </c>
      <c r="AN958" t="s">
        <v>65</v>
      </c>
      <c r="AO958" t="s">
        <v>1372</v>
      </c>
      <c r="AP958" t="s">
        <v>67</v>
      </c>
      <c r="AQ958" t="s">
        <v>68</v>
      </c>
      <c r="AR958" t="s">
        <v>69</v>
      </c>
      <c r="AS958" s="78"/>
      <c r="AT958" s="82" t="s">
        <v>4115</v>
      </c>
      <c r="AU958" s="78">
        <v>2026</v>
      </c>
      <c r="AV958" s="78">
        <v>4</v>
      </c>
      <c r="AW958" s="78" t="s">
        <v>71</v>
      </c>
      <c r="AX958" s="78">
        <v>1</v>
      </c>
      <c r="AY958" s="78">
        <v>0</v>
      </c>
      <c r="BT958" s="2" t="s">
        <v>71</v>
      </c>
      <c r="BU958" s="2">
        <v>1</v>
      </c>
      <c r="BV958" s="2">
        <v>0</v>
      </c>
    </row>
    <row r="959" spans="1:74" ht="15" customHeight="1" x14ac:dyDescent="0.25">
      <c r="A959" s="75">
        <v>5907245</v>
      </c>
      <c r="B959" t="s">
        <v>4272</v>
      </c>
      <c r="C959" t="s">
        <v>4273</v>
      </c>
      <c r="D959" t="s">
        <v>1555</v>
      </c>
      <c r="E959" t="s">
        <v>87</v>
      </c>
      <c r="F959" s="75">
        <v>11</v>
      </c>
      <c r="G959" s="75">
        <v>275209</v>
      </c>
      <c r="H959">
        <v>569.71</v>
      </c>
      <c r="I959" t="s">
        <v>55</v>
      </c>
      <c r="J959" s="75">
        <v>216233</v>
      </c>
      <c r="K959" t="s">
        <v>88</v>
      </c>
      <c r="L959" t="s">
        <v>89</v>
      </c>
      <c r="M959" s="81">
        <v>46118.709155092591</v>
      </c>
      <c r="N959" s="81">
        <v>46121.515543981477</v>
      </c>
      <c r="O959" t="s">
        <v>58</v>
      </c>
      <c r="P959" t="s">
        <v>59</v>
      </c>
      <c r="Q959" t="s">
        <v>90</v>
      </c>
      <c r="R959" t="s">
        <v>60</v>
      </c>
      <c r="S959" t="s">
        <v>583</v>
      </c>
      <c r="U959" s="75">
        <v>225819</v>
      </c>
      <c r="V959" t="s">
        <v>4274</v>
      </c>
      <c r="W959" t="s">
        <v>4275</v>
      </c>
      <c r="X959" t="s">
        <v>62</v>
      </c>
      <c r="Y959" t="s">
        <v>63</v>
      </c>
      <c r="AA959" t="s">
        <v>416</v>
      </c>
      <c r="AB959">
        <v>67.266666000000001</v>
      </c>
      <c r="AC959">
        <v>53.066665999999998</v>
      </c>
      <c r="AD959">
        <v>14.2</v>
      </c>
      <c r="AE959">
        <v>0.2</v>
      </c>
      <c r="AF959">
        <v>0</v>
      </c>
      <c r="AG959">
        <v>14</v>
      </c>
      <c r="AH959">
        <v>14</v>
      </c>
      <c r="AI959">
        <v>13.616667</v>
      </c>
      <c r="AJ959">
        <v>0.38333299999999998</v>
      </c>
      <c r="AK959">
        <v>0</v>
      </c>
      <c r="AL959" s="76">
        <v>44876</v>
      </c>
      <c r="AM959" s="75">
        <v>1242</v>
      </c>
      <c r="AN959" t="s">
        <v>65</v>
      </c>
      <c r="AO959" t="s">
        <v>1441</v>
      </c>
      <c r="AP959" t="s">
        <v>67</v>
      </c>
      <c r="AQ959" t="s">
        <v>68</v>
      </c>
      <c r="AR959" t="s">
        <v>69</v>
      </c>
      <c r="AS959" s="79"/>
      <c r="AT959" s="82" t="s">
        <v>4115</v>
      </c>
      <c r="AU959" s="78">
        <v>2026</v>
      </c>
      <c r="AV959" s="78">
        <v>4</v>
      </c>
      <c r="AW959" s="78" t="s">
        <v>71</v>
      </c>
      <c r="AX959" s="78">
        <v>0</v>
      </c>
      <c r="AY959" s="78">
        <v>0</v>
      </c>
      <c r="BT959" s="3" t="s">
        <v>71</v>
      </c>
      <c r="BU959" s="3">
        <v>0</v>
      </c>
      <c r="BV959" s="3">
        <v>0</v>
      </c>
    </row>
    <row r="960" spans="1:74" ht="15" customHeight="1" x14ac:dyDescent="0.25">
      <c r="A960" s="75">
        <v>5909423</v>
      </c>
      <c r="B960" t="s">
        <v>4276</v>
      </c>
      <c r="C960" t="s">
        <v>1912</v>
      </c>
      <c r="D960" t="s">
        <v>1555</v>
      </c>
      <c r="E960" t="s">
        <v>87</v>
      </c>
      <c r="F960" s="75">
        <v>38</v>
      </c>
      <c r="G960" s="75">
        <v>275263</v>
      </c>
      <c r="H960">
        <v>368.16</v>
      </c>
      <c r="I960" t="s">
        <v>55</v>
      </c>
      <c r="J960" s="75">
        <v>218791</v>
      </c>
      <c r="K960" t="s">
        <v>312</v>
      </c>
      <c r="L960" t="s">
        <v>313</v>
      </c>
      <c r="M960" s="81">
        <v>46119.840949074067</v>
      </c>
      <c r="N960" s="81">
        <v>46121.516655092593</v>
      </c>
      <c r="O960" t="s">
        <v>58</v>
      </c>
      <c r="P960" t="s">
        <v>59</v>
      </c>
      <c r="Q960" t="s">
        <v>90</v>
      </c>
      <c r="R960" t="s">
        <v>60</v>
      </c>
      <c r="S960" t="s">
        <v>583</v>
      </c>
      <c r="U960" s="75">
        <v>225773</v>
      </c>
      <c r="V960" t="s">
        <v>4277</v>
      </c>
      <c r="W960" t="s">
        <v>4277</v>
      </c>
      <c r="X960" t="s">
        <v>62</v>
      </c>
      <c r="Y960" t="s">
        <v>63</v>
      </c>
      <c r="AA960" t="s">
        <v>416</v>
      </c>
      <c r="AB960">
        <v>40.166665999999999</v>
      </c>
      <c r="AC960">
        <v>23.983332999999998</v>
      </c>
      <c r="AD960">
        <v>16.183333000000001</v>
      </c>
      <c r="AE960">
        <v>1.0833330000000001</v>
      </c>
      <c r="AF960">
        <v>0</v>
      </c>
      <c r="AG960">
        <v>15.1</v>
      </c>
      <c r="AH960">
        <v>15.1</v>
      </c>
      <c r="AI960">
        <v>13.116667</v>
      </c>
      <c r="AJ960">
        <v>1.983333</v>
      </c>
      <c r="AK960">
        <v>0</v>
      </c>
      <c r="AL960" s="76">
        <v>44841.391076388893</v>
      </c>
      <c r="AM960" s="75">
        <v>1278</v>
      </c>
      <c r="AN960" t="s">
        <v>65</v>
      </c>
      <c r="AO960" t="s">
        <v>1914</v>
      </c>
      <c r="AP960" t="s">
        <v>67</v>
      </c>
      <c r="AQ960" t="s">
        <v>68</v>
      </c>
      <c r="AR960" t="s">
        <v>69</v>
      </c>
      <c r="AS960" s="78"/>
      <c r="AT960" s="82" t="s">
        <v>4115</v>
      </c>
      <c r="AU960" s="78">
        <v>2026</v>
      </c>
      <c r="AV960" s="78">
        <v>4</v>
      </c>
      <c r="AW960" s="78" t="s">
        <v>71</v>
      </c>
      <c r="AX960" s="78">
        <v>0</v>
      </c>
      <c r="AY960" s="78">
        <v>0</v>
      </c>
      <c r="BT960" s="2" t="s">
        <v>71</v>
      </c>
      <c r="BU960" s="2">
        <v>0</v>
      </c>
      <c r="BV960" s="2">
        <v>0</v>
      </c>
    </row>
    <row r="961" spans="1:74" ht="15" customHeight="1" x14ac:dyDescent="0.25">
      <c r="A961" s="75">
        <v>5909527</v>
      </c>
      <c r="B961" t="s">
        <v>4278</v>
      </c>
      <c r="C961" t="s">
        <v>2998</v>
      </c>
      <c r="D961" t="s">
        <v>1555</v>
      </c>
      <c r="E961" t="s">
        <v>87</v>
      </c>
      <c r="F961" s="75">
        <v>129</v>
      </c>
      <c r="G961" s="75">
        <v>285597</v>
      </c>
      <c r="H961">
        <v>368.16</v>
      </c>
      <c r="I961" t="s">
        <v>55</v>
      </c>
      <c r="J961" s="75">
        <v>218791</v>
      </c>
      <c r="K961" t="s">
        <v>312</v>
      </c>
      <c r="L961" t="s">
        <v>313</v>
      </c>
      <c r="M961" s="81">
        <v>46120.09778935185</v>
      </c>
      <c r="N961" s="81">
        <v>46121.518101851849</v>
      </c>
      <c r="O961" t="s">
        <v>58</v>
      </c>
      <c r="P961" t="s">
        <v>59</v>
      </c>
      <c r="Q961" t="s">
        <v>90</v>
      </c>
      <c r="R961" t="s">
        <v>99</v>
      </c>
      <c r="S961" t="s">
        <v>1244</v>
      </c>
      <c r="U961" s="75">
        <v>225791</v>
      </c>
      <c r="V961" t="s">
        <v>4279</v>
      </c>
      <c r="X961" t="s">
        <v>62</v>
      </c>
      <c r="Y961" t="s">
        <v>63</v>
      </c>
      <c r="AA961" t="s">
        <v>64</v>
      </c>
      <c r="AB961">
        <v>34.016666000000001</v>
      </c>
      <c r="AC961">
        <v>29.383333</v>
      </c>
      <c r="AD961">
        <v>4.6333330000000004</v>
      </c>
      <c r="AE961">
        <v>0.4</v>
      </c>
      <c r="AF961">
        <v>0</v>
      </c>
      <c r="AG961">
        <v>4.233333</v>
      </c>
      <c r="AH961">
        <v>4.233333</v>
      </c>
      <c r="AI961">
        <v>3.95</v>
      </c>
      <c r="AJ961">
        <v>0.283333</v>
      </c>
      <c r="AK961">
        <v>0</v>
      </c>
      <c r="AL961" s="76">
        <v>44897.547465277778</v>
      </c>
      <c r="AM961" s="75">
        <v>1222</v>
      </c>
      <c r="AN961" t="s">
        <v>65</v>
      </c>
      <c r="AO961" t="s">
        <v>3000</v>
      </c>
      <c r="AP961" t="s">
        <v>67</v>
      </c>
      <c r="AQ961" t="s">
        <v>68</v>
      </c>
      <c r="AR961" t="s">
        <v>69</v>
      </c>
      <c r="AS961" s="79"/>
      <c r="AT961" s="82" t="s">
        <v>4115</v>
      </c>
      <c r="AU961" s="78">
        <v>2026</v>
      </c>
      <c r="AV961" s="78">
        <v>4</v>
      </c>
      <c r="AW961" s="78" t="s">
        <v>71</v>
      </c>
      <c r="AX961" s="78">
        <v>1</v>
      </c>
      <c r="AY961" s="78">
        <v>0</v>
      </c>
      <c r="BT961" s="3" t="s">
        <v>71</v>
      </c>
      <c r="BU961" s="3">
        <v>1</v>
      </c>
      <c r="BV961" s="3">
        <v>0</v>
      </c>
    </row>
    <row r="962" spans="1:74" ht="15" customHeight="1" x14ac:dyDescent="0.25">
      <c r="A962" s="75">
        <v>5907027</v>
      </c>
      <c r="B962" t="s">
        <v>4280</v>
      </c>
      <c r="C962" t="s">
        <v>2937</v>
      </c>
      <c r="D962" t="s">
        <v>2379</v>
      </c>
      <c r="E962" t="s">
        <v>87</v>
      </c>
      <c r="F962" s="75">
        <v>84</v>
      </c>
      <c r="G962" s="75">
        <v>98683</v>
      </c>
      <c r="H962">
        <v>2201.27</v>
      </c>
      <c r="I962" t="s">
        <v>114</v>
      </c>
      <c r="J962" s="75">
        <v>6971</v>
      </c>
      <c r="K962" t="s">
        <v>369</v>
      </c>
      <c r="L962" t="s">
        <v>370</v>
      </c>
      <c r="M962" s="81">
        <v>46118.63925925926</v>
      </c>
      <c r="N962" s="81">
        <v>46121.611527777779</v>
      </c>
      <c r="O962" t="s">
        <v>58</v>
      </c>
      <c r="P962" t="s">
        <v>59</v>
      </c>
      <c r="Q962" t="s">
        <v>90</v>
      </c>
      <c r="R962" t="s">
        <v>131</v>
      </c>
      <c r="S962" t="s">
        <v>1273</v>
      </c>
      <c r="U962" s="75">
        <v>224551</v>
      </c>
      <c r="V962" t="s">
        <v>4281</v>
      </c>
      <c r="W962" t="s">
        <v>4281</v>
      </c>
      <c r="X962" t="s">
        <v>62</v>
      </c>
      <c r="Y962" t="s">
        <v>63</v>
      </c>
      <c r="AA962" t="s">
        <v>416</v>
      </c>
      <c r="AB962">
        <v>71.183333000000005</v>
      </c>
      <c r="AC962">
        <v>46.866666000000002</v>
      </c>
      <c r="AD962">
        <v>24.316666999999999</v>
      </c>
      <c r="AE962">
        <v>0.31666699999999998</v>
      </c>
      <c r="AF962">
        <v>0</v>
      </c>
      <c r="AG962">
        <v>24</v>
      </c>
      <c r="AH962">
        <v>24</v>
      </c>
      <c r="AI962">
        <v>22.1</v>
      </c>
      <c r="AJ962">
        <v>1.9</v>
      </c>
      <c r="AK962">
        <v>0</v>
      </c>
      <c r="AL962" s="76">
        <v>43496</v>
      </c>
      <c r="AM962" s="75">
        <v>2622</v>
      </c>
      <c r="AN962" t="s">
        <v>65</v>
      </c>
      <c r="AO962" t="s">
        <v>2939</v>
      </c>
      <c r="AP962" t="s">
        <v>67</v>
      </c>
      <c r="AQ962" t="s">
        <v>68</v>
      </c>
      <c r="AR962" t="s">
        <v>69</v>
      </c>
      <c r="AS962" s="78"/>
      <c r="AT962" s="82" t="s">
        <v>4115</v>
      </c>
      <c r="AU962" s="78">
        <v>2026</v>
      </c>
      <c r="AV962" s="78">
        <v>4</v>
      </c>
      <c r="AW962" s="78" t="s">
        <v>71</v>
      </c>
      <c r="AX962" s="78">
        <v>0</v>
      </c>
      <c r="AY962" s="78">
        <v>0</v>
      </c>
      <c r="BT962" s="2" t="s">
        <v>71</v>
      </c>
      <c r="BU962" s="2">
        <v>0</v>
      </c>
      <c r="BV962" s="2">
        <v>0</v>
      </c>
    </row>
    <row r="963" spans="1:74" ht="15" customHeight="1" x14ac:dyDescent="0.25">
      <c r="A963" s="75">
        <v>5904481</v>
      </c>
      <c r="B963" t="s">
        <v>4282</v>
      </c>
      <c r="C963" t="s">
        <v>4283</v>
      </c>
      <c r="D963" t="s">
        <v>2379</v>
      </c>
      <c r="E963" t="s">
        <v>87</v>
      </c>
      <c r="F963" s="75">
        <v>58</v>
      </c>
      <c r="G963" s="75">
        <v>279943</v>
      </c>
      <c r="H963">
        <v>1254.08</v>
      </c>
      <c r="I963" t="s">
        <v>266</v>
      </c>
      <c r="J963" s="75">
        <v>49495</v>
      </c>
      <c r="K963" t="s">
        <v>460</v>
      </c>
      <c r="L963" t="s">
        <v>461</v>
      </c>
      <c r="M963" s="81">
        <v>46115.95171296296</v>
      </c>
      <c r="N963" s="81">
        <v>46121.624826388892</v>
      </c>
      <c r="O963" t="s">
        <v>58</v>
      </c>
      <c r="P963" t="s">
        <v>59</v>
      </c>
      <c r="Q963" t="s">
        <v>90</v>
      </c>
      <c r="R963" t="s">
        <v>131</v>
      </c>
      <c r="S963" t="s">
        <v>1273</v>
      </c>
      <c r="U963" s="75">
        <v>224739</v>
      </c>
      <c r="V963" t="s">
        <v>4284</v>
      </c>
      <c r="W963" t="s">
        <v>4285</v>
      </c>
      <c r="X963" t="s">
        <v>62</v>
      </c>
      <c r="Y963" t="s">
        <v>63</v>
      </c>
      <c r="AA963" t="s">
        <v>295</v>
      </c>
      <c r="AB963">
        <v>136.000001</v>
      </c>
      <c r="AC963">
        <v>82.016666999999998</v>
      </c>
      <c r="AD963">
        <v>53.983333999999999</v>
      </c>
      <c r="AE963">
        <v>3.35</v>
      </c>
      <c r="AF963">
        <v>0</v>
      </c>
      <c r="AG963">
        <v>50.633333999999998</v>
      </c>
      <c r="AH963">
        <v>50.633333999999998</v>
      </c>
      <c r="AI963">
        <v>48</v>
      </c>
      <c r="AJ963">
        <v>2.6333340000000001</v>
      </c>
      <c r="AK963">
        <v>0</v>
      </c>
      <c r="AL963" s="76">
        <v>44739</v>
      </c>
      <c r="AM963" s="75">
        <v>1376</v>
      </c>
      <c r="AN963" t="s">
        <v>65</v>
      </c>
      <c r="AO963" t="s">
        <v>4286</v>
      </c>
      <c r="AP963" t="s">
        <v>67</v>
      </c>
      <c r="AQ963" t="s">
        <v>68</v>
      </c>
      <c r="AR963" t="s">
        <v>69</v>
      </c>
      <c r="AS963" s="79"/>
      <c r="AT963" s="82" t="s">
        <v>4115</v>
      </c>
      <c r="AU963" s="78">
        <v>2026</v>
      </c>
      <c r="AV963" s="78">
        <v>4</v>
      </c>
      <c r="AW963" s="78" t="s">
        <v>71</v>
      </c>
      <c r="AX963" s="78">
        <v>0</v>
      </c>
      <c r="AY963" s="78">
        <v>1</v>
      </c>
      <c r="BT963" s="3" t="s">
        <v>71</v>
      </c>
      <c r="BU963" s="3">
        <v>0</v>
      </c>
      <c r="BV963" s="3">
        <v>1</v>
      </c>
    </row>
    <row r="964" spans="1:74" ht="15" customHeight="1" x14ac:dyDescent="0.25">
      <c r="A964" s="75">
        <v>5907297</v>
      </c>
      <c r="B964" t="s">
        <v>4287</v>
      </c>
      <c r="C964" t="s">
        <v>1133</v>
      </c>
      <c r="D964" t="s">
        <v>956</v>
      </c>
      <c r="E964" t="s">
        <v>54</v>
      </c>
      <c r="F964" s="75">
        <v>13</v>
      </c>
      <c r="G964" s="75">
        <v>295431</v>
      </c>
      <c r="H964">
        <v>400</v>
      </c>
      <c r="I964" t="s">
        <v>55</v>
      </c>
      <c r="J964" s="75">
        <v>218297</v>
      </c>
      <c r="K964" t="s">
        <v>258</v>
      </c>
      <c r="L964" t="s">
        <v>259</v>
      </c>
      <c r="M964" s="81">
        <v>46118.731006944443</v>
      </c>
      <c r="N964" s="81">
        <v>46121.684675925928</v>
      </c>
      <c r="O964" t="s">
        <v>58</v>
      </c>
      <c r="P964" t="s">
        <v>59</v>
      </c>
      <c r="Q964" t="s">
        <v>77</v>
      </c>
      <c r="R964" t="s">
        <v>60</v>
      </c>
      <c r="S964" t="s">
        <v>583</v>
      </c>
      <c r="U964" s="75">
        <v>226811</v>
      </c>
      <c r="V964" t="s">
        <v>4288</v>
      </c>
      <c r="W964" t="s">
        <v>4289</v>
      </c>
      <c r="X964" t="s">
        <v>62</v>
      </c>
      <c r="Y964" t="s">
        <v>63</v>
      </c>
      <c r="AA964" t="s">
        <v>295</v>
      </c>
      <c r="AB964">
        <v>70.733334999999997</v>
      </c>
      <c r="AC964">
        <v>42.566667000000002</v>
      </c>
      <c r="AD964">
        <v>28.166668000000001</v>
      </c>
      <c r="AE964">
        <v>0.25</v>
      </c>
      <c r="AF964">
        <v>0</v>
      </c>
      <c r="AG964">
        <v>27.916668000000001</v>
      </c>
      <c r="AH964">
        <v>27.916668000000001</v>
      </c>
      <c r="AI964">
        <v>24.650001</v>
      </c>
      <c r="AJ964">
        <v>3.266667</v>
      </c>
      <c r="AK964">
        <v>0</v>
      </c>
      <c r="AL964" s="76">
        <v>45243.456620370373</v>
      </c>
      <c r="AM964" s="75">
        <v>875</v>
      </c>
      <c r="AN964" t="s">
        <v>65</v>
      </c>
      <c r="AO964" t="s">
        <v>4290</v>
      </c>
      <c r="AP964" t="s">
        <v>67</v>
      </c>
      <c r="AQ964" t="s">
        <v>68</v>
      </c>
      <c r="AR964" t="s">
        <v>69</v>
      </c>
      <c r="AS964" s="78"/>
      <c r="AT964" s="82" t="s">
        <v>4115</v>
      </c>
      <c r="AU964" s="78">
        <v>2026</v>
      </c>
      <c r="AV964" s="78">
        <v>4</v>
      </c>
      <c r="AW964" s="78" t="s">
        <v>71</v>
      </c>
      <c r="AX964" s="78">
        <v>0</v>
      </c>
      <c r="AY964" s="78">
        <v>1</v>
      </c>
      <c r="BT964" s="2" t="s">
        <v>71</v>
      </c>
      <c r="BU964" s="2">
        <v>0</v>
      </c>
      <c r="BV964" s="2">
        <v>1</v>
      </c>
    </row>
    <row r="965" spans="1:74" ht="15" customHeight="1" x14ac:dyDescent="0.25">
      <c r="A965" s="75">
        <v>5905547</v>
      </c>
      <c r="B965" t="s">
        <v>4291</v>
      </c>
      <c r="C965" t="s">
        <v>1133</v>
      </c>
      <c r="D965" t="s">
        <v>1555</v>
      </c>
      <c r="E965" t="s">
        <v>54</v>
      </c>
      <c r="F965" s="75">
        <v>17</v>
      </c>
      <c r="G965" s="75">
        <v>295445</v>
      </c>
      <c r="H965">
        <v>200</v>
      </c>
      <c r="I965" t="s">
        <v>55</v>
      </c>
      <c r="J965" s="75">
        <v>218297</v>
      </c>
      <c r="K965" t="s">
        <v>258</v>
      </c>
      <c r="L965" t="s">
        <v>259</v>
      </c>
      <c r="M965" s="81">
        <v>46117.696481481478</v>
      </c>
      <c r="N965" s="81">
        <v>46121.721574074072</v>
      </c>
      <c r="O965" t="s">
        <v>58</v>
      </c>
      <c r="P965" t="s">
        <v>59</v>
      </c>
      <c r="Q965" t="s">
        <v>77</v>
      </c>
      <c r="R965" t="s">
        <v>131</v>
      </c>
      <c r="S965" t="s">
        <v>1695</v>
      </c>
      <c r="U965" s="75">
        <v>224747</v>
      </c>
      <c r="V965" t="s">
        <v>4292</v>
      </c>
      <c r="W965" t="s">
        <v>4293</v>
      </c>
      <c r="X965" t="s">
        <v>62</v>
      </c>
      <c r="Y965" t="s">
        <v>2629</v>
      </c>
      <c r="AA965" t="s">
        <v>295</v>
      </c>
      <c r="AB965">
        <v>96.466667000000001</v>
      </c>
      <c r="AC965">
        <v>57.350000999999999</v>
      </c>
      <c r="AD965">
        <v>39.116666000000002</v>
      </c>
      <c r="AE965">
        <v>0.2</v>
      </c>
      <c r="AF965">
        <v>0</v>
      </c>
      <c r="AG965">
        <v>38.916665999999999</v>
      </c>
      <c r="AH965">
        <v>38.916665999999999</v>
      </c>
      <c r="AI965">
        <v>36.883333999999998</v>
      </c>
      <c r="AJ965">
        <v>2.0333320000000001</v>
      </c>
      <c r="AK965">
        <v>0</v>
      </c>
      <c r="AL965" s="76">
        <v>45248.43204861111</v>
      </c>
      <c r="AM965" s="75">
        <v>869</v>
      </c>
      <c r="AN965" t="s">
        <v>65</v>
      </c>
      <c r="AO965" t="s">
        <v>4294</v>
      </c>
      <c r="AP965" t="s">
        <v>67</v>
      </c>
      <c r="AQ965" t="s">
        <v>68</v>
      </c>
      <c r="AR965" t="s">
        <v>69</v>
      </c>
      <c r="AS965" s="79"/>
      <c r="AT965" s="82" t="s">
        <v>4115</v>
      </c>
      <c r="AU965" s="78">
        <v>2026</v>
      </c>
      <c r="AV965" s="78">
        <v>4</v>
      </c>
      <c r="AW965" s="78" t="s">
        <v>71</v>
      </c>
      <c r="AX965" s="78">
        <v>0</v>
      </c>
      <c r="AY965" s="78">
        <v>1</v>
      </c>
      <c r="BT965" s="3" t="s">
        <v>71</v>
      </c>
      <c r="BU965" s="3">
        <v>0</v>
      </c>
      <c r="BV965" s="3">
        <v>1</v>
      </c>
    </row>
    <row r="966" spans="1:74" ht="15" customHeight="1" x14ac:dyDescent="0.25">
      <c r="A966" s="75">
        <v>5911885</v>
      </c>
      <c r="B966" t="s">
        <v>4295</v>
      </c>
      <c r="C966" t="s">
        <v>4296</v>
      </c>
      <c r="D966" t="s">
        <v>527</v>
      </c>
      <c r="E966" t="s">
        <v>87</v>
      </c>
      <c r="F966" s="75">
        <v>73</v>
      </c>
      <c r="G966" s="75">
        <v>291117</v>
      </c>
      <c r="H966">
        <v>623.5</v>
      </c>
      <c r="I966" t="s">
        <v>55</v>
      </c>
      <c r="J966" s="75">
        <v>203659</v>
      </c>
      <c r="K966" t="s">
        <v>1090</v>
      </c>
      <c r="L966" t="s">
        <v>1091</v>
      </c>
      <c r="M966" s="81">
        <v>46121.535057870373</v>
      </c>
      <c r="N966" s="81">
        <v>46122.32503472222</v>
      </c>
      <c r="O966" t="s">
        <v>624</v>
      </c>
      <c r="P966" t="s">
        <v>59</v>
      </c>
      <c r="Q966" t="s">
        <v>90</v>
      </c>
      <c r="R966" t="s">
        <v>99</v>
      </c>
      <c r="S966" t="s">
        <v>1244</v>
      </c>
      <c r="U966" s="75">
        <v>227445</v>
      </c>
      <c r="V966" t="s">
        <v>4297</v>
      </c>
      <c r="X966" t="s">
        <v>62</v>
      </c>
      <c r="Y966" t="s">
        <v>134</v>
      </c>
      <c r="AA966" t="s">
        <v>64</v>
      </c>
      <c r="AB966">
        <v>18.899999000000001</v>
      </c>
      <c r="AC966">
        <v>14.283333000000001</v>
      </c>
      <c r="AD966">
        <v>4.6166660000000004</v>
      </c>
      <c r="AE966">
        <v>0.13333300000000001</v>
      </c>
      <c r="AF966">
        <v>0</v>
      </c>
      <c r="AG966">
        <v>4.483333</v>
      </c>
      <c r="AH966">
        <v>4.483333</v>
      </c>
      <c r="AI966">
        <v>4.4333330000000002</v>
      </c>
      <c r="AJ966">
        <v>0.05</v>
      </c>
      <c r="AK966">
        <v>0</v>
      </c>
      <c r="AL966" s="76">
        <v>45338</v>
      </c>
      <c r="AM966" s="75">
        <v>783</v>
      </c>
      <c r="AN966" t="s">
        <v>65</v>
      </c>
      <c r="AO966" t="s">
        <v>4298</v>
      </c>
      <c r="AP966" t="s">
        <v>67</v>
      </c>
      <c r="AQ966" t="s">
        <v>68</v>
      </c>
      <c r="AR966" t="s">
        <v>69</v>
      </c>
      <c r="AS966" s="78"/>
      <c r="AT966" s="82" t="s">
        <v>4115</v>
      </c>
      <c r="AU966" s="78">
        <v>2026</v>
      </c>
      <c r="AV966" s="78">
        <v>4</v>
      </c>
      <c r="AW966" s="78" t="s">
        <v>137</v>
      </c>
      <c r="AX966" s="78">
        <v>1</v>
      </c>
      <c r="AY966" s="78">
        <v>0</v>
      </c>
      <c r="BT966" s="2" t="s">
        <v>137</v>
      </c>
      <c r="BU966" s="2">
        <v>1</v>
      </c>
      <c r="BV966" s="2">
        <v>0</v>
      </c>
    </row>
    <row r="967" spans="1:74" ht="15" customHeight="1" x14ac:dyDescent="0.25">
      <c r="A967" s="75">
        <v>5909379</v>
      </c>
      <c r="B967" t="s">
        <v>4299</v>
      </c>
      <c r="C967" t="s">
        <v>4300</v>
      </c>
      <c r="D967" t="s">
        <v>527</v>
      </c>
      <c r="E967" t="s">
        <v>54</v>
      </c>
      <c r="F967" s="75">
        <v>1</v>
      </c>
      <c r="G967" s="75">
        <v>252091</v>
      </c>
      <c r="H967">
        <v>1051.3</v>
      </c>
      <c r="I967" t="s">
        <v>114</v>
      </c>
      <c r="J967" s="75">
        <v>204697</v>
      </c>
      <c r="K967" t="s">
        <v>4301</v>
      </c>
      <c r="L967" t="s">
        <v>4302</v>
      </c>
      <c r="M967" s="81">
        <v>46119.803043981483</v>
      </c>
      <c r="N967" s="81">
        <v>46122.356921296298</v>
      </c>
      <c r="O967" t="s">
        <v>58</v>
      </c>
      <c r="P967" t="s">
        <v>59</v>
      </c>
      <c r="Q967" t="s">
        <v>341</v>
      </c>
      <c r="R967" t="s">
        <v>60</v>
      </c>
      <c r="S967" t="s">
        <v>583</v>
      </c>
      <c r="U967" s="75">
        <v>226827</v>
      </c>
      <c r="V967" t="s">
        <v>4303</v>
      </c>
      <c r="X967" t="s">
        <v>62</v>
      </c>
      <c r="Y967" t="s">
        <v>63</v>
      </c>
      <c r="AA967" t="s">
        <v>101</v>
      </c>
      <c r="AB967">
        <v>61.166666999999997</v>
      </c>
      <c r="AC967">
        <v>50.116667</v>
      </c>
      <c r="AD967">
        <v>11.05</v>
      </c>
      <c r="AE967">
        <v>0.45</v>
      </c>
      <c r="AF967">
        <v>0</v>
      </c>
      <c r="AG967">
        <v>10.6</v>
      </c>
      <c r="AH967">
        <v>10.6</v>
      </c>
      <c r="AI967">
        <v>9.966666</v>
      </c>
      <c r="AJ967">
        <v>0.63333399999999995</v>
      </c>
      <c r="AK967">
        <v>0</v>
      </c>
      <c r="AL967" s="76">
        <v>44725</v>
      </c>
      <c r="AM967" s="75">
        <v>1394</v>
      </c>
      <c r="AN967" t="s">
        <v>65</v>
      </c>
      <c r="AO967" t="s">
        <v>4304</v>
      </c>
      <c r="AP967" t="s">
        <v>67</v>
      </c>
      <c r="AQ967" t="s">
        <v>68</v>
      </c>
      <c r="AR967" t="s">
        <v>69</v>
      </c>
      <c r="AS967" s="79"/>
      <c r="AT967" s="82" t="s">
        <v>4115</v>
      </c>
      <c r="AU967" s="78">
        <v>2026</v>
      </c>
      <c r="AV967" s="78">
        <v>4</v>
      </c>
      <c r="AW967" s="78" t="s">
        <v>71</v>
      </c>
      <c r="AX967" s="78">
        <v>0</v>
      </c>
      <c r="AY967" s="78">
        <v>0</v>
      </c>
      <c r="BT967" s="3" t="s">
        <v>71</v>
      </c>
      <c r="BU967" s="3">
        <v>0</v>
      </c>
      <c r="BV967" s="3">
        <v>0</v>
      </c>
    </row>
    <row r="968" spans="1:74" ht="15" customHeight="1" x14ac:dyDescent="0.25">
      <c r="A968" s="75">
        <v>5909569</v>
      </c>
      <c r="B968" t="s">
        <v>4305</v>
      </c>
      <c r="C968" t="s">
        <v>4306</v>
      </c>
      <c r="D968" t="s">
        <v>527</v>
      </c>
      <c r="E968" t="s">
        <v>87</v>
      </c>
      <c r="F968" s="75">
        <v>415</v>
      </c>
      <c r="G968" s="75">
        <v>289239</v>
      </c>
      <c r="H968">
        <v>368.16</v>
      </c>
      <c r="I968" t="s">
        <v>55</v>
      </c>
      <c r="J968" s="75">
        <v>218791</v>
      </c>
      <c r="K968" t="s">
        <v>312</v>
      </c>
      <c r="L968" t="s">
        <v>313</v>
      </c>
      <c r="M968" s="81">
        <v>46120.299143518518</v>
      </c>
      <c r="N968" s="81">
        <v>46122.451620370368</v>
      </c>
      <c r="O968" t="s">
        <v>58</v>
      </c>
      <c r="P968" t="s">
        <v>59</v>
      </c>
      <c r="Q968" t="s">
        <v>90</v>
      </c>
      <c r="R968" t="s">
        <v>60</v>
      </c>
      <c r="S968" t="s">
        <v>583</v>
      </c>
      <c r="U968" s="75">
        <v>227737</v>
      </c>
      <c r="V968" t="s">
        <v>4307</v>
      </c>
      <c r="W968" t="s">
        <v>4308</v>
      </c>
      <c r="X968" t="s">
        <v>62</v>
      </c>
      <c r="Y968" t="s">
        <v>63</v>
      </c>
      <c r="AA968" t="s">
        <v>416</v>
      </c>
      <c r="AB968">
        <v>51.583331999999999</v>
      </c>
      <c r="AC968">
        <v>30.533332999999999</v>
      </c>
      <c r="AD968">
        <v>21.049999</v>
      </c>
      <c r="AE968">
        <v>0.15</v>
      </c>
      <c r="AF968">
        <v>0</v>
      </c>
      <c r="AG968">
        <v>20.899999000000001</v>
      </c>
      <c r="AH968">
        <v>20.899999000000001</v>
      </c>
      <c r="AI968">
        <v>18.816666000000001</v>
      </c>
      <c r="AJ968">
        <v>2.0833330000000001</v>
      </c>
      <c r="AK968">
        <v>0</v>
      </c>
      <c r="AL968" s="76">
        <v>44993.519386574073</v>
      </c>
      <c r="AM968" s="75">
        <v>1126</v>
      </c>
      <c r="AN968" t="s">
        <v>65</v>
      </c>
      <c r="AO968" t="s">
        <v>4309</v>
      </c>
      <c r="AP968" t="s">
        <v>67</v>
      </c>
      <c r="AQ968" t="s">
        <v>68</v>
      </c>
      <c r="AR968" t="s">
        <v>69</v>
      </c>
      <c r="AS968" s="78"/>
      <c r="AT968" s="82" t="s">
        <v>4115</v>
      </c>
      <c r="AU968" s="78">
        <v>2026</v>
      </c>
      <c r="AV968" s="78">
        <v>4</v>
      </c>
      <c r="AW968" s="78" t="s">
        <v>71</v>
      </c>
      <c r="AX968" s="78">
        <v>0</v>
      </c>
      <c r="AY968" s="78">
        <v>0</v>
      </c>
      <c r="BT968" s="2" t="s">
        <v>71</v>
      </c>
      <c r="BU968" s="2">
        <v>0</v>
      </c>
      <c r="BV968" s="2">
        <v>0</v>
      </c>
    </row>
    <row r="969" spans="1:74" ht="15" customHeight="1" x14ac:dyDescent="0.25">
      <c r="A969" s="75">
        <v>5910207</v>
      </c>
      <c r="B969" t="s">
        <v>4310</v>
      </c>
      <c r="C969" t="s">
        <v>4311</v>
      </c>
      <c r="D969" t="s">
        <v>1555</v>
      </c>
      <c r="E969" t="s">
        <v>87</v>
      </c>
      <c r="F969" s="75">
        <v>300</v>
      </c>
      <c r="G969" s="75">
        <v>286483</v>
      </c>
      <c r="H969">
        <v>364.96</v>
      </c>
      <c r="I969" t="s">
        <v>55</v>
      </c>
      <c r="J969" s="75">
        <v>218787</v>
      </c>
      <c r="K969" t="s">
        <v>96</v>
      </c>
      <c r="L969" t="s">
        <v>97</v>
      </c>
      <c r="M969" s="81">
        <v>46120.500740740739</v>
      </c>
      <c r="N969" s="81">
        <v>46122.488993055558</v>
      </c>
      <c r="O969" t="s">
        <v>554</v>
      </c>
      <c r="P969" t="s">
        <v>59</v>
      </c>
      <c r="Q969" t="s">
        <v>90</v>
      </c>
      <c r="R969" t="s">
        <v>60</v>
      </c>
      <c r="S969" t="s">
        <v>583</v>
      </c>
      <c r="U969" s="75">
        <v>227343</v>
      </c>
      <c r="V969" t="s">
        <v>4312</v>
      </c>
      <c r="W969" t="s">
        <v>4313</v>
      </c>
      <c r="X969" t="s">
        <v>62</v>
      </c>
      <c r="Y969" t="s">
        <v>63</v>
      </c>
      <c r="AA969" t="s">
        <v>416</v>
      </c>
      <c r="AB969">
        <v>47.633333999999998</v>
      </c>
      <c r="AC969">
        <v>28.5</v>
      </c>
      <c r="AD969">
        <v>19.133334000000001</v>
      </c>
      <c r="AE969">
        <v>0.55000000000000004</v>
      </c>
      <c r="AF969">
        <v>0</v>
      </c>
      <c r="AG969">
        <v>18.583334000000001</v>
      </c>
      <c r="AH969">
        <v>18.583334000000001</v>
      </c>
      <c r="AI969">
        <v>15.833334000000001</v>
      </c>
      <c r="AJ969">
        <v>2.75</v>
      </c>
      <c r="AK969">
        <v>0</v>
      </c>
      <c r="AL969" s="76">
        <v>44985</v>
      </c>
      <c r="AM969" s="75">
        <v>1135</v>
      </c>
      <c r="AN969" t="s">
        <v>65</v>
      </c>
      <c r="AO969" t="s">
        <v>4314</v>
      </c>
      <c r="AP969" t="s">
        <v>67</v>
      </c>
      <c r="AQ969" t="s">
        <v>68</v>
      </c>
      <c r="AR969" t="s">
        <v>69</v>
      </c>
      <c r="AS969" s="79"/>
      <c r="AT969" s="82" t="s">
        <v>4115</v>
      </c>
      <c r="AU969" s="78">
        <v>2026</v>
      </c>
      <c r="AV969" s="78">
        <v>4</v>
      </c>
      <c r="AW969" s="78" t="s">
        <v>71</v>
      </c>
      <c r="AX969" s="78">
        <v>0</v>
      </c>
      <c r="AY969" s="78">
        <v>0</v>
      </c>
      <c r="BT969" s="3" t="s">
        <v>71</v>
      </c>
      <c r="BU969" s="3">
        <v>0</v>
      </c>
      <c r="BV969" s="3">
        <v>0</v>
      </c>
    </row>
    <row r="970" spans="1:74" ht="15" customHeight="1" x14ac:dyDescent="0.25">
      <c r="A970" s="75">
        <v>5898373</v>
      </c>
      <c r="B970" t="s">
        <v>4315</v>
      </c>
      <c r="C970" t="s">
        <v>3428</v>
      </c>
      <c r="D970" t="s">
        <v>1555</v>
      </c>
      <c r="E970" t="s">
        <v>87</v>
      </c>
      <c r="F970" s="75">
        <v>323</v>
      </c>
      <c r="G970" s="75">
        <v>286595</v>
      </c>
      <c r="H970">
        <v>350</v>
      </c>
      <c r="I970" t="s">
        <v>55</v>
      </c>
      <c r="J970" s="75">
        <v>218787</v>
      </c>
      <c r="K970" t="s">
        <v>96</v>
      </c>
      <c r="L970" t="s">
        <v>97</v>
      </c>
      <c r="M970" s="81">
        <v>46111.722986111112</v>
      </c>
      <c r="N970" s="81">
        <v>46122.489537037043</v>
      </c>
      <c r="O970" t="s">
        <v>554</v>
      </c>
      <c r="P970" t="s">
        <v>59</v>
      </c>
      <c r="Q970" t="s">
        <v>90</v>
      </c>
      <c r="R970" t="s">
        <v>60</v>
      </c>
      <c r="S970" t="s">
        <v>583</v>
      </c>
      <c r="U970" s="75">
        <v>227717</v>
      </c>
      <c r="V970" t="s">
        <v>4316</v>
      </c>
      <c r="W970" t="s">
        <v>4317</v>
      </c>
      <c r="X970" t="s">
        <v>62</v>
      </c>
      <c r="Y970" t="s">
        <v>63</v>
      </c>
      <c r="Z970" t="s">
        <v>4089</v>
      </c>
      <c r="AA970" t="s">
        <v>295</v>
      </c>
      <c r="AB970">
        <v>258.13333</v>
      </c>
      <c r="AC970">
        <v>177.16666599999999</v>
      </c>
      <c r="AD970">
        <v>80.966663999999994</v>
      </c>
      <c r="AE970">
        <v>16.166667</v>
      </c>
      <c r="AF970">
        <v>15.1</v>
      </c>
      <c r="AG970">
        <v>64.799997000000005</v>
      </c>
      <c r="AH970">
        <v>79.899996999999999</v>
      </c>
      <c r="AI970">
        <v>61.383332000000003</v>
      </c>
      <c r="AJ970">
        <v>3.4166650000000001</v>
      </c>
      <c r="AK970">
        <v>0</v>
      </c>
      <c r="AL970" s="76">
        <v>44921.468854166669</v>
      </c>
      <c r="AM970" s="75">
        <v>1190</v>
      </c>
      <c r="AN970" t="s">
        <v>65</v>
      </c>
      <c r="AO970" t="s">
        <v>3430</v>
      </c>
      <c r="AP970" t="s">
        <v>67</v>
      </c>
      <c r="AQ970" t="s">
        <v>68</v>
      </c>
      <c r="AR970" t="s">
        <v>69</v>
      </c>
      <c r="AS970" s="78"/>
      <c r="AT970" s="82" t="s">
        <v>4115</v>
      </c>
      <c r="AU970" s="78">
        <v>2026</v>
      </c>
      <c r="AV970" s="78">
        <v>4</v>
      </c>
      <c r="AW970" s="78" t="s">
        <v>71</v>
      </c>
      <c r="AX970" s="78">
        <v>0</v>
      </c>
      <c r="AY970" s="78">
        <v>1</v>
      </c>
      <c r="BT970" s="2" t="s">
        <v>71</v>
      </c>
      <c r="BU970" s="2">
        <v>0</v>
      </c>
      <c r="BV970" s="2">
        <v>1</v>
      </c>
    </row>
    <row r="971" spans="1:74" ht="15" customHeight="1" x14ac:dyDescent="0.25">
      <c r="A971" s="75">
        <v>5898375</v>
      </c>
      <c r="B971" t="s">
        <v>4318</v>
      </c>
      <c r="C971" t="s">
        <v>3393</v>
      </c>
      <c r="D971" t="s">
        <v>1555</v>
      </c>
      <c r="E971" t="s">
        <v>87</v>
      </c>
      <c r="F971" s="75">
        <v>339</v>
      </c>
      <c r="G971" s="75">
        <v>286683</v>
      </c>
      <c r="H971">
        <v>364.96</v>
      </c>
      <c r="I971" t="s">
        <v>55</v>
      </c>
      <c r="J971" s="75">
        <v>218787</v>
      </c>
      <c r="K971" t="s">
        <v>96</v>
      </c>
      <c r="L971" t="s">
        <v>97</v>
      </c>
      <c r="M971" s="81">
        <v>46111.723009259258</v>
      </c>
      <c r="N971" s="81">
        <v>46122.504618055558</v>
      </c>
      <c r="O971" t="s">
        <v>58</v>
      </c>
      <c r="P971" t="s">
        <v>59</v>
      </c>
      <c r="Q971" t="s">
        <v>90</v>
      </c>
      <c r="R971" t="s">
        <v>99</v>
      </c>
      <c r="S971" t="s">
        <v>1244</v>
      </c>
      <c r="U971" s="75">
        <v>226797</v>
      </c>
      <c r="V971" t="s">
        <v>4319</v>
      </c>
      <c r="X971" t="s">
        <v>62</v>
      </c>
      <c r="Y971" t="s">
        <v>63</v>
      </c>
      <c r="Z971" t="s">
        <v>4089</v>
      </c>
      <c r="AA971" t="s">
        <v>295</v>
      </c>
      <c r="AB971">
        <v>258.53333300000003</v>
      </c>
      <c r="AC971">
        <v>175.66666499999999</v>
      </c>
      <c r="AD971">
        <v>82.866668000000004</v>
      </c>
      <c r="AE971">
        <v>16.183333999999999</v>
      </c>
      <c r="AF971">
        <v>15.066667000000001</v>
      </c>
      <c r="AG971">
        <v>66.683334000000002</v>
      </c>
      <c r="AH971">
        <v>81.750000999999997</v>
      </c>
      <c r="AI971">
        <v>62.783334000000004</v>
      </c>
      <c r="AJ971">
        <v>3.9</v>
      </c>
      <c r="AK971">
        <v>0</v>
      </c>
      <c r="AL971" s="76">
        <v>44921</v>
      </c>
      <c r="AM971" s="75">
        <v>1190</v>
      </c>
      <c r="AN971" t="s">
        <v>65</v>
      </c>
      <c r="AO971" t="s">
        <v>3395</v>
      </c>
      <c r="AP971" t="s">
        <v>67</v>
      </c>
      <c r="AQ971" t="s">
        <v>68</v>
      </c>
      <c r="AR971" t="s">
        <v>69</v>
      </c>
      <c r="AS971" s="79"/>
      <c r="AT971" s="82" t="s">
        <v>4115</v>
      </c>
      <c r="AU971" s="78">
        <v>2026</v>
      </c>
      <c r="AV971" s="78">
        <v>4</v>
      </c>
      <c r="AW971" s="78" t="s">
        <v>71</v>
      </c>
      <c r="AX971" s="78">
        <v>0</v>
      </c>
      <c r="AY971" s="78">
        <v>1</v>
      </c>
      <c r="BT971" s="3" t="s">
        <v>71</v>
      </c>
      <c r="BU971" s="3">
        <v>0</v>
      </c>
      <c r="BV971" s="3">
        <v>1</v>
      </c>
    </row>
    <row r="972" spans="1:74" ht="15" customHeight="1" x14ac:dyDescent="0.25">
      <c r="A972" s="75">
        <v>5902699</v>
      </c>
      <c r="B972" t="s">
        <v>4320</v>
      </c>
      <c r="C972" t="s">
        <v>4321</v>
      </c>
      <c r="D972" t="s">
        <v>1555</v>
      </c>
      <c r="E972" t="s">
        <v>87</v>
      </c>
      <c r="F972" s="75">
        <v>268</v>
      </c>
      <c r="G972" s="75">
        <v>286381</v>
      </c>
      <c r="H972">
        <v>364.96</v>
      </c>
      <c r="I972" t="s">
        <v>55</v>
      </c>
      <c r="J972" s="75">
        <v>218787</v>
      </c>
      <c r="K972" t="s">
        <v>96</v>
      </c>
      <c r="L972" t="s">
        <v>97</v>
      </c>
      <c r="M972" s="81">
        <v>46114.396585648137</v>
      </c>
      <c r="N972" s="81">
        <v>46122.506377314807</v>
      </c>
      <c r="O972" t="s">
        <v>58</v>
      </c>
      <c r="P972" t="s">
        <v>59</v>
      </c>
      <c r="Q972" t="s">
        <v>90</v>
      </c>
      <c r="R972" t="s">
        <v>60</v>
      </c>
      <c r="S972" t="s">
        <v>583</v>
      </c>
      <c r="U972" s="75">
        <v>226801</v>
      </c>
      <c r="V972" t="s">
        <v>4322</v>
      </c>
      <c r="W972" t="s">
        <v>4323</v>
      </c>
      <c r="X972" t="s">
        <v>62</v>
      </c>
      <c r="Y972" t="s">
        <v>63</v>
      </c>
      <c r="AA972" t="s">
        <v>295</v>
      </c>
      <c r="AB972">
        <v>194.400002</v>
      </c>
      <c r="AC972">
        <v>152.150001</v>
      </c>
      <c r="AD972">
        <v>42.250000999999997</v>
      </c>
      <c r="AE972">
        <v>0.2</v>
      </c>
      <c r="AF972">
        <v>0</v>
      </c>
      <c r="AG972">
        <v>42.050001000000002</v>
      </c>
      <c r="AH972">
        <v>42.050001000000002</v>
      </c>
      <c r="AI972">
        <v>40.233333999999999</v>
      </c>
      <c r="AJ972">
        <v>1.816667</v>
      </c>
      <c r="AK972">
        <v>0</v>
      </c>
      <c r="AL972" s="76">
        <v>44894</v>
      </c>
      <c r="AM972" s="75">
        <v>1220</v>
      </c>
      <c r="AN972" t="s">
        <v>65</v>
      </c>
      <c r="AO972" t="s">
        <v>4324</v>
      </c>
      <c r="AP972" t="s">
        <v>67</v>
      </c>
      <c r="AQ972" t="s">
        <v>68</v>
      </c>
      <c r="AR972" t="s">
        <v>69</v>
      </c>
      <c r="AS972" s="78"/>
      <c r="AT972" s="82" t="s">
        <v>4115</v>
      </c>
      <c r="AU972" s="78">
        <v>2026</v>
      </c>
      <c r="AV972" s="78">
        <v>4</v>
      </c>
      <c r="AW972" s="78" t="s">
        <v>71</v>
      </c>
      <c r="AX972" s="78">
        <v>0</v>
      </c>
      <c r="AY972" s="78">
        <v>1</v>
      </c>
      <c r="BT972" s="2" t="s">
        <v>71</v>
      </c>
      <c r="BU972" s="2">
        <v>0</v>
      </c>
      <c r="BV972" s="2">
        <v>1</v>
      </c>
    </row>
    <row r="973" spans="1:74" ht="15" customHeight="1" x14ac:dyDescent="0.25">
      <c r="A973" s="75">
        <v>5907407</v>
      </c>
      <c r="B973" t="s">
        <v>4325</v>
      </c>
      <c r="C973" t="s">
        <v>1636</v>
      </c>
      <c r="D973" t="s">
        <v>1555</v>
      </c>
      <c r="E973" t="s">
        <v>87</v>
      </c>
      <c r="F973" s="75">
        <v>157</v>
      </c>
      <c r="G973" s="75">
        <v>285773</v>
      </c>
      <c r="H973">
        <v>398.82</v>
      </c>
      <c r="I973" t="s">
        <v>55</v>
      </c>
      <c r="J973" s="75">
        <v>216233</v>
      </c>
      <c r="K973" t="s">
        <v>88</v>
      </c>
      <c r="L973" t="s">
        <v>89</v>
      </c>
      <c r="M973" s="81">
        <v>46118.799988425933</v>
      </c>
      <c r="N973" s="81">
        <v>46122.514201388891</v>
      </c>
      <c r="O973" t="s">
        <v>58</v>
      </c>
      <c r="P973" t="s">
        <v>59</v>
      </c>
      <c r="Q973" t="s">
        <v>90</v>
      </c>
      <c r="R973" t="s">
        <v>99</v>
      </c>
      <c r="S973" t="s">
        <v>1244</v>
      </c>
      <c r="U973" s="75">
        <v>227629</v>
      </c>
      <c r="V973" t="s">
        <v>4326</v>
      </c>
      <c r="X973" t="s">
        <v>62</v>
      </c>
      <c r="Y973" t="s">
        <v>63</v>
      </c>
      <c r="AA973" t="s">
        <v>81</v>
      </c>
      <c r="AB973">
        <v>89.05</v>
      </c>
      <c r="AC973">
        <v>22.35</v>
      </c>
      <c r="AD973">
        <v>66.7</v>
      </c>
      <c r="AE973">
        <v>62.833334000000001</v>
      </c>
      <c r="AF973">
        <v>61.25</v>
      </c>
      <c r="AG973">
        <v>3.8666659999999999</v>
      </c>
      <c r="AH973">
        <v>65.116665999999995</v>
      </c>
      <c r="AI973">
        <v>3.4333330000000002</v>
      </c>
      <c r="AJ973">
        <v>0.43333300000000002</v>
      </c>
      <c r="AK973">
        <v>0</v>
      </c>
      <c r="AL973" s="76">
        <v>44914</v>
      </c>
      <c r="AM973" s="75">
        <v>1204</v>
      </c>
      <c r="AN973" t="s">
        <v>65</v>
      </c>
      <c r="AO973" t="s">
        <v>1238</v>
      </c>
      <c r="AP973" t="s">
        <v>67</v>
      </c>
      <c r="AQ973" t="s">
        <v>68</v>
      </c>
      <c r="AR973" t="s">
        <v>69</v>
      </c>
      <c r="AS973" s="79"/>
      <c r="AT973" s="82" t="s">
        <v>4115</v>
      </c>
      <c r="AU973" s="78">
        <v>2026</v>
      </c>
      <c r="AV973" s="78">
        <v>4</v>
      </c>
      <c r="AW973" s="78" t="s">
        <v>71</v>
      </c>
      <c r="AX973" s="78">
        <v>1</v>
      </c>
      <c r="AY973" s="78">
        <v>0</v>
      </c>
      <c r="BT973" s="3" t="s">
        <v>71</v>
      </c>
      <c r="BU973" s="3">
        <v>1</v>
      </c>
      <c r="BV973" s="3">
        <v>0</v>
      </c>
    </row>
    <row r="974" spans="1:74" ht="15" customHeight="1" x14ac:dyDescent="0.25">
      <c r="A974" s="75">
        <v>5907435</v>
      </c>
      <c r="B974" t="s">
        <v>4327</v>
      </c>
      <c r="C974" t="s">
        <v>1247</v>
      </c>
      <c r="D974" t="s">
        <v>1555</v>
      </c>
      <c r="E974" t="s">
        <v>87</v>
      </c>
      <c r="F974" s="75">
        <v>336</v>
      </c>
      <c r="G974" s="75">
        <v>286677</v>
      </c>
      <c r="H974">
        <v>364.96</v>
      </c>
      <c r="I974" t="s">
        <v>55</v>
      </c>
      <c r="J974" s="75">
        <v>218787</v>
      </c>
      <c r="K974" t="s">
        <v>96</v>
      </c>
      <c r="L974" t="s">
        <v>97</v>
      </c>
      <c r="M974" s="81">
        <v>46118.800509259258</v>
      </c>
      <c r="N974" s="81">
        <v>46122.515393518523</v>
      </c>
      <c r="O974" t="s">
        <v>58</v>
      </c>
      <c r="P974" t="s">
        <v>59</v>
      </c>
      <c r="Q974" t="s">
        <v>90</v>
      </c>
      <c r="R974" t="s">
        <v>99</v>
      </c>
      <c r="S974" t="s">
        <v>1244</v>
      </c>
      <c r="U974" s="75">
        <v>227505</v>
      </c>
      <c r="V974" t="s">
        <v>4328</v>
      </c>
      <c r="X974" t="s">
        <v>62</v>
      </c>
      <c r="Y974" t="s">
        <v>63</v>
      </c>
      <c r="AA974" t="s">
        <v>64</v>
      </c>
      <c r="AB974">
        <v>89.083331999999999</v>
      </c>
      <c r="AC974">
        <v>20.783332999999999</v>
      </c>
      <c r="AD974">
        <v>68.299999</v>
      </c>
      <c r="AE974">
        <v>62.583333000000003</v>
      </c>
      <c r="AF974">
        <v>61.133333</v>
      </c>
      <c r="AG974">
        <v>5.716666</v>
      </c>
      <c r="AH974">
        <v>66.849998999999997</v>
      </c>
      <c r="AI974">
        <v>5.2833329999999998</v>
      </c>
      <c r="AJ974">
        <v>0.43333300000000002</v>
      </c>
      <c r="AK974">
        <v>0</v>
      </c>
      <c r="AL974" s="76">
        <v>44963</v>
      </c>
      <c r="AM974" s="75">
        <v>1155</v>
      </c>
      <c r="AN974" t="s">
        <v>65</v>
      </c>
      <c r="AO974" t="s">
        <v>1249</v>
      </c>
      <c r="AP974" t="s">
        <v>67</v>
      </c>
      <c r="AQ974" t="s">
        <v>68</v>
      </c>
      <c r="AR974" t="s">
        <v>69</v>
      </c>
      <c r="AS974" s="78"/>
      <c r="AT974" s="82" t="s">
        <v>4115</v>
      </c>
      <c r="AU974" s="78">
        <v>2026</v>
      </c>
      <c r="AV974" s="78">
        <v>4</v>
      </c>
      <c r="AW974" s="78" t="s">
        <v>71</v>
      </c>
      <c r="AX974" s="78">
        <v>1</v>
      </c>
      <c r="AY974" s="78">
        <v>0</v>
      </c>
      <c r="BT974" s="2" t="s">
        <v>71</v>
      </c>
      <c r="BU974" s="2">
        <v>1</v>
      </c>
      <c r="BV974" s="2">
        <v>0</v>
      </c>
    </row>
    <row r="975" spans="1:74" ht="15" customHeight="1" x14ac:dyDescent="0.25">
      <c r="A975" s="75">
        <v>5908373</v>
      </c>
      <c r="B975" t="s">
        <v>4329</v>
      </c>
      <c r="C975" t="s">
        <v>4330</v>
      </c>
      <c r="D975" t="s">
        <v>1555</v>
      </c>
      <c r="E975" t="s">
        <v>54</v>
      </c>
      <c r="F975" s="75">
        <v>1</v>
      </c>
      <c r="G975" s="75">
        <v>294389</v>
      </c>
      <c r="H975">
        <v>377.91</v>
      </c>
      <c r="I975" t="s">
        <v>55</v>
      </c>
      <c r="J975" s="75">
        <v>218295</v>
      </c>
      <c r="K975" t="s">
        <v>4331</v>
      </c>
      <c r="L975" t="s">
        <v>4332</v>
      </c>
      <c r="M975" s="81">
        <v>46119.457939814813</v>
      </c>
      <c r="N975" s="81">
        <v>46122.520092592589</v>
      </c>
      <c r="O975" t="s">
        <v>58</v>
      </c>
      <c r="P975" t="s">
        <v>59</v>
      </c>
      <c r="Q975" t="s">
        <v>130</v>
      </c>
      <c r="R975" t="s">
        <v>60</v>
      </c>
      <c r="S975" t="s">
        <v>1268</v>
      </c>
      <c r="U975" s="75">
        <v>226821</v>
      </c>
      <c r="V975" t="s">
        <v>4333</v>
      </c>
      <c r="W975" t="s">
        <v>4334</v>
      </c>
      <c r="X975" t="s">
        <v>62</v>
      </c>
      <c r="Y975" t="s">
        <v>63</v>
      </c>
      <c r="AA975" t="s">
        <v>295</v>
      </c>
      <c r="AB975">
        <v>73.383332999999993</v>
      </c>
      <c r="AC975">
        <v>49.016666000000001</v>
      </c>
      <c r="AD975">
        <v>24.366667</v>
      </c>
      <c r="AE975">
        <v>8.3333000000000004E-2</v>
      </c>
      <c r="AF975">
        <v>0</v>
      </c>
      <c r="AG975">
        <v>24.283334</v>
      </c>
      <c r="AH975">
        <v>24.283334</v>
      </c>
      <c r="AI975">
        <v>22.133334000000001</v>
      </c>
      <c r="AJ975">
        <v>2.15</v>
      </c>
      <c r="AK975">
        <v>0</v>
      </c>
      <c r="AL975" s="76">
        <v>45197</v>
      </c>
      <c r="AM975" s="75">
        <v>922</v>
      </c>
      <c r="AN975" t="s">
        <v>65</v>
      </c>
      <c r="AO975" t="s">
        <v>4335</v>
      </c>
      <c r="AP975" t="s">
        <v>67</v>
      </c>
      <c r="AQ975" t="s">
        <v>68</v>
      </c>
      <c r="AR975" t="s">
        <v>69</v>
      </c>
      <c r="AS975" s="79"/>
      <c r="AT975" s="82" t="s">
        <v>4115</v>
      </c>
      <c r="AU975" s="78">
        <v>2026</v>
      </c>
      <c r="AV975" s="78">
        <v>4</v>
      </c>
      <c r="AW975" s="78" t="s">
        <v>71</v>
      </c>
      <c r="AX975" s="78">
        <v>0</v>
      </c>
      <c r="AY975" s="78">
        <v>1</v>
      </c>
      <c r="BT975" s="3" t="s">
        <v>71</v>
      </c>
      <c r="BU975" s="3">
        <v>0</v>
      </c>
      <c r="BV975" s="3">
        <v>1</v>
      </c>
    </row>
    <row r="976" spans="1:74" ht="15" customHeight="1" x14ac:dyDescent="0.25">
      <c r="A976" s="75">
        <v>5909381</v>
      </c>
      <c r="B976" t="s">
        <v>4336</v>
      </c>
      <c r="C976" t="s">
        <v>4337</v>
      </c>
      <c r="D976" t="s">
        <v>1555</v>
      </c>
      <c r="E976" t="s">
        <v>54</v>
      </c>
      <c r="F976" s="75">
        <v>9</v>
      </c>
      <c r="G976" s="75">
        <v>240005</v>
      </c>
      <c r="H976">
        <v>628.98</v>
      </c>
      <c r="I976" t="s">
        <v>114</v>
      </c>
      <c r="J976" s="75">
        <v>201859</v>
      </c>
      <c r="K976" t="s">
        <v>4124</v>
      </c>
      <c r="L976" t="s">
        <v>4125</v>
      </c>
      <c r="M976" s="81">
        <v>46119.804270833331</v>
      </c>
      <c r="N976" s="81">
        <v>46122.53465277778</v>
      </c>
      <c r="O976" t="s">
        <v>58</v>
      </c>
      <c r="P976" t="s">
        <v>59</v>
      </c>
      <c r="Q976" t="s">
        <v>130</v>
      </c>
      <c r="R976" t="s">
        <v>60</v>
      </c>
      <c r="S976" t="s">
        <v>583</v>
      </c>
      <c r="U976" s="75">
        <v>225843</v>
      </c>
      <c r="V976" t="s">
        <v>4338</v>
      </c>
      <c r="X976" t="s">
        <v>62</v>
      </c>
      <c r="Y976" t="s">
        <v>63</v>
      </c>
      <c r="AA976" t="s">
        <v>416</v>
      </c>
      <c r="AB976">
        <v>65.416667000000004</v>
      </c>
      <c r="AC976">
        <v>51.350000999999999</v>
      </c>
      <c r="AD976">
        <v>14.066666</v>
      </c>
      <c r="AE976">
        <v>0.25</v>
      </c>
      <c r="AF976">
        <v>0</v>
      </c>
      <c r="AG976">
        <v>13.816666</v>
      </c>
      <c r="AH976">
        <v>13.816666</v>
      </c>
      <c r="AI976">
        <v>12.083333</v>
      </c>
      <c r="AJ976">
        <v>1.733333</v>
      </c>
      <c r="AK976">
        <v>0</v>
      </c>
      <c r="AL976" s="76">
        <v>44327</v>
      </c>
      <c r="AM976" s="75">
        <v>1792</v>
      </c>
      <c r="AN976" t="s">
        <v>65</v>
      </c>
      <c r="AO976" t="s">
        <v>4128</v>
      </c>
      <c r="AP976" t="s">
        <v>67</v>
      </c>
      <c r="AQ976" t="s">
        <v>68</v>
      </c>
      <c r="AR976" t="s">
        <v>69</v>
      </c>
      <c r="AS976" s="78"/>
      <c r="AT976" s="82" t="s">
        <v>4115</v>
      </c>
      <c r="AU976" s="78">
        <v>2026</v>
      </c>
      <c r="AV976" s="78">
        <v>4</v>
      </c>
      <c r="AW976" s="78" t="s">
        <v>71</v>
      </c>
      <c r="AX976" s="78">
        <v>0</v>
      </c>
      <c r="AY976" s="78">
        <v>0</v>
      </c>
      <c r="BT976" s="2" t="s">
        <v>71</v>
      </c>
      <c r="BU976" s="2">
        <v>0</v>
      </c>
      <c r="BV976" s="2">
        <v>0</v>
      </c>
    </row>
    <row r="977" spans="1:74" ht="15" customHeight="1" x14ac:dyDescent="0.25">
      <c r="A977" s="75">
        <v>5910621</v>
      </c>
      <c r="B977" t="s">
        <v>4339</v>
      </c>
      <c r="C977" t="s">
        <v>4340</v>
      </c>
      <c r="D977" t="s">
        <v>1555</v>
      </c>
      <c r="E977" t="s">
        <v>87</v>
      </c>
      <c r="F977" s="75">
        <v>55</v>
      </c>
      <c r="G977" s="75">
        <v>279937</v>
      </c>
      <c r="H977">
        <v>1254.08</v>
      </c>
      <c r="I977" t="s">
        <v>266</v>
      </c>
      <c r="J977" s="75">
        <v>49495</v>
      </c>
      <c r="K977" t="s">
        <v>460</v>
      </c>
      <c r="L977" t="s">
        <v>461</v>
      </c>
      <c r="M977" s="81">
        <v>46120.653171296297</v>
      </c>
      <c r="N977" s="81">
        <v>46122.591307870367</v>
      </c>
      <c r="O977" t="s">
        <v>58</v>
      </c>
      <c r="P977" t="s">
        <v>59</v>
      </c>
      <c r="Q977" t="s">
        <v>90</v>
      </c>
      <c r="R977" t="s">
        <v>99</v>
      </c>
      <c r="S977" t="s">
        <v>1244</v>
      </c>
      <c r="U977" s="75">
        <v>227447</v>
      </c>
      <c r="V977" t="s">
        <v>4341</v>
      </c>
      <c r="X977" t="s">
        <v>62</v>
      </c>
      <c r="Y977" t="s">
        <v>63</v>
      </c>
      <c r="AA977" t="s">
        <v>101</v>
      </c>
      <c r="AB977">
        <v>46.416666999999997</v>
      </c>
      <c r="AC977">
        <v>35.950000000000003</v>
      </c>
      <c r="AD977">
        <v>10.466666999999999</v>
      </c>
      <c r="AE977">
        <v>0.83333299999999999</v>
      </c>
      <c r="AF977">
        <v>0</v>
      </c>
      <c r="AG977">
        <v>9.6333339999999996</v>
      </c>
      <c r="AH977">
        <v>9.6333339999999996</v>
      </c>
      <c r="AI977">
        <v>8.15</v>
      </c>
      <c r="AJ977">
        <v>1.4833339999999999</v>
      </c>
      <c r="AK977">
        <v>0</v>
      </c>
      <c r="AL977" s="76">
        <v>44735</v>
      </c>
      <c r="AM977" s="75">
        <v>1385</v>
      </c>
      <c r="AN977" t="s">
        <v>65</v>
      </c>
      <c r="AO977" t="s">
        <v>4342</v>
      </c>
      <c r="AP977" t="s">
        <v>67</v>
      </c>
      <c r="AQ977" t="s">
        <v>68</v>
      </c>
      <c r="AR977" t="s">
        <v>69</v>
      </c>
      <c r="AS977" s="79"/>
      <c r="AT977" s="82" t="s">
        <v>4115</v>
      </c>
      <c r="AU977" s="78">
        <v>2026</v>
      </c>
      <c r="AV977" s="78">
        <v>4</v>
      </c>
      <c r="AW977" s="78" t="s">
        <v>71</v>
      </c>
      <c r="AX977" s="78">
        <v>0</v>
      </c>
      <c r="AY977" s="78">
        <v>0</v>
      </c>
      <c r="BT977" s="3" t="s">
        <v>71</v>
      </c>
      <c r="BU977" s="3">
        <v>0</v>
      </c>
      <c r="BV977" s="3">
        <v>0</v>
      </c>
    </row>
    <row r="978" spans="1:74" ht="15" customHeight="1" x14ac:dyDescent="0.25">
      <c r="A978" s="75">
        <v>5911485</v>
      </c>
      <c r="B978" t="s">
        <v>4343</v>
      </c>
      <c r="C978" t="s">
        <v>3676</v>
      </c>
      <c r="D978" t="s">
        <v>1555</v>
      </c>
      <c r="E978" t="s">
        <v>87</v>
      </c>
      <c r="F978" s="75">
        <v>57</v>
      </c>
      <c r="G978" s="75">
        <v>280115</v>
      </c>
      <c r="H978">
        <v>623.5</v>
      </c>
      <c r="I978" t="s">
        <v>266</v>
      </c>
      <c r="J978" s="75">
        <v>203659</v>
      </c>
      <c r="K978" t="s">
        <v>1090</v>
      </c>
      <c r="L978" t="s">
        <v>1091</v>
      </c>
      <c r="M978" s="81">
        <v>46121.420243055552</v>
      </c>
      <c r="N978" s="81">
        <v>46122.609560185178</v>
      </c>
      <c r="O978" t="s">
        <v>58</v>
      </c>
      <c r="P978" t="s">
        <v>59</v>
      </c>
      <c r="Q978" t="s">
        <v>77</v>
      </c>
      <c r="R978" t="s">
        <v>99</v>
      </c>
      <c r="S978" t="s">
        <v>1244</v>
      </c>
      <c r="U978" s="75">
        <v>227371</v>
      </c>
      <c r="V978" t="s">
        <v>4344</v>
      </c>
      <c r="X978" t="s">
        <v>62</v>
      </c>
      <c r="Y978" t="s">
        <v>63</v>
      </c>
      <c r="AA978" t="s">
        <v>64</v>
      </c>
      <c r="AB978">
        <v>28.483332999999998</v>
      </c>
      <c r="AC978">
        <v>21.25</v>
      </c>
      <c r="AD978">
        <v>7.233333</v>
      </c>
      <c r="AE978">
        <v>0.3</v>
      </c>
      <c r="AF978">
        <v>0</v>
      </c>
      <c r="AG978">
        <v>6.9333330000000002</v>
      </c>
      <c r="AH978">
        <v>6.9333330000000002</v>
      </c>
      <c r="AI978">
        <v>6.5833329999999997</v>
      </c>
      <c r="AJ978">
        <v>0.35</v>
      </c>
      <c r="AK978">
        <v>0</v>
      </c>
      <c r="AL978" s="76">
        <v>44781</v>
      </c>
      <c r="AM978" s="75">
        <v>1340</v>
      </c>
      <c r="AN978" t="s">
        <v>65</v>
      </c>
      <c r="AO978" t="s">
        <v>3192</v>
      </c>
      <c r="AP978" t="s">
        <v>67</v>
      </c>
      <c r="AQ978" t="s">
        <v>68</v>
      </c>
      <c r="AR978" t="s">
        <v>69</v>
      </c>
      <c r="AS978" s="78"/>
      <c r="AT978" s="82" t="s">
        <v>4115</v>
      </c>
      <c r="AU978" s="78">
        <v>2026</v>
      </c>
      <c r="AV978" s="78">
        <v>4</v>
      </c>
      <c r="AW978" s="78" t="s">
        <v>71</v>
      </c>
      <c r="AX978" s="78">
        <v>1</v>
      </c>
      <c r="AY978" s="78">
        <v>0</v>
      </c>
      <c r="BT978" s="2" t="s">
        <v>71</v>
      </c>
      <c r="BU978" s="2">
        <v>1</v>
      </c>
      <c r="BV978" s="2">
        <v>0</v>
      </c>
    </row>
    <row r="979" spans="1:74" ht="15" customHeight="1" x14ac:dyDescent="0.25">
      <c r="A979" s="75">
        <v>5901521</v>
      </c>
      <c r="B979" t="s">
        <v>4345</v>
      </c>
      <c r="C979" t="s">
        <v>4346</v>
      </c>
      <c r="D979" t="s">
        <v>2379</v>
      </c>
      <c r="E979" t="s">
        <v>87</v>
      </c>
      <c r="F979" s="75">
        <v>329</v>
      </c>
      <c r="G979" s="75">
        <v>286607</v>
      </c>
      <c r="H979">
        <v>364.96</v>
      </c>
      <c r="I979" t="s">
        <v>55</v>
      </c>
      <c r="J979" s="75">
        <v>218787</v>
      </c>
      <c r="K979" t="s">
        <v>96</v>
      </c>
      <c r="L979" t="s">
        <v>97</v>
      </c>
      <c r="M979" s="81">
        <v>46113.563043981478</v>
      </c>
      <c r="N979" s="81">
        <v>46122.685868055552</v>
      </c>
      <c r="O979" t="s">
        <v>58</v>
      </c>
      <c r="P979" t="s">
        <v>59</v>
      </c>
      <c r="Q979" t="s">
        <v>98</v>
      </c>
      <c r="R979" t="s">
        <v>60</v>
      </c>
      <c r="S979" t="s">
        <v>583</v>
      </c>
      <c r="U979" s="75">
        <v>223681</v>
      </c>
      <c r="V979" t="s">
        <v>4347</v>
      </c>
      <c r="W979" t="s">
        <v>4348</v>
      </c>
      <c r="X979" t="s">
        <v>62</v>
      </c>
      <c r="Y979" t="s">
        <v>63</v>
      </c>
      <c r="AA979" t="s">
        <v>295</v>
      </c>
      <c r="AB979">
        <v>218.716666</v>
      </c>
      <c r="AC979">
        <v>165.61666700000001</v>
      </c>
      <c r="AD979">
        <v>53.099998999999997</v>
      </c>
      <c r="AE979">
        <v>0.53333299999999995</v>
      </c>
      <c r="AF979">
        <v>0</v>
      </c>
      <c r="AG979">
        <v>52.566665999999998</v>
      </c>
      <c r="AH979">
        <v>52.566665999999998</v>
      </c>
      <c r="AI979">
        <v>50.433332</v>
      </c>
      <c r="AJ979">
        <v>2.1333340000000001</v>
      </c>
      <c r="AK979">
        <v>0</v>
      </c>
      <c r="AL979" s="76">
        <v>44922</v>
      </c>
      <c r="AM979" s="75">
        <v>1191</v>
      </c>
      <c r="AN979" t="s">
        <v>65</v>
      </c>
      <c r="AO979" t="s">
        <v>2180</v>
      </c>
      <c r="AP979" t="s">
        <v>67</v>
      </c>
      <c r="AQ979" t="s">
        <v>68</v>
      </c>
      <c r="AR979" t="s">
        <v>69</v>
      </c>
      <c r="AS979" s="79"/>
      <c r="AT979" s="82" t="s">
        <v>4115</v>
      </c>
      <c r="AU979" s="78">
        <v>2026</v>
      </c>
      <c r="AV979" s="78">
        <v>4</v>
      </c>
      <c r="AW979" s="78" t="s">
        <v>71</v>
      </c>
      <c r="AX979" s="78">
        <v>0</v>
      </c>
      <c r="AY979" s="78">
        <v>1</v>
      </c>
      <c r="BT979" s="3" t="s">
        <v>71</v>
      </c>
      <c r="BU979" s="3">
        <v>0</v>
      </c>
      <c r="BV979" s="3">
        <v>1</v>
      </c>
    </row>
    <row r="980" spans="1:74" ht="15" customHeight="1" x14ac:dyDescent="0.25">
      <c r="A980" s="75">
        <v>5911745</v>
      </c>
      <c r="B980" t="s">
        <v>4349</v>
      </c>
      <c r="C980" t="s">
        <v>3285</v>
      </c>
      <c r="D980" t="s">
        <v>2379</v>
      </c>
      <c r="E980" t="s">
        <v>87</v>
      </c>
      <c r="F980" s="75">
        <v>147</v>
      </c>
      <c r="G980" s="75">
        <v>285635</v>
      </c>
      <c r="H980">
        <v>398.82</v>
      </c>
      <c r="I980" t="s">
        <v>55</v>
      </c>
      <c r="J980" s="75">
        <v>216233</v>
      </c>
      <c r="K980" t="s">
        <v>88</v>
      </c>
      <c r="L980" t="s">
        <v>89</v>
      </c>
      <c r="M980" s="81">
        <v>46121.48678240741</v>
      </c>
      <c r="N980" s="81">
        <v>46122.689282407409</v>
      </c>
      <c r="O980" t="s">
        <v>58</v>
      </c>
      <c r="P980" t="s">
        <v>59</v>
      </c>
      <c r="Q980" t="s">
        <v>90</v>
      </c>
      <c r="R980" t="s">
        <v>60</v>
      </c>
      <c r="S980" t="s">
        <v>583</v>
      </c>
      <c r="U980" s="75">
        <v>228125</v>
      </c>
      <c r="V980" t="s">
        <v>4350</v>
      </c>
      <c r="W980" t="s">
        <v>4351</v>
      </c>
      <c r="X980" t="s">
        <v>62</v>
      </c>
      <c r="Y980" t="s">
        <v>63</v>
      </c>
      <c r="AA980" t="s">
        <v>416</v>
      </c>
      <c r="AB980">
        <v>28.8</v>
      </c>
      <c r="AC980">
        <v>14.9</v>
      </c>
      <c r="AD980">
        <v>13.9</v>
      </c>
      <c r="AE980">
        <v>0.4</v>
      </c>
      <c r="AF980">
        <v>0</v>
      </c>
      <c r="AG980">
        <v>13.5</v>
      </c>
      <c r="AH980">
        <v>13.5</v>
      </c>
      <c r="AI980">
        <v>12.333334000000001</v>
      </c>
      <c r="AJ980">
        <v>1.166666</v>
      </c>
      <c r="AK980">
        <v>0</v>
      </c>
      <c r="AL980" s="76">
        <v>44873</v>
      </c>
      <c r="AM980" s="75">
        <v>1248</v>
      </c>
      <c r="AN980" t="s">
        <v>65</v>
      </c>
      <c r="AO980" t="s">
        <v>3287</v>
      </c>
      <c r="AP980" t="s">
        <v>67</v>
      </c>
      <c r="AQ980" t="s">
        <v>68</v>
      </c>
      <c r="AR980" t="s">
        <v>69</v>
      </c>
      <c r="AS980" s="78"/>
      <c r="AT980" s="82" t="s">
        <v>4115</v>
      </c>
      <c r="AU980" s="78">
        <v>2026</v>
      </c>
      <c r="AV980" s="78">
        <v>4</v>
      </c>
      <c r="AW980" s="78" t="s">
        <v>71</v>
      </c>
      <c r="AX980" s="78">
        <v>0</v>
      </c>
      <c r="AY980" s="78">
        <v>0</v>
      </c>
      <c r="BT980" s="2" t="s">
        <v>71</v>
      </c>
      <c r="BU980" s="2">
        <v>0</v>
      </c>
      <c r="BV980" s="2">
        <v>0</v>
      </c>
    </row>
    <row r="981" spans="1:74" ht="15" customHeight="1" x14ac:dyDescent="0.25">
      <c r="A981" s="75">
        <v>5903257</v>
      </c>
      <c r="B981" t="s">
        <v>4352</v>
      </c>
      <c r="C981" t="s">
        <v>4353</v>
      </c>
      <c r="D981" t="s">
        <v>282</v>
      </c>
      <c r="E981" t="s">
        <v>87</v>
      </c>
      <c r="F981" s="75">
        <v>515</v>
      </c>
      <c r="G981" s="75">
        <v>293209</v>
      </c>
      <c r="H981">
        <v>382.47</v>
      </c>
      <c r="I981" t="s">
        <v>55</v>
      </c>
      <c r="J981" s="75">
        <v>216233</v>
      </c>
      <c r="K981" t="s">
        <v>88</v>
      </c>
      <c r="L981" t="s">
        <v>89</v>
      </c>
      <c r="M981" s="81">
        <v>46114.601030092592</v>
      </c>
      <c r="N981" s="81">
        <v>46122.70045138889</v>
      </c>
      <c r="O981" t="s">
        <v>58</v>
      </c>
      <c r="P981" t="s">
        <v>59</v>
      </c>
      <c r="R981" t="s">
        <v>60</v>
      </c>
      <c r="S981" t="s">
        <v>583</v>
      </c>
      <c r="U981" s="75">
        <v>227721</v>
      </c>
      <c r="V981" t="s">
        <v>4354</v>
      </c>
      <c r="W981" t="s">
        <v>4355</v>
      </c>
      <c r="X981" t="s">
        <v>62</v>
      </c>
      <c r="Y981" t="s">
        <v>63</v>
      </c>
      <c r="AA981" t="s">
        <v>295</v>
      </c>
      <c r="AB981">
        <v>194.216667</v>
      </c>
      <c r="AC981">
        <v>143.58333500000001</v>
      </c>
      <c r="AD981">
        <v>50.633332000000003</v>
      </c>
      <c r="AE981">
        <v>6.6667000000000004E-2</v>
      </c>
      <c r="AF981">
        <v>0</v>
      </c>
      <c r="AG981">
        <v>50.566665</v>
      </c>
      <c r="AH981">
        <v>50.566665</v>
      </c>
      <c r="AI981">
        <v>47.849997999999999</v>
      </c>
      <c r="AJ981">
        <v>2.7166670000000002</v>
      </c>
      <c r="AK981">
        <v>0</v>
      </c>
      <c r="AL981" s="76">
        <v>45205</v>
      </c>
      <c r="AM981" s="75">
        <v>909</v>
      </c>
      <c r="AN981" t="s">
        <v>65</v>
      </c>
      <c r="AO981" t="s">
        <v>4356</v>
      </c>
      <c r="AP981" t="s">
        <v>67</v>
      </c>
      <c r="AQ981" t="s">
        <v>68</v>
      </c>
      <c r="AR981" t="s">
        <v>69</v>
      </c>
      <c r="AS981" s="79"/>
      <c r="AT981" s="82" t="s">
        <v>4115</v>
      </c>
      <c r="AU981" s="78">
        <v>2026</v>
      </c>
      <c r="AV981" s="78">
        <v>4</v>
      </c>
      <c r="AW981" s="78" t="s">
        <v>71</v>
      </c>
      <c r="AX981" s="78">
        <v>0</v>
      </c>
      <c r="AY981" s="78">
        <v>1</v>
      </c>
      <c r="BT981" s="3" t="s">
        <v>71</v>
      </c>
      <c r="BU981" s="3">
        <v>0</v>
      </c>
      <c r="BV981" s="3">
        <v>1</v>
      </c>
    </row>
    <row r="982" spans="1:74" ht="15" customHeight="1" x14ac:dyDescent="0.25">
      <c r="A982" s="75">
        <v>5913541</v>
      </c>
      <c r="B982" t="s">
        <v>4357</v>
      </c>
      <c r="C982" t="s">
        <v>4358</v>
      </c>
      <c r="D982" t="s">
        <v>527</v>
      </c>
      <c r="E982" t="s">
        <v>54</v>
      </c>
      <c r="F982" s="75">
        <v>1</v>
      </c>
      <c r="G982" s="75">
        <v>328869</v>
      </c>
      <c r="H982">
        <v>1312</v>
      </c>
      <c r="I982" t="s">
        <v>141</v>
      </c>
      <c r="J982" s="75">
        <v>224753</v>
      </c>
      <c r="K982" t="s">
        <v>4359</v>
      </c>
      <c r="L982" t="s">
        <v>4360</v>
      </c>
      <c r="M982" s="81">
        <v>46122.516944444447</v>
      </c>
      <c r="N982" s="81">
        <v>46123.574212962973</v>
      </c>
      <c r="O982" t="s">
        <v>58</v>
      </c>
      <c r="P982" t="s">
        <v>59</v>
      </c>
      <c r="Q982" t="s">
        <v>130</v>
      </c>
      <c r="R982" t="s">
        <v>60</v>
      </c>
      <c r="S982" t="s">
        <v>583</v>
      </c>
      <c r="U982" s="75">
        <v>228787</v>
      </c>
      <c r="V982" t="s">
        <v>4361</v>
      </c>
      <c r="W982" t="s">
        <v>4362</v>
      </c>
      <c r="X982" t="s">
        <v>62</v>
      </c>
      <c r="Y982" t="s">
        <v>63</v>
      </c>
      <c r="AA982" t="s">
        <v>416</v>
      </c>
      <c r="AB982">
        <v>25.299997999999999</v>
      </c>
      <c r="AC982">
        <v>3.1166659999999999</v>
      </c>
      <c r="AD982">
        <v>22.183332</v>
      </c>
      <c r="AE982">
        <v>0.36666599999999999</v>
      </c>
      <c r="AF982">
        <v>0</v>
      </c>
      <c r="AG982">
        <v>21.816666000000001</v>
      </c>
      <c r="AH982">
        <v>21.816666000000001</v>
      </c>
      <c r="AI982">
        <v>21.666665999999999</v>
      </c>
      <c r="AJ982">
        <v>0.15</v>
      </c>
      <c r="AK982">
        <v>0</v>
      </c>
      <c r="AL982" s="76">
        <v>45596</v>
      </c>
      <c r="AM982" s="75">
        <v>526</v>
      </c>
      <c r="AN982" t="s">
        <v>65</v>
      </c>
      <c r="AO982" t="s">
        <v>4363</v>
      </c>
      <c r="AP982" t="s">
        <v>67</v>
      </c>
      <c r="AQ982" t="s">
        <v>68</v>
      </c>
      <c r="AR982" t="s">
        <v>69</v>
      </c>
      <c r="AS982" s="78"/>
      <c r="AT982" s="82" t="s">
        <v>4115</v>
      </c>
      <c r="AU982" s="78">
        <v>2026</v>
      </c>
      <c r="AV982" s="78">
        <v>4</v>
      </c>
      <c r="AW982" s="78" t="s">
        <v>71</v>
      </c>
      <c r="AX982" s="78">
        <v>0</v>
      </c>
      <c r="AY982" s="78">
        <v>0</v>
      </c>
      <c r="BT982" s="2" t="s">
        <v>71</v>
      </c>
      <c r="BU982" s="2">
        <v>0</v>
      </c>
      <c r="BV982" s="2">
        <v>0</v>
      </c>
    </row>
    <row r="983" spans="1:74" ht="15" customHeight="1" x14ac:dyDescent="0.25">
      <c r="A983" s="75">
        <v>5912365</v>
      </c>
      <c r="B983" t="s">
        <v>4364</v>
      </c>
      <c r="C983" t="s">
        <v>4365</v>
      </c>
      <c r="D983" t="s">
        <v>2379</v>
      </c>
      <c r="E983" t="s">
        <v>87</v>
      </c>
      <c r="F983" s="75">
        <v>811</v>
      </c>
      <c r="G983" s="75">
        <v>345173</v>
      </c>
      <c r="H983">
        <v>334.78</v>
      </c>
      <c r="I983" t="s">
        <v>141</v>
      </c>
      <c r="J983" s="75">
        <v>6971</v>
      </c>
      <c r="K983" t="s">
        <v>369</v>
      </c>
      <c r="L983" t="s">
        <v>370</v>
      </c>
      <c r="M983" s="81">
        <v>46121.674571759257</v>
      </c>
      <c r="N983" s="81">
        <v>46123.590185185189</v>
      </c>
      <c r="O983" t="s">
        <v>58</v>
      </c>
      <c r="P983" t="s">
        <v>59</v>
      </c>
      <c r="Q983" t="s">
        <v>90</v>
      </c>
      <c r="R983" t="s">
        <v>144</v>
      </c>
      <c r="S983" t="s">
        <v>1491</v>
      </c>
      <c r="U983" s="75">
        <v>227819</v>
      </c>
      <c r="V983" t="s">
        <v>4366</v>
      </c>
      <c r="W983" t="s">
        <v>4366</v>
      </c>
      <c r="X983" t="s">
        <v>62</v>
      </c>
      <c r="Y983" t="s">
        <v>287</v>
      </c>
      <c r="AA983" t="s">
        <v>81</v>
      </c>
      <c r="AB983">
        <v>45.933332999999998</v>
      </c>
      <c r="AC983">
        <v>43.016666999999998</v>
      </c>
      <c r="AD983">
        <v>2.9166660000000002</v>
      </c>
      <c r="AE983">
        <v>0.43333300000000002</v>
      </c>
      <c r="AF983">
        <v>0</v>
      </c>
      <c r="AG983">
        <v>2.483333</v>
      </c>
      <c r="AH983">
        <v>2.483333</v>
      </c>
      <c r="AI983">
        <v>1.9</v>
      </c>
      <c r="AJ983">
        <v>0.58333299999999999</v>
      </c>
      <c r="AK983">
        <v>0</v>
      </c>
      <c r="AL983" s="76"/>
      <c r="AM983" s="75"/>
      <c r="AN983" t="s">
        <v>135</v>
      </c>
      <c r="AO983" t="s">
        <v>4367</v>
      </c>
      <c r="AP983" t="s">
        <v>67</v>
      </c>
      <c r="AQ983" t="s">
        <v>68</v>
      </c>
      <c r="AR983" t="s">
        <v>69</v>
      </c>
      <c r="AS983" s="79"/>
      <c r="AT983" s="82" t="s">
        <v>4115</v>
      </c>
      <c r="AU983" s="78">
        <v>2026</v>
      </c>
      <c r="AV983" s="78">
        <v>4</v>
      </c>
      <c r="AW983" s="78" t="s">
        <v>137</v>
      </c>
      <c r="AX983" s="78">
        <v>1</v>
      </c>
      <c r="AY983" s="78">
        <v>0</v>
      </c>
      <c r="BT983" s="3" t="s">
        <v>137</v>
      </c>
      <c r="BU983" s="3">
        <v>1</v>
      </c>
      <c r="BV983" s="3">
        <v>0</v>
      </c>
    </row>
    <row r="984" spans="1:74" ht="15" customHeight="1" x14ac:dyDescent="0.25">
      <c r="A984" s="75">
        <v>5911733</v>
      </c>
      <c r="B984" t="s">
        <v>4368</v>
      </c>
      <c r="C984" t="s">
        <v>4369</v>
      </c>
      <c r="D984" t="s">
        <v>2379</v>
      </c>
      <c r="E984" t="s">
        <v>105</v>
      </c>
      <c r="F984" s="75">
        <v>1038</v>
      </c>
      <c r="G984" s="75">
        <v>292195</v>
      </c>
      <c r="H984">
        <v>450</v>
      </c>
      <c r="I984" t="s">
        <v>55</v>
      </c>
      <c r="J984" s="75">
        <v>214917</v>
      </c>
      <c r="K984" t="s">
        <v>1057</v>
      </c>
      <c r="L984" t="s">
        <v>4370</v>
      </c>
      <c r="M984" s="81">
        <v>46121.484699074077</v>
      </c>
      <c r="N984" s="81">
        <v>46123.606956018521</v>
      </c>
      <c r="O984" t="s">
        <v>58</v>
      </c>
      <c r="P984" t="s">
        <v>59</v>
      </c>
      <c r="Q984" t="s">
        <v>130</v>
      </c>
      <c r="R984" t="s">
        <v>60</v>
      </c>
      <c r="S984" t="s">
        <v>583</v>
      </c>
      <c r="U984" s="75">
        <v>227791</v>
      </c>
      <c r="V984" t="s">
        <v>4371</v>
      </c>
      <c r="W984" t="s">
        <v>4372</v>
      </c>
      <c r="X984" t="s">
        <v>118</v>
      </c>
      <c r="Y984" t="s">
        <v>1233</v>
      </c>
      <c r="AA984" t="s">
        <v>101</v>
      </c>
      <c r="AB984">
        <v>50.883333</v>
      </c>
      <c r="AC984">
        <v>42.55</v>
      </c>
      <c r="AD984">
        <v>8.3333329999999997</v>
      </c>
      <c r="AE984">
        <v>3.3333000000000002E-2</v>
      </c>
      <c r="AF984">
        <v>0</v>
      </c>
      <c r="AG984">
        <v>8.3000000000000007</v>
      </c>
      <c r="AH984">
        <v>8.3000000000000007</v>
      </c>
      <c r="AI984">
        <v>7.9166670000000003</v>
      </c>
      <c r="AJ984">
        <v>0.38333299999999998</v>
      </c>
      <c r="AK984">
        <v>0</v>
      </c>
      <c r="AL984" s="76">
        <v>45244</v>
      </c>
      <c r="AM984" s="75">
        <v>877</v>
      </c>
      <c r="AN984" t="s">
        <v>65</v>
      </c>
      <c r="AO984" t="s">
        <v>4373</v>
      </c>
      <c r="AP984" t="s">
        <v>67</v>
      </c>
      <c r="AQ984" t="s">
        <v>121</v>
      </c>
      <c r="AR984" t="s">
        <v>69</v>
      </c>
      <c r="AS984" s="78"/>
      <c r="AT984" s="82" t="s">
        <v>4115</v>
      </c>
      <c r="AU984" s="78">
        <v>2026</v>
      </c>
      <c r="AV984" s="78">
        <v>4</v>
      </c>
      <c r="AW984" s="78" t="s">
        <v>347</v>
      </c>
      <c r="AX984" s="78">
        <v>0</v>
      </c>
      <c r="AY984" s="78">
        <v>0</v>
      </c>
      <c r="BT984" s="2" t="s">
        <v>347</v>
      </c>
      <c r="BU984" s="2">
        <v>0</v>
      </c>
      <c r="BV984" s="2">
        <v>0</v>
      </c>
    </row>
    <row r="985" spans="1:74" ht="15" customHeight="1" x14ac:dyDescent="0.25">
      <c r="A985" s="75">
        <v>5911597</v>
      </c>
      <c r="B985" t="s">
        <v>4374</v>
      </c>
      <c r="C985" t="s">
        <v>4375</v>
      </c>
      <c r="D985" t="s">
        <v>2379</v>
      </c>
      <c r="E985" t="s">
        <v>54</v>
      </c>
      <c r="F985" s="75">
        <v>41</v>
      </c>
      <c r="G985" s="75">
        <v>300243</v>
      </c>
      <c r="H985">
        <v>640</v>
      </c>
      <c r="I985" t="s">
        <v>55</v>
      </c>
      <c r="J985" s="75">
        <v>202197</v>
      </c>
      <c r="K985" t="s">
        <v>305</v>
      </c>
      <c r="L985" t="s">
        <v>306</v>
      </c>
      <c r="M985" s="81">
        <v>46121.445613425924</v>
      </c>
      <c r="N985" s="81">
        <v>46123.739293981482</v>
      </c>
      <c r="O985" t="s">
        <v>58</v>
      </c>
      <c r="P985" t="s">
        <v>59</v>
      </c>
      <c r="Q985" t="s">
        <v>90</v>
      </c>
      <c r="R985" t="s">
        <v>60</v>
      </c>
      <c r="S985" t="s">
        <v>583</v>
      </c>
      <c r="U985" s="75">
        <v>228031</v>
      </c>
      <c r="V985" t="s">
        <v>4376</v>
      </c>
      <c r="W985" t="s">
        <v>4377</v>
      </c>
      <c r="X985" t="s">
        <v>62</v>
      </c>
      <c r="Y985" t="s">
        <v>63</v>
      </c>
      <c r="AA985" t="s">
        <v>416</v>
      </c>
      <c r="AB985">
        <v>54.949998999999998</v>
      </c>
      <c r="AC985">
        <v>40.233333000000002</v>
      </c>
      <c r="AD985">
        <v>14.716666</v>
      </c>
      <c r="AE985">
        <v>0.183333</v>
      </c>
      <c r="AF985">
        <v>0</v>
      </c>
      <c r="AG985">
        <v>14.533333000000001</v>
      </c>
      <c r="AH985">
        <v>14.533333000000001</v>
      </c>
      <c r="AI985">
        <v>13.766667</v>
      </c>
      <c r="AJ985">
        <v>0.76666599999999996</v>
      </c>
      <c r="AK985">
        <v>0</v>
      </c>
      <c r="AL985" s="76">
        <v>45427</v>
      </c>
      <c r="AM985" s="75">
        <v>694</v>
      </c>
      <c r="AN985" t="s">
        <v>65</v>
      </c>
      <c r="AO985" t="s">
        <v>4221</v>
      </c>
      <c r="AP985" t="s">
        <v>67</v>
      </c>
      <c r="AQ985" t="s">
        <v>68</v>
      </c>
      <c r="AR985" t="s">
        <v>69</v>
      </c>
      <c r="AS985" s="79"/>
      <c r="AT985" s="82" t="s">
        <v>4115</v>
      </c>
      <c r="AU985" s="78">
        <v>2026</v>
      </c>
      <c r="AV985" s="78">
        <v>4</v>
      </c>
      <c r="AW985" s="78" t="s">
        <v>71</v>
      </c>
      <c r="AX985" s="78">
        <v>0</v>
      </c>
      <c r="AY985" s="78">
        <v>0</v>
      </c>
      <c r="BT985" s="3" t="s">
        <v>71</v>
      </c>
      <c r="BU985" s="3">
        <v>0</v>
      </c>
      <c r="BV985" s="3">
        <v>0</v>
      </c>
    </row>
    <row r="986" spans="1:74" ht="15" customHeight="1" x14ac:dyDescent="0.25">
      <c r="A986" s="75">
        <v>5913395</v>
      </c>
      <c r="B986" t="s">
        <v>4378</v>
      </c>
      <c r="C986" t="s">
        <v>4379</v>
      </c>
      <c r="D986" t="s">
        <v>282</v>
      </c>
      <c r="E986" t="s">
        <v>54</v>
      </c>
      <c r="F986" s="75">
        <v>4</v>
      </c>
      <c r="G986" s="75">
        <v>330997</v>
      </c>
      <c r="H986">
        <v>1935.72</v>
      </c>
      <c r="I986" t="s">
        <v>141</v>
      </c>
      <c r="J986" s="75">
        <v>210403</v>
      </c>
      <c r="K986" t="s">
        <v>4380</v>
      </c>
      <c r="L986" t="s">
        <v>4381</v>
      </c>
      <c r="M986" s="81">
        <v>46122.462164351848</v>
      </c>
      <c r="N986" s="81">
        <v>46124.40488425926</v>
      </c>
      <c r="O986" t="s">
        <v>58</v>
      </c>
      <c r="P986" t="s">
        <v>59</v>
      </c>
      <c r="Q986" t="s">
        <v>130</v>
      </c>
      <c r="R986" t="s">
        <v>60</v>
      </c>
      <c r="S986" t="s">
        <v>583</v>
      </c>
      <c r="U986" s="75">
        <v>228337</v>
      </c>
      <c r="V986" t="s">
        <v>4382</v>
      </c>
      <c r="W986" t="s">
        <v>4382</v>
      </c>
      <c r="X986" t="s">
        <v>79</v>
      </c>
      <c r="Y986" t="s">
        <v>224</v>
      </c>
      <c r="AA986" t="s">
        <v>81</v>
      </c>
      <c r="AB986">
        <v>46.566665999999998</v>
      </c>
      <c r="AC986">
        <v>44.583333000000003</v>
      </c>
      <c r="AD986">
        <v>1.983333</v>
      </c>
      <c r="AE986">
        <v>0.26666600000000001</v>
      </c>
      <c r="AF986">
        <v>0</v>
      </c>
      <c r="AG986">
        <v>1.7166669999999999</v>
      </c>
      <c r="AH986">
        <v>1.7166669999999999</v>
      </c>
      <c r="AI986">
        <v>1.566667</v>
      </c>
      <c r="AJ986">
        <v>0.15</v>
      </c>
      <c r="AK986">
        <v>0</v>
      </c>
      <c r="AL986" s="76">
        <v>44824</v>
      </c>
      <c r="AM986" s="75">
        <v>1298</v>
      </c>
      <c r="AN986" t="s">
        <v>65</v>
      </c>
      <c r="AO986" t="s">
        <v>4383</v>
      </c>
      <c r="AP986" t="s">
        <v>67</v>
      </c>
      <c r="AQ986" t="s">
        <v>83</v>
      </c>
      <c r="AR986" t="s">
        <v>69</v>
      </c>
      <c r="AS986" s="78"/>
      <c r="AT986" s="82" t="s">
        <v>4115</v>
      </c>
      <c r="AU986" s="78">
        <v>2026</v>
      </c>
      <c r="AV986" s="78">
        <v>4</v>
      </c>
      <c r="AW986" s="78" t="s">
        <v>226</v>
      </c>
      <c r="AX986" s="78">
        <v>1</v>
      </c>
      <c r="AY986" s="78">
        <v>0</v>
      </c>
      <c r="BT986" s="2" t="s">
        <v>226</v>
      </c>
      <c r="BU986" s="2">
        <v>1</v>
      </c>
      <c r="BV986" s="2">
        <v>0</v>
      </c>
    </row>
    <row r="987" spans="1:74" ht="15" customHeight="1" x14ac:dyDescent="0.25">
      <c r="A987" s="75">
        <v>5911481</v>
      </c>
      <c r="B987" t="s">
        <v>4384</v>
      </c>
      <c r="C987" t="s">
        <v>4385</v>
      </c>
      <c r="D987" t="s">
        <v>1555</v>
      </c>
      <c r="E987" t="s">
        <v>126</v>
      </c>
      <c r="F987" s="75">
        <v>33</v>
      </c>
      <c r="G987" s="75">
        <v>345359</v>
      </c>
      <c r="H987">
        <v>250</v>
      </c>
      <c r="I987" t="s">
        <v>175</v>
      </c>
      <c r="J987" s="75">
        <v>133341</v>
      </c>
      <c r="K987" t="s">
        <v>176</v>
      </c>
      <c r="L987" t="s">
        <v>177</v>
      </c>
      <c r="M987" s="81">
        <v>46121.418703703697</v>
      </c>
      <c r="N987" s="81">
        <v>46124.478333333333</v>
      </c>
      <c r="O987" t="s">
        <v>58</v>
      </c>
      <c r="P987" t="s">
        <v>59</v>
      </c>
      <c r="Q987" t="s">
        <v>130</v>
      </c>
      <c r="R987" t="s">
        <v>60</v>
      </c>
      <c r="S987" t="s">
        <v>1268</v>
      </c>
      <c r="U987" s="75">
        <v>228135</v>
      </c>
      <c r="V987" t="s">
        <v>4386</v>
      </c>
      <c r="W987" t="s">
        <v>4387</v>
      </c>
      <c r="X987" t="s">
        <v>62</v>
      </c>
      <c r="Y987" t="s">
        <v>63</v>
      </c>
      <c r="AA987" t="s">
        <v>416</v>
      </c>
      <c r="AB987">
        <v>73.366665999999995</v>
      </c>
      <c r="AC987">
        <v>57.4</v>
      </c>
      <c r="AD987">
        <v>15.966666</v>
      </c>
      <c r="AE987">
        <v>0.33333299999999999</v>
      </c>
      <c r="AF987">
        <v>0</v>
      </c>
      <c r="AG987">
        <v>15.633333</v>
      </c>
      <c r="AH987">
        <v>15.633333</v>
      </c>
      <c r="AI987">
        <v>14.133333</v>
      </c>
      <c r="AJ987">
        <v>1.5</v>
      </c>
      <c r="AK987">
        <v>0</v>
      </c>
      <c r="AL987" s="76">
        <v>45932.686863425923</v>
      </c>
      <c r="AM987" s="75">
        <v>188</v>
      </c>
      <c r="AN987" t="s">
        <v>65</v>
      </c>
      <c r="AO987" t="s">
        <v>3237</v>
      </c>
      <c r="AP987" t="s">
        <v>67</v>
      </c>
      <c r="AQ987" t="s">
        <v>68</v>
      </c>
      <c r="AR987" t="s">
        <v>69</v>
      </c>
      <c r="AS987" s="79"/>
      <c r="AT987" s="82" t="s">
        <v>4115</v>
      </c>
      <c r="AU987" s="78">
        <v>2026</v>
      </c>
      <c r="AV987" s="78">
        <v>4</v>
      </c>
      <c r="AW987" s="78" t="s">
        <v>71</v>
      </c>
      <c r="AX987" s="78">
        <v>0</v>
      </c>
      <c r="AY987" s="78">
        <v>0</v>
      </c>
      <c r="BT987" s="3" t="s">
        <v>71</v>
      </c>
      <c r="BU987" s="3">
        <v>0</v>
      </c>
      <c r="BV987" s="3">
        <v>0</v>
      </c>
    </row>
    <row r="988" spans="1:74" ht="15" customHeight="1" x14ac:dyDescent="0.25">
      <c r="A988" s="75">
        <v>5913127</v>
      </c>
      <c r="B988" t="s">
        <v>4388</v>
      </c>
      <c r="C988" t="s">
        <v>4065</v>
      </c>
      <c r="D988" t="s">
        <v>1555</v>
      </c>
      <c r="E988" t="s">
        <v>87</v>
      </c>
      <c r="F988" s="75">
        <v>521</v>
      </c>
      <c r="G988" s="75">
        <v>321269</v>
      </c>
      <c r="H988">
        <v>368.17</v>
      </c>
      <c r="I988" t="s">
        <v>55</v>
      </c>
      <c r="J988" s="75">
        <v>218791</v>
      </c>
      <c r="K988" t="s">
        <v>312</v>
      </c>
      <c r="L988" t="s">
        <v>313</v>
      </c>
      <c r="M988" s="81">
        <v>46122.382604166669</v>
      </c>
      <c r="N988" s="81">
        <v>46124.483773148153</v>
      </c>
      <c r="O988" t="s">
        <v>58</v>
      </c>
      <c r="P988" t="s">
        <v>59</v>
      </c>
      <c r="Q988" t="s">
        <v>90</v>
      </c>
      <c r="R988" t="s">
        <v>60</v>
      </c>
      <c r="S988" t="s">
        <v>583</v>
      </c>
      <c r="U988" s="75">
        <v>228175</v>
      </c>
      <c r="V988" t="s">
        <v>4389</v>
      </c>
      <c r="W988" t="s">
        <v>4389</v>
      </c>
      <c r="X988" t="s">
        <v>62</v>
      </c>
      <c r="Y988" t="s">
        <v>63</v>
      </c>
      <c r="AA988" t="s">
        <v>64</v>
      </c>
      <c r="AB988">
        <v>50.383333</v>
      </c>
      <c r="AC988">
        <v>44.133333</v>
      </c>
      <c r="AD988">
        <v>6.25</v>
      </c>
      <c r="AE988">
        <v>0.05</v>
      </c>
      <c r="AF988">
        <v>0</v>
      </c>
      <c r="AG988">
        <v>6.2</v>
      </c>
      <c r="AH988">
        <v>6.2</v>
      </c>
      <c r="AI988">
        <v>5.6833330000000002</v>
      </c>
      <c r="AJ988">
        <v>0.51666699999999999</v>
      </c>
      <c r="AK988">
        <v>0</v>
      </c>
      <c r="AL988" s="76">
        <v>45475.80709490741</v>
      </c>
      <c r="AM988" s="75">
        <v>646</v>
      </c>
      <c r="AN988" t="s">
        <v>65</v>
      </c>
      <c r="AO988" t="s">
        <v>4067</v>
      </c>
      <c r="AP988" t="s">
        <v>67</v>
      </c>
      <c r="AQ988" t="s">
        <v>68</v>
      </c>
      <c r="AR988" t="s">
        <v>69</v>
      </c>
      <c r="AS988" s="78"/>
      <c r="AT988" s="82" t="s">
        <v>4115</v>
      </c>
      <c r="AU988" s="78">
        <v>2026</v>
      </c>
      <c r="AV988" s="78">
        <v>4</v>
      </c>
      <c r="AW988" s="78" t="s">
        <v>71</v>
      </c>
      <c r="AX988" s="78">
        <v>1</v>
      </c>
      <c r="AY988" s="78">
        <v>0</v>
      </c>
      <c r="BT988" s="2" t="s">
        <v>71</v>
      </c>
      <c r="BU988" s="2">
        <v>1</v>
      </c>
      <c r="BV988" s="2">
        <v>0</v>
      </c>
    </row>
    <row r="989" spans="1:74" ht="15" customHeight="1" x14ac:dyDescent="0.25">
      <c r="A989" s="75">
        <v>5911649</v>
      </c>
      <c r="B989" t="s">
        <v>4390</v>
      </c>
      <c r="C989" t="s">
        <v>4112</v>
      </c>
      <c r="D989" t="s">
        <v>1555</v>
      </c>
      <c r="E989" t="s">
        <v>87</v>
      </c>
      <c r="F989" s="75">
        <v>128</v>
      </c>
      <c r="G989" s="75">
        <v>285591</v>
      </c>
      <c r="H989">
        <v>368.16</v>
      </c>
      <c r="I989" t="s">
        <v>55</v>
      </c>
      <c r="J989" s="75">
        <v>218791</v>
      </c>
      <c r="K989" t="s">
        <v>312</v>
      </c>
      <c r="L989" t="s">
        <v>313</v>
      </c>
      <c r="M989" s="81">
        <v>46121.459131944437</v>
      </c>
      <c r="N989" s="81">
        <v>46124.485960648148</v>
      </c>
      <c r="O989" t="s">
        <v>58</v>
      </c>
      <c r="P989" t="s">
        <v>59</v>
      </c>
      <c r="Q989" t="s">
        <v>90</v>
      </c>
      <c r="R989" t="s">
        <v>60</v>
      </c>
      <c r="S989" t="s">
        <v>583</v>
      </c>
      <c r="U989" s="75">
        <v>227781</v>
      </c>
      <c r="V989" t="s">
        <v>4391</v>
      </c>
      <c r="W989" t="s">
        <v>4392</v>
      </c>
      <c r="X989" t="s">
        <v>62</v>
      </c>
      <c r="Y989" t="s">
        <v>63</v>
      </c>
      <c r="AA989" t="s">
        <v>416</v>
      </c>
      <c r="AB989">
        <v>72.583332999999996</v>
      </c>
      <c r="AC989">
        <v>57.116667</v>
      </c>
      <c r="AD989">
        <v>15.466666</v>
      </c>
      <c r="AE989">
        <v>0.23333300000000001</v>
      </c>
      <c r="AF989">
        <v>0</v>
      </c>
      <c r="AG989">
        <v>15.233333</v>
      </c>
      <c r="AH989">
        <v>15.233333</v>
      </c>
      <c r="AI989">
        <v>14.183332999999999</v>
      </c>
      <c r="AJ989">
        <v>1.05</v>
      </c>
      <c r="AK989">
        <v>0</v>
      </c>
      <c r="AL989" s="76">
        <v>45076.684317129628</v>
      </c>
      <c r="AM989" s="75">
        <v>1044</v>
      </c>
      <c r="AN989" t="s">
        <v>65</v>
      </c>
      <c r="AO989" t="s">
        <v>4114</v>
      </c>
      <c r="AP989" t="s">
        <v>67</v>
      </c>
      <c r="AQ989" t="s">
        <v>68</v>
      </c>
      <c r="AR989" t="s">
        <v>69</v>
      </c>
      <c r="AS989" s="79"/>
      <c r="AT989" s="82" t="s">
        <v>4115</v>
      </c>
      <c r="AU989" s="78">
        <v>2026</v>
      </c>
      <c r="AV989" s="78">
        <v>4</v>
      </c>
      <c r="AW989" s="78" t="s">
        <v>71</v>
      </c>
      <c r="AX989" s="78">
        <v>0</v>
      </c>
      <c r="AY989" s="78">
        <v>0</v>
      </c>
      <c r="BT989" s="3" t="s">
        <v>71</v>
      </c>
      <c r="BU989" s="3">
        <v>0</v>
      </c>
      <c r="BV989" s="3">
        <v>0</v>
      </c>
    </row>
    <row r="990" spans="1:74" ht="15" customHeight="1" x14ac:dyDescent="0.25">
      <c r="A990" s="75">
        <v>5901753</v>
      </c>
      <c r="B990" t="s">
        <v>4393</v>
      </c>
      <c r="C990" t="s">
        <v>2357</v>
      </c>
      <c r="D990" t="s">
        <v>1555</v>
      </c>
      <c r="E990" t="s">
        <v>87</v>
      </c>
      <c r="F990" s="75">
        <v>216</v>
      </c>
      <c r="G990" s="75">
        <v>286107</v>
      </c>
      <c r="H990">
        <v>364.96</v>
      </c>
      <c r="I990" t="s">
        <v>55</v>
      </c>
      <c r="J990" s="75">
        <v>218787</v>
      </c>
      <c r="K990" t="s">
        <v>96</v>
      </c>
      <c r="L990" t="s">
        <v>97</v>
      </c>
      <c r="M990" s="81">
        <v>46113.65320601852</v>
      </c>
      <c r="N990" s="81">
        <v>46124.488935185182</v>
      </c>
      <c r="O990" t="s">
        <v>58</v>
      </c>
      <c r="P990" t="s">
        <v>59</v>
      </c>
      <c r="Q990" t="s">
        <v>90</v>
      </c>
      <c r="R990" t="s">
        <v>60</v>
      </c>
      <c r="S990" t="s">
        <v>583</v>
      </c>
      <c r="U990" s="75">
        <v>227719</v>
      </c>
      <c r="V990" t="s">
        <v>4394</v>
      </c>
      <c r="W990" t="s">
        <v>4395</v>
      </c>
      <c r="X990" t="s">
        <v>62</v>
      </c>
      <c r="Y990" t="s">
        <v>63</v>
      </c>
      <c r="AA990" t="s">
        <v>295</v>
      </c>
      <c r="AB990">
        <v>259.86666700000001</v>
      </c>
      <c r="AC990">
        <v>188.033334</v>
      </c>
      <c r="AD990">
        <v>71.833332999999996</v>
      </c>
      <c r="AE990">
        <v>6.6667000000000004E-2</v>
      </c>
      <c r="AF990">
        <v>0</v>
      </c>
      <c r="AG990">
        <v>71.766666000000001</v>
      </c>
      <c r="AH990">
        <v>71.766666000000001</v>
      </c>
      <c r="AI990">
        <v>68.066665999999998</v>
      </c>
      <c r="AJ990">
        <v>3.7</v>
      </c>
      <c r="AK990">
        <v>0</v>
      </c>
      <c r="AL990" s="76">
        <v>44874</v>
      </c>
      <c r="AM990" s="75">
        <v>1239</v>
      </c>
      <c r="AN990" t="s">
        <v>65</v>
      </c>
      <c r="AO990" t="s">
        <v>2360</v>
      </c>
      <c r="AP990" t="s">
        <v>67</v>
      </c>
      <c r="AQ990" t="s">
        <v>68</v>
      </c>
      <c r="AR990" t="s">
        <v>69</v>
      </c>
      <c r="AS990" s="78"/>
      <c r="AT990" s="82" t="s">
        <v>4115</v>
      </c>
      <c r="AU990" s="78">
        <v>2026</v>
      </c>
      <c r="AV990" s="78">
        <v>4</v>
      </c>
      <c r="AW990" s="78" t="s">
        <v>71</v>
      </c>
      <c r="AX990" s="78">
        <v>0</v>
      </c>
      <c r="AY990" s="78">
        <v>1</v>
      </c>
      <c r="BT990" s="2" t="s">
        <v>71</v>
      </c>
      <c r="BU990" s="2">
        <v>0</v>
      </c>
      <c r="BV990" s="2">
        <v>1</v>
      </c>
    </row>
    <row r="991" spans="1:74" ht="15" customHeight="1" x14ac:dyDescent="0.25">
      <c r="A991" s="75">
        <v>5909385</v>
      </c>
      <c r="B991" t="s">
        <v>4396</v>
      </c>
      <c r="C991" t="s">
        <v>3189</v>
      </c>
      <c r="D991" t="s">
        <v>1555</v>
      </c>
      <c r="E991" t="s">
        <v>87</v>
      </c>
      <c r="F991" s="75">
        <v>59</v>
      </c>
      <c r="G991" s="75">
        <v>280119</v>
      </c>
      <c r="H991">
        <v>951.11</v>
      </c>
      <c r="I991" t="s">
        <v>266</v>
      </c>
      <c r="J991" s="75">
        <v>203659</v>
      </c>
      <c r="K991" t="s">
        <v>1090</v>
      </c>
      <c r="L991" t="s">
        <v>1091</v>
      </c>
      <c r="M991" s="81">
        <v>46119.805891203701</v>
      </c>
      <c r="N991" s="81">
        <v>46124.490034722221</v>
      </c>
      <c r="O991" t="s">
        <v>58</v>
      </c>
      <c r="P991" t="s">
        <v>59</v>
      </c>
      <c r="Q991" t="s">
        <v>90</v>
      </c>
      <c r="R991" t="s">
        <v>99</v>
      </c>
      <c r="S991" t="s">
        <v>1244</v>
      </c>
      <c r="U991" s="75">
        <v>226831</v>
      </c>
      <c r="V991" t="s">
        <v>4397</v>
      </c>
      <c r="X991" t="s">
        <v>62</v>
      </c>
      <c r="Y991" t="s">
        <v>63</v>
      </c>
      <c r="AA991" t="s">
        <v>416</v>
      </c>
      <c r="AB991">
        <v>112.3</v>
      </c>
      <c r="AC991">
        <v>91.066665999999998</v>
      </c>
      <c r="AD991">
        <v>21.233333999999999</v>
      </c>
      <c r="AE991">
        <v>2.0333329999999998</v>
      </c>
      <c r="AF991">
        <v>0</v>
      </c>
      <c r="AG991">
        <v>19.200001</v>
      </c>
      <c r="AH991">
        <v>19.200001</v>
      </c>
      <c r="AI991">
        <v>16.266667000000002</v>
      </c>
      <c r="AJ991">
        <v>2.9333339999999999</v>
      </c>
      <c r="AK991">
        <v>0</v>
      </c>
      <c r="AL991" s="76">
        <v>44783</v>
      </c>
      <c r="AM991" s="75">
        <v>1336</v>
      </c>
      <c r="AN991" t="s">
        <v>65</v>
      </c>
      <c r="AO991" t="s">
        <v>4398</v>
      </c>
      <c r="AP991" t="s">
        <v>67</v>
      </c>
      <c r="AQ991" t="s">
        <v>68</v>
      </c>
      <c r="AR991" t="s">
        <v>69</v>
      </c>
      <c r="AS991" s="79"/>
      <c r="AT991" s="82" t="s">
        <v>4115</v>
      </c>
      <c r="AU991" s="78">
        <v>2026</v>
      </c>
      <c r="AV991" s="78">
        <v>4</v>
      </c>
      <c r="AW991" s="78" t="s">
        <v>71</v>
      </c>
      <c r="AX991" s="78">
        <v>0</v>
      </c>
      <c r="AY991" s="78">
        <v>0</v>
      </c>
      <c r="BT991" s="3" t="s">
        <v>71</v>
      </c>
      <c r="BU991" s="3">
        <v>0</v>
      </c>
      <c r="BV991" s="3">
        <v>0</v>
      </c>
    </row>
    <row r="992" spans="1:74" ht="15" customHeight="1" x14ac:dyDescent="0.25">
      <c r="A992" s="75">
        <v>5911761</v>
      </c>
      <c r="B992" t="s">
        <v>4399</v>
      </c>
      <c r="C992" t="s">
        <v>4400</v>
      </c>
      <c r="D992" t="s">
        <v>1555</v>
      </c>
      <c r="E992" t="s">
        <v>54</v>
      </c>
      <c r="F992" s="75">
        <v>1</v>
      </c>
      <c r="G992" s="75">
        <v>291085</v>
      </c>
      <c r="H992">
        <v>1362.79</v>
      </c>
      <c r="I992" t="s">
        <v>114</v>
      </c>
      <c r="J992" s="75">
        <v>217703</v>
      </c>
      <c r="K992" t="s">
        <v>2813</v>
      </c>
      <c r="L992" t="s">
        <v>2814</v>
      </c>
      <c r="M992" s="81">
        <v>46121.489814814813</v>
      </c>
      <c r="N992" s="81">
        <v>46124.49046296296</v>
      </c>
      <c r="O992" t="s">
        <v>58</v>
      </c>
      <c r="P992" t="s">
        <v>59</v>
      </c>
      <c r="Q992" t="s">
        <v>341</v>
      </c>
      <c r="R992" t="s">
        <v>99</v>
      </c>
      <c r="S992" t="s">
        <v>1244</v>
      </c>
      <c r="U992" s="75">
        <v>228113</v>
      </c>
      <c r="V992" t="s">
        <v>4401</v>
      </c>
      <c r="X992" t="s">
        <v>62</v>
      </c>
      <c r="Y992" t="s">
        <v>63</v>
      </c>
      <c r="AA992" t="s">
        <v>416</v>
      </c>
      <c r="AB992">
        <v>71.949999000000005</v>
      </c>
      <c r="AC992">
        <v>51.966667000000001</v>
      </c>
      <c r="AD992">
        <v>19.983332000000001</v>
      </c>
      <c r="AE992">
        <v>0.88333300000000003</v>
      </c>
      <c r="AF992">
        <v>0</v>
      </c>
      <c r="AG992">
        <v>19.099999</v>
      </c>
      <c r="AH992">
        <v>19.099999</v>
      </c>
      <c r="AI992">
        <v>17.883333</v>
      </c>
      <c r="AJ992">
        <v>1.216666</v>
      </c>
      <c r="AK992">
        <v>0</v>
      </c>
      <c r="AL992" s="76">
        <v>45071.738807870373</v>
      </c>
      <c r="AM992" s="75">
        <v>1049</v>
      </c>
      <c r="AN992" t="s">
        <v>65</v>
      </c>
      <c r="AO992" t="s">
        <v>2817</v>
      </c>
      <c r="AP992" t="s">
        <v>67</v>
      </c>
      <c r="AQ992" t="s">
        <v>68</v>
      </c>
      <c r="AR992" t="s">
        <v>69</v>
      </c>
      <c r="AS992" s="78"/>
      <c r="AT992" s="82" t="s">
        <v>4115</v>
      </c>
      <c r="AU992" s="78">
        <v>2026</v>
      </c>
      <c r="AV992" s="78">
        <v>4</v>
      </c>
      <c r="AW992" s="78" t="s">
        <v>71</v>
      </c>
      <c r="AX992" s="78">
        <v>0</v>
      </c>
      <c r="AY992" s="78">
        <v>0</v>
      </c>
      <c r="BT992" s="2" t="s">
        <v>71</v>
      </c>
      <c r="BU992" s="2">
        <v>0</v>
      </c>
      <c r="BV992" s="2">
        <v>0</v>
      </c>
    </row>
    <row r="993" spans="1:74" ht="15" customHeight="1" x14ac:dyDescent="0.25">
      <c r="A993" s="75">
        <v>5909595</v>
      </c>
      <c r="B993" t="s">
        <v>4402</v>
      </c>
      <c r="C993" t="s">
        <v>4403</v>
      </c>
      <c r="D993" t="s">
        <v>1555</v>
      </c>
      <c r="E993" t="s">
        <v>87</v>
      </c>
      <c r="F993" s="75">
        <v>32</v>
      </c>
      <c r="G993" s="75">
        <v>280187</v>
      </c>
      <c r="H993">
        <v>926.83</v>
      </c>
      <c r="I993" t="s">
        <v>266</v>
      </c>
      <c r="J993" s="75">
        <v>201809</v>
      </c>
      <c r="K993" t="s">
        <v>505</v>
      </c>
      <c r="L993" t="s">
        <v>506</v>
      </c>
      <c r="M993" s="81">
        <v>46120.333680555559</v>
      </c>
      <c r="N993" s="81">
        <v>46124.491828703707</v>
      </c>
      <c r="O993" t="s">
        <v>58</v>
      </c>
      <c r="P993" t="s">
        <v>59</v>
      </c>
      <c r="Q993" t="s">
        <v>98</v>
      </c>
      <c r="R993" t="s">
        <v>144</v>
      </c>
      <c r="S993" t="s">
        <v>1901</v>
      </c>
      <c r="T993" t="s">
        <v>507</v>
      </c>
      <c r="U993" s="75">
        <v>227745</v>
      </c>
      <c r="V993" t="s">
        <v>4404</v>
      </c>
      <c r="W993" t="s">
        <v>4405</v>
      </c>
      <c r="X993" t="s">
        <v>62</v>
      </c>
      <c r="Y993" t="s">
        <v>510</v>
      </c>
      <c r="AA993" t="s">
        <v>416</v>
      </c>
      <c r="AB993">
        <v>99.650001000000003</v>
      </c>
      <c r="AC993">
        <v>76.683334000000002</v>
      </c>
      <c r="AD993">
        <v>22.966667000000001</v>
      </c>
      <c r="AE993">
        <v>1.0499989999999999</v>
      </c>
      <c r="AF993">
        <v>0</v>
      </c>
      <c r="AG993">
        <v>21.916668000000001</v>
      </c>
      <c r="AH993">
        <v>21.916668000000001</v>
      </c>
      <c r="AI993">
        <v>19.300001000000002</v>
      </c>
      <c r="AJ993">
        <v>2.6166670000000001</v>
      </c>
      <c r="AK993">
        <v>0</v>
      </c>
      <c r="AL993" s="76">
        <v>44364</v>
      </c>
      <c r="AM993" s="75">
        <v>1756</v>
      </c>
      <c r="AN993" t="s">
        <v>65</v>
      </c>
      <c r="AO993" t="s">
        <v>511</v>
      </c>
      <c r="AP993" t="s">
        <v>67</v>
      </c>
      <c r="AQ993" t="s">
        <v>68</v>
      </c>
      <c r="AR993" t="s">
        <v>69</v>
      </c>
      <c r="AS993" s="79"/>
      <c r="AT993" s="82" t="s">
        <v>4115</v>
      </c>
      <c r="AU993" s="78">
        <v>2026</v>
      </c>
      <c r="AV993" s="78">
        <v>4</v>
      </c>
      <c r="AW993" s="78" t="s">
        <v>137</v>
      </c>
      <c r="AX993" s="78">
        <v>0</v>
      </c>
      <c r="AY993" s="78">
        <v>0</v>
      </c>
      <c r="BT993" s="3" t="s">
        <v>137</v>
      </c>
      <c r="BU993" s="3">
        <v>0</v>
      </c>
      <c r="BV993" s="3">
        <v>0</v>
      </c>
    </row>
    <row r="994" spans="1:74" ht="15" customHeight="1" x14ac:dyDescent="0.25">
      <c r="A994" s="75">
        <v>5912657</v>
      </c>
      <c r="B994" t="s">
        <v>4406</v>
      </c>
      <c r="C994" t="s">
        <v>1414</v>
      </c>
      <c r="D994" t="s">
        <v>1555</v>
      </c>
      <c r="E994" t="s">
        <v>87</v>
      </c>
      <c r="F994" s="75">
        <v>279</v>
      </c>
      <c r="G994" s="75">
        <v>286419</v>
      </c>
      <c r="H994">
        <v>350</v>
      </c>
      <c r="I994" t="s">
        <v>55</v>
      </c>
      <c r="J994" s="75">
        <v>218787</v>
      </c>
      <c r="K994" t="s">
        <v>96</v>
      </c>
      <c r="L994" t="s">
        <v>97</v>
      </c>
      <c r="M994" s="81">
        <v>46121.778622685182</v>
      </c>
      <c r="N994" s="81">
        <v>46124.55195601852</v>
      </c>
      <c r="O994" t="s">
        <v>58</v>
      </c>
      <c r="P994" t="s">
        <v>59</v>
      </c>
      <c r="Q994" t="s">
        <v>90</v>
      </c>
      <c r="R994" t="s">
        <v>60</v>
      </c>
      <c r="S994" t="s">
        <v>583</v>
      </c>
      <c r="U994" s="75">
        <v>227683</v>
      </c>
      <c r="V994" t="s">
        <v>4407</v>
      </c>
      <c r="W994" t="s">
        <v>4408</v>
      </c>
      <c r="X994" t="s">
        <v>62</v>
      </c>
      <c r="Y994" t="s">
        <v>63</v>
      </c>
      <c r="AA994" t="s">
        <v>101</v>
      </c>
      <c r="AB994">
        <v>66.499999000000003</v>
      </c>
      <c r="AC994">
        <v>56.083333000000003</v>
      </c>
      <c r="AD994">
        <v>10.416665999999999</v>
      </c>
      <c r="AE994">
        <v>2.1</v>
      </c>
      <c r="AF994">
        <v>0</v>
      </c>
      <c r="AG994">
        <v>8.3166659999999997</v>
      </c>
      <c r="AH994">
        <v>8.3166659999999997</v>
      </c>
      <c r="AI994">
        <v>4.8166659999999997</v>
      </c>
      <c r="AJ994">
        <v>3.5</v>
      </c>
      <c r="AK994">
        <v>0</v>
      </c>
      <c r="AL994" s="76">
        <v>44894</v>
      </c>
      <c r="AM994" s="75">
        <v>1227</v>
      </c>
      <c r="AN994" t="s">
        <v>65</v>
      </c>
      <c r="AO994" t="s">
        <v>1417</v>
      </c>
      <c r="AP994" t="s">
        <v>67</v>
      </c>
      <c r="AQ994" t="s">
        <v>68</v>
      </c>
      <c r="AR994" t="s">
        <v>69</v>
      </c>
      <c r="AS994" s="78"/>
      <c r="AT994" s="82" t="s">
        <v>4115</v>
      </c>
      <c r="AU994" s="78">
        <v>2026</v>
      </c>
      <c r="AV994" s="78">
        <v>4</v>
      </c>
      <c r="AW994" s="78" t="s">
        <v>71</v>
      </c>
      <c r="AX994" s="78">
        <v>0</v>
      </c>
      <c r="AY994" s="78">
        <v>0</v>
      </c>
      <c r="BT994" s="2" t="s">
        <v>71</v>
      </c>
      <c r="BU994" s="2">
        <v>0</v>
      </c>
      <c r="BV994" s="2">
        <v>0</v>
      </c>
    </row>
    <row r="995" spans="1:74" ht="15" customHeight="1" x14ac:dyDescent="0.25">
      <c r="A995" s="75">
        <v>5912423</v>
      </c>
      <c r="B995" t="s">
        <v>4409</v>
      </c>
      <c r="C995" t="s">
        <v>4410</v>
      </c>
      <c r="D995" t="s">
        <v>1555</v>
      </c>
      <c r="E995" t="s">
        <v>54</v>
      </c>
      <c r="F995" s="75">
        <v>1</v>
      </c>
      <c r="G995" s="75">
        <v>265997</v>
      </c>
      <c r="H995">
        <v>974.56</v>
      </c>
      <c r="I995" t="s">
        <v>266</v>
      </c>
      <c r="J995" s="75">
        <v>216191</v>
      </c>
      <c r="K995" t="s">
        <v>4411</v>
      </c>
      <c r="L995" t="s">
        <v>4412</v>
      </c>
      <c r="M995" s="81">
        <v>46121.688692129632</v>
      </c>
      <c r="N995" s="81">
        <v>46124.558437500003</v>
      </c>
      <c r="O995" t="s">
        <v>58</v>
      </c>
      <c r="P995" t="s">
        <v>59</v>
      </c>
      <c r="Q995" t="s">
        <v>130</v>
      </c>
      <c r="R995" t="s">
        <v>60</v>
      </c>
      <c r="S995" t="s">
        <v>583</v>
      </c>
      <c r="U995" s="75">
        <v>228501</v>
      </c>
      <c r="V995" t="s">
        <v>4413</v>
      </c>
      <c r="X995" t="s">
        <v>118</v>
      </c>
      <c r="Y995" t="s">
        <v>484</v>
      </c>
      <c r="AA995" t="s">
        <v>64</v>
      </c>
      <c r="AB995">
        <v>68.816668000000007</v>
      </c>
      <c r="AC995">
        <v>62.300001000000002</v>
      </c>
      <c r="AD995">
        <v>6.516667</v>
      </c>
      <c r="AE995">
        <v>0.26666699999999999</v>
      </c>
      <c r="AF995">
        <v>0</v>
      </c>
      <c r="AG995">
        <v>6.25</v>
      </c>
      <c r="AH995">
        <v>6.25</v>
      </c>
      <c r="AI995">
        <v>5.55</v>
      </c>
      <c r="AJ995">
        <v>0.7</v>
      </c>
      <c r="AK995">
        <v>0</v>
      </c>
      <c r="AL995" s="76">
        <v>36526</v>
      </c>
      <c r="AM995" s="75">
        <v>9595</v>
      </c>
      <c r="AN995" t="s">
        <v>65</v>
      </c>
      <c r="AO995" t="s">
        <v>4414</v>
      </c>
      <c r="AP995" t="s">
        <v>67</v>
      </c>
      <c r="AQ995" t="s">
        <v>121</v>
      </c>
      <c r="AR995" t="s">
        <v>69</v>
      </c>
      <c r="AS995" s="79"/>
      <c r="AT995" s="82" t="s">
        <v>4115</v>
      </c>
      <c r="AU995" s="78">
        <v>2026</v>
      </c>
      <c r="AV995" s="78">
        <v>4</v>
      </c>
      <c r="AW995" s="78" t="s">
        <v>347</v>
      </c>
      <c r="AX995" s="78">
        <v>1</v>
      </c>
      <c r="AY995" s="78">
        <v>0</v>
      </c>
      <c r="BT995" s="3" t="s">
        <v>347</v>
      </c>
      <c r="BU995" s="3">
        <v>1</v>
      </c>
      <c r="BV995" s="3">
        <v>0</v>
      </c>
    </row>
    <row r="996" spans="1:74" ht="15" customHeight="1" x14ac:dyDescent="0.25">
      <c r="A996" s="75">
        <v>5915275</v>
      </c>
      <c r="B996" t="s">
        <v>4415</v>
      </c>
      <c r="C996" t="s">
        <v>1801</v>
      </c>
      <c r="D996" t="s">
        <v>282</v>
      </c>
      <c r="E996" t="s">
        <v>54</v>
      </c>
      <c r="F996" s="75">
        <v>250</v>
      </c>
      <c r="G996" s="75">
        <v>52799</v>
      </c>
      <c r="H996">
        <v>304.88</v>
      </c>
      <c r="I996" t="s">
        <v>114</v>
      </c>
      <c r="J996" s="75">
        <v>6421</v>
      </c>
      <c r="K996" t="s">
        <v>291</v>
      </c>
      <c r="L996" t="s">
        <v>292</v>
      </c>
      <c r="M996" s="81">
        <v>46124.479791666658</v>
      </c>
      <c r="N996" s="81">
        <v>46124.682986111111</v>
      </c>
      <c r="O996" t="s">
        <v>58</v>
      </c>
      <c r="P996" t="s">
        <v>59</v>
      </c>
      <c r="Q996" t="s">
        <v>90</v>
      </c>
      <c r="R996" t="s">
        <v>156</v>
      </c>
      <c r="S996" t="s">
        <v>1311</v>
      </c>
      <c r="U996" s="75">
        <v>229183</v>
      </c>
      <c r="V996" t="s">
        <v>4416</v>
      </c>
      <c r="W996" t="s">
        <v>4416</v>
      </c>
      <c r="X996" t="s">
        <v>79</v>
      </c>
      <c r="Y996" t="s">
        <v>224</v>
      </c>
      <c r="AA996" t="s">
        <v>64</v>
      </c>
      <c r="AB996">
        <v>4.8166650000000004</v>
      </c>
      <c r="AC996">
        <v>0.13333300000000001</v>
      </c>
      <c r="AD996">
        <v>4.6833320000000001</v>
      </c>
      <c r="AE996">
        <v>0.11666600000000001</v>
      </c>
      <c r="AF996">
        <v>0</v>
      </c>
      <c r="AG996">
        <v>4.5666659999999997</v>
      </c>
      <c r="AH996">
        <v>4.5666659999999997</v>
      </c>
      <c r="AI996">
        <v>4.2833329999999998</v>
      </c>
      <c r="AJ996">
        <v>0.283333</v>
      </c>
      <c r="AK996">
        <v>0</v>
      </c>
      <c r="AL996" s="76">
        <v>42727.625</v>
      </c>
      <c r="AM996" s="75">
        <v>3396</v>
      </c>
      <c r="AN996" t="s">
        <v>65</v>
      </c>
      <c r="AO996" t="s">
        <v>1803</v>
      </c>
      <c r="AP996" t="s">
        <v>67</v>
      </c>
      <c r="AQ996" t="s">
        <v>83</v>
      </c>
      <c r="AR996" t="s">
        <v>69</v>
      </c>
      <c r="AS996" s="78"/>
      <c r="AT996" s="82" t="s">
        <v>4115</v>
      </c>
      <c r="AU996" s="78">
        <v>2026</v>
      </c>
      <c r="AV996" s="78">
        <v>4</v>
      </c>
      <c r="AW996" s="78" t="s">
        <v>226</v>
      </c>
      <c r="AX996" s="78">
        <v>1</v>
      </c>
      <c r="AY996" s="78">
        <v>0</v>
      </c>
      <c r="BT996" s="2" t="s">
        <v>226</v>
      </c>
      <c r="BU996" s="2">
        <v>1</v>
      </c>
      <c r="BV996" s="2">
        <v>0</v>
      </c>
    </row>
    <row r="997" spans="1:74" ht="15" customHeight="1" x14ac:dyDescent="0.25">
      <c r="A997" s="75">
        <v>5913491</v>
      </c>
      <c r="B997" t="s">
        <v>4417</v>
      </c>
      <c r="C997" t="s">
        <v>4418</v>
      </c>
      <c r="D997" t="s">
        <v>527</v>
      </c>
      <c r="E997" t="s">
        <v>87</v>
      </c>
      <c r="F997" s="75">
        <v>14</v>
      </c>
      <c r="G997" s="75">
        <v>290929</v>
      </c>
      <c r="H997">
        <v>0.01</v>
      </c>
      <c r="I997" t="s">
        <v>853</v>
      </c>
      <c r="J997" s="75">
        <v>52957</v>
      </c>
      <c r="K997" t="s">
        <v>575</v>
      </c>
      <c r="L997" t="s">
        <v>576</v>
      </c>
      <c r="M997" s="81">
        <v>46122.50277777778</v>
      </c>
      <c r="N997" s="81">
        <v>46125.389594907407</v>
      </c>
      <c r="O997" t="s">
        <v>391</v>
      </c>
      <c r="P997" t="s">
        <v>59</v>
      </c>
      <c r="Q997" t="s">
        <v>77</v>
      </c>
      <c r="R997" t="s">
        <v>60</v>
      </c>
      <c r="S997" t="s">
        <v>583</v>
      </c>
      <c r="U997" s="75">
        <v>229021</v>
      </c>
      <c r="V997" t="s">
        <v>4419</v>
      </c>
      <c r="W997" t="s">
        <v>4420</v>
      </c>
      <c r="X997" t="s">
        <v>118</v>
      </c>
      <c r="Y997" t="s">
        <v>4421</v>
      </c>
      <c r="AA997" t="s">
        <v>81</v>
      </c>
      <c r="AB997">
        <v>69.233333999999999</v>
      </c>
      <c r="AC997">
        <v>65.183334000000002</v>
      </c>
      <c r="AD997">
        <v>4.05</v>
      </c>
      <c r="AE997">
        <v>0.15</v>
      </c>
      <c r="AF997">
        <v>0</v>
      </c>
      <c r="AG997">
        <v>3.9</v>
      </c>
      <c r="AH997">
        <v>3.9</v>
      </c>
      <c r="AI997">
        <v>3.9</v>
      </c>
      <c r="AJ997">
        <v>0</v>
      </c>
      <c r="AK997">
        <v>0</v>
      </c>
      <c r="AL997" s="76">
        <v>45253</v>
      </c>
      <c r="AM997" s="75">
        <v>869</v>
      </c>
      <c r="AN997" t="s">
        <v>65</v>
      </c>
      <c r="AO997" t="s">
        <v>4422</v>
      </c>
      <c r="AP997" t="s">
        <v>67</v>
      </c>
      <c r="AQ997" t="s">
        <v>121</v>
      </c>
      <c r="AR997" t="s">
        <v>69</v>
      </c>
      <c r="AS997" s="79"/>
      <c r="AT997" s="82" t="s">
        <v>4423</v>
      </c>
      <c r="AU997" s="78">
        <v>2026</v>
      </c>
      <c r="AV997" s="78">
        <v>4</v>
      </c>
      <c r="AW997" s="78" t="s">
        <v>347</v>
      </c>
      <c r="AX997" s="78">
        <v>1</v>
      </c>
      <c r="AY997" s="78">
        <v>0</v>
      </c>
      <c r="BT997" s="3" t="s">
        <v>347</v>
      </c>
      <c r="BU997" s="3">
        <v>1</v>
      </c>
      <c r="BV997" s="3">
        <v>0</v>
      </c>
    </row>
    <row r="998" spans="1:74" ht="15" customHeight="1" x14ac:dyDescent="0.25">
      <c r="A998" s="75">
        <v>5914861</v>
      </c>
      <c r="B998" t="s">
        <v>4424</v>
      </c>
      <c r="C998" t="s">
        <v>4425</v>
      </c>
      <c r="D998" t="s">
        <v>2379</v>
      </c>
      <c r="E998" t="s">
        <v>54</v>
      </c>
      <c r="F998" s="75">
        <v>1</v>
      </c>
      <c r="G998" s="75">
        <v>253677</v>
      </c>
      <c r="H998">
        <v>449</v>
      </c>
      <c r="I998" t="s">
        <v>195</v>
      </c>
      <c r="J998" s="75">
        <v>204267</v>
      </c>
      <c r="K998" t="s">
        <v>4426</v>
      </c>
      <c r="L998" t="s">
        <v>4427</v>
      </c>
      <c r="M998" s="81">
        <v>46123.561689814807</v>
      </c>
      <c r="N998" s="81">
        <v>46125.467476851853</v>
      </c>
      <c r="O998" t="s">
        <v>58</v>
      </c>
      <c r="P998" t="s">
        <v>59</v>
      </c>
      <c r="R998" t="s">
        <v>99</v>
      </c>
      <c r="S998" t="s">
        <v>1244</v>
      </c>
      <c r="U998" s="75"/>
      <c r="X998" t="s">
        <v>79</v>
      </c>
      <c r="Y998" t="s">
        <v>224</v>
      </c>
      <c r="AA998" t="s">
        <v>81</v>
      </c>
      <c r="AB998">
        <v>45.666665999999999</v>
      </c>
      <c r="AC998">
        <v>45.033332999999999</v>
      </c>
      <c r="AD998">
        <v>0.63333300000000003</v>
      </c>
      <c r="AE998">
        <v>0.41666700000000001</v>
      </c>
      <c r="AF998">
        <v>0</v>
      </c>
      <c r="AG998">
        <v>0.216666</v>
      </c>
      <c r="AH998">
        <v>0.216666</v>
      </c>
      <c r="AI998">
        <v>0</v>
      </c>
      <c r="AJ998">
        <v>0.216666</v>
      </c>
      <c r="AK998">
        <v>0</v>
      </c>
      <c r="AL998" s="76">
        <v>44725.471296296288</v>
      </c>
      <c r="AM998" s="75">
        <v>1398</v>
      </c>
      <c r="AN998" t="s">
        <v>65</v>
      </c>
      <c r="AO998" t="s">
        <v>4428</v>
      </c>
      <c r="AP998" t="s">
        <v>67</v>
      </c>
      <c r="AQ998" t="s">
        <v>83</v>
      </c>
      <c r="AR998" t="s">
        <v>69</v>
      </c>
      <c r="AS998" s="78"/>
      <c r="AT998" s="82" t="s">
        <v>4423</v>
      </c>
      <c r="AU998" s="78">
        <v>2026</v>
      </c>
      <c r="AV998" s="78">
        <v>4</v>
      </c>
      <c r="AW998" s="78" t="s">
        <v>226</v>
      </c>
      <c r="AX998" s="78">
        <v>1</v>
      </c>
      <c r="AY998" s="78">
        <v>0</v>
      </c>
      <c r="BT998" s="2" t="s">
        <v>226</v>
      </c>
      <c r="BU998" s="2">
        <v>1</v>
      </c>
      <c r="BV998" s="2">
        <v>0</v>
      </c>
    </row>
    <row r="999" spans="1:74" ht="15" customHeight="1" x14ac:dyDescent="0.25">
      <c r="A999" s="75">
        <v>5913307</v>
      </c>
      <c r="B999" t="s">
        <v>4429</v>
      </c>
      <c r="C999" t="s">
        <v>4430</v>
      </c>
      <c r="D999" t="s">
        <v>1555</v>
      </c>
      <c r="E999" t="s">
        <v>54</v>
      </c>
      <c r="F999" s="75">
        <v>147</v>
      </c>
      <c r="G999" s="75">
        <v>288675</v>
      </c>
      <c r="H999">
        <v>2628.25</v>
      </c>
      <c r="I999" t="s">
        <v>114</v>
      </c>
      <c r="J999" s="75">
        <v>212995</v>
      </c>
      <c r="K999" t="s">
        <v>3124</v>
      </c>
      <c r="L999" t="s">
        <v>3125</v>
      </c>
      <c r="M999" s="81">
        <v>46122.438773148147</v>
      </c>
      <c r="N999" s="81">
        <v>46125.488310185188</v>
      </c>
      <c r="O999" t="s">
        <v>58</v>
      </c>
      <c r="P999" t="s">
        <v>59</v>
      </c>
      <c r="Q999" t="s">
        <v>90</v>
      </c>
      <c r="R999" t="s">
        <v>60</v>
      </c>
      <c r="S999" t="s">
        <v>583</v>
      </c>
      <c r="U999" s="75">
        <v>228297</v>
      </c>
      <c r="V999" t="s">
        <v>4431</v>
      </c>
      <c r="X999" t="s">
        <v>118</v>
      </c>
      <c r="Y999" t="s">
        <v>2614</v>
      </c>
      <c r="AA999" t="s">
        <v>416</v>
      </c>
      <c r="AB999">
        <v>73.133332999999993</v>
      </c>
      <c r="AC999">
        <v>58.15</v>
      </c>
      <c r="AD999">
        <v>14.983333</v>
      </c>
      <c r="AE999">
        <v>0.1</v>
      </c>
      <c r="AF999">
        <v>0</v>
      </c>
      <c r="AG999">
        <v>14.883333</v>
      </c>
      <c r="AH999">
        <v>14.883333</v>
      </c>
      <c r="AI999">
        <v>14.766666000000001</v>
      </c>
      <c r="AJ999">
        <v>0.11666700000000001</v>
      </c>
      <c r="AK999">
        <v>0</v>
      </c>
      <c r="AL999" s="76">
        <v>45029.799386574072</v>
      </c>
      <c r="AM999" s="75">
        <v>1092</v>
      </c>
      <c r="AN999" t="s">
        <v>65</v>
      </c>
      <c r="AO999" t="s">
        <v>3127</v>
      </c>
      <c r="AP999" t="s">
        <v>67</v>
      </c>
      <c r="AQ999" t="s">
        <v>121</v>
      </c>
      <c r="AR999" t="s">
        <v>69</v>
      </c>
      <c r="AS999" s="79"/>
      <c r="AT999" s="82" t="s">
        <v>4423</v>
      </c>
      <c r="AU999" s="78">
        <v>2026</v>
      </c>
      <c r="AV999" s="78">
        <v>4</v>
      </c>
      <c r="AW999" s="78" t="s">
        <v>347</v>
      </c>
      <c r="AX999" s="78">
        <v>0</v>
      </c>
      <c r="AY999" s="78">
        <v>0</v>
      </c>
      <c r="BT999" s="3" t="s">
        <v>347</v>
      </c>
      <c r="BU999" s="3">
        <v>0</v>
      </c>
      <c r="BV999" s="3">
        <v>0</v>
      </c>
    </row>
    <row r="1000" spans="1:74" ht="15" customHeight="1" x14ac:dyDescent="0.25">
      <c r="A1000" s="75">
        <v>5914849</v>
      </c>
      <c r="B1000" t="s">
        <v>4432</v>
      </c>
      <c r="C1000" t="s">
        <v>4107</v>
      </c>
      <c r="D1000" t="s">
        <v>2379</v>
      </c>
      <c r="E1000" t="s">
        <v>87</v>
      </c>
      <c r="F1000" s="75">
        <v>225</v>
      </c>
      <c r="G1000" s="75">
        <v>286247</v>
      </c>
      <c r="H1000">
        <v>368.16</v>
      </c>
      <c r="I1000" t="s">
        <v>55</v>
      </c>
      <c r="J1000" s="75">
        <v>218791</v>
      </c>
      <c r="K1000" t="s">
        <v>312</v>
      </c>
      <c r="L1000" t="s">
        <v>313</v>
      </c>
      <c r="M1000" s="81">
        <v>46123.54923611111</v>
      </c>
      <c r="N1000" s="81">
        <v>46125.507430555554</v>
      </c>
      <c r="O1000" t="s">
        <v>58</v>
      </c>
      <c r="P1000" t="s">
        <v>59</v>
      </c>
      <c r="Q1000" t="s">
        <v>90</v>
      </c>
      <c r="R1000" t="s">
        <v>99</v>
      </c>
      <c r="S1000" t="s">
        <v>1244</v>
      </c>
      <c r="U1000" s="75"/>
      <c r="X1000" t="s">
        <v>62</v>
      </c>
      <c r="Y1000" t="s">
        <v>63</v>
      </c>
      <c r="AA1000" t="s">
        <v>81</v>
      </c>
      <c r="AB1000">
        <v>46.933332999999998</v>
      </c>
      <c r="AC1000">
        <v>46.183334000000002</v>
      </c>
      <c r="AD1000">
        <v>0.74999899999999997</v>
      </c>
      <c r="AE1000">
        <v>0.566666</v>
      </c>
      <c r="AF1000">
        <v>0</v>
      </c>
      <c r="AG1000">
        <v>0.183333</v>
      </c>
      <c r="AH1000">
        <v>0.183333</v>
      </c>
      <c r="AI1000">
        <v>0</v>
      </c>
      <c r="AJ1000">
        <v>0.183333</v>
      </c>
      <c r="AK1000">
        <v>0</v>
      </c>
      <c r="AL1000" s="76">
        <v>44876.622743055559</v>
      </c>
      <c r="AM1000" s="75">
        <v>1246</v>
      </c>
      <c r="AN1000" t="s">
        <v>65</v>
      </c>
      <c r="AO1000" t="s">
        <v>660</v>
      </c>
      <c r="AP1000" t="s">
        <v>67</v>
      </c>
      <c r="AQ1000" t="s">
        <v>68</v>
      </c>
      <c r="AR1000" t="s">
        <v>69</v>
      </c>
      <c r="AS1000" s="78"/>
      <c r="AT1000" s="82" t="s">
        <v>4423</v>
      </c>
      <c r="AU1000" s="78">
        <v>2026</v>
      </c>
      <c r="AV1000" s="78">
        <v>4</v>
      </c>
      <c r="AW1000" s="78" t="s">
        <v>71</v>
      </c>
      <c r="AX1000" s="78">
        <v>1</v>
      </c>
      <c r="AY1000" s="78">
        <v>0</v>
      </c>
      <c r="BT1000" s="2" t="s">
        <v>71</v>
      </c>
      <c r="BU1000" s="2">
        <v>1</v>
      </c>
      <c r="BV1000" s="2">
        <v>0</v>
      </c>
    </row>
    <row r="1001" spans="1:74" ht="15" customHeight="1" x14ac:dyDescent="0.25">
      <c r="A1001" s="75">
        <v>5905371</v>
      </c>
      <c r="B1001" t="s">
        <v>4433</v>
      </c>
      <c r="C1001" t="s">
        <v>4434</v>
      </c>
      <c r="D1001" t="s">
        <v>1555</v>
      </c>
      <c r="E1001" t="s">
        <v>105</v>
      </c>
      <c r="F1001" s="75">
        <v>616</v>
      </c>
      <c r="G1001" s="75">
        <v>342881</v>
      </c>
      <c r="H1001">
        <v>225</v>
      </c>
      <c r="I1001" t="s">
        <v>163</v>
      </c>
      <c r="J1001" s="75">
        <v>48887</v>
      </c>
      <c r="K1001" t="s">
        <v>164</v>
      </c>
      <c r="L1001" t="s">
        <v>165</v>
      </c>
      <c r="M1001" s="81">
        <v>46117.468414351853</v>
      </c>
      <c r="N1001" s="81">
        <v>46125.511400462958</v>
      </c>
      <c r="O1001" t="s">
        <v>58</v>
      </c>
      <c r="P1001" t="s">
        <v>59</v>
      </c>
      <c r="Q1001" t="s">
        <v>77</v>
      </c>
      <c r="R1001" t="s">
        <v>131</v>
      </c>
      <c r="S1001" t="s">
        <v>1316</v>
      </c>
      <c r="U1001" s="75">
        <v>227725</v>
      </c>
      <c r="V1001" t="s">
        <v>4435</v>
      </c>
      <c r="X1001" t="s">
        <v>62</v>
      </c>
      <c r="Y1001" t="s">
        <v>63</v>
      </c>
      <c r="AA1001" t="s">
        <v>295</v>
      </c>
      <c r="AB1001">
        <v>192.85000099999999</v>
      </c>
      <c r="AC1001">
        <v>141.533333</v>
      </c>
      <c r="AD1001">
        <v>51.316668</v>
      </c>
      <c r="AE1001">
        <v>0.61666699999999997</v>
      </c>
      <c r="AF1001">
        <v>0</v>
      </c>
      <c r="AG1001">
        <v>50.700001</v>
      </c>
      <c r="AH1001">
        <v>50.700001</v>
      </c>
      <c r="AI1001">
        <v>48.150001000000003</v>
      </c>
      <c r="AJ1001">
        <v>2.5499999999999998</v>
      </c>
      <c r="AK1001">
        <v>0</v>
      </c>
      <c r="AL1001" s="76">
        <v>45874</v>
      </c>
      <c r="AM1001" s="75">
        <v>243</v>
      </c>
      <c r="AN1001" t="s">
        <v>65</v>
      </c>
      <c r="AO1001" t="s">
        <v>4436</v>
      </c>
      <c r="AP1001" t="s">
        <v>67</v>
      </c>
      <c r="AQ1001" t="s">
        <v>68</v>
      </c>
      <c r="AR1001" t="s">
        <v>69</v>
      </c>
      <c r="AS1001" s="79"/>
      <c r="AT1001" s="82" t="s">
        <v>4423</v>
      </c>
      <c r="AU1001" s="78">
        <v>2026</v>
      </c>
      <c r="AV1001" s="78">
        <v>4</v>
      </c>
      <c r="AW1001" s="78" t="s">
        <v>71</v>
      </c>
      <c r="AX1001" s="78">
        <v>0</v>
      </c>
      <c r="AY1001" s="78">
        <v>1</v>
      </c>
      <c r="BT1001" s="3" t="s">
        <v>71</v>
      </c>
      <c r="BU1001" s="3">
        <v>0</v>
      </c>
      <c r="BV1001" s="3">
        <v>1</v>
      </c>
    </row>
    <row r="1002" spans="1:74" ht="15" customHeight="1" x14ac:dyDescent="0.25">
      <c r="A1002" s="75">
        <v>5915677</v>
      </c>
      <c r="B1002" t="s">
        <v>4437</v>
      </c>
      <c r="C1002" t="s">
        <v>4438</v>
      </c>
      <c r="D1002" t="s">
        <v>2379</v>
      </c>
      <c r="E1002" t="s">
        <v>87</v>
      </c>
      <c r="F1002" s="75">
        <v>1612</v>
      </c>
      <c r="G1002" s="75">
        <v>349705</v>
      </c>
      <c r="H1002">
        <v>334.78</v>
      </c>
      <c r="I1002" t="s">
        <v>163</v>
      </c>
      <c r="J1002" s="75">
        <v>6971</v>
      </c>
      <c r="K1002" t="s">
        <v>369</v>
      </c>
      <c r="L1002" t="s">
        <v>370</v>
      </c>
      <c r="M1002" s="81">
        <v>46125.160138888888</v>
      </c>
      <c r="N1002" s="81">
        <v>46125.51357638889</v>
      </c>
      <c r="O1002" t="s">
        <v>277</v>
      </c>
      <c r="P1002" t="s">
        <v>59</v>
      </c>
      <c r="Q1002" t="s">
        <v>90</v>
      </c>
      <c r="R1002" t="s">
        <v>99</v>
      </c>
      <c r="S1002" t="s">
        <v>1244</v>
      </c>
      <c r="U1002" s="75">
        <v>229437</v>
      </c>
      <c r="V1002" t="s">
        <v>4439</v>
      </c>
      <c r="W1002" t="s">
        <v>4439</v>
      </c>
      <c r="X1002" t="s">
        <v>79</v>
      </c>
      <c r="Y1002" t="s">
        <v>224</v>
      </c>
      <c r="AA1002" t="s">
        <v>64</v>
      </c>
      <c r="AB1002">
        <v>8.4499999999999993</v>
      </c>
      <c r="AC1002">
        <v>0</v>
      </c>
      <c r="AD1002">
        <v>8.4499999999999993</v>
      </c>
      <c r="AE1002">
        <v>3.733333</v>
      </c>
      <c r="AF1002">
        <v>0</v>
      </c>
      <c r="AG1002">
        <v>4.7166670000000002</v>
      </c>
      <c r="AI1002">
        <v>4.4666670000000002</v>
      </c>
      <c r="AJ1002">
        <v>0.25</v>
      </c>
      <c r="AK1002">
        <v>0</v>
      </c>
      <c r="AL1002" s="76">
        <v>46149.921064814807</v>
      </c>
      <c r="AM1002" s="75">
        <v>-24</v>
      </c>
      <c r="AN1002" t="s">
        <v>1436</v>
      </c>
      <c r="AO1002" t="s">
        <v>4440</v>
      </c>
      <c r="AP1002" t="s">
        <v>67</v>
      </c>
      <c r="AQ1002" t="s">
        <v>83</v>
      </c>
      <c r="AR1002" t="s">
        <v>69</v>
      </c>
      <c r="AS1002" s="78"/>
      <c r="AT1002" s="82" t="s">
        <v>4423</v>
      </c>
      <c r="AU1002" s="78">
        <v>2026</v>
      </c>
      <c r="AV1002" s="78">
        <v>4</v>
      </c>
      <c r="AW1002" s="78" t="s">
        <v>226</v>
      </c>
      <c r="AX1002" s="78">
        <v>1</v>
      </c>
      <c r="AY1002" s="78">
        <v>0</v>
      </c>
      <c r="BT1002" s="2" t="s">
        <v>226</v>
      </c>
      <c r="BU1002" s="2">
        <v>1</v>
      </c>
      <c r="BV1002" s="2">
        <v>0</v>
      </c>
    </row>
    <row r="1003" spans="1:74" ht="15" customHeight="1" x14ac:dyDescent="0.25">
      <c r="A1003" s="75">
        <v>5906803</v>
      </c>
      <c r="B1003" t="s">
        <v>4441</v>
      </c>
      <c r="C1003" t="s">
        <v>4442</v>
      </c>
      <c r="D1003" t="s">
        <v>1555</v>
      </c>
      <c r="E1003" t="s">
        <v>54</v>
      </c>
      <c r="F1003" s="75">
        <v>1</v>
      </c>
      <c r="G1003" s="75">
        <v>340897</v>
      </c>
      <c r="H1003">
        <v>764.15</v>
      </c>
      <c r="I1003" t="s">
        <v>141</v>
      </c>
      <c r="J1003" s="75">
        <v>227267</v>
      </c>
      <c r="K1003" t="s">
        <v>4443</v>
      </c>
      <c r="L1003" t="s">
        <v>4444</v>
      </c>
      <c r="M1003" s="81">
        <v>46118.557118055563</v>
      </c>
      <c r="N1003" s="81">
        <v>46125.514872685177</v>
      </c>
      <c r="O1003" t="s">
        <v>58</v>
      </c>
      <c r="P1003" t="s">
        <v>59</v>
      </c>
      <c r="Q1003" t="s">
        <v>341</v>
      </c>
      <c r="R1003" t="s">
        <v>60</v>
      </c>
      <c r="S1003" t="s">
        <v>583</v>
      </c>
      <c r="U1003" s="75">
        <v>226809</v>
      </c>
      <c r="V1003" t="s">
        <v>4445</v>
      </c>
      <c r="W1003" t="s">
        <v>4446</v>
      </c>
      <c r="X1003" t="s">
        <v>62</v>
      </c>
      <c r="Y1003" t="s">
        <v>63</v>
      </c>
      <c r="AA1003" t="s">
        <v>295</v>
      </c>
      <c r="AB1003">
        <v>166.83333200000001</v>
      </c>
      <c r="AC1003">
        <v>121.049999</v>
      </c>
      <c r="AD1003">
        <v>45.783332999999999</v>
      </c>
      <c r="AE1003">
        <v>0.2</v>
      </c>
      <c r="AF1003">
        <v>0</v>
      </c>
      <c r="AG1003">
        <v>45.583333000000003</v>
      </c>
      <c r="AH1003">
        <v>45.583333000000003</v>
      </c>
      <c r="AI1003">
        <v>41.883333</v>
      </c>
      <c r="AJ1003">
        <v>3.7</v>
      </c>
      <c r="AK1003">
        <v>0</v>
      </c>
      <c r="AL1003" s="76">
        <v>45838.796388888892</v>
      </c>
      <c r="AM1003" s="75">
        <v>279</v>
      </c>
      <c r="AN1003" t="s">
        <v>65</v>
      </c>
      <c r="AO1003" t="s">
        <v>4447</v>
      </c>
      <c r="AP1003" t="s">
        <v>67</v>
      </c>
      <c r="AQ1003" t="s">
        <v>68</v>
      </c>
      <c r="AR1003" t="s">
        <v>69</v>
      </c>
      <c r="AS1003" s="79"/>
      <c r="AT1003" s="82" t="s">
        <v>4423</v>
      </c>
      <c r="AU1003" s="78">
        <v>2026</v>
      </c>
      <c r="AV1003" s="78">
        <v>4</v>
      </c>
      <c r="AW1003" s="78" t="s">
        <v>71</v>
      </c>
      <c r="AX1003" s="78">
        <v>0</v>
      </c>
      <c r="AY1003" s="78">
        <v>1</v>
      </c>
      <c r="BT1003" s="3" t="s">
        <v>71</v>
      </c>
      <c r="BU1003" s="3">
        <v>0</v>
      </c>
      <c r="BV1003" s="3">
        <v>1</v>
      </c>
    </row>
    <row r="1004" spans="1:74" ht="15" customHeight="1" x14ac:dyDescent="0.25">
      <c r="A1004" s="75">
        <v>5915681</v>
      </c>
      <c r="B1004" t="s">
        <v>4448</v>
      </c>
      <c r="C1004" t="s">
        <v>4449</v>
      </c>
      <c r="D1004" t="s">
        <v>282</v>
      </c>
      <c r="E1004" t="s">
        <v>87</v>
      </c>
      <c r="F1004" s="75">
        <v>826</v>
      </c>
      <c r="G1004" s="75">
        <v>345215</v>
      </c>
      <c r="H1004">
        <v>334.78</v>
      </c>
      <c r="I1004" t="s">
        <v>203</v>
      </c>
      <c r="J1004" s="75">
        <v>6971</v>
      </c>
      <c r="K1004" t="s">
        <v>369</v>
      </c>
      <c r="L1004" t="s">
        <v>370</v>
      </c>
      <c r="M1004" s="81">
        <v>46125.170717592591</v>
      </c>
      <c r="N1004" s="81">
        <v>46125.523634259262</v>
      </c>
      <c r="O1004" t="s">
        <v>58</v>
      </c>
      <c r="P1004" t="s">
        <v>59</v>
      </c>
      <c r="Q1004" t="s">
        <v>77</v>
      </c>
      <c r="R1004" t="s">
        <v>131</v>
      </c>
      <c r="S1004" t="s">
        <v>1316</v>
      </c>
      <c r="U1004" s="75">
        <v>229435</v>
      </c>
      <c r="V1004" t="s">
        <v>4450</v>
      </c>
      <c r="W1004" t="s">
        <v>4450</v>
      </c>
      <c r="X1004" t="s">
        <v>79</v>
      </c>
      <c r="Y1004" t="s">
        <v>224</v>
      </c>
      <c r="AA1004" t="s">
        <v>81</v>
      </c>
      <c r="AB1004">
        <v>8.4333329999999993</v>
      </c>
      <c r="AC1004">
        <v>1.266667</v>
      </c>
      <c r="AD1004">
        <v>7.1666660000000002</v>
      </c>
      <c r="AE1004">
        <v>3.3666659999999999</v>
      </c>
      <c r="AF1004">
        <v>0</v>
      </c>
      <c r="AG1004">
        <v>3.8</v>
      </c>
      <c r="AH1004">
        <v>3.8</v>
      </c>
      <c r="AI1004">
        <v>3.4166669999999999</v>
      </c>
      <c r="AJ1004">
        <v>0.38333299999999998</v>
      </c>
      <c r="AK1004">
        <v>0</v>
      </c>
      <c r="AL1004" s="76">
        <v>46149</v>
      </c>
      <c r="AM1004" s="75">
        <v>-23</v>
      </c>
      <c r="AN1004" t="s">
        <v>1436</v>
      </c>
      <c r="AO1004" t="s">
        <v>2072</v>
      </c>
      <c r="AP1004" t="s">
        <v>67</v>
      </c>
      <c r="AQ1004" t="s">
        <v>83</v>
      </c>
      <c r="AR1004" t="s">
        <v>69</v>
      </c>
      <c r="AS1004" s="78"/>
      <c r="AT1004" s="82" t="s">
        <v>4423</v>
      </c>
      <c r="AU1004" s="78">
        <v>2026</v>
      </c>
      <c r="AV1004" s="78">
        <v>4</v>
      </c>
      <c r="AW1004" s="78" t="s">
        <v>226</v>
      </c>
      <c r="AX1004" s="78">
        <v>1</v>
      </c>
      <c r="AY1004" s="78">
        <v>0</v>
      </c>
      <c r="BT1004" s="2" t="s">
        <v>226</v>
      </c>
      <c r="BU1004" s="2">
        <v>1</v>
      </c>
      <c r="BV1004" s="2">
        <v>0</v>
      </c>
    </row>
    <row r="1005" spans="1:74" ht="15" customHeight="1" x14ac:dyDescent="0.25">
      <c r="A1005" s="75">
        <v>5911355</v>
      </c>
      <c r="B1005" t="s">
        <v>4451</v>
      </c>
      <c r="C1005" t="s">
        <v>4452</v>
      </c>
      <c r="D1005" t="s">
        <v>1555</v>
      </c>
      <c r="E1005" t="s">
        <v>54</v>
      </c>
      <c r="F1005" s="75">
        <v>1</v>
      </c>
      <c r="G1005" s="75">
        <v>180439</v>
      </c>
      <c r="H1005">
        <v>1250</v>
      </c>
      <c r="I1005" t="s">
        <v>114</v>
      </c>
      <c r="J1005" s="75">
        <v>148773</v>
      </c>
      <c r="K1005" t="s">
        <v>4453</v>
      </c>
      <c r="L1005" t="s">
        <v>4454</v>
      </c>
      <c r="M1005" s="81">
        <v>46121.388657407413</v>
      </c>
      <c r="N1005" s="81">
        <v>46125.553576388891</v>
      </c>
      <c r="O1005" t="s">
        <v>475</v>
      </c>
      <c r="P1005" t="s">
        <v>59</v>
      </c>
      <c r="Q1005" t="s">
        <v>130</v>
      </c>
      <c r="R1005" t="s">
        <v>156</v>
      </c>
      <c r="S1005" t="s">
        <v>1320</v>
      </c>
      <c r="U1005" s="75">
        <v>227311</v>
      </c>
      <c r="V1005" t="s">
        <v>4455</v>
      </c>
      <c r="W1005" t="s">
        <v>4455</v>
      </c>
      <c r="X1005" t="s">
        <v>79</v>
      </c>
      <c r="Y1005" t="s">
        <v>224</v>
      </c>
      <c r="AA1005" t="s">
        <v>81</v>
      </c>
      <c r="AB1005">
        <v>99.866667000000007</v>
      </c>
      <c r="AC1005">
        <v>97.7</v>
      </c>
      <c r="AD1005">
        <v>2.1666669999999999</v>
      </c>
      <c r="AE1005">
        <v>0.216667</v>
      </c>
      <c r="AF1005">
        <v>0</v>
      </c>
      <c r="AG1005">
        <v>1.95</v>
      </c>
      <c r="AH1005">
        <v>1.95</v>
      </c>
      <c r="AI1005">
        <v>1.1333340000000001</v>
      </c>
      <c r="AJ1005">
        <v>0.816666</v>
      </c>
      <c r="AK1005">
        <v>0</v>
      </c>
      <c r="AL1005" s="76">
        <v>44067.384340277778</v>
      </c>
      <c r="AM1005" s="75">
        <v>2054</v>
      </c>
      <c r="AN1005" t="s">
        <v>65</v>
      </c>
      <c r="AO1005" t="s">
        <v>4456</v>
      </c>
      <c r="AP1005" t="s">
        <v>67</v>
      </c>
      <c r="AQ1005" t="s">
        <v>83</v>
      </c>
      <c r="AR1005" t="s">
        <v>69</v>
      </c>
      <c r="AS1005" s="79"/>
      <c r="AT1005" s="82" t="s">
        <v>4423</v>
      </c>
      <c r="AU1005" s="78">
        <v>2026</v>
      </c>
      <c r="AV1005" s="78">
        <v>4</v>
      </c>
      <c r="AW1005" s="78" t="s">
        <v>226</v>
      </c>
      <c r="AX1005" s="78">
        <v>1</v>
      </c>
      <c r="AY1005" s="78">
        <v>0</v>
      </c>
      <c r="BT1005" s="3" t="s">
        <v>226</v>
      </c>
      <c r="BU1005" s="3">
        <v>1</v>
      </c>
      <c r="BV1005" s="3">
        <v>0</v>
      </c>
    </row>
    <row r="1006" spans="1:74" ht="15" customHeight="1" x14ac:dyDescent="0.25">
      <c r="A1006" s="75">
        <v>5914725</v>
      </c>
      <c r="B1006" t="s">
        <v>4457</v>
      </c>
      <c r="C1006" t="s">
        <v>3768</v>
      </c>
      <c r="D1006" t="s">
        <v>527</v>
      </c>
      <c r="E1006" t="s">
        <v>54</v>
      </c>
      <c r="F1006" s="75">
        <v>29</v>
      </c>
      <c r="G1006" s="75">
        <v>277713</v>
      </c>
      <c r="H1006">
        <v>367.96</v>
      </c>
      <c r="I1006" t="s">
        <v>242</v>
      </c>
      <c r="J1006" s="75">
        <v>212603</v>
      </c>
      <c r="K1006" t="s">
        <v>538</v>
      </c>
      <c r="L1006" t="s">
        <v>539</v>
      </c>
      <c r="M1006" s="81">
        <v>46123.417233796303</v>
      </c>
      <c r="N1006" s="81">
        <v>46125.557766203703</v>
      </c>
      <c r="O1006" t="s">
        <v>58</v>
      </c>
      <c r="P1006" t="s">
        <v>59</v>
      </c>
      <c r="Q1006" t="s">
        <v>90</v>
      </c>
      <c r="R1006" t="s">
        <v>60</v>
      </c>
      <c r="S1006" t="s">
        <v>583</v>
      </c>
      <c r="U1006" s="75">
        <v>228985</v>
      </c>
      <c r="V1006" t="s">
        <v>4458</v>
      </c>
      <c r="W1006" t="s">
        <v>4458</v>
      </c>
      <c r="X1006" t="s">
        <v>62</v>
      </c>
      <c r="Y1006" t="s">
        <v>233</v>
      </c>
      <c r="AA1006" t="s">
        <v>64</v>
      </c>
      <c r="AB1006">
        <v>51.300001000000002</v>
      </c>
      <c r="AC1006">
        <v>44.05</v>
      </c>
      <c r="AD1006">
        <v>7.2500010000000001</v>
      </c>
      <c r="AE1006">
        <v>0.56666700000000003</v>
      </c>
      <c r="AF1006">
        <v>0</v>
      </c>
      <c r="AG1006">
        <v>6.6833340000000003</v>
      </c>
      <c r="AH1006">
        <v>6.6833340000000003</v>
      </c>
      <c r="AI1006">
        <v>6.0666669999999998</v>
      </c>
      <c r="AJ1006">
        <v>0.61666699999999997</v>
      </c>
      <c r="AK1006">
        <v>0</v>
      </c>
      <c r="AL1006" s="76">
        <v>43963</v>
      </c>
      <c r="AM1006" s="75">
        <v>2160</v>
      </c>
      <c r="AN1006" t="s">
        <v>65</v>
      </c>
      <c r="AO1006" t="s">
        <v>3770</v>
      </c>
      <c r="AP1006" t="s">
        <v>67</v>
      </c>
      <c r="AQ1006" t="s">
        <v>68</v>
      </c>
      <c r="AR1006" t="s">
        <v>69</v>
      </c>
      <c r="AS1006" s="78"/>
      <c r="AT1006" s="82" t="s">
        <v>4423</v>
      </c>
      <c r="AU1006" s="78">
        <v>2026</v>
      </c>
      <c r="AV1006" s="78">
        <v>4</v>
      </c>
      <c r="AW1006" s="78" t="s">
        <v>137</v>
      </c>
      <c r="AX1006" s="78">
        <v>1</v>
      </c>
      <c r="AY1006" s="78">
        <v>0</v>
      </c>
      <c r="BT1006" s="2" t="s">
        <v>137</v>
      </c>
      <c r="BU1006" s="2">
        <v>1</v>
      </c>
      <c r="BV1006" s="2">
        <v>0</v>
      </c>
    </row>
    <row r="1007" spans="1:74" ht="15" customHeight="1" x14ac:dyDescent="0.25">
      <c r="A1007" s="75">
        <v>5912565</v>
      </c>
      <c r="B1007" t="s">
        <v>4459</v>
      </c>
      <c r="C1007" t="s">
        <v>4460</v>
      </c>
      <c r="D1007" t="s">
        <v>1555</v>
      </c>
      <c r="E1007" t="s">
        <v>54</v>
      </c>
      <c r="F1007" s="75">
        <v>23</v>
      </c>
      <c r="G1007" s="75">
        <v>350931</v>
      </c>
      <c r="H1007">
        <v>350</v>
      </c>
      <c r="I1007" t="s">
        <v>203</v>
      </c>
      <c r="J1007" s="75">
        <v>64169</v>
      </c>
      <c r="K1007" t="s">
        <v>1084</v>
      </c>
      <c r="L1007" t="s">
        <v>1085</v>
      </c>
      <c r="M1007" s="81">
        <v>46121.74560185185</v>
      </c>
      <c r="N1007" s="81">
        <v>46125.581180555557</v>
      </c>
      <c r="O1007" t="s">
        <v>58</v>
      </c>
      <c r="P1007" t="s">
        <v>59</v>
      </c>
      <c r="Q1007" t="s">
        <v>130</v>
      </c>
      <c r="R1007" t="s">
        <v>99</v>
      </c>
      <c r="S1007" t="s">
        <v>1244</v>
      </c>
      <c r="U1007" s="75">
        <v>227797</v>
      </c>
      <c r="V1007" t="s">
        <v>4461</v>
      </c>
      <c r="X1007" t="s">
        <v>62</v>
      </c>
      <c r="Y1007" t="s">
        <v>63</v>
      </c>
      <c r="AA1007" t="s">
        <v>416</v>
      </c>
      <c r="AB1007">
        <v>91.983333999999999</v>
      </c>
      <c r="AC1007">
        <v>78.566666999999995</v>
      </c>
      <c r="AD1007">
        <v>13.416667</v>
      </c>
      <c r="AE1007">
        <v>0.11666700000000001</v>
      </c>
      <c r="AF1007">
        <v>0</v>
      </c>
      <c r="AG1007">
        <v>13.3</v>
      </c>
      <c r="AH1007">
        <v>13.3</v>
      </c>
      <c r="AI1007">
        <v>12.283333000000001</v>
      </c>
      <c r="AJ1007">
        <v>1.016667</v>
      </c>
      <c r="AK1007">
        <v>0</v>
      </c>
      <c r="AL1007" s="76">
        <v>46050.716064814813</v>
      </c>
      <c r="AM1007" s="75">
        <v>71</v>
      </c>
      <c r="AN1007" t="s">
        <v>65</v>
      </c>
      <c r="AO1007" t="s">
        <v>2350</v>
      </c>
      <c r="AP1007" t="s">
        <v>67</v>
      </c>
      <c r="AQ1007" t="s">
        <v>68</v>
      </c>
      <c r="AR1007" t="s">
        <v>69</v>
      </c>
      <c r="AS1007" s="79"/>
      <c r="AT1007" s="82" t="s">
        <v>4423</v>
      </c>
      <c r="AU1007" s="78">
        <v>2026</v>
      </c>
      <c r="AV1007" s="78">
        <v>4</v>
      </c>
      <c r="AW1007" s="78" t="s">
        <v>71</v>
      </c>
      <c r="AX1007" s="78">
        <v>0</v>
      </c>
      <c r="AY1007" s="78">
        <v>0</v>
      </c>
      <c r="BT1007" s="3" t="s">
        <v>71</v>
      </c>
      <c r="BU1007" s="3">
        <v>0</v>
      </c>
      <c r="BV1007" s="3">
        <v>0</v>
      </c>
    </row>
    <row r="1008" spans="1:74" ht="15" customHeight="1" x14ac:dyDescent="0.25">
      <c r="A1008" s="75">
        <v>5914365</v>
      </c>
      <c r="B1008" t="s">
        <v>4462</v>
      </c>
      <c r="C1008" t="s">
        <v>4463</v>
      </c>
      <c r="D1008" t="s">
        <v>527</v>
      </c>
      <c r="E1008" t="s">
        <v>105</v>
      </c>
      <c r="F1008" s="75">
        <v>783</v>
      </c>
      <c r="G1008" s="75">
        <v>237521</v>
      </c>
      <c r="H1008">
        <v>1116.53</v>
      </c>
      <c r="I1008" t="s">
        <v>55</v>
      </c>
      <c r="J1008" s="75">
        <v>214917</v>
      </c>
      <c r="K1008" t="s">
        <v>1057</v>
      </c>
      <c r="L1008" t="s">
        <v>4370</v>
      </c>
      <c r="M1008" s="81">
        <v>46122.911076388889</v>
      </c>
      <c r="N1008" s="81">
        <v>46125.583148148151</v>
      </c>
      <c r="O1008" t="s">
        <v>58</v>
      </c>
      <c r="P1008" t="s">
        <v>59</v>
      </c>
      <c r="Q1008" t="s">
        <v>130</v>
      </c>
      <c r="R1008" t="s">
        <v>156</v>
      </c>
      <c r="S1008" t="s">
        <v>1320</v>
      </c>
      <c r="U1008" s="75">
        <v>228687</v>
      </c>
      <c r="V1008" t="s">
        <v>4464</v>
      </c>
      <c r="W1008" t="s">
        <v>4464</v>
      </c>
      <c r="X1008" t="s">
        <v>118</v>
      </c>
      <c r="Y1008" t="s">
        <v>119</v>
      </c>
      <c r="AA1008" t="s">
        <v>64</v>
      </c>
      <c r="AB1008">
        <v>64.066666999999995</v>
      </c>
      <c r="AC1008">
        <v>56.766666999999998</v>
      </c>
      <c r="AD1008">
        <v>7.3</v>
      </c>
      <c r="AE1008">
        <v>0.68333299999999997</v>
      </c>
      <c r="AF1008">
        <v>0</v>
      </c>
      <c r="AG1008">
        <v>6.6166669999999996</v>
      </c>
      <c r="AH1008">
        <v>6.6166669999999996</v>
      </c>
      <c r="AI1008">
        <v>5.6166669999999996</v>
      </c>
      <c r="AJ1008">
        <v>1</v>
      </c>
      <c r="AK1008">
        <v>0</v>
      </c>
      <c r="AL1008" s="76">
        <v>44292</v>
      </c>
      <c r="AM1008" s="75">
        <v>1830</v>
      </c>
      <c r="AN1008" t="s">
        <v>65</v>
      </c>
      <c r="AO1008" t="s">
        <v>4465</v>
      </c>
      <c r="AP1008" t="s">
        <v>67</v>
      </c>
      <c r="AQ1008" t="s">
        <v>121</v>
      </c>
      <c r="AR1008" t="s">
        <v>69</v>
      </c>
      <c r="AS1008" s="78"/>
      <c r="AT1008" s="82" t="s">
        <v>4423</v>
      </c>
      <c r="AU1008" s="78">
        <v>2026</v>
      </c>
      <c r="AV1008" s="78">
        <v>4</v>
      </c>
      <c r="AW1008" s="78" t="s">
        <v>122</v>
      </c>
      <c r="AX1008" s="78">
        <v>1</v>
      </c>
      <c r="AY1008" s="78">
        <v>0</v>
      </c>
      <c r="BT1008" s="2" t="s">
        <v>122</v>
      </c>
      <c r="BU1008" s="2">
        <v>1</v>
      </c>
      <c r="BV1008" s="2">
        <v>0</v>
      </c>
    </row>
    <row r="1009" spans="1:74" ht="15" customHeight="1" x14ac:dyDescent="0.25">
      <c r="A1009" s="75">
        <v>5910967</v>
      </c>
      <c r="B1009" t="s">
        <v>4466</v>
      </c>
      <c r="C1009" t="s">
        <v>2725</v>
      </c>
      <c r="D1009" t="s">
        <v>1555</v>
      </c>
      <c r="E1009" t="s">
        <v>87</v>
      </c>
      <c r="F1009" s="75">
        <v>77</v>
      </c>
      <c r="G1009" s="75">
        <v>275405</v>
      </c>
      <c r="H1009">
        <v>368.16</v>
      </c>
      <c r="I1009" t="s">
        <v>55</v>
      </c>
      <c r="J1009" s="75">
        <v>218791</v>
      </c>
      <c r="K1009" t="s">
        <v>312</v>
      </c>
      <c r="L1009" t="s">
        <v>313</v>
      </c>
      <c r="M1009" s="81">
        <v>46120.84783564815</v>
      </c>
      <c r="N1009" s="81">
        <v>46125.584756944438</v>
      </c>
      <c r="O1009" t="s">
        <v>58</v>
      </c>
      <c r="P1009" t="s">
        <v>59</v>
      </c>
      <c r="Q1009" t="s">
        <v>90</v>
      </c>
      <c r="R1009" t="s">
        <v>99</v>
      </c>
      <c r="S1009" t="s">
        <v>1244</v>
      </c>
      <c r="U1009" s="75">
        <v>227767</v>
      </c>
      <c r="V1009" t="s">
        <v>4467</v>
      </c>
      <c r="X1009" t="s">
        <v>62</v>
      </c>
      <c r="Y1009" t="s">
        <v>63</v>
      </c>
      <c r="AA1009" t="s">
        <v>416</v>
      </c>
      <c r="AB1009">
        <v>113.583333</v>
      </c>
      <c r="AC1009">
        <v>90.166667000000004</v>
      </c>
      <c r="AD1009">
        <v>23.416665999999999</v>
      </c>
      <c r="AE1009">
        <v>0.433334</v>
      </c>
      <c r="AF1009">
        <v>0</v>
      </c>
      <c r="AG1009">
        <v>22.983332000000001</v>
      </c>
      <c r="AH1009">
        <v>22.983332000000001</v>
      </c>
      <c r="AI1009">
        <v>20.633333</v>
      </c>
      <c r="AJ1009">
        <v>2.3499989999999999</v>
      </c>
      <c r="AK1009">
        <v>0</v>
      </c>
      <c r="AL1009" s="76">
        <v>44881.95034722222</v>
      </c>
      <c r="AM1009" s="75">
        <v>1238</v>
      </c>
      <c r="AN1009" t="s">
        <v>65</v>
      </c>
      <c r="AO1009" t="s">
        <v>1208</v>
      </c>
      <c r="AP1009" t="s">
        <v>67</v>
      </c>
      <c r="AQ1009" t="s">
        <v>68</v>
      </c>
      <c r="AR1009" t="s">
        <v>69</v>
      </c>
      <c r="AS1009" s="79"/>
      <c r="AT1009" s="82" t="s">
        <v>4423</v>
      </c>
      <c r="AU1009" s="78">
        <v>2026</v>
      </c>
      <c r="AV1009" s="78">
        <v>4</v>
      </c>
      <c r="AW1009" s="78" t="s">
        <v>71</v>
      </c>
      <c r="AX1009" s="78">
        <v>0</v>
      </c>
      <c r="AY1009" s="78">
        <v>0</v>
      </c>
      <c r="BT1009" s="3" t="s">
        <v>71</v>
      </c>
      <c r="BU1009" s="3">
        <v>0</v>
      </c>
      <c r="BV1009" s="3">
        <v>0</v>
      </c>
    </row>
    <row r="1010" spans="1:74" ht="15" customHeight="1" x14ac:dyDescent="0.25">
      <c r="A1010" s="75">
        <v>5911877</v>
      </c>
      <c r="B1010" t="s">
        <v>4468</v>
      </c>
      <c r="C1010" t="s">
        <v>4469</v>
      </c>
      <c r="D1010" t="s">
        <v>527</v>
      </c>
      <c r="E1010" t="s">
        <v>105</v>
      </c>
      <c r="F1010" s="75">
        <v>628</v>
      </c>
      <c r="G1010" s="75">
        <v>342909</v>
      </c>
      <c r="H1010">
        <v>225</v>
      </c>
      <c r="I1010" t="s">
        <v>163</v>
      </c>
      <c r="J1010" s="75">
        <v>48887</v>
      </c>
      <c r="K1010" t="s">
        <v>164</v>
      </c>
      <c r="L1010" t="s">
        <v>165</v>
      </c>
      <c r="M1010" s="81">
        <v>46121.528541666667</v>
      </c>
      <c r="N1010" s="81">
        <v>46125.585289351853</v>
      </c>
      <c r="O1010" t="s">
        <v>58</v>
      </c>
      <c r="P1010" t="s">
        <v>59</v>
      </c>
      <c r="Q1010" t="s">
        <v>77</v>
      </c>
      <c r="R1010" t="s">
        <v>144</v>
      </c>
      <c r="S1010" t="s">
        <v>1491</v>
      </c>
      <c r="U1010" s="75">
        <v>229345</v>
      </c>
      <c r="V1010" t="s">
        <v>4470</v>
      </c>
      <c r="W1010" t="s">
        <v>4470</v>
      </c>
      <c r="X1010" t="s">
        <v>62</v>
      </c>
      <c r="Y1010" t="s">
        <v>134</v>
      </c>
      <c r="Z1010" t="s">
        <v>4471</v>
      </c>
      <c r="AA1010" t="s">
        <v>64</v>
      </c>
      <c r="AB1010">
        <v>97.266666000000001</v>
      </c>
      <c r="AC1010">
        <v>65.483333000000002</v>
      </c>
      <c r="AD1010">
        <v>31.783332999999999</v>
      </c>
      <c r="AE1010">
        <v>26.833333</v>
      </c>
      <c r="AF1010">
        <v>25.3</v>
      </c>
      <c r="AG1010">
        <v>4.95</v>
      </c>
      <c r="AH1010">
        <v>30.25</v>
      </c>
      <c r="AI1010">
        <v>3.75</v>
      </c>
      <c r="AJ1010">
        <v>1.2</v>
      </c>
      <c r="AK1010">
        <v>0</v>
      </c>
      <c r="AL1010" s="76">
        <v>45867</v>
      </c>
      <c r="AM1010" s="75">
        <v>254</v>
      </c>
      <c r="AN1010" t="s">
        <v>65</v>
      </c>
      <c r="AO1010" t="s">
        <v>4472</v>
      </c>
      <c r="AP1010" t="s">
        <v>67</v>
      </c>
      <c r="AQ1010" t="s">
        <v>68</v>
      </c>
      <c r="AR1010" t="s">
        <v>69</v>
      </c>
      <c r="AS1010" s="78"/>
      <c r="AT1010" s="82" t="s">
        <v>4423</v>
      </c>
      <c r="AU1010" s="78">
        <v>2026</v>
      </c>
      <c r="AV1010" s="78">
        <v>4</v>
      </c>
      <c r="AW1010" s="78" t="s">
        <v>137</v>
      </c>
      <c r="AX1010" s="78">
        <v>1</v>
      </c>
      <c r="AY1010" s="78">
        <v>0</v>
      </c>
      <c r="BT1010" s="2" t="s">
        <v>137</v>
      </c>
      <c r="BU1010" s="2">
        <v>1</v>
      </c>
      <c r="BV1010" s="2">
        <v>0</v>
      </c>
    </row>
    <row r="1011" spans="1:74" ht="15" customHeight="1" x14ac:dyDescent="0.25">
      <c r="A1011" s="75">
        <v>5915571</v>
      </c>
      <c r="B1011" t="s">
        <v>4473</v>
      </c>
      <c r="C1011" t="s">
        <v>4474</v>
      </c>
      <c r="D1011" t="s">
        <v>2379</v>
      </c>
      <c r="E1011" t="s">
        <v>126</v>
      </c>
      <c r="F1011" s="75">
        <v>1</v>
      </c>
      <c r="G1011" s="75">
        <v>343293</v>
      </c>
      <c r="H1011">
        <v>1400</v>
      </c>
      <c r="I1011" t="s">
        <v>141</v>
      </c>
      <c r="J1011" s="75">
        <v>228277</v>
      </c>
      <c r="K1011" t="s">
        <v>4475</v>
      </c>
      <c r="L1011" t="s">
        <v>4476</v>
      </c>
      <c r="M1011" s="81">
        <v>46124.785925925928</v>
      </c>
      <c r="N1011" s="81">
        <v>46125.599178240736</v>
      </c>
      <c r="O1011" t="s">
        <v>58</v>
      </c>
      <c r="P1011" t="s">
        <v>59</v>
      </c>
      <c r="Q1011" t="s">
        <v>130</v>
      </c>
      <c r="R1011" t="s">
        <v>60</v>
      </c>
      <c r="S1011" t="s">
        <v>583</v>
      </c>
      <c r="U1011" s="75">
        <v>229243</v>
      </c>
      <c r="V1011" t="s">
        <v>4477</v>
      </c>
      <c r="W1011" t="s">
        <v>4477</v>
      </c>
      <c r="X1011" t="s">
        <v>118</v>
      </c>
      <c r="Y1011" t="s">
        <v>1678</v>
      </c>
      <c r="AA1011" t="s">
        <v>416</v>
      </c>
      <c r="AB1011">
        <v>19.483332999999998</v>
      </c>
      <c r="AC1011">
        <v>1.433333</v>
      </c>
      <c r="AD1011">
        <v>18.05</v>
      </c>
      <c r="AE1011">
        <v>6.6667000000000004E-2</v>
      </c>
      <c r="AF1011">
        <v>0</v>
      </c>
      <c r="AG1011">
        <v>17.983332999999998</v>
      </c>
      <c r="AH1011">
        <v>17.983332999999998</v>
      </c>
      <c r="AI1011">
        <v>15.9</v>
      </c>
      <c r="AJ1011">
        <v>2.0833330000000001</v>
      </c>
      <c r="AK1011">
        <v>0</v>
      </c>
      <c r="AL1011" s="76">
        <v>45877.445740740739</v>
      </c>
      <c r="AM1011" s="75">
        <v>247</v>
      </c>
      <c r="AN1011" t="s">
        <v>65</v>
      </c>
      <c r="AO1011" t="s">
        <v>4478</v>
      </c>
      <c r="AP1011" t="s">
        <v>67</v>
      </c>
      <c r="AQ1011" t="s">
        <v>121</v>
      </c>
      <c r="AR1011" t="s">
        <v>69</v>
      </c>
      <c r="AS1011" s="79"/>
      <c r="AT1011" s="82" t="s">
        <v>4423</v>
      </c>
      <c r="AU1011" s="78">
        <v>2026</v>
      </c>
      <c r="AV1011" s="78">
        <v>4</v>
      </c>
      <c r="AW1011" s="78" t="s">
        <v>347</v>
      </c>
      <c r="AX1011" s="78">
        <v>0</v>
      </c>
      <c r="AY1011" s="78">
        <v>0</v>
      </c>
      <c r="BT1011" s="3" t="s">
        <v>347</v>
      </c>
      <c r="BU1011" s="3">
        <v>0</v>
      </c>
      <c r="BV1011" s="3">
        <v>0</v>
      </c>
    </row>
    <row r="1012" spans="1:74" ht="15" customHeight="1" x14ac:dyDescent="0.25">
      <c r="A1012" s="75">
        <v>5914767</v>
      </c>
      <c r="B1012" t="s">
        <v>4479</v>
      </c>
      <c r="C1012" t="s">
        <v>4480</v>
      </c>
      <c r="D1012" t="s">
        <v>527</v>
      </c>
      <c r="E1012" t="s">
        <v>54</v>
      </c>
      <c r="F1012" s="75">
        <v>795</v>
      </c>
      <c r="G1012" s="75">
        <v>287093</v>
      </c>
      <c r="H1012">
        <v>209.66</v>
      </c>
      <c r="I1012" t="s">
        <v>55</v>
      </c>
      <c r="J1012" s="75">
        <v>41553</v>
      </c>
      <c r="K1012" t="s">
        <v>250</v>
      </c>
      <c r="L1012" t="s">
        <v>251</v>
      </c>
      <c r="M1012" s="81">
        <v>46123.454918981479</v>
      </c>
      <c r="N1012" s="81">
        <v>46125.604131944441</v>
      </c>
      <c r="O1012" t="s">
        <v>58</v>
      </c>
      <c r="P1012" t="s">
        <v>59</v>
      </c>
      <c r="R1012" t="s">
        <v>156</v>
      </c>
      <c r="S1012" t="s">
        <v>1682</v>
      </c>
      <c r="U1012" s="75">
        <v>229385</v>
      </c>
      <c r="V1012" t="s">
        <v>4481</v>
      </c>
      <c r="W1012" t="s">
        <v>4482</v>
      </c>
      <c r="X1012" t="s">
        <v>79</v>
      </c>
      <c r="Y1012" t="s">
        <v>224</v>
      </c>
      <c r="AA1012" t="s">
        <v>64</v>
      </c>
      <c r="AB1012">
        <v>51.466665999999996</v>
      </c>
      <c r="AC1012">
        <v>45.633333</v>
      </c>
      <c r="AD1012">
        <v>5.8333329999999997</v>
      </c>
      <c r="AE1012">
        <v>0.183333</v>
      </c>
      <c r="AF1012">
        <v>0</v>
      </c>
      <c r="AG1012">
        <v>5.65</v>
      </c>
      <c r="AH1012">
        <v>5.65</v>
      </c>
      <c r="AI1012">
        <v>5.2</v>
      </c>
      <c r="AJ1012">
        <v>0.45</v>
      </c>
      <c r="AK1012">
        <v>0</v>
      </c>
      <c r="AL1012" s="76">
        <v>45040</v>
      </c>
      <c r="AM1012" s="75">
        <v>1083</v>
      </c>
      <c r="AN1012" t="s">
        <v>65</v>
      </c>
      <c r="AO1012" t="s">
        <v>4483</v>
      </c>
      <c r="AP1012" t="s">
        <v>67</v>
      </c>
      <c r="AQ1012" t="s">
        <v>83</v>
      </c>
      <c r="AR1012" t="s">
        <v>69</v>
      </c>
      <c r="AS1012" s="78"/>
      <c r="AT1012" s="82" t="s">
        <v>4423</v>
      </c>
      <c r="AU1012" s="78">
        <v>2026</v>
      </c>
      <c r="AV1012" s="78">
        <v>4</v>
      </c>
      <c r="AW1012" s="78" t="s">
        <v>226</v>
      </c>
      <c r="AX1012" s="78">
        <v>1</v>
      </c>
      <c r="AY1012" s="78">
        <v>0</v>
      </c>
      <c r="BT1012" s="2" t="s">
        <v>226</v>
      </c>
      <c r="BU1012" s="2">
        <v>1</v>
      </c>
      <c r="BV1012" s="2">
        <v>0</v>
      </c>
    </row>
    <row r="1013" spans="1:74" ht="15" customHeight="1" x14ac:dyDescent="0.25">
      <c r="A1013" s="75">
        <v>5903583</v>
      </c>
      <c r="B1013" t="s">
        <v>4484</v>
      </c>
      <c r="C1013" t="s">
        <v>154</v>
      </c>
      <c r="D1013" t="s">
        <v>527</v>
      </c>
      <c r="E1013" t="s">
        <v>87</v>
      </c>
      <c r="F1013" s="75">
        <v>266</v>
      </c>
      <c r="G1013" s="75">
        <v>286377</v>
      </c>
      <c r="H1013">
        <v>364.96</v>
      </c>
      <c r="I1013" t="s">
        <v>55</v>
      </c>
      <c r="J1013" s="75">
        <v>218787</v>
      </c>
      <c r="K1013" t="s">
        <v>96</v>
      </c>
      <c r="L1013" t="s">
        <v>97</v>
      </c>
      <c r="M1013" s="81">
        <v>46114.67459490741</v>
      </c>
      <c r="N1013" s="81">
        <v>46125.622939814813</v>
      </c>
      <c r="O1013" t="s">
        <v>58</v>
      </c>
      <c r="P1013" t="s">
        <v>59</v>
      </c>
      <c r="Q1013" t="s">
        <v>90</v>
      </c>
      <c r="R1013" t="s">
        <v>60</v>
      </c>
      <c r="S1013" t="s">
        <v>583</v>
      </c>
      <c r="U1013" s="75">
        <v>229311</v>
      </c>
      <c r="V1013" t="s">
        <v>4485</v>
      </c>
      <c r="W1013" t="s">
        <v>4486</v>
      </c>
      <c r="X1013" t="s">
        <v>62</v>
      </c>
      <c r="Y1013" t="s">
        <v>63</v>
      </c>
      <c r="AA1013" t="s">
        <v>295</v>
      </c>
      <c r="AB1013">
        <v>262.51666799999998</v>
      </c>
      <c r="AC1013">
        <v>204.933334</v>
      </c>
      <c r="AD1013">
        <v>57.583334000000001</v>
      </c>
      <c r="AE1013">
        <v>0.183333</v>
      </c>
      <c r="AF1013">
        <v>0</v>
      </c>
      <c r="AG1013">
        <v>57.400001000000003</v>
      </c>
      <c r="AH1013">
        <v>57.400001000000003</v>
      </c>
      <c r="AI1013">
        <v>55.316668</v>
      </c>
      <c r="AJ1013">
        <v>2.0833330000000001</v>
      </c>
      <c r="AK1013">
        <v>0</v>
      </c>
      <c r="AL1013" s="76">
        <v>44890</v>
      </c>
      <c r="AM1013" s="75">
        <v>1224</v>
      </c>
      <c r="AN1013" t="s">
        <v>65</v>
      </c>
      <c r="AO1013" t="s">
        <v>159</v>
      </c>
      <c r="AP1013" t="s">
        <v>67</v>
      </c>
      <c r="AQ1013" t="s">
        <v>68</v>
      </c>
      <c r="AR1013" t="s">
        <v>69</v>
      </c>
      <c r="AS1013" s="79"/>
      <c r="AT1013" s="82" t="s">
        <v>4423</v>
      </c>
      <c r="AU1013" s="78">
        <v>2026</v>
      </c>
      <c r="AV1013" s="78">
        <v>4</v>
      </c>
      <c r="AW1013" s="78" t="s">
        <v>71</v>
      </c>
      <c r="AX1013" s="78">
        <v>0</v>
      </c>
      <c r="AY1013" s="78">
        <v>1</v>
      </c>
      <c r="BT1013" s="3" t="s">
        <v>71</v>
      </c>
      <c r="BU1013" s="3">
        <v>0</v>
      </c>
      <c r="BV1013" s="3">
        <v>1</v>
      </c>
    </row>
    <row r="1014" spans="1:74" ht="15" customHeight="1" x14ac:dyDescent="0.25">
      <c r="A1014" s="75">
        <v>5913677</v>
      </c>
      <c r="B1014" t="s">
        <v>4487</v>
      </c>
      <c r="C1014" t="s">
        <v>4488</v>
      </c>
      <c r="D1014" t="s">
        <v>1567</v>
      </c>
      <c r="E1014" t="s">
        <v>87</v>
      </c>
      <c r="F1014" s="75">
        <v>25</v>
      </c>
      <c r="G1014" s="75">
        <v>280173</v>
      </c>
      <c r="H1014">
        <v>1308.46</v>
      </c>
      <c r="I1014" t="s">
        <v>266</v>
      </c>
      <c r="J1014" s="75">
        <v>201809</v>
      </c>
      <c r="K1014" t="s">
        <v>505</v>
      </c>
      <c r="L1014" t="s">
        <v>506</v>
      </c>
      <c r="M1014" s="81">
        <v>46122.569780092592</v>
      </c>
      <c r="N1014" s="81">
        <v>46125.645046296297</v>
      </c>
      <c r="O1014" t="s">
        <v>269</v>
      </c>
      <c r="P1014" t="s">
        <v>59</v>
      </c>
      <c r="Q1014" t="s">
        <v>90</v>
      </c>
      <c r="R1014" t="s">
        <v>99</v>
      </c>
      <c r="S1014" t="s">
        <v>1244</v>
      </c>
      <c r="U1014" s="75">
        <v>229365</v>
      </c>
      <c r="V1014" t="s">
        <v>4489</v>
      </c>
      <c r="W1014" t="s">
        <v>4489</v>
      </c>
      <c r="X1014" t="s">
        <v>62</v>
      </c>
      <c r="Y1014" t="s">
        <v>287</v>
      </c>
      <c r="AA1014" t="s">
        <v>64</v>
      </c>
      <c r="AB1014">
        <v>73.733333000000002</v>
      </c>
      <c r="AC1014">
        <v>67.3</v>
      </c>
      <c r="AD1014">
        <v>6.4333330000000002</v>
      </c>
      <c r="AE1014">
        <v>2.1333329999999999</v>
      </c>
      <c r="AF1014">
        <v>0</v>
      </c>
      <c r="AG1014">
        <v>4.3</v>
      </c>
      <c r="AH1014">
        <v>4.3</v>
      </c>
      <c r="AI1014">
        <v>3.5666669999999998</v>
      </c>
      <c r="AJ1014">
        <v>0.73333300000000001</v>
      </c>
      <c r="AK1014">
        <v>0</v>
      </c>
      <c r="AL1014" s="76">
        <v>44357</v>
      </c>
      <c r="AM1014" s="75">
        <v>1765</v>
      </c>
      <c r="AN1014" t="s">
        <v>65</v>
      </c>
      <c r="AO1014" t="s">
        <v>4490</v>
      </c>
      <c r="AP1014" t="s">
        <v>67</v>
      </c>
      <c r="AQ1014" t="s">
        <v>68</v>
      </c>
      <c r="AR1014" t="s">
        <v>69</v>
      </c>
      <c r="AS1014" s="78"/>
      <c r="AT1014" s="82" t="s">
        <v>4423</v>
      </c>
      <c r="AU1014" s="78">
        <v>2026</v>
      </c>
      <c r="AV1014" s="78">
        <v>4</v>
      </c>
      <c r="AW1014" s="78" t="s">
        <v>137</v>
      </c>
      <c r="AX1014" s="78">
        <v>1</v>
      </c>
      <c r="AY1014" s="78">
        <v>0</v>
      </c>
      <c r="BT1014" s="2" t="s">
        <v>137</v>
      </c>
      <c r="BU1014" s="2">
        <v>1</v>
      </c>
      <c r="BV1014" s="2">
        <v>0</v>
      </c>
    </row>
    <row r="1015" spans="1:74" ht="15" customHeight="1" x14ac:dyDescent="0.25">
      <c r="A1015" s="75">
        <v>5914739</v>
      </c>
      <c r="B1015" t="s">
        <v>4491</v>
      </c>
      <c r="C1015" t="s">
        <v>4492</v>
      </c>
      <c r="D1015" t="s">
        <v>2379</v>
      </c>
      <c r="E1015" t="s">
        <v>105</v>
      </c>
      <c r="F1015" s="75">
        <v>7</v>
      </c>
      <c r="G1015" s="75">
        <v>287497</v>
      </c>
      <c r="H1015">
        <v>1134.5</v>
      </c>
      <c r="I1015" t="s">
        <v>266</v>
      </c>
      <c r="J1015" s="75">
        <v>204139</v>
      </c>
      <c r="K1015" t="s">
        <v>1000</v>
      </c>
      <c r="L1015" t="s">
        <v>1001</v>
      </c>
      <c r="M1015" s="81">
        <v>46123.430949074071</v>
      </c>
      <c r="N1015" s="81">
        <v>46125.649525462963</v>
      </c>
      <c r="O1015" t="s">
        <v>58</v>
      </c>
      <c r="P1015" t="s">
        <v>59</v>
      </c>
      <c r="Q1015" t="s">
        <v>90</v>
      </c>
      <c r="R1015" t="s">
        <v>60</v>
      </c>
      <c r="S1015" t="s">
        <v>583</v>
      </c>
      <c r="U1015" s="75">
        <v>229797</v>
      </c>
      <c r="V1015" t="s">
        <v>4493</v>
      </c>
      <c r="W1015" t="s">
        <v>4494</v>
      </c>
      <c r="X1015" t="s">
        <v>79</v>
      </c>
      <c r="Y1015" t="s">
        <v>224</v>
      </c>
      <c r="AA1015" t="s">
        <v>101</v>
      </c>
      <c r="AB1015">
        <v>53.116664999999998</v>
      </c>
      <c r="AC1015">
        <v>39.633333</v>
      </c>
      <c r="AD1015">
        <v>13.483332000000001</v>
      </c>
      <c r="AE1015">
        <v>3.0166659999999998</v>
      </c>
      <c r="AF1015">
        <v>0</v>
      </c>
      <c r="AG1015">
        <v>10.466666</v>
      </c>
      <c r="AH1015">
        <v>10.466666</v>
      </c>
      <c r="AI1015">
        <v>9.8166670000000007</v>
      </c>
      <c r="AJ1015">
        <v>0.64999899999999999</v>
      </c>
      <c r="AK1015">
        <v>0</v>
      </c>
      <c r="AL1015" s="76">
        <v>44951</v>
      </c>
      <c r="AM1015" s="75">
        <v>1172</v>
      </c>
      <c r="AN1015" t="s">
        <v>65</v>
      </c>
      <c r="AO1015" t="s">
        <v>4495</v>
      </c>
      <c r="AP1015" t="s">
        <v>67</v>
      </c>
      <c r="AQ1015" t="s">
        <v>83</v>
      </c>
      <c r="AR1015" t="s">
        <v>69</v>
      </c>
      <c r="AS1015" s="79"/>
      <c r="AT1015" s="82" t="s">
        <v>4423</v>
      </c>
      <c r="AU1015" s="78">
        <v>2026</v>
      </c>
      <c r="AV1015" s="78">
        <v>4</v>
      </c>
      <c r="AW1015" s="78" t="s">
        <v>226</v>
      </c>
      <c r="AX1015" s="78">
        <v>0</v>
      </c>
      <c r="AY1015" s="78">
        <v>0</v>
      </c>
      <c r="BT1015" s="3" t="s">
        <v>226</v>
      </c>
      <c r="BU1015" s="3">
        <v>0</v>
      </c>
      <c r="BV1015" s="3">
        <v>0</v>
      </c>
    </row>
    <row r="1016" spans="1:74" ht="15" customHeight="1" x14ac:dyDescent="0.25">
      <c r="A1016" s="75">
        <v>5907995</v>
      </c>
      <c r="B1016" t="s">
        <v>4496</v>
      </c>
      <c r="C1016" t="s">
        <v>3475</v>
      </c>
      <c r="D1016" t="s">
        <v>1567</v>
      </c>
      <c r="E1016" t="s">
        <v>87</v>
      </c>
      <c r="F1016" s="75">
        <v>356</v>
      </c>
      <c r="G1016" s="75">
        <v>286741</v>
      </c>
      <c r="H1016">
        <v>364.96</v>
      </c>
      <c r="I1016" t="s">
        <v>55</v>
      </c>
      <c r="J1016" s="75">
        <v>218787</v>
      </c>
      <c r="K1016" t="s">
        <v>96</v>
      </c>
      <c r="L1016" t="s">
        <v>97</v>
      </c>
      <c r="M1016" s="81">
        <v>46119.375740740739</v>
      </c>
      <c r="N1016" s="81">
        <v>46125.680578703701</v>
      </c>
      <c r="O1016" t="s">
        <v>58</v>
      </c>
      <c r="P1016" t="s">
        <v>59</v>
      </c>
      <c r="Q1016" t="s">
        <v>90</v>
      </c>
      <c r="R1016" t="s">
        <v>144</v>
      </c>
      <c r="S1016" t="s">
        <v>1491</v>
      </c>
      <c r="U1016" s="75">
        <v>229317</v>
      </c>
      <c r="V1016" t="s">
        <v>4497</v>
      </c>
      <c r="W1016" t="s">
        <v>4498</v>
      </c>
      <c r="X1016" t="s">
        <v>62</v>
      </c>
      <c r="Y1016" t="s">
        <v>63</v>
      </c>
      <c r="AA1016" t="s">
        <v>295</v>
      </c>
      <c r="AB1016">
        <v>151.16666699999999</v>
      </c>
      <c r="AC1016">
        <v>103.55</v>
      </c>
      <c r="AD1016">
        <v>47.616667</v>
      </c>
      <c r="AE1016">
        <v>0.183333</v>
      </c>
      <c r="AF1016">
        <v>0</v>
      </c>
      <c r="AG1016">
        <v>47.433334000000002</v>
      </c>
      <c r="AH1016">
        <v>47.433334000000002</v>
      </c>
      <c r="AI1016">
        <v>44.583334000000001</v>
      </c>
      <c r="AJ1016">
        <v>2.85</v>
      </c>
      <c r="AK1016">
        <v>0</v>
      </c>
      <c r="AL1016" s="76">
        <v>44981</v>
      </c>
      <c r="AM1016" s="75">
        <v>1138</v>
      </c>
      <c r="AN1016" t="s">
        <v>65</v>
      </c>
      <c r="AO1016" t="s">
        <v>3477</v>
      </c>
      <c r="AP1016" t="s">
        <v>67</v>
      </c>
      <c r="AQ1016" t="s">
        <v>68</v>
      </c>
      <c r="AR1016" t="s">
        <v>69</v>
      </c>
      <c r="AS1016" s="78"/>
      <c r="AT1016" s="82" t="s">
        <v>4423</v>
      </c>
      <c r="AU1016" s="78">
        <v>2026</v>
      </c>
      <c r="AV1016" s="78">
        <v>4</v>
      </c>
      <c r="AW1016" s="78" t="s">
        <v>71</v>
      </c>
      <c r="AX1016" s="78">
        <v>0</v>
      </c>
      <c r="AY1016" s="78">
        <v>1</v>
      </c>
      <c r="BT1016" s="2" t="s">
        <v>71</v>
      </c>
      <c r="BU1016" s="2">
        <v>0</v>
      </c>
      <c r="BV1016" s="2">
        <v>1</v>
      </c>
    </row>
    <row r="1017" spans="1:74" ht="15" customHeight="1" x14ac:dyDescent="0.25">
      <c r="A1017" s="75">
        <v>5915503</v>
      </c>
      <c r="B1017" t="s">
        <v>4499</v>
      </c>
      <c r="C1017" t="s">
        <v>4500</v>
      </c>
      <c r="D1017" t="s">
        <v>1567</v>
      </c>
      <c r="E1017" t="s">
        <v>87</v>
      </c>
      <c r="F1017" s="75">
        <v>248</v>
      </c>
      <c r="G1017" s="75">
        <v>286337</v>
      </c>
      <c r="H1017">
        <v>364.96</v>
      </c>
      <c r="I1017" t="s">
        <v>55</v>
      </c>
      <c r="J1017" s="75">
        <v>218787</v>
      </c>
      <c r="K1017" t="s">
        <v>96</v>
      </c>
      <c r="L1017" t="s">
        <v>97</v>
      </c>
      <c r="M1017" s="81">
        <v>46124.660277777781</v>
      </c>
      <c r="N1017" s="81">
        <v>46125.683587962973</v>
      </c>
      <c r="O1017" t="s">
        <v>58</v>
      </c>
      <c r="P1017" t="s">
        <v>59</v>
      </c>
      <c r="Q1017" t="s">
        <v>98</v>
      </c>
      <c r="R1017" t="s">
        <v>131</v>
      </c>
      <c r="S1017" t="s">
        <v>1316</v>
      </c>
      <c r="U1017" s="75">
        <v>229817</v>
      </c>
      <c r="V1017" t="s">
        <v>4501</v>
      </c>
      <c r="W1017" t="s">
        <v>4501</v>
      </c>
      <c r="X1017" t="s">
        <v>62</v>
      </c>
      <c r="Y1017" t="s">
        <v>63</v>
      </c>
      <c r="AA1017" t="s">
        <v>64</v>
      </c>
      <c r="AB1017">
        <v>24.500001000000001</v>
      </c>
      <c r="AC1017">
        <v>18.583334000000001</v>
      </c>
      <c r="AD1017">
        <v>5.9166670000000003</v>
      </c>
      <c r="AE1017">
        <v>0.26666699999999999</v>
      </c>
      <c r="AF1017">
        <v>0</v>
      </c>
      <c r="AG1017">
        <v>5.65</v>
      </c>
      <c r="AH1017">
        <v>5.65</v>
      </c>
      <c r="AI1017">
        <v>5.45</v>
      </c>
      <c r="AJ1017">
        <v>0.2</v>
      </c>
      <c r="AK1017">
        <v>0</v>
      </c>
      <c r="AL1017" s="76">
        <v>44882</v>
      </c>
      <c r="AM1017" s="75">
        <v>1242</v>
      </c>
      <c r="AN1017" t="s">
        <v>65</v>
      </c>
      <c r="AO1017" t="s">
        <v>2830</v>
      </c>
      <c r="AP1017" t="s">
        <v>67</v>
      </c>
      <c r="AQ1017" t="s">
        <v>68</v>
      </c>
      <c r="AR1017" t="s">
        <v>69</v>
      </c>
      <c r="AS1017" s="79"/>
      <c r="AT1017" s="82" t="s">
        <v>4423</v>
      </c>
      <c r="AU1017" s="78">
        <v>2026</v>
      </c>
      <c r="AV1017" s="78">
        <v>4</v>
      </c>
      <c r="AW1017" s="78" t="s">
        <v>71</v>
      </c>
      <c r="AX1017" s="78">
        <v>1</v>
      </c>
      <c r="AY1017" s="78">
        <v>0</v>
      </c>
      <c r="BT1017" s="3" t="s">
        <v>71</v>
      </c>
      <c r="BU1017" s="3">
        <v>1</v>
      </c>
      <c r="BV1017" s="3">
        <v>0</v>
      </c>
    </row>
    <row r="1018" spans="1:74" ht="15" customHeight="1" x14ac:dyDescent="0.25">
      <c r="A1018" s="75">
        <v>5910323</v>
      </c>
      <c r="B1018" t="s">
        <v>4502</v>
      </c>
      <c r="C1018" t="s">
        <v>2712</v>
      </c>
      <c r="D1018" t="s">
        <v>1567</v>
      </c>
      <c r="E1018" t="s">
        <v>87</v>
      </c>
      <c r="F1018" s="75">
        <v>362</v>
      </c>
      <c r="G1018" s="75">
        <v>286763</v>
      </c>
      <c r="H1018">
        <v>364.96</v>
      </c>
      <c r="I1018" t="s">
        <v>55</v>
      </c>
      <c r="J1018" s="75">
        <v>218787</v>
      </c>
      <c r="K1018" t="s">
        <v>96</v>
      </c>
      <c r="L1018" t="s">
        <v>97</v>
      </c>
      <c r="M1018" s="81">
        <v>46120.556145833332</v>
      </c>
      <c r="N1018" s="81">
        <v>46125.684259259258</v>
      </c>
      <c r="O1018" t="s">
        <v>58</v>
      </c>
      <c r="P1018" t="s">
        <v>59</v>
      </c>
      <c r="Q1018" t="s">
        <v>90</v>
      </c>
      <c r="R1018" t="s">
        <v>60</v>
      </c>
      <c r="S1018" t="s">
        <v>583</v>
      </c>
      <c r="U1018" s="75">
        <v>229329</v>
      </c>
      <c r="V1018" t="s">
        <v>4503</v>
      </c>
      <c r="W1018" t="s">
        <v>4504</v>
      </c>
      <c r="X1018" t="s">
        <v>62</v>
      </c>
      <c r="Y1018" t="s">
        <v>63</v>
      </c>
      <c r="AA1018" t="s">
        <v>295</v>
      </c>
      <c r="AB1018">
        <v>122.983335</v>
      </c>
      <c r="AC1018">
        <v>91.95</v>
      </c>
      <c r="AD1018">
        <v>31.033335000000001</v>
      </c>
      <c r="AE1018">
        <v>0.16666700000000001</v>
      </c>
      <c r="AF1018">
        <v>0</v>
      </c>
      <c r="AG1018">
        <v>30.866668000000001</v>
      </c>
      <c r="AH1018">
        <v>30.866668000000001</v>
      </c>
      <c r="AI1018">
        <v>28.400001</v>
      </c>
      <c r="AJ1018">
        <v>2.4666670000000002</v>
      </c>
      <c r="AK1018">
        <v>0</v>
      </c>
      <c r="AL1018" s="76">
        <v>44890</v>
      </c>
      <c r="AM1018" s="75">
        <v>1230</v>
      </c>
      <c r="AN1018" t="s">
        <v>65</v>
      </c>
      <c r="AO1018" t="s">
        <v>2715</v>
      </c>
      <c r="AP1018" t="s">
        <v>67</v>
      </c>
      <c r="AQ1018" t="s">
        <v>68</v>
      </c>
      <c r="AR1018" t="s">
        <v>69</v>
      </c>
      <c r="AS1018" s="78"/>
      <c r="AT1018" s="82" t="s">
        <v>4423</v>
      </c>
      <c r="AU1018" s="78">
        <v>2026</v>
      </c>
      <c r="AV1018" s="78">
        <v>4</v>
      </c>
      <c r="AW1018" s="78" t="s">
        <v>71</v>
      </c>
      <c r="AX1018" s="78">
        <v>0</v>
      </c>
      <c r="AY1018" s="78">
        <v>1</v>
      </c>
      <c r="BT1018" s="2" t="s">
        <v>71</v>
      </c>
      <c r="BU1018" s="2">
        <v>0</v>
      </c>
      <c r="BV1018" s="2">
        <v>1</v>
      </c>
    </row>
    <row r="1019" spans="1:74" ht="15" customHeight="1" x14ac:dyDescent="0.25">
      <c r="A1019" s="75">
        <v>5916533</v>
      </c>
      <c r="B1019" t="s">
        <v>4505</v>
      </c>
      <c r="C1019" t="s">
        <v>4506</v>
      </c>
      <c r="D1019" t="s">
        <v>809</v>
      </c>
      <c r="E1019" t="s">
        <v>87</v>
      </c>
      <c r="F1019" s="75">
        <v>138</v>
      </c>
      <c r="G1019" s="75">
        <v>285617</v>
      </c>
      <c r="H1019">
        <v>368.16</v>
      </c>
      <c r="I1019" t="s">
        <v>55</v>
      </c>
      <c r="J1019" s="75">
        <v>218791</v>
      </c>
      <c r="K1019" t="s">
        <v>312</v>
      </c>
      <c r="L1019" t="s">
        <v>313</v>
      </c>
      <c r="M1019" s="81">
        <v>46125.542337962957</v>
      </c>
      <c r="N1019" s="81">
        <v>46126.387650462973</v>
      </c>
      <c r="O1019" t="s">
        <v>277</v>
      </c>
      <c r="P1019" t="s">
        <v>59</v>
      </c>
      <c r="Q1019" t="s">
        <v>90</v>
      </c>
      <c r="R1019" t="s">
        <v>99</v>
      </c>
      <c r="S1019" t="s">
        <v>1244</v>
      </c>
      <c r="U1019" s="75">
        <v>230331</v>
      </c>
      <c r="V1019" t="s">
        <v>4507</v>
      </c>
      <c r="X1019" t="s">
        <v>62</v>
      </c>
      <c r="Y1019" t="s">
        <v>63</v>
      </c>
      <c r="AA1019" t="s">
        <v>64</v>
      </c>
      <c r="AB1019">
        <v>20.216667000000001</v>
      </c>
      <c r="AC1019">
        <v>15.15</v>
      </c>
      <c r="AD1019">
        <v>5.0666669999999998</v>
      </c>
      <c r="AE1019">
        <v>0.13333300000000001</v>
      </c>
      <c r="AF1019">
        <v>0</v>
      </c>
      <c r="AG1019">
        <v>4.9333340000000003</v>
      </c>
      <c r="AH1019">
        <v>4.9333340000000003</v>
      </c>
      <c r="AI1019">
        <v>4.2</v>
      </c>
      <c r="AJ1019">
        <v>0.73333400000000004</v>
      </c>
      <c r="AK1019">
        <v>0</v>
      </c>
      <c r="AL1019" s="76">
        <v>44896.419305555559</v>
      </c>
      <c r="AM1019" s="75">
        <v>1229</v>
      </c>
      <c r="AN1019" t="s">
        <v>65</v>
      </c>
      <c r="AO1019" t="s">
        <v>4508</v>
      </c>
      <c r="AP1019" t="s">
        <v>67</v>
      </c>
      <c r="AQ1019" t="s">
        <v>68</v>
      </c>
      <c r="AR1019" t="s">
        <v>69</v>
      </c>
      <c r="AS1019" s="79"/>
      <c r="AT1019" s="82" t="s">
        <v>4423</v>
      </c>
      <c r="AU1019" s="78">
        <v>2026</v>
      </c>
      <c r="AV1019" s="78">
        <v>4</v>
      </c>
      <c r="AW1019" s="78" t="s">
        <v>71</v>
      </c>
      <c r="AX1019" s="78">
        <v>1</v>
      </c>
      <c r="AY1019" s="78">
        <v>0</v>
      </c>
      <c r="BT1019" s="3" t="s">
        <v>71</v>
      </c>
      <c r="BU1019" s="3">
        <v>1</v>
      </c>
      <c r="BV1019" s="3">
        <v>0</v>
      </c>
    </row>
    <row r="1020" spans="1:74" ht="15" customHeight="1" x14ac:dyDescent="0.25">
      <c r="A1020" s="75">
        <v>5914879</v>
      </c>
      <c r="B1020" t="s">
        <v>4509</v>
      </c>
      <c r="C1020" t="s">
        <v>2611</v>
      </c>
      <c r="D1020" t="s">
        <v>527</v>
      </c>
      <c r="E1020" t="s">
        <v>87</v>
      </c>
      <c r="F1020" s="75">
        <v>875</v>
      </c>
      <c r="G1020" s="75">
        <v>330863</v>
      </c>
      <c r="H1020">
        <v>950</v>
      </c>
      <c r="I1020" t="s">
        <v>141</v>
      </c>
      <c r="J1020" s="75">
        <v>19913</v>
      </c>
      <c r="K1020" t="s">
        <v>2336</v>
      </c>
      <c r="L1020" t="s">
        <v>2337</v>
      </c>
      <c r="M1020" s="81">
        <v>46123.582037037027</v>
      </c>
      <c r="N1020" s="81">
        <v>46126.420092592591</v>
      </c>
      <c r="O1020" t="s">
        <v>58</v>
      </c>
      <c r="P1020" t="s">
        <v>59</v>
      </c>
      <c r="R1020" t="s">
        <v>60</v>
      </c>
      <c r="S1020" t="s">
        <v>1268</v>
      </c>
      <c r="U1020" s="75">
        <v>230313</v>
      </c>
      <c r="V1020" t="s">
        <v>4510</v>
      </c>
      <c r="X1020" t="s">
        <v>62</v>
      </c>
      <c r="Y1020" t="s">
        <v>63</v>
      </c>
      <c r="AA1020" t="s">
        <v>416</v>
      </c>
      <c r="AB1020">
        <v>67.983333000000002</v>
      </c>
      <c r="AC1020">
        <v>33.416665999999999</v>
      </c>
      <c r="AD1020">
        <v>34.566667000000002</v>
      </c>
      <c r="AE1020">
        <v>21.3</v>
      </c>
      <c r="AF1020">
        <v>21.116665999999999</v>
      </c>
      <c r="AG1020">
        <v>13.266667</v>
      </c>
      <c r="AH1020">
        <v>34.383333</v>
      </c>
      <c r="AI1020">
        <v>12.966666</v>
      </c>
      <c r="AJ1020">
        <v>0.30000100000000002</v>
      </c>
      <c r="AK1020">
        <v>0</v>
      </c>
      <c r="AL1020" s="76">
        <v>45681</v>
      </c>
      <c r="AM1020" s="75">
        <v>442</v>
      </c>
      <c r="AN1020" t="s">
        <v>65</v>
      </c>
      <c r="AO1020" t="s">
        <v>2340</v>
      </c>
      <c r="AP1020" t="s">
        <v>67</v>
      </c>
      <c r="AQ1020" t="s">
        <v>68</v>
      </c>
      <c r="AR1020" t="s">
        <v>69</v>
      </c>
      <c r="AS1020" s="78"/>
      <c r="AT1020" s="82" t="s">
        <v>4423</v>
      </c>
      <c r="AU1020" s="78">
        <v>2026</v>
      </c>
      <c r="AV1020" s="78">
        <v>4</v>
      </c>
      <c r="AW1020" s="78" t="s">
        <v>71</v>
      </c>
      <c r="AX1020" s="78">
        <v>0</v>
      </c>
      <c r="AY1020" s="78">
        <v>0</v>
      </c>
      <c r="BT1020" s="2" t="s">
        <v>71</v>
      </c>
      <c r="BU1020" s="2">
        <v>0</v>
      </c>
      <c r="BV1020" s="2">
        <v>0</v>
      </c>
    </row>
    <row r="1021" spans="1:74" ht="15" customHeight="1" x14ac:dyDescent="0.25">
      <c r="A1021" s="75">
        <v>5905205</v>
      </c>
      <c r="B1021" t="s">
        <v>4511</v>
      </c>
      <c r="C1021" t="s">
        <v>4512</v>
      </c>
      <c r="D1021" t="s">
        <v>527</v>
      </c>
      <c r="E1021" t="s">
        <v>87</v>
      </c>
      <c r="F1021" s="75">
        <v>371</v>
      </c>
      <c r="G1021" s="75">
        <v>286785</v>
      </c>
      <c r="H1021">
        <v>364.96</v>
      </c>
      <c r="I1021" t="s">
        <v>55</v>
      </c>
      <c r="J1021" s="75">
        <v>218787</v>
      </c>
      <c r="K1021" t="s">
        <v>96</v>
      </c>
      <c r="L1021" t="s">
        <v>97</v>
      </c>
      <c r="M1021" s="81">
        <v>46117.111585648148</v>
      </c>
      <c r="N1021" s="81">
        <v>46126.432060185187</v>
      </c>
      <c r="O1021" t="s">
        <v>58</v>
      </c>
      <c r="P1021" t="s">
        <v>59</v>
      </c>
      <c r="Q1021" t="s">
        <v>90</v>
      </c>
      <c r="R1021" t="s">
        <v>60</v>
      </c>
      <c r="S1021" t="s">
        <v>583</v>
      </c>
      <c r="U1021" s="75">
        <v>229313</v>
      </c>
      <c r="V1021" t="s">
        <v>4513</v>
      </c>
      <c r="W1021" t="s">
        <v>4514</v>
      </c>
      <c r="X1021" t="s">
        <v>62</v>
      </c>
      <c r="Y1021" t="s">
        <v>63</v>
      </c>
      <c r="AA1021" t="s">
        <v>295</v>
      </c>
      <c r="AB1021">
        <v>223.533333</v>
      </c>
      <c r="AC1021">
        <v>170.13333299999999</v>
      </c>
      <c r="AD1021">
        <v>53.4</v>
      </c>
      <c r="AE1021">
        <v>0.25</v>
      </c>
      <c r="AF1021">
        <v>0</v>
      </c>
      <c r="AG1021">
        <v>53.15</v>
      </c>
      <c r="AH1021">
        <v>53.15</v>
      </c>
      <c r="AI1021">
        <v>49.15</v>
      </c>
      <c r="AJ1021">
        <v>4</v>
      </c>
      <c r="AK1021">
        <v>0</v>
      </c>
      <c r="AL1021" s="76">
        <v>44942</v>
      </c>
      <c r="AM1021" s="75">
        <v>1175</v>
      </c>
      <c r="AN1021" t="s">
        <v>65</v>
      </c>
      <c r="AO1021" t="s">
        <v>4515</v>
      </c>
      <c r="AP1021" t="s">
        <v>67</v>
      </c>
      <c r="AQ1021" t="s">
        <v>68</v>
      </c>
      <c r="AR1021" t="s">
        <v>69</v>
      </c>
      <c r="AS1021" s="79"/>
      <c r="AT1021" s="82" t="s">
        <v>4423</v>
      </c>
      <c r="AU1021" s="78">
        <v>2026</v>
      </c>
      <c r="AV1021" s="78">
        <v>4</v>
      </c>
      <c r="AW1021" s="78" t="s">
        <v>71</v>
      </c>
      <c r="AX1021" s="78">
        <v>0</v>
      </c>
      <c r="AY1021" s="78">
        <v>1</v>
      </c>
      <c r="BT1021" s="3" t="s">
        <v>71</v>
      </c>
      <c r="BU1021" s="3">
        <v>0</v>
      </c>
      <c r="BV1021" s="3">
        <v>1</v>
      </c>
    </row>
    <row r="1022" spans="1:74" ht="15" customHeight="1" x14ac:dyDescent="0.25">
      <c r="A1022" s="75">
        <v>5910929</v>
      </c>
      <c r="B1022" t="s">
        <v>4516</v>
      </c>
      <c r="C1022" t="s">
        <v>2321</v>
      </c>
      <c r="D1022" t="s">
        <v>527</v>
      </c>
      <c r="E1022" t="s">
        <v>87</v>
      </c>
      <c r="F1022" s="75">
        <v>398</v>
      </c>
      <c r="G1022" s="75">
        <v>288005</v>
      </c>
      <c r="H1022">
        <v>368.16</v>
      </c>
      <c r="I1022" t="s">
        <v>55</v>
      </c>
      <c r="J1022" s="75">
        <v>218791</v>
      </c>
      <c r="K1022" t="s">
        <v>312</v>
      </c>
      <c r="L1022" t="s">
        <v>313</v>
      </c>
      <c r="M1022" s="81">
        <v>46120.799201388887</v>
      </c>
      <c r="N1022" s="81">
        <v>46126.432222222233</v>
      </c>
      <c r="O1022" t="s">
        <v>58</v>
      </c>
      <c r="P1022" t="s">
        <v>59</v>
      </c>
      <c r="Q1022" t="s">
        <v>90</v>
      </c>
      <c r="R1022" t="s">
        <v>131</v>
      </c>
      <c r="S1022" t="s">
        <v>1273</v>
      </c>
      <c r="U1022" s="75">
        <v>229333</v>
      </c>
      <c r="V1022" t="s">
        <v>4517</v>
      </c>
      <c r="W1022" t="s">
        <v>4518</v>
      </c>
      <c r="X1022" t="s">
        <v>62</v>
      </c>
      <c r="Y1022" t="s">
        <v>63</v>
      </c>
      <c r="AA1022" t="s">
        <v>295</v>
      </c>
      <c r="AB1022">
        <v>135.033333</v>
      </c>
      <c r="AC1022">
        <v>102.683333</v>
      </c>
      <c r="AD1022">
        <v>32.35</v>
      </c>
      <c r="AE1022">
        <v>0.71666700000000005</v>
      </c>
      <c r="AF1022">
        <v>0</v>
      </c>
      <c r="AG1022">
        <v>31.633333</v>
      </c>
      <c r="AH1022">
        <v>31.633333</v>
      </c>
      <c r="AI1022">
        <v>29.35</v>
      </c>
      <c r="AJ1022">
        <v>2.2833329999999998</v>
      </c>
      <c r="AK1022">
        <v>0</v>
      </c>
      <c r="AL1022" s="76">
        <v>44929.959733796299</v>
      </c>
      <c r="AM1022" s="75">
        <v>1190</v>
      </c>
      <c r="AN1022" t="s">
        <v>65</v>
      </c>
      <c r="AO1022" t="s">
        <v>2324</v>
      </c>
      <c r="AP1022" t="s">
        <v>67</v>
      </c>
      <c r="AQ1022" t="s">
        <v>68</v>
      </c>
      <c r="AR1022" t="s">
        <v>69</v>
      </c>
      <c r="AS1022" s="78"/>
      <c r="AT1022" s="82" t="s">
        <v>4423</v>
      </c>
      <c r="AU1022" s="78">
        <v>2026</v>
      </c>
      <c r="AV1022" s="78">
        <v>4</v>
      </c>
      <c r="AW1022" s="78" t="s">
        <v>71</v>
      </c>
      <c r="AX1022" s="78">
        <v>0</v>
      </c>
      <c r="AY1022" s="78">
        <v>1</v>
      </c>
      <c r="BT1022" s="2" t="s">
        <v>71</v>
      </c>
      <c r="BU1022" s="2">
        <v>0</v>
      </c>
      <c r="BV1022" s="2">
        <v>1</v>
      </c>
    </row>
    <row r="1023" spans="1:74" ht="15" customHeight="1" x14ac:dyDescent="0.25">
      <c r="A1023" s="75">
        <v>5912539</v>
      </c>
      <c r="B1023" t="s">
        <v>4519</v>
      </c>
      <c r="C1023" t="s">
        <v>667</v>
      </c>
      <c r="D1023" t="s">
        <v>527</v>
      </c>
      <c r="E1023" t="s">
        <v>87</v>
      </c>
      <c r="F1023" s="75">
        <v>307</v>
      </c>
      <c r="G1023" s="75">
        <v>286503</v>
      </c>
      <c r="H1023">
        <v>364.96</v>
      </c>
      <c r="I1023" t="s">
        <v>55</v>
      </c>
      <c r="J1023" s="75">
        <v>218787</v>
      </c>
      <c r="K1023" t="s">
        <v>96</v>
      </c>
      <c r="L1023" t="s">
        <v>97</v>
      </c>
      <c r="M1023" s="81">
        <v>46121.736701388887</v>
      </c>
      <c r="N1023" s="81">
        <v>46126.43240740741</v>
      </c>
      <c r="O1023" t="s">
        <v>58</v>
      </c>
      <c r="P1023" t="s">
        <v>59</v>
      </c>
      <c r="Q1023" t="s">
        <v>90</v>
      </c>
      <c r="R1023" t="s">
        <v>60</v>
      </c>
      <c r="S1023" t="s">
        <v>583</v>
      </c>
      <c r="U1023" s="75">
        <v>229357</v>
      </c>
      <c r="V1023" t="s">
        <v>4520</v>
      </c>
      <c r="W1023" t="s">
        <v>4521</v>
      </c>
      <c r="X1023" t="s">
        <v>62</v>
      </c>
      <c r="Y1023" t="s">
        <v>63</v>
      </c>
      <c r="AA1023" t="s">
        <v>295</v>
      </c>
      <c r="AB1023">
        <v>112.566665</v>
      </c>
      <c r="AC1023">
        <v>79.366665999999995</v>
      </c>
      <c r="AD1023">
        <v>33.199998999999998</v>
      </c>
      <c r="AE1023">
        <v>0.15</v>
      </c>
      <c r="AF1023">
        <v>0</v>
      </c>
      <c r="AG1023">
        <v>33.049999</v>
      </c>
      <c r="AH1023">
        <v>33.049999</v>
      </c>
      <c r="AI1023">
        <v>31.766666000000001</v>
      </c>
      <c r="AJ1023">
        <v>1.2833330000000001</v>
      </c>
      <c r="AK1023">
        <v>0</v>
      </c>
      <c r="AL1023" s="76">
        <v>44933</v>
      </c>
      <c r="AM1023" s="75">
        <v>1188</v>
      </c>
      <c r="AN1023" t="s">
        <v>65</v>
      </c>
      <c r="AO1023" t="s">
        <v>669</v>
      </c>
      <c r="AP1023" t="s">
        <v>67</v>
      </c>
      <c r="AQ1023" t="s">
        <v>68</v>
      </c>
      <c r="AR1023" t="s">
        <v>69</v>
      </c>
      <c r="AS1023" s="79"/>
      <c r="AT1023" s="82" t="s">
        <v>4423</v>
      </c>
      <c r="AU1023" s="78">
        <v>2026</v>
      </c>
      <c r="AV1023" s="78">
        <v>4</v>
      </c>
      <c r="AW1023" s="78" t="s">
        <v>71</v>
      </c>
      <c r="AX1023" s="78">
        <v>0</v>
      </c>
      <c r="AY1023" s="78">
        <v>1</v>
      </c>
      <c r="BT1023" s="3" t="s">
        <v>71</v>
      </c>
      <c r="BU1023" s="3">
        <v>0</v>
      </c>
      <c r="BV1023" s="3">
        <v>1</v>
      </c>
    </row>
    <row r="1024" spans="1:74" ht="15" customHeight="1" x14ac:dyDescent="0.25">
      <c r="A1024" s="75">
        <v>5913983</v>
      </c>
      <c r="B1024" t="s">
        <v>4522</v>
      </c>
      <c r="C1024" t="s">
        <v>4523</v>
      </c>
      <c r="D1024" t="s">
        <v>527</v>
      </c>
      <c r="E1024" t="s">
        <v>87</v>
      </c>
      <c r="F1024" s="75">
        <v>200</v>
      </c>
      <c r="G1024" s="75">
        <v>285993</v>
      </c>
      <c r="H1024">
        <v>398.82</v>
      </c>
      <c r="I1024" t="s">
        <v>55</v>
      </c>
      <c r="J1024" s="75">
        <v>216233</v>
      </c>
      <c r="K1024" t="s">
        <v>88</v>
      </c>
      <c r="L1024" t="s">
        <v>89</v>
      </c>
      <c r="M1024" s="81">
        <v>46122.660462962973</v>
      </c>
      <c r="N1024" s="81">
        <v>46126.432557870372</v>
      </c>
      <c r="O1024" t="s">
        <v>58</v>
      </c>
      <c r="P1024" t="s">
        <v>59</v>
      </c>
      <c r="Q1024" t="s">
        <v>90</v>
      </c>
      <c r="R1024" t="s">
        <v>60</v>
      </c>
      <c r="S1024" t="s">
        <v>583</v>
      </c>
      <c r="U1024" s="75">
        <v>229381</v>
      </c>
      <c r="V1024" t="s">
        <v>4524</v>
      </c>
      <c r="W1024" t="s">
        <v>4525</v>
      </c>
      <c r="X1024" t="s">
        <v>62</v>
      </c>
      <c r="Y1024" t="s">
        <v>63</v>
      </c>
      <c r="AA1024" t="s">
        <v>101</v>
      </c>
      <c r="AB1024">
        <v>90.466667999999999</v>
      </c>
      <c r="AC1024">
        <v>79.05</v>
      </c>
      <c r="AD1024">
        <v>11.416668</v>
      </c>
      <c r="AE1024">
        <v>0.433334</v>
      </c>
      <c r="AF1024">
        <v>0</v>
      </c>
      <c r="AG1024">
        <v>10.983333999999999</v>
      </c>
      <c r="AH1024">
        <v>10.983333999999999</v>
      </c>
      <c r="AI1024">
        <v>10.766667</v>
      </c>
      <c r="AJ1024">
        <v>0.216667</v>
      </c>
      <c r="AK1024">
        <v>0</v>
      </c>
      <c r="AL1024" s="76">
        <v>44873</v>
      </c>
      <c r="AM1024" s="75">
        <v>1249</v>
      </c>
      <c r="AN1024" t="s">
        <v>65</v>
      </c>
      <c r="AO1024" t="s">
        <v>4526</v>
      </c>
      <c r="AP1024" t="s">
        <v>67</v>
      </c>
      <c r="AQ1024" t="s">
        <v>68</v>
      </c>
      <c r="AR1024" t="s">
        <v>69</v>
      </c>
      <c r="AS1024" s="78"/>
      <c r="AT1024" s="82" t="s">
        <v>4423</v>
      </c>
      <c r="AU1024" s="78">
        <v>2026</v>
      </c>
      <c r="AV1024" s="78">
        <v>4</v>
      </c>
      <c r="AW1024" s="78" t="s">
        <v>71</v>
      </c>
      <c r="AX1024" s="78">
        <v>0</v>
      </c>
      <c r="AY1024" s="78">
        <v>0</v>
      </c>
      <c r="BT1024" s="2" t="s">
        <v>71</v>
      </c>
      <c r="BU1024" s="2">
        <v>0</v>
      </c>
      <c r="BV1024" s="2">
        <v>0</v>
      </c>
    </row>
    <row r="1025" spans="1:74" ht="15" customHeight="1" x14ac:dyDescent="0.25">
      <c r="A1025" s="75">
        <v>5916105</v>
      </c>
      <c r="B1025" t="s">
        <v>4527</v>
      </c>
      <c r="C1025" t="s">
        <v>4528</v>
      </c>
      <c r="D1025" t="s">
        <v>527</v>
      </c>
      <c r="E1025" t="s">
        <v>87</v>
      </c>
      <c r="F1025" s="75">
        <v>446</v>
      </c>
      <c r="G1025" s="75">
        <v>289321</v>
      </c>
      <c r="H1025">
        <v>368.16</v>
      </c>
      <c r="I1025" t="s">
        <v>55</v>
      </c>
      <c r="J1025" s="75">
        <v>218791</v>
      </c>
      <c r="K1025" t="s">
        <v>312</v>
      </c>
      <c r="L1025" t="s">
        <v>313</v>
      </c>
      <c r="M1025" s="81">
        <v>46125.417233796303</v>
      </c>
      <c r="N1025" s="81">
        <v>46126.432708333326</v>
      </c>
      <c r="O1025" t="s">
        <v>58</v>
      </c>
      <c r="P1025" t="s">
        <v>59</v>
      </c>
      <c r="Q1025" t="s">
        <v>90</v>
      </c>
      <c r="R1025" t="s">
        <v>60</v>
      </c>
      <c r="S1025" t="s">
        <v>583</v>
      </c>
      <c r="U1025" s="75">
        <v>229815</v>
      </c>
      <c r="V1025" t="s">
        <v>4529</v>
      </c>
      <c r="W1025" t="s">
        <v>4529</v>
      </c>
      <c r="X1025" t="s">
        <v>62</v>
      </c>
      <c r="Y1025" t="s">
        <v>63</v>
      </c>
      <c r="AA1025" t="s">
        <v>64</v>
      </c>
      <c r="AB1025">
        <v>24.316666999999999</v>
      </c>
      <c r="AC1025">
        <v>16.666667</v>
      </c>
      <c r="AD1025">
        <v>7.65</v>
      </c>
      <c r="AE1025">
        <v>0.26666699999999999</v>
      </c>
      <c r="AF1025">
        <v>0</v>
      </c>
      <c r="AG1025">
        <v>7.3833330000000004</v>
      </c>
      <c r="AH1025">
        <v>7.3833330000000004</v>
      </c>
      <c r="AI1025">
        <v>7.1833330000000002</v>
      </c>
      <c r="AJ1025">
        <v>0.2</v>
      </c>
      <c r="AK1025">
        <v>0</v>
      </c>
      <c r="AL1025" s="76">
        <v>45000.39675925926</v>
      </c>
      <c r="AM1025" s="75">
        <v>1125</v>
      </c>
      <c r="AN1025" t="s">
        <v>65</v>
      </c>
      <c r="AO1025" t="s">
        <v>4530</v>
      </c>
      <c r="AP1025" t="s">
        <v>67</v>
      </c>
      <c r="AQ1025" t="s">
        <v>68</v>
      </c>
      <c r="AR1025" t="s">
        <v>69</v>
      </c>
      <c r="AS1025" s="79"/>
      <c r="AT1025" s="82" t="s">
        <v>4423</v>
      </c>
      <c r="AU1025" s="78">
        <v>2026</v>
      </c>
      <c r="AV1025" s="78">
        <v>4</v>
      </c>
      <c r="AW1025" s="78" t="s">
        <v>71</v>
      </c>
      <c r="AX1025" s="78">
        <v>1</v>
      </c>
      <c r="AY1025" s="78">
        <v>0</v>
      </c>
      <c r="BT1025" s="3" t="s">
        <v>71</v>
      </c>
      <c r="BU1025" s="3">
        <v>1</v>
      </c>
      <c r="BV1025" s="3">
        <v>0</v>
      </c>
    </row>
    <row r="1026" spans="1:74" ht="15" customHeight="1" x14ac:dyDescent="0.25">
      <c r="A1026" s="75">
        <v>5915559</v>
      </c>
      <c r="B1026" t="s">
        <v>4531</v>
      </c>
      <c r="C1026" t="s">
        <v>3377</v>
      </c>
      <c r="D1026" t="s">
        <v>1555</v>
      </c>
      <c r="E1026" t="s">
        <v>54</v>
      </c>
      <c r="F1026" s="75">
        <v>1</v>
      </c>
      <c r="G1026" s="75">
        <v>266019</v>
      </c>
      <c r="H1026">
        <v>330</v>
      </c>
      <c r="I1026" t="s">
        <v>242</v>
      </c>
      <c r="J1026" s="75">
        <v>212737</v>
      </c>
      <c r="K1026" t="s">
        <v>3378</v>
      </c>
      <c r="L1026" t="s">
        <v>3379</v>
      </c>
      <c r="M1026" s="81">
        <v>46124.764409722222</v>
      </c>
      <c r="N1026" s="81">
        <v>46126.484305555547</v>
      </c>
      <c r="O1026" t="s">
        <v>58</v>
      </c>
      <c r="P1026" t="s">
        <v>59</v>
      </c>
      <c r="Q1026" t="s">
        <v>90</v>
      </c>
      <c r="R1026" t="s">
        <v>99</v>
      </c>
      <c r="S1026" t="s">
        <v>1244</v>
      </c>
      <c r="T1026" t="s">
        <v>970</v>
      </c>
      <c r="U1026" s="75">
        <v>229233</v>
      </c>
      <c r="V1026" t="s">
        <v>4532</v>
      </c>
      <c r="W1026" t="s">
        <v>4532</v>
      </c>
      <c r="X1026" t="s">
        <v>79</v>
      </c>
      <c r="Y1026" t="s">
        <v>224</v>
      </c>
      <c r="AA1026" t="s">
        <v>81</v>
      </c>
      <c r="AB1026">
        <v>41.216665999999996</v>
      </c>
      <c r="AC1026">
        <v>37.049999999999997</v>
      </c>
      <c r="AD1026">
        <v>4.1666660000000002</v>
      </c>
      <c r="AE1026">
        <v>1.5333330000000001</v>
      </c>
      <c r="AF1026">
        <v>0</v>
      </c>
      <c r="AG1026">
        <v>2.6333329999999999</v>
      </c>
      <c r="AH1026">
        <v>2.6333329999999999</v>
      </c>
      <c r="AI1026">
        <v>2.0833330000000001</v>
      </c>
      <c r="AJ1026">
        <v>0.55000000000000004</v>
      </c>
      <c r="AK1026">
        <v>0</v>
      </c>
      <c r="AL1026" s="76">
        <v>36526</v>
      </c>
      <c r="AM1026" s="75">
        <v>9598</v>
      </c>
      <c r="AN1026" t="s">
        <v>65</v>
      </c>
      <c r="AO1026" t="s">
        <v>3381</v>
      </c>
      <c r="AP1026" t="s">
        <v>67</v>
      </c>
      <c r="AQ1026" t="s">
        <v>83</v>
      </c>
      <c r="AR1026" t="s">
        <v>69</v>
      </c>
      <c r="AS1026" s="78"/>
      <c r="AT1026" s="82" t="s">
        <v>4423</v>
      </c>
      <c r="AU1026" s="78">
        <v>2026</v>
      </c>
      <c r="AV1026" s="78">
        <v>4</v>
      </c>
      <c r="AW1026" s="78" t="s">
        <v>226</v>
      </c>
      <c r="AX1026" s="78">
        <v>1</v>
      </c>
      <c r="AY1026" s="78">
        <v>0</v>
      </c>
      <c r="BT1026" s="2" t="s">
        <v>226</v>
      </c>
      <c r="BU1026" s="2">
        <v>1</v>
      </c>
      <c r="BV1026" s="2">
        <v>0</v>
      </c>
    </row>
    <row r="1027" spans="1:74" ht="15" customHeight="1" x14ac:dyDescent="0.25">
      <c r="A1027" s="75">
        <v>5917149</v>
      </c>
      <c r="B1027" t="s">
        <v>4533</v>
      </c>
      <c r="C1027" t="s">
        <v>2998</v>
      </c>
      <c r="D1027" t="s">
        <v>2379</v>
      </c>
      <c r="E1027" t="s">
        <v>87</v>
      </c>
      <c r="F1027" s="75">
        <v>129</v>
      </c>
      <c r="G1027" s="75">
        <v>285597</v>
      </c>
      <c r="H1027">
        <v>368.16</v>
      </c>
      <c r="I1027" t="s">
        <v>55</v>
      </c>
      <c r="J1027" s="75">
        <v>218791</v>
      </c>
      <c r="K1027" t="s">
        <v>312</v>
      </c>
      <c r="L1027" t="s">
        <v>313</v>
      </c>
      <c r="M1027" s="81">
        <v>46126.090636574067</v>
      </c>
      <c r="N1027" s="81">
        <v>46126.492291666669</v>
      </c>
      <c r="O1027" t="s">
        <v>58</v>
      </c>
      <c r="P1027" t="s">
        <v>59</v>
      </c>
      <c r="Q1027" t="s">
        <v>90</v>
      </c>
      <c r="R1027" t="s">
        <v>99</v>
      </c>
      <c r="S1027" t="s">
        <v>1244</v>
      </c>
      <c r="U1027" s="75">
        <v>230287</v>
      </c>
      <c r="V1027" t="s">
        <v>4534</v>
      </c>
      <c r="X1027" t="s">
        <v>62</v>
      </c>
      <c r="Y1027" t="s">
        <v>63</v>
      </c>
      <c r="AA1027" t="s">
        <v>81</v>
      </c>
      <c r="AB1027">
        <v>9.6</v>
      </c>
      <c r="AC1027">
        <v>7.6</v>
      </c>
      <c r="AD1027">
        <v>2</v>
      </c>
      <c r="AE1027">
        <v>0.13333300000000001</v>
      </c>
      <c r="AF1027">
        <v>0</v>
      </c>
      <c r="AG1027">
        <v>1.8666670000000001</v>
      </c>
      <c r="AH1027">
        <v>1.8666670000000001</v>
      </c>
      <c r="AI1027">
        <v>0.75</v>
      </c>
      <c r="AJ1027">
        <v>1.1166670000000001</v>
      </c>
      <c r="AK1027">
        <v>0</v>
      </c>
      <c r="AL1027" s="76">
        <v>44897.547465277778</v>
      </c>
      <c r="AM1027" s="75">
        <v>1228</v>
      </c>
      <c r="AN1027" t="s">
        <v>65</v>
      </c>
      <c r="AO1027" t="s">
        <v>3000</v>
      </c>
      <c r="AP1027" t="s">
        <v>67</v>
      </c>
      <c r="AQ1027" t="s">
        <v>68</v>
      </c>
      <c r="AR1027" t="s">
        <v>69</v>
      </c>
      <c r="AS1027" s="79"/>
      <c r="AT1027" s="82" t="s">
        <v>4423</v>
      </c>
      <c r="AU1027" s="78">
        <v>2026</v>
      </c>
      <c r="AV1027" s="78">
        <v>4</v>
      </c>
      <c r="AW1027" s="78" t="s">
        <v>71</v>
      </c>
      <c r="AX1027" s="78">
        <v>1</v>
      </c>
      <c r="AY1027" s="78">
        <v>0</v>
      </c>
      <c r="BT1027" s="3" t="s">
        <v>71</v>
      </c>
      <c r="BU1027" s="3">
        <v>1</v>
      </c>
      <c r="BV1027" s="3">
        <v>0</v>
      </c>
    </row>
    <row r="1028" spans="1:74" ht="15" customHeight="1" x14ac:dyDescent="0.25">
      <c r="A1028" s="75">
        <v>5916953</v>
      </c>
      <c r="B1028" t="s">
        <v>4535</v>
      </c>
      <c r="C1028" t="s">
        <v>4536</v>
      </c>
      <c r="D1028" t="s">
        <v>282</v>
      </c>
      <c r="E1028" t="s">
        <v>87</v>
      </c>
      <c r="F1028" s="75">
        <v>1487</v>
      </c>
      <c r="G1028" s="75">
        <v>347841</v>
      </c>
      <c r="H1028">
        <v>650.6</v>
      </c>
      <c r="I1028" t="s">
        <v>203</v>
      </c>
      <c r="J1028" s="75">
        <v>6971</v>
      </c>
      <c r="K1028" t="s">
        <v>369</v>
      </c>
      <c r="L1028" t="s">
        <v>370</v>
      </c>
      <c r="M1028" s="81">
        <v>46125.785185185188</v>
      </c>
      <c r="N1028" s="81">
        <v>46126.496736111112</v>
      </c>
      <c r="O1028" t="s">
        <v>58</v>
      </c>
      <c r="P1028" t="s">
        <v>59</v>
      </c>
      <c r="Q1028" t="s">
        <v>90</v>
      </c>
      <c r="R1028" t="s">
        <v>99</v>
      </c>
      <c r="S1028" t="s">
        <v>1244</v>
      </c>
      <c r="U1028" s="75">
        <v>230755</v>
      </c>
      <c r="V1028" t="s">
        <v>4537</v>
      </c>
      <c r="X1028" t="s">
        <v>62</v>
      </c>
      <c r="Y1028" t="s">
        <v>190</v>
      </c>
      <c r="AA1028" t="s">
        <v>81</v>
      </c>
      <c r="AB1028">
        <v>17.033332999999999</v>
      </c>
      <c r="AC1028">
        <v>14.166665999999999</v>
      </c>
      <c r="AD1028">
        <v>2.8666670000000001</v>
      </c>
      <c r="AE1028">
        <v>0.58333299999999999</v>
      </c>
      <c r="AF1028">
        <v>0</v>
      </c>
      <c r="AG1028">
        <v>2.283334</v>
      </c>
      <c r="AH1028">
        <v>2.283334</v>
      </c>
      <c r="AI1028">
        <v>1.266667</v>
      </c>
      <c r="AJ1028">
        <v>1.016667</v>
      </c>
      <c r="AK1028">
        <v>0</v>
      </c>
      <c r="AL1028" s="76"/>
      <c r="AM1028" s="75"/>
      <c r="AN1028" t="s">
        <v>135</v>
      </c>
      <c r="AO1028" t="s">
        <v>4538</v>
      </c>
      <c r="AP1028" t="s">
        <v>67</v>
      </c>
      <c r="AQ1028" t="s">
        <v>68</v>
      </c>
      <c r="AR1028" t="s">
        <v>69</v>
      </c>
      <c r="AS1028" s="78"/>
      <c r="AT1028" s="82" t="s">
        <v>4423</v>
      </c>
      <c r="AU1028" s="78">
        <v>2026</v>
      </c>
      <c r="AV1028" s="78">
        <v>4</v>
      </c>
      <c r="AW1028" s="78" t="s">
        <v>137</v>
      </c>
      <c r="AX1028" s="78">
        <v>1</v>
      </c>
      <c r="AY1028" s="78">
        <v>0</v>
      </c>
      <c r="BT1028" s="2" t="s">
        <v>137</v>
      </c>
      <c r="BU1028" s="2">
        <v>1</v>
      </c>
      <c r="BV1028" s="2">
        <v>0</v>
      </c>
    </row>
    <row r="1029" spans="1:74" ht="15" customHeight="1" x14ac:dyDescent="0.25">
      <c r="A1029" s="75">
        <v>5914959</v>
      </c>
      <c r="B1029" t="s">
        <v>4539</v>
      </c>
      <c r="C1029" t="s">
        <v>4540</v>
      </c>
      <c r="D1029" t="s">
        <v>1555</v>
      </c>
      <c r="E1029" t="s">
        <v>54</v>
      </c>
      <c r="F1029" s="75">
        <v>16</v>
      </c>
      <c r="G1029" s="75">
        <v>50431</v>
      </c>
      <c r="H1029">
        <v>300</v>
      </c>
      <c r="I1029" t="s">
        <v>55</v>
      </c>
      <c r="J1029" s="75">
        <v>13955</v>
      </c>
      <c r="K1029" t="s">
        <v>75</v>
      </c>
      <c r="L1029" t="s">
        <v>76</v>
      </c>
      <c r="M1029" s="81">
        <v>46123.67827546296</v>
      </c>
      <c r="N1029" s="81">
        <v>46126.497384259259</v>
      </c>
      <c r="O1029" t="s">
        <v>58</v>
      </c>
      <c r="P1029" t="s">
        <v>59</v>
      </c>
      <c r="Q1029" t="s">
        <v>77</v>
      </c>
      <c r="R1029" t="s">
        <v>99</v>
      </c>
      <c r="S1029" t="s">
        <v>1244</v>
      </c>
      <c r="U1029" s="75"/>
      <c r="X1029" t="s">
        <v>62</v>
      </c>
      <c r="Y1029" t="s">
        <v>63</v>
      </c>
      <c r="AA1029" t="s">
        <v>81</v>
      </c>
      <c r="AB1029">
        <v>67.616667000000007</v>
      </c>
      <c r="AC1029">
        <v>66.733333000000002</v>
      </c>
      <c r="AD1029">
        <v>0.88333399999999995</v>
      </c>
      <c r="AE1029">
        <v>0.36666700000000002</v>
      </c>
      <c r="AF1029">
        <v>0</v>
      </c>
      <c r="AG1029">
        <v>0.51666699999999999</v>
      </c>
      <c r="AH1029">
        <v>0.51666699999999999</v>
      </c>
      <c r="AI1029">
        <v>0</v>
      </c>
      <c r="AJ1029">
        <v>0.51666699999999999</v>
      </c>
      <c r="AK1029">
        <v>0</v>
      </c>
      <c r="AL1029" s="76">
        <v>42332</v>
      </c>
      <c r="AM1029" s="75">
        <v>3791</v>
      </c>
      <c r="AN1029" t="s">
        <v>65</v>
      </c>
      <c r="AO1029" t="s">
        <v>333</v>
      </c>
      <c r="AP1029" t="s">
        <v>67</v>
      </c>
      <c r="AQ1029" t="s">
        <v>68</v>
      </c>
      <c r="AR1029" t="s">
        <v>69</v>
      </c>
      <c r="AS1029" s="79"/>
      <c r="AT1029" s="82" t="s">
        <v>4423</v>
      </c>
      <c r="AU1029" s="78">
        <v>2026</v>
      </c>
      <c r="AV1029" s="78">
        <v>4</v>
      </c>
      <c r="AW1029" s="78" t="s">
        <v>71</v>
      </c>
      <c r="AX1029" s="78">
        <v>1</v>
      </c>
      <c r="AY1029" s="78">
        <v>0</v>
      </c>
      <c r="BT1029" s="3" t="s">
        <v>71</v>
      </c>
      <c r="BU1029" s="3">
        <v>1</v>
      </c>
      <c r="BV1029" s="3">
        <v>0</v>
      </c>
    </row>
    <row r="1030" spans="1:74" ht="15" customHeight="1" x14ac:dyDescent="0.25">
      <c r="A1030" s="75">
        <v>5914775</v>
      </c>
      <c r="B1030" t="s">
        <v>4541</v>
      </c>
      <c r="C1030" t="s">
        <v>4542</v>
      </c>
      <c r="D1030" t="s">
        <v>1555</v>
      </c>
      <c r="E1030" t="s">
        <v>105</v>
      </c>
      <c r="F1030" s="75">
        <v>599</v>
      </c>
      <c r="G1030" s="75">
        <v>168349</v>
      </c>
      <c r="H1030">
        <v>1750</v>
      </c>
      <c r="I1030" t="s">
        <v>55</v>
      </c>
      <c r="J1030" s="75">
        <v>49331</v>
      </c>
      <c r="K1030" t="s">
        <v>1266</v>
      </c>
      <c r="L1030" t="s">
        <v>1267</v>
      </c>
      <c r="M1030" s="81">
        <v>46123.458773148152</v>
      </c>
      <c r="N1030" s="81">
        <v>46126.505231481482</v>
      </c>
      <c r="O1030" t="s">
        <v>58</v>
      </c>
      <c r="P1030" t="s">
        <v>59</v>
      </c>
      <c r="Q1030" t="s">
        <v>90</v>
      </c>
      <c r="R1030" t="s">
        <v>99</v>
      </c>
      <c r="S1030" t="s">
        <v>1244</v>
      </c>
      <c r="U1030" s="75"/>
      <c r="X1030" t="s">
        <v>79</v>
      </c>
      <c r="Y1030" t="s">
        <v>224</v>
      </c>
      <c r="AA1030" t="s">
        <v>81</v>
      </c>
      <c r="AB1030">
        <v>73.066668000000007</v>
      </c>
      <c r="AC1030">
        <v>72.333333999999994</v>
      </c>
      <c r="AD1030">
        <v>0.73333400000000004</v>
      </c>
      <c r="AE1030">
        <v>0.466667</v>
      </c>
      <c r="AF1030">
        <v>0</v>
      </c>
      <c r="AG1030">
        <v>0.26666699999999999</v>
      </c>
      <c r="AH1030">
        <v>0.26666699999999999</v>
      </c>
      <c r="AI1030">
        <v>0</v>
      </c>
      <c r="AJ1030">
        <v>0.26666699999999999</v>
      </c>
      <c r="AK1030">
        <v>0</v>
      </c>
      <c r="AL1030" s="76">
        <v>43945.601631944453</v>
      </c>
      <c r="AM1030" s="75">
        <v>2177</v>
      </c>
      <c r="AN1030" t="s">
        <v>65</v>
      </c>
      <c r="AO1030" t="s">
        <v>1270</v>
      </c>
      <c r="AP1030" t="s">
        <v>67</v>
      </c>
      <c r="AQ1030" t="s">
        <v>83</v>
      </c>
      <c r="AR1030" t="s">
        <v>69</v>
      </c>
      <c r="AS1030" s="78"/>
      <c r="AT1030" s="82" t="s">
        <v>4423</v>
      </c>
      <c r="AU1030" s="78">
        <v>2026</v>
      </c>
      <c r="AV1030" s="78">
        <v>4</v>
      </c>
      <c r="AW1030" s="78" t="s">
        <v>226</v>
      </c>
      <c r="AX1030" s="78">
        <v>1</v>
      </c>
      <c r="AY1030" s="78">
        <v>0</v>
      </c>
      <c r="BT1030" s="2" t="s">
        <v>226</v>
      </c>
      <c r="BU1030" s="2">
        <v>1</v>
      </c>
      <c r="BV1030" s="2">
        <v>0</v>
      </c>
    </row>
    <row r="1031" spans="1:74" ht="15" customHeight="1" x14ac:dyDescent="0.25">
      <c r="A1031" s="75">
        <v>5916941</v>
      </c>
      <c r="B1031" t="s">
        <v>4543</v>
      </c>
      <c r="C1031" t="s">
        <v>4544</v>
      </c>
      <c r="D1031" t="s">
        <v>809</v>
      </c>
      <c r="E1031" t="s">
        <v>87</v>
      </c>
      <c r="F1031" s="75">
        <v>1582</v>
      </c>
      <c r="G1031" s="75">
        <v>349617</v>
      </c>
      <c r="H1031">
        <v>557.47</v>
      </c>
      <c r="I1031" t="s">
        <v>163</v>
      </c>
      <c r="J1031" s="75">
        <v>6971</v>
      </c>
      <c r="K1031" t="s">
        <v>369</v>
      </c>
      <c r="L1031" t="s">
        <v>370</v>
      </c>
      <c r="M1031" s="81">
        <v>46125.778298611112</v>
      </c>
      <c r="N1031" s="81">
        <v>46126.520879629628</v>
      </c>
      <c r="O1031" t="s">
        <v>58</v>
      </c>
      <c r="P1031" t="s">
        <v>59</v>
      </c>
      <c r="Q1031" t="s">
        <v>90</v>
      </c>
      <c r="R1031" t="s">
        <v>99</v>
      </c>
      <c r="S1031" t="s">
        <v>1244</v>
      </c>
      <c r="U1031" s="75">
        <v>230235</v>
      </c>
      <c r="V1031" t="s">
        <v>4545</v>
      </c>
      <c r="X1031" t="s">
        <v>62</v>
      </c>
      <c r="Y1031" t="s">
        <v>190</v>
      </c>
      <c r="AA1031" t="s">
        <v>64</v>
      </c>
      <c r="AB1031">
        <v>17.750001000000001</v>
      </c>
      <c r="AC1031">
        <v>11.583334000000001</v>
      </c>
      <c r="AD1031">
        <v>6.1666670000000003</v>
      </c>
      <c r="AE1031">
        <v>1.3833340000000001</v>
      </c>
      <c r="AF1031">
        <v>0</v>
      </c>
      <c r="AG1031">
        <v>4.7833329999999998</v>
      </c>
      <c r="AH1031">
        <v>4.7833329999999998</v>
      </c>
      <c r="AI1031">
        <v>4.1500000000000004</v>
      </c>
      <c r="AJ1031">
        <v>0.63333300000000003</v>
      </c>
      <c r="AK1031">
        <v>0</v>
      </c>
      <c r="AL1031" s="76"/>
      <c r="AM1031" s="75"/>
      <c r="AN1031" t="s">
        <v>135</v>
      </c>
      <c r="AO1031" t="s">
        <v>3746</v>
      </c>
      <c r="AP1031" t="s">
        <v>67</v>
      </c>
      <c r="AQ1031" t="s">
        <v>68</v>
      </c>
      <c r="AR1031" t="s">
        <v>69</v>
      </c>
      <c r="AS1031" s="79"/>
      <c r="AT1031" s="82" t="s">
        <v>4423</v>
      </c>
      <c r="AU1031" s="78">
        <v>2026</v>
      </c>
      <c r="AV1031" s="78">
        <v>4</v>
      </c>
      <c r="AW1031" s="78" t="s">
        <v>137</v>
      </c>
      <c r="AX1031" s="78">
        <v>1</v>
      </c>
      <c r="AY1031" s="78">
        <v>0</v>
      </c>
      <c r="BT1031" s="3" t="s">
        <v>137</v>
      </c>
      <c r="BU1031" s="3">
        <v>1</v>
      </c>
      <c r="BV1031" s="3">
        <v>0</v>
      </c>
    </row>
    <row r="1032" spans="1:74" ht="15" customHeight="1" x14ac:dyDescent="0.25">
      <c r="A1032" s="75">
        <v>5911277</v>
      </c>
      <c r="B1032" t="s">
        <v>4546</v>
      </c>
      <c r="C1032" t="s">
        <v>4547</v>
      </c>
      <c r="D1032" t="s">
        <v>527</v>
      </c>
      <c r="E1032" t="s">
        <v>87</v>
      </c>
      <c r="F1032" s="75">
        <v>299</v>
      </c>
      <c r="G1032" s="75">
        <v>285731</v>
      </c>
      <c r="H1032">
        <v>512.08000000000004</v>
      </c>
      <c r="I1032" t="s">
        <v>266</v>
      </c>
      <c r="J1032" s="75">
        <v>49495</v>
      </c>
      <c r="K1032" t="s">
        <v>460</v>
      </c>
      <c r="L1032" t="s">
        <v>461</v>
      </c>
      <c r="M1032" s="81">
        <v>46121.368657407409</v>
      </c>
      <c r="N1032" s="81">
        <v>46126.525856481479</v>
      </c>
      <c r="O1032" t="s">
        <v>58</v>
      </c>
      <c r="P1032" t="s">
        <v>59</v>
      </c>
      <c r="Q1032" t="s">
        <v>90</v>
      </c>
      <c r="R1032" t="s">
        <v>131</v>
      </c>
      <c r="S1032" t="s">
        <v>1273</v>
      </c>
      <c r="U1032" s="75">
        <v>230297</v>
      </c>
      <c r="V1032" t="s">
        <v>4548</v>
      </c>
      <c r="W1032" t="s">
        <v>4549</v>
      </c>
      <c r="X1032" t="s">
        <v>62</v>
      </c>
      <c r="Y1032" t="s">
        <v>63</v>
      </c>
      <c r="AA1032" t="s">
        <v>416</v>
      </c>
      <c r="AB1032">
        <v>123.583333</v>
      </c>
      <c r="AC1032">
        <v>101.3</v>
      </c>
      <c r="AD1032">
        <v>22.283332999999999</v>
      </c>
      <c r="AE1032">
        <v>8.3333000000000004E-2</v>
      </c>
      <c r="AF1032">
        <v>0</v>
      </c>
      <c r="AG1032">
        <v>22.2</v>
      </c>
      <c r="AH1032">
        <v>22.2</v>
      </c>
      <c r="AI1032">
        <v>20.916667</v>
      </c>
      <c r="AJ1032">
        <v>1.2833330000000001</v>
      </c>
      <c r="AK1032">
        <v>0</v>
      </c>
      <c r="AL1032" s="76">
        <v>44862</v>
      </c>
      <c r="AM1032" s="75">
        <v>1259</v>
      </c>
      <c r="AN1032" t="s">
        <v>65</v>
      </c>
      <c r="AO1032" t="s">
        <v>462</v>
      </c>
      <c r="AP1032" t="s">
        <v>67</v>
      </c>
      <c r="AQ1032" t="s">
        <v>68</v>
      </c>
      <c r="AR1032" t="s">
        <v>69</v>
      </c>
      <c r="AS1032" s="78"/>
      <c r="AT1032" s="82" t="s">
        <v>4423</v>
      </c>
      <c r="AU1032" s="78">
        <v>2026</v>
      </c>
      <c r="AV1032" s="78">
        <v>4</v>
      </c>
      <c r="AW1032" s="78" t="s">
        <v>71</v>
      </c>
      <c r="AX1032" s="78">
        <v>0</v>
      </c>
      <c r="AY1032" s="78">
        <v>0</v>
      </c>
      <c r="BT1032" s="2" t="s">
        <v>71</v>
      </c>
      <c r="BU1032" s="2">
        <v>0</v>
      </c>
      <c r="BV1032" s="2">
        <v>0</v>
      </c>
    </row>
    <row r="1033" spans="1:74" ht="15" customHeight="1" x14ac:dyDescent="0.25">
      <c r="A1033" s="75">
        <v>5915541</v>
      </c>
      <c r="B1033" t="s">
        <v>4550</v>
      </c>
      <c r="C1033" t="s">
        <v>988</v>
      </c>
      <c r="D1033" t="s">
        <v>150</v>
      </c>
      <c r="E1033" t="s">
        <v>87</v>
      </c>
      <c r="F1033" s="75">
        <v>297</v>
      </c>
      <c r="G1033" s="75">
        <v>286473</v>
      </c>
      <c r="H1033">
        <v>364.96</v>
      </c>
      <c r="I1033" t="s">
        <v>55</v>
      </c>
      <c r="J1033" s="75">
        <v>218787</v>
      </c>
      <c r="K1033" t="s">
        <v>96</v>
      </c>
      <c r="L1033" t="s">
        <v>97</v>
      </c>
      <c r="M1033" s="81">
        <v>46124.722766203697</v>
      </c>
      <c r="N1033" s="81">
        <v>46126.566261574073</v>
      </c>
      <c r="O1033" t="s">
        <v>58</v>
      </c>
      <c r="P1033" t="s">
        <v>59</v>
      </c>
      <c r="Q1033" t="s">
        <v>90</v>
      </c>
      <c r="R1033" t="s">
        <v>131</v>
      </c>
      <c r="S1033" t="s">
        <v>1316</v>
      </c>
      <c r="U1033" s="75">
        <v>229419</v>
      </c>
      <c r="V1033" t="s">
        <v>4551</v>
      </c>
      <c r="W1033" t="s">
        <v>4551</v>
      </c>
      <c r="X1033" t="s">
        <v>62</v>
      </c>
      <c r="Y1033" t="s">
        <v>63</v>
      </c>
      <c r="AA1033" t="s">
        <v>416</v>
      </c>
      <c r="AB1033">
        <v>44.166668000000001</v>
      </c>
      <c r="AC1033">
        <v>27.683333999999999</v>
      </c>
      <c r="AD1033">
        <v>16.483333999999999</v>
      </c>
      <c r="AE1033">
        <v>0.216667</v>
      </c>
      <c r="AF1033">
        <v>0</v>
      </c>
      <c r="AG1033">
        <v>16.266667000000002</v>
      </c>
      <c r="AH1033">
        <v>16.266667000000002</v>
      </c>
      <c r="AI1033">
        <v>15.983333</v>
      </c>
      <c r="AJ1033">
        <v>0.28333399999999997</v>
      </c>
      <c r="AK1033">
        <v>0</v>
      </c>
      <c r="AL1033" s="76">
        <v>44924</v>
      </c>
      <c r="AM1033" s="75">
        <v>1200</v>
      </c>
      <c r="AN1033" t="s">
        <v>65</v>
      </c>
      <c r="AO1033" t="s">
        <v>991</v>
      </c>
      <c r="AP1033" t="s">
        <v>67</v>
      </c>
      <c r="AQ1033" t="s">
        <v>68</v>
      </c>
      <c r="AR1033" t="s">
        <v>69</v>
      </c>
      <c r="AS1033" s="79"/>
      <c r="AT1033" s="82" t="s">
        <v>4423</v>
      </c>
      <c r="AU1033" s="78">
        <v>2026</v>
      </c>
      <c r="AV1033" s="78">
        <v>4</v>
      </c>
      <c r="AW1033" s="78" t="s">
        <v>71</v>
      </c>
      <c r="AX1033" s="78">
        <v>0</v>
      </c>
      <c r="AY1033" s="78">
        <v>0</v>
      </c>
      <c r="BT1033" s="3" t="s">
        <v>71</v>
      </c>
      <c r="BU1033" s="3">
        <v>0</v>
      </c>
      <c r="BV1033" s="3">
        <v>0</v>
      </c>
    </row>
    <row r="1034" spans="1:74" ht="15" customHeight="1" x14ac:dyDescent="0.25">
      <c r="A1034" s="75">
        <v>5914623</v>
      </c>
      <c r="B1034" t="s">
        <v>4552</v>
      </c>
      <c r="C1034" t="s">
        <v>4553</v>
      </c>
      <c r="D1034" t="s">
        <v>527</v>
      </c>
      <c r="E1034" t="s">
        <v>105</v>
      </c>
      <c r="F1034" s="75">
        <v>1</v>
      </c>
      <c r="G1034" s="75">
        <v>336245</v>
      </c>
      <c r="H1034">
        <v>2000</v>
      </c>
      <c r="I1034" t="s">
        <v>175</v>
      </c>
      <c r="J1034" s="75">
        <v>226757</v>
      </c>
      <c r="K1034" t="s">
        <v>4554</v>
      </c>
      <c r="L1034" t="s">
        <v>4555</v>
      </c>
      <c r="M1034" s="81">
        <v>46123.306238425917</v>
      </c>
      <c r="N1034" s="81">
        <v>46126.566365740742</v>
      </c>
      <c r="O1034" t="s">
        <v>58</v>
      </c>
      <c r="P1034" t="s">
        <v>59</v>
      </c>
      <c r="Q1034" t="s">
        <v>90</v>
      </c>
      <c r="R1034" t="s">
        <v>60</v>
      </c>
      <c r="S1034" t="s">
        <v>1268</v>
      </c>
      <c r="U1034" s="75">
        <v>229145</v>
      </c>
      <c r="V1034" t="s">
        <v>4556</v>
      </c>
      <c r="W1034" t="s">
        <v>4557</v>
      </c>
      <c r="X1034" t="s">
        <v>62</v>
      </c>
      <c r="Y1034" t="s">
        <v>63</v>
      </c>
      <c r="Z1034" t="s">
        <v>4558</v>
      </c>
      <c r="AA1034" t="s">
        <v>416</v>
      </c>
      <c r="AB1034">
        <v>78.116667000000007</v>
      </c>
      <c r="AC1034">
        <v>50.783332999999999</v>
      </c>
      <c r="AD1034">
        <v>27.333334000000001</v>
      </c>
      <c r="AE1034">
        <v>3.8666670000000001</v>
      </c>
      <c r="AF1034">
        <v>1.233333</v>
      </c>
      <c r="AG1034">
        <v>23.466667000000001</v>
      </c>
      <c r="AH1034">
        <v>24.7</v>
      </c>
      <c r="AI1034">
        <v>21.416667</v>
      </c>
      <c r="AJ1034">
        <v>2.0499999999999998</v>
      </c>
      <c r="AK1034">
        <v>0</v>
      </c>
      <c r="AL1034" s="76">
        <v>45807.624074074083</v>
      </c>
      <c r="AM1034" s="75">
        <v>315</v>
      </c>
      <c r="AN1034" t="s">
        <v>65</v>
      </c>
      <c r="AO1034" t="s">
        <v>4559</v>
      </c>
      <c r="AP1034" t="s">
        <v>67</v>
      </c>
      <c r="AQ1034" t="s">
        <v>68</v>
      </c>
      <c r="AR1034" t="s">
        <v>69</v>
      </c>
      <c r="AS1034" s="78"/>
      <c r="AT1034" s="82" t="s">
        <v>4423</v>
      </c>
      <c r="AU1034" s="78">
        <v>2026</v>
      </c>
      <c r="AV1034" s="78">
        <v>4</v>
      </c>
      <c r="AW1034" s="78" t="s">
        <v>71</v>
      </c>
      <c r="AX1034" s="78">
        <v>0</v>
      </c>
      <c r="AY1034" s="78">
        <v>0</v>
      </c>
      <c r="BT1034" s="2" t="s">
        <v>71</v>
      </c>
      <c r="BU1034" s="2">
        <v>0</v>
      </c>
      <c r="BV1034" s="2">
        <v>0</v>
      </c>
    </row>
    <row r="1035" spans="1:74" ht="15" customHeight="1" x14ac:dyDescent="0.25">
      <c r="A1035" s="75">
        <v>5912477</v>
      </c>
      <c r="B1035" t="s">
        <v>4560</v>
      </c>
      <c r="C1035" t="s">
        <v>4561</v>
      </c>
      <c r="D1035" t="s">
        <v>150</v>
      </c>
      <c r="E1035" t="s">
        <v>87</v>
      </c>
      <c r="F1035" s="75">
        <v>621</v>
      </c>
      <c r="G1035" s="75">
        <v>346639</v>
      </c>
      <c r="H1035">
        <v>569.71</v>
      </c>
      <c r="I1035" t="s">
        <v>175</v>
      </c>
      <c r="J1035" s="75">
        <v>216233</v>
      </c>
      <c r="K1035" t="s">
        <v>88</v>
      </c>
      <c r="L1035" t="s">
        <v>89</v>
      </c>
      <c r="M1035" s="81">
        <v>46121.702025462961</v>
      </c>
      <c r="N1035" s="81">
        <v>46126.567662037043</v>
      </c>
      <c r="O1035" t="s">
        <v>58</v>
      </c>
      <c r="P1035" t="s">
        <v>59</v>
      </c>
      <c r="Q1035" t="s">
        <v>90</v>
      </c>
      <c r="R1035" t="s">
        <v>131</v>
      </c>
      <c r="S1035" t="s">
        <v>1316</v>
      </c>
      <c r="U1035" s="75">
        <v>229355</v>
      </c>
      <c r="V1035" t="s">
        <v>4562</v>
      </c>
      <c r="W1035" t="s">
        <v>4563</v>
      </c>
      <c r="X1035" t="s">
        <v>62</v>
      </c>
      <c r="Y1035" t="s">
        <v>63</v>
      </c>
      <c r="AA1035" t="s">
        <v>416</v>
      </c>
      <c r="AB1035">
        <v>116.700001</v>
      </c>
      <c r="AC1035">
        <v>94.916667000000004</v>
      </c>
      <c r="AD1035">
        <v>21.783334</v>
      </c>
      <c r="AE1035">
        <v>0.7</v>
      </c>
      <c r="AF1035">
        <v>0</v>
      </c>
      <c r="AG1035">
        <v>21.083334000000001</v>
      </c>
      <c r="AH1035">
        <v>21.083334000000001</v>
      </c>
      <c r="AI1035">
        <v>20.866667</v>
      </c>
      <c r="AJ1035">
        <v>0.216667</v>
      </c>
      <c r="AK1035">
        <v>0</v>
      </c>
      <c r="AL1035" s="76">
        <v>45960</v>
      </c>
      <c r="AM1035" s="75">
        <v>161</v>
      </c>
      <c r="AN1035" t="s">
        <v>65</v>
      </c>
      <c r="AO1035" t="s">
        <v>4564</v>
      </c>
      <c r="AP1035" t="s">
        <v>67</v>
      </c>
      <c r="AQ1035" t="s">
        <v>68</v>
      </c>
      <c r="AR1035" t="s">
        <v>69</v>
      </c>
      <c r="AS1035" s="79"/>
      <c r="AT1035" s="82" t="s">
        <v>4423</v>
      </c>
      <c r="AU1035" s="78">
        <v>2026</v>
      </c>
      <c r="AV1035" s="78">
        <v>4</v>
      </c>
      <c r="AW1035" s="78" t="s">
        <v>71</v>
      </c>
      <c r="AX1035" s="78">
        <v>0</v>
      </c>
      <c r="AY1035" s="78">
        <v>0</v>
      </c>
      <c r="BT1035" s="3" t="s">
        <v>71</v>
      </c>
      <c r="BU1035" s="3">
        <v>0</v>
      </c>
      <c r="BV1035" s="3">
        <v>0</v>
      </c>
    </row>
    <row r="1036" spans="1:74" ht="15" customHeight="1" x14ac:dyDescent="0.25">
      <c r="A1036" s="75">
        <v>5912079</v>
      </c>
      <c r="B1036" t="s">
        <v>4565</v>
      </c>
      <c r="C1036" t="s">
        <v>4566</v>
      </c>
      <c r="D1036" t="s">
        <v>527</v>
      </c>
      <c r="E1036" t="s">
        <v>87</v>
      </c>
      <c r="F1036" s="75">
        <v>527</v>
      </c>
      <c r="G1036" s="75">
        <v>293981</v>
      </c>
      <c r="H1036">
        <v>350</v>
      </c>
      <c r="I1036" t="s">
        <v>55</v>
      </c>
      <c r="J1036" s="75">
        <v>218787</v>
      </c>
      <c r="K1036" t="s">
        <v>96</v>
      </c>
      <c r="L1036" t="s">
        <v>97</v>
      </c>
      <c r="M1036" s="81">
        <v>46121.604826388888</v>
      </c>
      <c r="N1036" s="81">
        <v>46126.568310185183</v>
      </c>
      <c r="O1036" t="s">
        <v>58</v>
      </c>
      <c r="P1036" t="s">
        <v>59</v>
      </c>
      <c r="Q1036" t="s">
        <v>90</v>
      </c>
      <c r="R1036" t="s">
        <v>60</v>
      </c>
      <c r="S1036" t="s">
        <v>583</v>
      </c>
      <c r="U1036" s="75">
        <v>230301</v>
      </c>
      <c r="V1036" t="s">
        <v>4567</v>
      </c>
      <c r="W1036" t="s">
        <v>4568</v>
      </c>
      <c r="X1036" t="s">
        <v>62</v>
      </c>
      <c r="Y1036" t="s">
        <v>63</v>
      </c>
      <c r="AA1036" t="s">
        <v>295</v>
      </c>
      <c r="AB1036">
        <v>119.016666</v>
      </c>
      <c r="AC1036">
        <v>93.849998999999997</v>
      </c>
      <c r="AD1036">
        <v>25.166667</v>
      </c>
      <c r="AE1036">
        <v>0.5</v>
      </c>
      <c r="AF1036">
        <v>0</v>
      </c>
      <c r="AG1036">
        <v>24.666667</v>
      </c>
      <c r="AH1036">
        <v>24.666667</v>
      </c>
      <c r="AI1036">
        <v>23.783332999999999</v>
      </c>
      <c r="AJ1036">
        <v>0.88333399999999995</v>
      </c>
      <c r="AK1036">
        <v>0</v>
      </c>
      <c r="AL1036" s="76">
        <v>45156.797581018523</v>
      </c>
      <c r="AM1036" s="75">
        <v>964</v>
      </c>
      <c r="AN1036" t="s">
        <v>65</v>
      </c>
      <c r="AO1036" t="s">
        <v>4569</v>
      </c>
      <c r="AP1036" t="s">
        <v>67</v>
      </c>
      <c r="AQ1036" t="s">
        <v>68</v>
      </c>
      <c r="AR1036" t="s">
        <v>69</v>
      </c>
      <c r="AS1036" s="78"/>
      <c r="AT1036" s="82" t="s">
        <v>4423</v>
      </c>
      <c r="AU1036" s="78">
        <v>2026</v>
      </c>
      <c r="AV1036" s="78">
        <v>4</v>
      </c>
      <c r="AW1036" s="78" t="s">
        <v>71</v>
      </c>
      <c r="AX1036" s="78">
        <v>0</v>
      </c>
      <c r="AY1036" s="78">
        <v>1</v>
      </c>
      <c r="BT1036" s="2" t="s">
        <v>71</v>
      </c>
      <c r="BU1036" s="2">
        <v>0</v>
      </c>
      <c r="BV1036" s="2">
        <v>1</v>
      </c>
    </row>
    <row r="1037" spans="1:74" ht="15" customHeight="1" x14ac:dyDescent="0.25">
      <c r="A1037" s="75">
        <v>5916235</v>
      </c>
      <c r="B1037" t="s">
        <v>4570</v>
      </c>
      <c r="C1037" t="s">
        <v>519</v>
      </c>
      <c r="D1037" t="s">
        <v>2379</v>
      </c>
      <c r="E1037" t="s">
        <v>87</v>
      </c>
      <c r="F1037" s="75">
        <v>14</v>
      </c>
      <c r="G1037" s="75">
        <v>251415</v>
      </c>
      <c r="H1037">
        <v>510</v>
      </c>
      <c r="I1037" t="s">
        <v>114</v>
      </c>
      <c r="J1037" s="75">
        <v>203645</v>
      </c>
      <c r="K1037" t="s">
        <v>520</v>
      </c>
      <c r="L1037" t="s">
        <v>521</v>
      </c>
      <c r="M1037" s="81">
        <v>46125.449826388889</v>
      </c>
      <c r="N1037" s="81">
        <v>46126.63858796296</v>
      </c>
      <c r="O1037" t="s">
        <v>58</v>
      </c>
      <c r="P1037" t="s">
        <v>59</v>
      </c>
      <c r="Q1037" t="s">
        <v>77</v>
      </c>
      <c r="R1037" t="s">
        <v>60</v>
      </c>
      <c r="S1037" t="s">
        <v>583</v>
      </c>
      <c r="U1037" s="75">
        <v>229919</v>
      </c>
      <c r="V1037" t="s">
        <v>4571</v>
      </c>
      <c r="W1037" t="s">
        <v>4571</v>
      </c>
      <c r="X1037" t="s">
        <v>118</v>
      </c>
      <c r="Y1037" t="s">
        <v>119</v>
      </c>
      <c r="AA1037" t="s">
        <v>64</v>
      </c>
      <c r="AB1037">
        <v>28.483333999999999</v>
      </c>
      <c r="AC1037">
        <v>24.05</v>
      </c>
      <c r="AD1037">
        <v>4.4333340000000003</v>
      </c>
      <c r="AE1037">
        <v>0.16666700000000001</v>
      </c>
      <c r="AF1037">
        <v>0</v>
      </c>
      <c r="AG1037">
        <v>4.266667</v>
      </c>
      <c r="AH1037">
        <v>4.266667</v>
      </c>
      <c r="AI1037">
        <v>3.75</v>
      </c>
      <c r="AJ1037">
        <v>0.51666699999999999</v>
      </c>
      <c r="AK1037">
        <v>0</v>
      </c>
      <c r="AL1037" s="76">
        <v>44889.544849537036</v>
      </c>
      <c r="AM1037" s="75">
        <v>1235</v>
      </c>
      <c r="AN1037" t="s">
        <v>65</v>
      </c>
      <c r="AO1037" t="s">
        <v>4572</v>
      </c>
      <c r="AP1037" t="s">
        <v>67</v>
      </c>
      <c r="AQ1037" t="s">
        <v>121</v>
      </c>
      <c r="AR1037" t="s">
        <v>69</v>
      </c>
      <c r="AS1037" s="79"/>
      <c r="AT1037" s="82" t="s">
        <v>4423</v>
      </c>
      <c r="AU1037" s="78">
        <v>2026</v>
      </c>
      <c r="AV1037" s="78">
        <v>4</v>
      </c>
      <c r="AW1037" s="78" t="s">
        <v>122</v>
      </c>
      <c r="AX1037" s="78">
        <v>1</v>
      </c>
      <c r="AY1037" s="78">
        <v>0</v>
      </c>
      <c r="BT1037" s="3" t="s">
        <v>122</v>
      </c>
      <c r="BU1037" s="3">
        <v>1</v>
      </c>
      <c r="BV1037" s="3">
        <v>0</v>
      </c>
    </row>
    <row r="1038" spans="1:74" ht="15" customHeight="1" x14ac:dyDescent="0.25">
      <c r="A1038" s="75">
        <v>5918551</v>
      </c>
      <c r="B1038" t="s">
        <v>4573</v>
      </c>
      <c r="C1038" t="s">
        <v>459</v>
      </c>
      <c r="D1038" t="s">
        <v>527</v>
      </c>
      <c r="E1038" t="s">
        <v>87</v>
      </c>
      <c r="F1038" s="75">
        <v>299</v>
      </c>
      <c r="G1038" s="75">
        <v>285731</v>
      </c>
      <c r="H1038">
        <v>512.08000000000004</v>
      </c>
      <c r="I1038" t="s">
        <v>266</v>
      </c>
      <c r="J1038" s="75">
        <v>49495</v>
      </c>
      <c r="K1038" t="s">
        <v>460</v>
      </c>
      <c r="L1038" t="s">
        <v>461</v>
      </c>
      <c r="M1038" s="81">
        <v>46126.632280092592</v>
      </c>
      <c r="N1038" s="81">
        <v>46127.363333333327</v>
      </c>
      <c r="O1038" t="s">
        <v>277</v>
      </c>
      <c r="P1038" t="s">
        <v>59</v>
      </c>
      <c r="Q1038" t="s">
        <v>90</v>
      </c>
      <c r="R1038" t="s">
        <v>99</v>
      </c>
      <c r="S1038" t="s">
        <v>1244</v>
      </c>
      <c r="U1038" s="75">
        <v>231481</v>
      </c>
      <c r="V1038" t="s">
        <v>4574</v>
      </c>
      <c r="X1038" t="s">
        <v>62</v>
      </c>
      <c r="Y1038" t="s">
        <v>63</v>
      </c>
      <c r="AA1038" t="s">
        <v>81</v>
      </c>
      <c r="AB1038">
        <v>17.516666000000001</v>
      </c>
      <c r="AC1038">
        <v>15.683332999999999</v>
      </c>
      <c r="AD1038">
        <v>1.8333330000000001</v>
      </c>
      <c r="AE1038">
        <v>0.85</v>
      </c>
      <c r="AF1038">
        <v>0</v>
      </c>
      <c r="AG1038">
        <v>0.98333300000000001</v>
      </c>
      <c r="AH1038">
        <v>0.98333300000000001</v>
      </c>
      <c r="AI1038">
        <v>0.4</v>
      </c>
      <c r="AJ1038">
        <v>0.58333299999999999</v>
      </c>
      <c r="AK1038">
        <v>0</v>
      </c>
      <c r="AL1038" s="76">
        <v>44862</v>
      </c>
      <c r="AM1038" s="75">
        <v>1264</v>
      </c>
      <c r="AN1038" t="s">
        <v>65</v>
      </c>
      <c r="AO1038" t="s">
        <v>462</v>
      </c>
      <c r="AP1038" t="s">
        <v>67</v>
      </c>
      <c r="AQ1038" t="s">
        <v>68</v>
      </c>
      <c r="AR1038" t="s">
        <v>69</v>
      </c>
      <c r="AS1038" s="78"/>
      <c r="AT1038" s="82" t="s">
        <v>4423</v>
      </c>
      <c r="AU1038" s="78">
        <v>2026</v>
      </c>
      <c r="AV1038" s="78">
        <v>4</v>
      </c>
      <c r="AW1038" s="78" t="s">
        <v>71</v>
      </c>
      <c r="AX1038" s="78">
        <v>1</v>
      </c>
      <c r="AY1038" s="78">
        <v>0</v>
      </c>
      <c r="BT1038" s="2" t="s">
        <v>71</v>
      </c>
      <c r="BU1038" s="2">
        <v>1</v>
      </c>
      <c r="BV1038" s="2">
        <v>0</v>
      </c>
    </row>
    <row r="1039" spans="1:74" ht="15" customHeight="1" x14ac:dyDescent="0.25">
      <c r="A1039" s="75">
        <v>5917963</v>
      </c>
      <c r="B1039" t="s">
        <v>4575</v>
      </c>
      <c r="C1039" t="s">
        <v>3887</v>
      </c>
      <c r="D1039" t="s">
        <v>2379</v>
      </c>
      <c r="E1039" t="s">
        <v>87</v>
      </c>
      <c r="F1039" s="75">
        <v>47</v>
      </c>
      <c r="G1039" s="75">
        <v>275281</v>
      </c>
      <c r="H1039">
        <v>683.73</v>
      </c>
      <c r="I1039" t="s">
        <v>55</v>
      </c>
      <c r="J1039" s="75">
        <v>218791</v>
      </c>
      <c r="K1039" t="s">
        <v>312</v>
      </c>
      <c r="L1039" t="s">
        <v>313</v>
      </c>
      <c r="M1039" s="81">
        <v>46126.465763888889</v>
      </c>
      <c r="N1039" s="81">
        <v>46127.407812500001</v>
      </c>
      <c r="O1039" t="s">
        <v>58</v>
      </c>
      <c r="P1039" t="s">
        <v>59</v>
      </c>
      <c r="Q1039" t="s">
        <v>90</v>
      </c>
      <c r="R1039" t="s">
        <v>60</v>
      </c>
      <c r="S1039" t="s">
        <v>583</v>
      </c>
      <c r="U1039" s="75">
        <v>230933</v>
      </c>
      <c r="V1039" t="s">
        <v>4576</v>
      </c>
      <c r="W1039" t="s">
        <v>4576</v>
      </c>
      <c r="X1039" t="s">
        <v>62</v>
      </c>
      <c r="Y1039" t="s">
        <v>63</v>
      </c>
      <c r="AA1039" t="s">
        <v>81</v>
      </c>
      <c r="AB1039">
        <v>22.55</v>
      </c>
      <c r="AC1039">
        <v>18.016667000000002</v>
      </c>
      <c r="AD1039">
        <v>4.5333329999999998</v>
      </c>
      <c r="AE1039">
        <v>1.1333329999999999</v>
      </c>
      <c r="AF1039">
        <v>0</v>
      </c>
      <c r="AG1039">
        <v>3.4</v>
      </c>
      <c r="AH1039">
        <v>3.4</v>
      </c>
      <c r="AI1039">
        <v>3.3833329999999999</v>
      </c>
      <c r="AJ1039">
        <v>1.6667000000000001E-2</v>
      </c>
      <c r="AK1039">
        <v>0</v>
      </c>
      <c r="AL1039" s="76">
        <v>44838.72550925926</v>
      </c>
      <c r="AM1039" s="75">
        <v>1287</v>
      </c>
      <c r="AN1039" t="s">
        <v>65</v>
      </c>
      <c r="AO1039" t="s">
        <v>3888</v>
      </c>
      <c r="AP1039" t="s">
        <v>67</v>
      </c>
      <c r="AQ1039" t="s">
        <v>68</v>
      </c>
      <c r="AR1039" t="s">
        <v>69</v>
      </c>
      <c r="AS1039" s="79"/>
      <c r="AT1039" s="82" t="s">
        <v>4423</v>
      </c>
      <c r="AU1039" s="78">
        <v>2026</v>
      </c>
      <c r="AV1039" s="78">
        <v>4</v>
      </c>
      <c r="AW1039" s="78" t="s">
        <v>71</v>
      </c>
      <c r="AX1039" s="78">
        <v>1</v>
      </c>
      <c r="AY1039" s="78">
        <v>0</v>
      </c>
      <c r="BT1039" s="3" t="s">
        <v>71</v>
      </c>
      <c r="BU1039" s="3">
        <v>1</v>
      </c>
      <c r="BV1039" s="3">
        <v>0</v>
      </c>
    </row>
    <row r="1040" spans="1:74" ht="15" customHeight="1" x14ac:dyDescent="0.25">
      <c r="A1040" s="75">
        <v>5919141</v>
      </c>
      <c r="B1040" t="s">
        <v>4577</v>
      </c>
      <c r="C1040" t="s">
        <v>4578</v>
      </c>
      <c r="D1040" t="s">
        <v>527</v>
      </c>
      <c r="E1040" t="s">
        <v>105</v>
      </c>
      <c r="F1040" s="75">
        <v>12</v>
      </c>
      <c r="G1040" s="75">
        <v>296177</v>
      </c>
      <c r="H1040">
        <v>3330.9</v>
      </c>
      <c r="I1040" t="s">
        <v>55</v>
      </c>
      <c r="J1040" s="75">
        <v>229111</v>
      </c>
      <c r="K1040" t="s">
        <v>389</v>
      </c>
      <c r="L1040" t="s">
        <v>390</v>
      </c>
      <c r="M1040" s="81">
        <v>46126.882777777777</v>
      </c>
      <c r="N1040" s="81">
        <v>46127.454224537039</v>
      </c>
      <c r="O1040" t="s">
        <v>58</v>
      </c>
      <c r="P1040" t="s">
        <v>59</v>
      </c>
      <c r="R1040" t="s">
        <v>60</v>
      </c>
      <c r="S1040" t="s">
        <v>583</v>
      </c>
      <c r="U1040" s="75">
        <v>231357</v>
      </c>
      <c r="V1040" t="s">
        <v>4579</v>
      </c>
      <c r="X1040" t="s">
        <v>392</v>
      </c>
      <c r="Y1040" t="s">
        <v>393</v>
      </c>
      <c r="AA1040" t="s">
        <v>81</v>
      </c>
      <c r="AB1040">
        <v>13.683332999999999</v>
      </c>
      <c r="AC1040">
        <v>11.066667000000001</v>
      </c>
      <c r="AD1040">
        <v>2.6166659999999999</v>
      </c>
      <c r="AE1040">
        <v>0.15</v>
      </c>
      <c r="AF1040">
        <v>0</v>
      </c>
      <c r="AG1040">
        <v>2.466666</v>
      </c>
      <c r="AH1040">
        <v>2.466666</v>
      </c>
      <c r="AI1040">
        <v>2.1333329999999999</v>
      </c>
      <c r="AJ1040">
        <v>0.33333299999999999</v>
      </c>
      <c r="AK1040">
        <v>0</v>
      </c>
      <c r="AL1040" s="76">
        <v>45320</v>
      </c>
      <c r="AM1040" s="75">
        <v>806</v>
      </c>
      <c r="AN1040" t="s">
        <v>65</v>
      </c>
      <c r="AO1040" t="s">
        <v>394</v>
      </c>
      <c r="AP1040" t="s">
        <v>67</v>
      </c>
      <c r="AQ1040" t="s">
        <v>121</v>
      </c>
      <c r="AR1040" t="s">
        <v>69</v>
      </c>
      <c r="AS1040" s="78"/>
      <c r="AT1040" s="82" t="s">
        <v>4423</v>
      </c>
      <c r="AU1040" s="78">
        <v>2026</v>
      </c>
      <c r="AV1040" s="78">
        <v>4</v>
      </c>
      <c r="AW1040" s="78" t="s">
        <v>392</v>
      </c>
      <c r="AX1040" s="78">
        <v>1</v>
      </c>
      <c r="AY1040" s="78">
        <v>0</v>
      </c>
      <c r="BT1040" s="2" t="s">
        <v>392</v>
      </c>
      <c r="BU1040" s="2">
        <v>1</v>
      </c>
      <c r="BV1040" s="2">
        <v>0</v>
      </c>
    </row>
    <row r="1041" spans="1:74" ht="15" customHeight="1" x14ac:dyDescent="0.25">
      <c r="A1041" s="75">
        <v>5917641</v>
      </c>
      <c r="B1041" t="s">
        <v>4580</v>
      </c>
      <c r="C1041" t="s">
        <v>4581</v>
      </c>
      <c r="D1041" t="s">
        <v>1555</v>
      </c>
      <c r="E1041" t="s">
        <v>105</v>
      </c>
      <c r="F1041" s="75">
        <v>26</v>
      </c>
      <c r="G1041" s="75">
        <v>150631</v>
      </c>
      <c r="H1041">
        <v>573</v>
      </c>
      <c r="I1041" t="s">
        <v>368</v>
      </c>
      <c r="J1041" s="75">
        <v>214913</v>
      </c>
      <c r="K1041" t="s">
        <v>1057</v>
      </c>
      <c r="L1041" t="s">
        <v>1058</v>
      </c>
      <c r="M1041" s="81">
        <v>46126.405173611107</v>
      </c>
      <c r="N1041" s="81">
        <v>46127.471886574072</v>
      </c>
      <c r="O1041" t="s">
        <v>58</v>
      </c>
      <c r="P1041" t="s">
        <v>59</v>
      </c>
      <c r="R1041" t="s">
        <v>99</v>
      </c>
      <c r="S1041" t="s">
        <v>1244</v>
      </c>
      <c r="U1041" s="75">
        <v>230875</v>
      </c>
      <c r="V1041" t="s">
        <v>4582</v>
      </c>
      <c r="X1041" t="s">
        <v>62</v>
      </c>
      <c r="Y1041" t="s">
        <v>63</v>
      </c>
      <c r="AA1041" t="s">
        <v>81</v>
      </c>
      <c r="AB1041">
        <v>25.549999</v>
      </c>
      <c r="AC1041">
        <v>24.083333</v>
      </c>
      <c r="AD1041">
        <v>1.466666</v>
      </c>
      <c r="AE1041">
        <v>0.45</v>
      </c>
      <c r="AF1041">
        <v>0</v>
      </c>
      <c r="AG1041">
        <v>1.0166660000000001</v>
      </c>
      <c r="AH1041">
        <v>1.0166660000000001</v>
      </c>
      <c r="AI1041">
        <v>0.93333299999999997</v>
      </c>
      <c r="AJ1041">
        <v>8.3333000000000004E-2</v>
      </c>
      <c r="AK1041">
        <v>0</v>
      </c>
      <c r="AL1041" s="76">
        <v>43906.68613425926</v>
      </c>
      <c r="AM1041" s="75">
        <v>2219</v>
      </c>
      <c r="AN1041" t="s">
        <v>65</v>
      </c>
      <c r="AO1041" t="s">
        <v>4583</v>
      </c>
      <c r="AP1041" t="s">
        <v>67</v>
      </c>
      <c r="AQ1041" t="s">
        <v>68</v>
      </c>
      <c r="AR1041" t="s">
        <v>69</v>
      </c>
      <c r="AS1041" s="79"/>
      <c r="AT1041" s="82" t="s">
        <v>4423</v>
      </c>
      <c r="AU1041" s="78">
        <v>2026</v>
      </c>
      <c r="AV1041" s="78">
        <v>4</v>
      </c>
      <c r="AW1041" s="78" t="s">
        <v>71</v>
      </c>
      <c r="AX1041" s="78">
        <v>1</v>
      </c>
      <c r="AY1041" s="78">
        <v>0</v>
      </c>
      <c r="BT1041" s="3" t="s">
        <v>71</v>
      </c>
      <c r="BU1041" s="3">
        <v>1</v>
      </c>
      <c r="BV1041" s="3">
        <v>0</v>
      </c>
    </row>
    <row r="1042" spans="1:74" ht="15" customHeight="1" x14ac:dyDescent="0.25">
      <c r="A1042" s="75">
        <v>5917775</v>
      </c>
      <c r="B1042" t="s">
        <v>4584</v>
      </c>
      <c r="C1042" t="s">
        <v>4585</v>
      </c>
      <c r="D1042" t="s">
        <v>956</v>
      </c>
      <c r="E1042" t="s">
        <v>105</v>
      </c>
      <c r="F1042" s="75">
        <v>1162</v>
      </c>
      <c r="G1042" s="75">
        <v>335259</v>
      </c>
      <c r="H1042">
        <v>456.52</v>
      </c>
      <c r="I1042" t="s">
        <v>175</v>
      </c>
      <c r="J1042" s="75">
        <v>83605</v>
      </c>
      <c r="K1042" t="s">
        <v>844</v>
      </c>
      <c r="L1042" t="s">
        <v>845</v>
      </c>
      <c r="M1042" s="81">
        <v>46126.431238425917</v>
      </c>
      <c r="N1042" s="81">
        <v>46127.487928240742</v>
      </c>
      <c r="O1042" t="s">
        <v>58</v>
      </c>
      <c r="P1042" t="s">
        <v>59</v>
      </c>
      <c r="Q1042" t="s">
        <v>90</v>
      </c>
      <c r="R1042" t="s">
        <v>60</v>
      </c>
      <c r="S1042" t="s">
        <v>583</v>
      </c>
      <c r="U1042" s="75">
        <v>231457</v>
      </c>
      <c r="V1042" t="s">
        <v>4586</v>
      </c>
      <c r="W1042" t="s">
        <v>4587</v>
      </c>
      <c r="X1042" t="s">
        <v>62</v>
      </c>
      <c r="Y1042" t="s">
        <v>63</v>
      </c>
      <c r="AA1042" t="s">
        <v>101</v>
      </c>
      <c r="AB1042">
        <v>25.299997999999999</v>
      </c>
      <c r="AC1042">
        <v>16.249998999999999</v>
      </c>
      <c r="AD1042">
        <v>9.0499989999999997</v>
      </c>
      <c r="AE1042">
        <v>0.51666599999999996</v>
      </c>
      <c r="AF1042">
        <v>0</v>
      </c>
      <c r="AG1042">
        <v>8.5333330000000007</v>
      </c>
      <c r="AH1042">
        <v>8.5333330000000007</v>
      </c>
      <c r="AI1042">
        <v>7.3666660000000004</v>
      </c>
      <c r="AJ1042">
        <v>1.1666669999999999</v>
      </c>
      <c r="AK1042">
        <v>0</v>
      </c>
      <c r="AL1042" s="76">
        <v>45808.717766203707</v>
      </c>
      <c r="AM1042" s="75">
        <v>317</v>
      </c>
      <c r="AN1042" t="s">
        <v>65</v>
      </c>
      <c r="AO1042" t="s">
        <v>4588</v>
      </c>
      <c r="AP1042" t="s">
        <v>67</v>
      </c>
      <c r="AQ1042" t="s">
        <v>68</v>
      </c>
      <c r="AR1042" t="s">
        <v>69</v>
      </c>
      <c r="AS1042" s="78"/>
      <c r="AT1042" s="82" t="s">
        <v>4423</v>
      </c>
      <c r="AU1042" s="78">
        <v>2026</v>
      </c>
      <c r="AV1042" s="78">
        <v>4</v>
      </c>
      <c r="AW1042" s="78" t="s">
        <v>71</v>
      </c>
      <c r="AX1042" s="78">
        <v>0</v>
      </c>
      <c r="AY1042" s="78">
        <v>0</v>
      </c>
      <c r="BT1042" s="2" t="s">
        <v>71</v>
      </c>
      <c r="BU1042" s="2">
        <v>0</v>
      </c>
      <c r="BV1042" s="2">
        <v>0</v>
      </c>
    </row>
    <row r="1043" spans="1:74" ht="15" customHeight="1" x14ac:dyDescent="0.25">
      <c r="A1043" s="75">
        <v>5905619</v>
      </c>
      <c r="B1043" t="s">
        <v>4589</v>
      </c>
      <c r="C1043" t="s">
        <v>4590</v>
      </c>
      <c r="D1043" t="s">
        <v>527</v>
      </c>
      <c r="E1043" t="s">
        <v>87</v>
      </c>
      <c r="F1043" s="75">
        <v>590</v>
      </c>
      <c r="G1043" s="75">
        <v>333199</v>
      </c>
      <c r="H1043">
        <v>398.82</v>
      </c>
      <c r="I1043" t="s">
        <v>818</v>
      </c>
      <c r="J1043" s="75">
        <v>216233</v>
      </c>
      <c r="K1043" t="s">
        <v>88</v>
      </c>
      <c r="L1043" t="s">
        <v>89</v>
      </c>
      <c r="M1043" s="81">
        <v>46117.875497685192</v>
      </c>
      <c r="N1043" s="81">
        <v>46127.584317129629</v>
      </c>
      <c r="O1043" t="s">
        <v>58</v>
      </c>
      <c r="P1043" t="s">
        <v>59</v>
      </c>
      <c r="Q1043" t="s">
        <v>90</v>
      </c>
      <c r="R1043" t="s">
        <v>131</v>
      </c>
      <c r="S1043" t="s">
        <v>1273</v>
      </c>
      <c r="U1043" s="75">
        <v>230293</v>
      </c>
      <c r="V1043" t="s">
        <v>4591</v>
      </c>
      <c r="W1043" t="s">
        <v>4592</v>
      </c>
      <c r="X1043" t="s">
        <v>62</v>
      </c>
      <c r="Y1043" t="s">
        <v>63</v>
      </c>
      <c r="AA1043" t="s">
        <v>295</v>
      </c>
      <c r="AB1043">
        <v>232.88333399999999</v>
      </c>
      <c r="AC1043">
        <v>197.95</v>
      </c>
      <c r="AD1043">
        <v>34.933334000000002</v>
      </c>
      <c r="AE1043">
        <v>2.233333</v>
      </c>
      <c r="AF1043">
        <v>0</v>
      </c>
      <c r="AG1043">
        <v>32.700001</v>
      </c>
      <c r="AH1043">
        <v>32.700001</v>
      </c>
      <c r="AI1043">
        <v>30.466667000000001</v>
      </c>
      <c r="AJ1043">
        <v>2.2333340000000002</v>
      </c>
      <c r="AK1043">
        <v>0</v>
      </c>
      <c r="AL1043" s="76">
        <v>45721</v>
      </c>
      <c r="AM1043" s="75">
        <v>396</v>
      </c>
      <c r="AN1043" t="s">
        <v>65</v>
      </c>
      <c r="AO1043" t="s">
        <v>4593</v>
      </c>
      <c r="AP1043" t="s">
        <v>67</v>
      </c>
      <c r="AQ1043" t="s">
        <v>68</v>
      </c>
      <c r="AR1043" t="s">
        <v>69</v>
      </c>
      <c r="AS1043" s="79"/>
      <c r="AT1043" s="82" t="s">
        <v>4423</v>
      </c>
      <c r="AU1043" s="78">
        <v>2026</v>
      </c>
      <c r="AV1043" s="78">
        <v>4</v>
      </c>
      <c r="AW1043" s="78" t="s">
        <v>71</v>
      </c>
      <c r="AX1043" s="78">
        <v>0</v>
      </c>
      <c r="AY1043" s="78">
        <v>1</v>
      </c>
      <c r="BT1043" s="3" t="s">
        <v>71</v>
      </c>
      <c r="BU1043" s="3">
        <v>0</v>
      </c>
      <c r="BV1043" s="3">
        <v>1</v>
      </c>
    </row>
    <row r="1044" spans="1:74" ht="15" customHeight="1" x14ac:dyDescent="0.25">
      <c r="A1044" s="75">
        <v>5910309</v>
      </c>
      <c r="B1044" t="s">
        <v>4594</v>
      </c>
      <c r="C1044" t="s">
        <v>4595</v>
      </c>
      <c r="D1044" t="s">
        <v>1567</v>
      </c>
      <c r="E1044" t="s">
        <v>87</v>
      </c>
      <c r="F1044" s="75">
        <v>7</v>
      </c>
      <c r="G1044" s="75">
        <v>347919</v>
      </c>
      <c r="H1044">
        <v>1100</v>
      </c>
      <c r="I1044" t="s">
        <v>203</v>
      </c>
      <c r="J1044" s="75">
        <v>214467</v>
      </c>
      <c r="K1044" t="s">
        <v>1444</v>
      </c>
      <c r="L1044" t="s">
        <v>1445</v>
      </c>
      <c r="M1044" s="81">
        <v>46120.549270833333</v>
      </c>
      <c r="N1044" s="81">
        <v>46127.603692129633</v>
      </c>
      <c r="O1044" t="s">
        <v>58</v>
      </c>
      <c r="P1044" t="s">
        <v>59</v>
      </c>
      <c r="Q1044" t="s">
        <v>130</v>
      </c>
      <c r="R1044" t="s">
        <v>60</v>
      </c>
      <c r="S1044" t="s">
        <v>583</v>
      </c>
      <c r="U1044" s="75">
        <v>230295</v>
      </c>
      <c r="V1044" t="s">
        <v>4596</v>
      </c>
      <c r="W1044" t="s">
        <v>4597</v>
      </c>
      <c r="X1044" t="s">
        <v>62</v>
      </c>
      <c r="Y1044" t="s">
        <v>63</v>
      </c>
      <c r="AA1044" t="s">
        <v>295</v>
      </c>
      <c r="AB1044">
        <v>169.150001</v>
      </c>
      <c r="AC1044">
        <v>125</v>
      </c>
      <c r="AD1044">
        <v>44.150001000000003</v>
      </c>
      <c r="AE1044">
        <v>4.8666669999999996</v>
      </c>
      <c r="AF1044">
        <v>0</v>
      </c>
      <c r="AG1044">
        <v>39.283334000000004</v>
      </c>
      <c r="AH1044">
        <v>39.283334000000004</v>
      </c>
      <c r="AI1044">
        <v>36.083333000000003</v>
      </c>
      <c r="AJ1044">
        <v>3.2000009999999999</v>
      </c>
      <c r="AK1044">
        <v>0</v>
      </c>
      <c r="AL1044" s="76">
        <v>44225</v>
      </c>
      <c r="AM1044" s="75">
        <v>1895</v>
      </c>
      <c r="AN1044" t="s">
        <v>65</v>
      </c>
      <c r="AO1044" t="s">
        <v>4598</v>
      </c>
      <c r="AP1044" t="s">
        <v>67</v>
      </c>
      <c r="AQ1044" t="s">
        <v>68</v>
      </c>
      <c r="AR1044" t="s">
        <v>69</v>
      </c>
      <c r="AS1044" s="78"/>
      <c r="AT1044" s="82" t="s">
        <v>4423</v>
      </c>
      <c r="AU1044" s="78">
        <v>2026</v>
      </c>
      <c r="AV1044" s="78">
        <v>4</v>
      </c>
      <c r="AW1044" s="78" t="s">
        <v>71</v>
      </c>
      <c r="AX1044" s="78">
        <v>0</v>
      </c>
      <c r="AY1044" s="78">
        <v>1</v>
      </c>
      <c r="BT1044" s="2" t="s">
        <v>71</v>
      </c>
      <c r="BU1044" s="2">
        <v>0</v>
      </c>
      <c r="BV1044" s="2">
        <v>1</v>
      </c>
    </row>
    <row r="1045" spans="1:74" ht="15" customHeight="1" x14ac:dyDescent="0.25">
      <c r="A1045" s="75">
        <v>5912037</v>
      </c>
      <c r="B1045" t="s">
        <v>4599</v>
      </c>
      <c r="C1045" t="s">
        <v>4600</v>
      </c>
      <c r="D1045" t="s">
        <v>1567</v>
      </c>
      <c r="E1045" t="s">
        <v>54</v>
      </c>
      <c r="F1045" s="75">
        <v>1</v>
      </c>
      <c r="G1045" s="75">
        <v>335417</v>
      </c>
      <c r="H1045">
        <v>900</v>
      </c>
      <c r="I1045" t="s">
        <v>203</v>
      </c>
      <c r="J1045" s="75">
        <v>226191</v>
      </c>
      <c r="K1045" t="s">
        <v>2989</v>
      </c>
      <c r="L1045" t="s">
        <v>2990</v>
      </c>
      <c r="M1045" s="81">
        <v>46121.586192129631</v>
      </c>
      <c r="N1045" s="81">
        <v>46127.605486111112</v>
      </c>
      <c r="O1045" t="s">
        <v>58</v>
      </c>
      <c r="P1045" t="s">
        <v>59</v>
      </c>
      <c r="Q1045" t="s">
        <v>341</v>
      </c>
      <c r="R1045" t="s">
        <v>99</v>
      </c>
      <c r="S1045" t="s">
        <v>1244</v>
      </c>
      <c r="U1045" s="75">
        <v>230303</v>
      </c>
      <c r="V1045" t="s">
        <v>4601</v>
      </c>
      <c r="X1045" t="s">
        <v>62</v>
      </c>
      <c r="Y1045" t="s">
        <v>233</v>
      </c>
      <c r="AA1045" t="s">
        <v>295</v>
      </c>
      <c r="AB1045">
        <v>144.30000100000001</v>
      </c>
      <c r="AC1045">
        <v>93.05</v>
      </c>
      <c r="AD1045">
        <v>51.250000999999997</v>
      </c>
      <c r="AE1045">
        <v>6.6667000000000004E-2</v>
      </c>
      <c r="AF1045">
        <v>0</v>
      </c>
      <c r="AG1045">
        <v>51.183334000000002</v>
      </c>
      <c r="AH1045">
        <v>51.183334000000002</v>
      </c>
      <c r="AI1045">
        <v>49.050001000000002</v>
      </c>
      <c r="AJ1045">
        <v>2.1333329999999999</v>
      </c>
      <c r="AK1045">
        <v>0</v>
      </c>
      <c r="AL1045" s="76">
        <v>45777</v>
      </c>
      <c r="AM1045" s="75">
        <v>344</v>
      </c>
      <c r="AN1045" t="s">
        <v>65</v>
      </c>
      <c r="AO1045" t="s">
        <v>2992</v>
      </c>
      <c r="AP1045" t="s">
        <v>67</v>
      </c>
      <c r="AQ1045" t="s">
        <v>68</v>
      </c>
      <c r="AR1045" t="s">
        <v>69</v>
      </c>
      <c r="AS1045" s="79"/>
      <c r="AT1045" s="82" t="s">
        <v>4423</v>
      </c>
      <c r="AU1045" s="78">
        <v>2026</v>
      </c>
      <c r="AV1045" s="78">
        <v>4</v>
      </c>
      <c r="AW1045" s="78" t="s">
        <v>137</v>
      </c>
      <c r="AX1045" s="78">
        <v>0</v>
      </c>
      <c r="AY1045" s="78">
        <v>1</v>
      </c>
      <c r="BT1045" s="3" t="s">
        <v>137</v>
      </c>
      <c r="BU1045" s="3">
        <v>0</v>
      </c>
      <c r="BV1045" s="3">
        <v>1</v>
      </c>
    </row>
    <row r="1046" spans="1:74" ht="15" customHeight="1" x14ac:dyDescent="0.25">
      <c r="A1046" s="75">
        <v>5913925</v>
      </c>
      <c r="B1046" t="s">
        <v>4602</v>
      </c>
      <c r="C1046" t="s">
        <v>4163</v>
      </c>
      <c r="D1046" t="s">
        <v>1567</v>
      </c>
      <c r="E1046" t="s">
        <v>87</v>
      </c>
      <c r="F1046" s="75">
        <v>34</v>
      </c>
      <c r="G1046" s="75">
        <v>275255</v>
      </c>
      <c r="H1046">
        <v>525.95000000000005</v>
      </c>
      <c r="I1046" t="s">
        <v>55</v>
      </c>
      <c r="J1046" s="75">
        <v>218791</v>
      </c>
      <c r="K1046" t="s">
        <v>312</v>
      </c>
      <c r="L1046" t="s">
        <v>313</v>
      </c>
      <c r="M1046" s="81">
        <v>46122.646585648137</v>
      </c>
      <c r="N1046" s="81">
        <v>46127.612129629633</v>
      </c>
      <c r="O1046" t="s">
        <v>58</v>
      </c>
      <c r="P1046" t="s">
        <v>59</v>
      </c>
      <c r="Q1046" t="s">
        <v>90</v>
      </c>
      <c r="R1046" t="s">
        <v>60</v>
      </c>
      <c r="S1046" t="s">
        <v>583</v>
      </c>
      <c r="U1046" s="75">
        <v>230305</v>
      </c>
      <c r="V1046" t="s">
        <v>4603</v>
      </c>
      <c r="W1046" t="s">
        <v>4604</v>
      </c>
      <c r="X1046" t="s">
        <v>62</v>
      </c>
      <c r="Y1046" t="s">
        <v>63</v>
      </c>
      <c r="AA1046" t="s">
        <v>416</v>
      </c>
      <c r="AB1046">
        <v>119.083332</v>
      </c>
      <c r="AC1046">
        <v>97.366665999999995</v>
      </c>
      <c r="AD1046">
        <v>21.716666</v>
      </c>
      <c r="AE1046">
        <v>0.76666699999999999</v>
      </c>
      <c r="AF1046">
        <v>0</v>
      </c>
      <c r="AG1046">
        <v>20.949998999999998</v>
      </c>
      <c r="AH1046">
        <v>20.949998999999998</v>
      </c>
      <c r="AI1046">
        <v>19.916665999999999</v>
      </c>
      <c r="AJ1046">
        <v>1.0333330000000001</v>
      </c>
      <c r="AK1046">
        <v>0</v>
      </c>
      <c r="AL1046" s="76">
        <v>44862.561180555553</v>
      </c>
      <c r="AM1046" s="75">
        <v>1260</v>
      </c>
      <c r="AN1046" t="s">
        <v>65</v>
      </c>
      <c r="AO1046" t="s">
        <v>436</v>
      </c>
      <c r="AP1046" t="s">
        <v>67</v>
      </c>
      <c r="AQ1046" t="s">
        <v>68</v>
      </c>
      <c r="AR1046" t="s">
        <v>69</v>
      </c>
      <c r="AS1046" s="78"/>
      <c r="AT1046" s="82" t="s">
        <v>4423</v>
      </c>
      <c r="AU1046" s="78">
        <v>2026</v>
      </c>
      <c r="AV1046" s="78">
        <v>4</v>
      </c>
      <c r="AW1046" s="78" t="s">
        <v>71</v>
      </c>
      <c r="AX1046" s="78">
        <v>0</v>
      </c>
      <c r="AY1046" s="78">
        <v>0</v>
      </c>
      <c r="BT1046" s="2" t="s">
        <v>71</v>
      </c>
      <c r="BU1046" s="2">
        <v>0</v>
      </c>
      <c r="BV1046" s="2">
        <v>0</v>
      </c>
    </row>
    <row r="1047" spans="1:74" ht="15" customHeight="1" x14ac:dyDescent="0.25">
      <c r="A1047" s="75">
        <v>5920291</v>
      </c>
      <c r="B1047" t="s">
        <v>4605</v>
      </c>
      <c r="C1047" t="s">
        <v>4606</v>
      </c>
      <c r="D1047" t="s">
        <v>53</v>
      </c>
      <c r="E1047" t="s">
        <v>87</v>
      </c>
      <c r="F1047" s="75">
        <v>700</v>
      </c>
      <c r="G1047" s="75">
        <v>253429</v>
      </c>
      <c r="H1047">
        <v>1795.25</v>
      </c>
      <c r="I1047" t="s">
        <v>114</v>
      </c>
      <c r="J1047" s="75">
        <v>19921</v>
      </c>
      <c r="K1047" t="s">
        <v>1325</v>
      </c>
      <c r="L1047" t="s">
        <v>2612</v>
      </c>
      <c r="M1047" s="81">
        <v>46127.49690972222</v>
      </c>
      <c r="N1047" s="81">
        <v>46127.625520833331</v>
      </c>
      <c r="O1047" t="s">
        <v>58</v>
      </c>
      <c r="P1047" t="s">
        <v>59</v>
      </c>
      <c r="Q1047" t="s">
        <v>130</v>
      </c>
      <c r="R1047" t="s">
        <v>99</v>
      </c>
      <c r="S1047" t="s">
        <v>1244</v>
      </c>
      <c r="U1047" s="75">
        <v>232183</v>
      </c>
      <c r="V1047" t="s">
        <v>4607</v>
      </c>
      <c r="X1047" t="s">
        <v>118</v>
      </c>
      <c r="Y1047" t="s">
        <v>119</v>
      </c>
      <c r="AA1047" t="s">
        <v>81</v>
      </c>
      <c r="AB1047">
        <v>3.016667</v>
      </c>
      <c r="AC1047">
        <v>0.283333</v>
      </c>
      <c r="AD1047">
        <v>2.7333340000000002</v>
      </c>
      <c r="AE1047">
        <v>0.28333399999999997</v>
      </c>
      <c r="AF1047">
        <v>0</v>
      </c>
      <c r="AG1047">
        <v>2.4500000000000002</v>
      </c>
      <c r="AH1047">
        <v>2.4500000000000002</v>
      </c>
      <c r="AI1047">
        <v>2.4333330000000002</v>
      </c>
      <c r="AJ1047">
        <v>1.6667000000000001E-2</v>
      </c>
      <c r="AK1047">
        <v>0</v>
      </c>
      <c r="AL1047" s="76">
        <v>44753.59275462963</v>
      </c>
      <c r="AM1047" s="75">
        <v>1373</v>
      </c>
      <c r="AN1047" t="s">
        <v>65</v>
      </c>
      <c r="AO1047" t="s">
        <v>4608</v>
      </c>
      <c r="AP1047" t="s">
        <v>67</v>
      </c>
      <c r="AQ1047" t="s">
        <v>121</v>
      </c>
      <c r="AR1047" t="s">
        <v>69</v>
      </c>
      <c r="AS1047" s="79"/>
      <c r="AT1047" s="82" t="s">
        <v>4423</v>
      </c>
      <c r="AU1047" s="78">
        <v>2026</v>
      </c>
      <c r="AV1047" s="78">
        <v>4</v>
      </c>
      <c r="AW1047" s="78" t="s">
        <v>122</v>
      </c>
      <c r="AX1047" s="78">
        <v>1</v>
      </c>
      <c r="AY1047" s="78">
        <v>0</v>
      </c>
      <c r="BT1047" s="3" t="s">
        <v>122</v>
      </c>
      <c r="BU1047" s="3">
        <v>1</v>
      </c>
      <c r="BV1047" s="3">
        <v>0</v>
      </c>
    </row>
    <row r="1048" spans="1:74" ht="15" customHeight="1" x14ac:dyDescent="0.25">
      <c r="A1048" s="75">
        <v>5914883</v>
      </c>
      <c r="B1048" t="s">
        <v>4609</v>
      </c>
      <c r="C1048" t="s">
        <v>3257</v>
      </c>
      <c r="D1048" t="s">
        <v>956</v>
      </c>
      <c r="E1048" t="s">
        <v>105</v>
      </c>
      <c r="F1048" s="75">
        <v>638</v>
      </c>
      <c r="G1048" s="75">
        <v>342937</v>
      </c>
      <c r="H1048">
        <v>225</v>
      </c>
      <c r="I1048" t="s">
        <v>163</v>
      </c>
      <c r="J1048" s="75">
        <v>48887</v>
      </c>
      <c r="K1048" t="s">
        <v>164</v>
      </c>
      <c r="L1048" t="s">
        <v>165</v>
      </c>
      <c r="M1048" s="81">
        <v>46123.58871527778</v>
      </c>
      <c r="N1048" s="81">
        <v>46127.676342592589</v>
      </c>
      <c r="O1048" t="s">
        <v>391</v>
      </c>
      <c r="P1048" t="s">
        <v>59</v>
      </c>
      <c r="R1048" t="s">
        <v>156</v>
      </c>
      <c r="S1048" t="s">
        <v>1311</v>
      </c>
      <c r="U1048" s="75">
        <v>231367</v>
      </c>
      <c r="V1048" t="s">
        <v>4610</v>
      </c>
      <c r="W1048" t="s">
        <v>4611</v>
      </c>
      <c r="X1048" t="s">
        <v>62</v>
      </c>
      <c r="Y1048" t="s">
        <v>63</v>
      </c>
      <c r="AA1048" t="s">
        <v>416</v>
      </c>
      <c r="AB1048">
        <v>97.950001</v>
      </c>
      <c r="AC1048">
        <v>73.833333999999994</v>
      </c>
      <c r="AD1048">
        <v>24.116667</v>
      </c>
      <c r="AE1048">
        <v>0.3</v>
      </c>
      <c r="AF1048">
        <v>0</v>
      </c>
      <c r="AG1048">
        <v>23.816666999999999</v>
      </c>
      <c r="AH1048">
        <v>23.816666999999999</v>
      </c>
      <c r="AI1048">
        <v>23.016666000000001</v>
      </c>
      <c r="AJ1048">
        <v>0.80000099999999996</v>
      </c>
      <c r="AK1048">
        <v>0</v>
      </c>
      <c r="AL1048" s="76">
        <v>45855</v>
      </c>
      <c r="AM1048" s="75">
        <v>268</v>
      </c>
      <c r="AN1048" t="s">
        <v>65</v>
      </c>
      <c r="AO1048" t="s">
        <v>168</v>
      </c>
      <c r="AP1048" t="s">
        <v>67</v>
      </c>
      <c r="AQ1048" t="s">
        <v>68</v>
      </c>
      <c r="AR1048" t="s">
        <v>69</v>
      </c>
      <c r="AS1048" s="78"/>
      <c r="AT1048" s="82" t="s">
        <v>4423</v>
      </c>
      <c r="AU1048" s="78">
        <v>2026</v>
      </c>
      <c r="AV1048" s="78">
        <v>4</v>
      </c>
      <c r="AW1048" s="78" t="s">
        <v>71</v>
      </c>
      <c r="AX1048" s="78">
        <v>0</v>
      </c>
      <c r="AY1048" s="78">
        <v>0</v>
      </c>
      <c r="BT1048" s="2" t="s">
        <v>71</v>
      </c>
      <c r="BU1048" s="2">
        <v>0</v>
      </c>
      <c r="BV1048" s="2">
        <v>0</v>
      </c>
    </row>
    <row r="1049" spans="1:74" ht="15" customHeight="1" x14ac:dyDescent="0.25">
      <c r="A1049" s="75">
        <v>5918393</v>
      </c>
      <c r="B1049" t="s">
        <v>4612</v>
      </c>
      <c r="C1049" t="s">
        <v>4613</v>
      </c>
      <c r="D1049" t="s">
        <v>1555</v>
      </c>
      <c r="E1049" t="s">
        <v>87</v>
      </c>
      <c r="F1049" s="75">
        <v>57</v>
      </c>
      <c r="G1049" s="75">
        <v>275351</v>
      </c>
      <c r="H1049">
        <v>364.95</v>
      </c>
      <c r="I1049" t="s">
        <v>55</v>
      </c>
      <c r="J1049" s="75">
        <v>218787</v>
      </c>
      <c r="K1049" t="s">
        <v>96</v>
      </c>
      <c r="L1049" t="s">
        <v>97</v>
      </c>
      <c r="M1049" s="81">
        <v>46126.59778935185</v>
      </c>
      <c r="N1049" s="81">
        <v>46127.68959490741</v>
      </c>
      <c r="O1049" t="s">
        <v>58</v>
      </c>
      <c r="P1049" t="s">
        <v>59</v>
      </c>
      <c r="Q1049" t="s">
        <v>98</v>
      </c>
      <c r="R1049" t="s">
        <v>60</v>
      </c>
      <c r="S1049" t="s">
        <v>583</v>
      </c>
      <c r="U1049" s="75">
        <v>231227</v>
      </c>
      <c r="V1049" t="s">
        <v>4614</v>
      </c>
      <c r="W1049" t="s">
        <v>4614</v>
      </c>
      <c r="X1049" t="s">
        <v>62</v>
      </c>
      <c r="Y1049" t="s">
        <v>63</v>
      </c>
      <c r="AA1049" t="s">
        <v>81</v>
      </c>
      <c r="AB1049">
        <v>26.166667</v>
      </c>
      <c r="AC1049">
        <v>23.333333</v>
      </c>
      <c r="AD1049">
        <v>2.8333339999999998</v>
      </c>
      <c r="AE1049">
        <v>0.16666700000000001</v>
      </c>
      <c r="AF1049">
        <v>0</v>
      </c>
      <c r="AG1049">
        <v>2.6666669999999999</v>
      </c>
      <c r="AH1049">
        <v>2.6666669999999999</v>
      </c>
      <c r="AI1049">
        <v>2.6166670000000001</v>
      </c>
      <c r="AJ1049">
        <v>0.05</v>
      </c>
      <c r="AK1049">
        <v>0</v>
      </c>
      <c r="AL1049" s="76">
        <v>44865</v>
      </c>
      <c r="AM1049" s="75">
        <v>1261</v>
      </c>
      <c r="AN1049" t="s">
        <v>65</v>
      </c>
      <c r="AO1049" t="s">
        <v>546</v>
      </c>
      <c r="AP1049" t="s">
        <v>67</v>
      </c>
      <c r="AQ1049" t="s">
        <v>68</v>
      </c>
      <c r="AR1049" t="s">
        <v>69</v>
      </c>
      <c r="AS1049" s="79"/>
      <c r="AT1049" s="82" t="s">
        <v>4423</v>
      </c>
      <c r="AU1049" s="78">
        <v>2026</v>
      </c>
      <c r="AV1049" s="78">
        <v>4</v>
      </c>
      <c r="AW1049" s="78" t="s">
        <v>71</v>
      </c>
      <c r="AX1049" s="78">
        <v>1</v>
      </c>
      <c r="AY1049" s="78">
        <v>0</v>
      </c>
      <c r="BT1049" s="3" t="s">
        <v>71</v>
      </c>
      <c r="BU1049" s="3">
        <v>1</v>
      </c>
      <c r="BV1049" s="3">
        <v>0</v>
      </c>
    </row>
    <row r="1050" spans="1:74" ht="15" customHeight="1" x14ac:dyDescent="0.25">
      <c r="A1050" s="75">
        <v>5916527</v>
      </c>
      <c r="B1050" t="s">
        <v>4615</v>
      </c>
      <c r="C1050" t="s">
        <v>2900</v>
      </c>
      <c r="D1050" t="s">
        <v>527</v>
      </c>
      <c r="E1050" t="s">
        <v>87</v>
      </c>
      <c r="F1050" s="75">
        <v>48</v>
      </c>
      <c r="G1050" s="75">
        <v>275283</v>
      </c>
      <c r="H1050">
        <v>650</v>
      </c>
      <c r="I1050" t="s">
        <v>55</v>
      </c>
      <c r="J1050" s="75">
        <v>218791</v>
      </c>
      <c r="K1050" t="s">
        <v>312</v>
      </c>
      <c r="L1050" t="s">
        <v>313</v>
      </c>
      <c r="M1050" s="81">
        <v>46125.542268518519</v>
      </c>
      <c r="N1050" s="81">
        <v>46128.350393518522</v>
      </c>
      <c r="O1050" t="s">
        <v>554</v>
      </c>
      <c r="P1050" t="s">
        <v>59</v>
      </c>
      <c r="Q1050" t="s">
        <v>90</v>
      </c>
      <c r="R1050" t="s">
        <v>99</v>
      </c>
      <c r="S1050" t="s">
        <v>1244</v>
      </c>
      <c r="U1050" s="75">
        <v>231255</v>
      </c>
      <c r="V1050" t="s">
        <v>4616</v>
      </c>
      <c r="X1050" t="s">
        <v>62</v>
      </c>
      <c r="Y1050" t="s">
        <v>63</v>
      </c>
      <c r="Z1050" t="s">
        <v>4617</v>
      </c>
      <c r="AA1050" t="s">
        <v>295</v>
      </c>
      <c r="AB1050">
        <v>67.316666999999995</v>
      </c>
      <c r="AC1050">
        <v>12.25</v>
      </c>
      <c r="AD1050">
        <v>55.066667000000002</v>
      </c>
      <c r="AE1050">
        <v>26.916667</v>
      </c>
      <c r="AF1050">
        <v>26.766667000000002</v>
      </c>
      <c r="AG1050">
        <v>28.15</v>
      </c>
      <c r="AH1050">
        <v>54.916666999999997</v>
      </c>
      <c r="AI1050">
        <v>27.05</v>
      </c>
      <c r="AJ1050">
        <v>1.1000000000000001</v>
      </c>
      <c r="AK1050">
        <v>0</v>
      </c>
      <c r="AL1050" s="76">
        <v>44839.755671296298</v>
      </c>
      <c r="AM1050" s="75">
        <v>1285</v>
      </c>
      <c r="AN1050" t="s">
        <v>65</v>
      </c>
      <c r="AO1050" t="s">
        <v>1668</v>
      </c>
      <c r="AP1050" t="s">
        <v>67</v>
      </c>
      <c r="AQ1050" t="s">
        <v>68</v>
      </c>
      <c r="AR1050" t="s">
        <v>69</v>
      </c>
      <c r="AS1050" s="78"/>
      <c r="AT1050" s="82" t="s">
        <v>4423</v>
      </c>
      <c r="AU1050" s="78">
        <v>2026</v>
      </c>
      <c r="AV1050" s="78">
        <v>4</v>
      </c>
      <c r="AW1050" s="78" t="s">
        <v>71</v>
      </c>
      <c r="AX1050" s="78">
        <v>0</v>
      </c>
      <c r="AY1050" s="78">
        <v>1</v>
      </c>
      <c r="BT1050" s="2" t="s">
        <v>71</v>
      </c>
      <c r="BU1050" s="2">
        <v>0</v>
      </c>
      <c r="BV1050" s="2">
        <v>1</v>
      </c>
    </row>
    <row r="1051" spans="1:74" ht="15" customHeight="1" x14ac:dyDescent="0.25">
      <c r="A1051" s="75">
        <v>5919253</v>
      </c>
      <c r="B1051" t="s">
        <v>4618</v>
      </c>
      <c r="C1051" t="s">
        <v>2998</v>
      </c>
      <c r="D1051" t="s">
        <v>527</v>
      </c>
      <c r="E1051" t="s">
        <v>87</v>
      </c>
      <c r="F1051" s="75">
        <v>129</v>
      </c>
      <c r="G1051" s="75">
        <v>285597</v>
      </c>
      <c r="H1051">
        <v>368.16</v>
      </c>
      <c r="I1051" t="s">
        <v>55</v>
      </c>
      <c r="J1051" s="75">
        <v>218791</v>
      </c>
      <c r="K1051" t="s">
        <v>312</v>
      </c>
      <c r="L1051" t="s">
        <v>313</v>
      </c>
      <c r="M1051" s="81">
        <v>46127.076782407406</v>
      </c>
      <c r="N1051" s="81">
        <v>46128.389178240737</v>
      </c>
      <c r="O1051" t="s">
        <v>277</v>
      </c>
      <c r="P1051" t="s">
        <v>59</v>
      </c>
      <c r="Q1051" t="s">
        <v>90</v>
      </c>
      <c r="R1051" t="s">
        <v>99</v>
      </c>
      <c r="S1051" t="s">
        <v>1244</v>
      </c>
      <c r="U1051" s="75">
        <v>231401</v>
      </c>
      <c r="V1051" t="s">
        <v>4619</v>
      </c>
      <c r="X1051" t="s">
        <v>62</v>
      </c>
      <c r="Y1051" t="s">
        <v>63</v>
      </c>
      <c r="AA1051" t="s">
        <v>101</v>
      </c>
      <c r="AB1051">
        <v>31.433333999999999</v>
      </c>
      <c r="AC1051">
        <v>20.45</v>
      </c>
      <c r="AD1051">
        <v>10.983333999999999</v>
      </c>
      <c r="AE1051">
        <v>0.2</v>
      </c>
      <c r="AF1051">
        <v>0</v>
      </c>
      <c r="AG1051">
        <v>10.783334</v>
      </c>
      <c r="AH1051">
        <v>10.783334</v>
      </c>
      <c r="AI1051">
        <v>10.183334</v>
      </c>
      <c r="AJ1051">
        <v>0.6</v>
      </c>
      <c r="AK1051">
        <v>0</v>
      </c>
      <c r="AL1051" s="76">
        <v>44897.547465277778</v>
      </c>
      <c r="AM1051" s="75">
        <v>1229</v>
      </c>
      <c r="AN1051" t="s">
        <v>65</v>
      </c>
      <c r="AO1051" t="s">
        <v>3000</v>
      </c>
      <c r="AP1051" t="s">
        <v>67</v>
      </c>
      <c r="AQ1051" t="s">
        <v>68</v>
      </c>
      <c r="AR1051" t="s">
        <v>69</v>
      </c>
      <c r="AS1051" s="79"/>
      <c r="AT1051" s="82" t="s">
        <v>4423</v>
      </c>
      <c r="AU1051" s="78">
        <v>2026</v>
      </c>
      <c r="AV1051" s="78">
        <v>4</v>
      </c>
      <c r="AW1051" s="78" t="s">
        <v>71</v>
      </c>
      <c r="AX1051" s="78">
        <v>0</v>
      </c>
      <c r="AY1051" s="78">
        <v>0</v>
      </c>
      <c r="BT1051" s="3" t="s">
        <v>71</v>
      </c>
      <c r="BU1051" s="3">
        <v>0</v>
      </c>
      <c r="BV1051" s="3">
        <v>0</v>
      </c>
    </row>
    <row r="1052" spans="1:74" ht="15" customHeight="1" x14ac:dyDescent="0.25">
      <c r="A1052" s="75">
        <v>5916367</v>
      </c>
      <c r="B1052" t="s">
        <v>4620</v>
      </c>
      <c r="C1052" t="s">
        <v>4621</v>
      </c>
      <c r="D1052" t="s">
        <v>282</v>
      </c>
      <c r="E1052" t="s">
        <v>87</v>
      </c>
      <c r="F1052" s="75">
        <v>127</v>
      </c>
      <c r="G1052" s="75">
        <v>344023</v>
      </c>
      <c r="H1052">
        <v>490</v>
      </c>
      <c r="I1052" t="s">
        <v>818</v>
      </c>
      <c r="J1052" s="75">
        <v>149307</v>
      </c>
      <c r="K1052" t="s">
        <v>350</v>
      </c>
      <c r="L1052" t="s">
        <v>351</v>
      </c>
      <c r="M1052" s="81">
        <v>46125.479710648149</v>
      </c>
      <c r="N1052" s="81">
        <v>46128.44908564815</v>
      </c>
      <c r="O1052" t="s">
        <v>58</v>
      </c>
      <c r="P1052" t="s">
        <v>59</v>
      </c>
      <c r="Q1052" t="s">
        <v>90</v>
      </c>
      <c r="R1052" t="s">
        <v>131</v>
      </c>
      <c r="S1052" t="s">
        <v>1273</v>
      </c>
      <c r="U1052" s="75">
        <v>231435</v>
      </c>
      <c r="V1052" t="s">
        <v>4622</v>
      </c>
      <c r="W1052" t="s">
        <v>4622</v>
      </c>
      <c r="X1052" t="s">
        <v>62</v>
      </c>
      <c r="Y1052" t="s">
        <v>4623</v>
      </c>
      <c r="AA1052" t="s">
        <v>295</v>
      </c>
      <c r="AB1052">
        <v>71.183333000000005</v>
      </c>
      <c r="AC1052">
        <v>38.299999999999997</v>
      </c>
      <c r="AD1052">
        <v>32.883333</v>
      </c>
      <c r="AE1052">
        <v>2.8333330000000001</v>
      </c>
      <c r="AF1052">
        <v>0</v>
      </c>
      <c r="AG1052">
        <v>30.05</v>
      </c>
      <c r="AH1052">
        <v>30.05</v>
      </c>
      <c r="AI1052">
        <v>7.033334</v>
      </c>
      <c r="AJ1052">
        <v>23.016666000000001</v>
      </c>
      <c r="AK1052">
        <v>0</v>
      </c>
      <c r="AL1052" s="76">
        <v>44698</v>
      </c>
      <c r="AM1052" s="75">
        <v>1427</v>
      </c>
      <c r="AN1052" t="s">
        <v>65</v>
      </c>
      <c r="AO1052" t="s">
        <v>4624</v>
      </c>
      <c r="AP1052" t="s">
        <v>67</v>
      </c>
      <c r="AQ1052" t="s">
        <v>68</v>
      </c>
      <c r="AR1052" t="s">
        <v>69</v>
      </c>
      <c r="AS1052" s="78"/>
      <c r="AT1052" s="82" t="s">
        <v>4423</v>
      </c>
      <c r="AU1052" s="78">
        <v>2026</v>
      </c>
      <c r="AV1052" s="78">
        <v>4</v>
      </c>
      <c r="AW1052" s="78" t="s">
        <v>137</v>
      </c>
      <c r="AX1052" s="78">
        <v>0</v>
      </c>
      <c r="AY1052" s="78">
        <v>1</v>
      </c>
      <c r="BT1052" s="2" t="s">
        <v>137</v>
      </c>
      <c r="BU1052" s="2">
        <v>0</v>
      </c>
      <c r="BV1052" s="2">
        <v>1</v>
      </c>
    </row>
    <row r="1053" spans="1:74" ht="15" customHeight="1" x14ac:dyDescent="0.25">
      <c r="A1053" s="75">
        <v>5919383</v>
      </c>
      <c r="B1053" t="s">
        <v>4625</v>
      </c>
      <c r="C1053" t="s">
        <v>4626</v>
      </c>
      <c r="D1053" t="s">
        <v>282</v>
      </c>
      <c r="E1053" t="s">
        <v>54</v>
      </c>
      <c r="F1053" s="75">
        <v>2</v>
      </c>
      <c r="G1053" s="75">
        <v>253803</v>
      </c>
      <c r="H1053">
        <v>3077.57</v>
      </c>
      <c r="I1053" t="s">
        <v>114</v>
      </c>
      <c r="J1053" s="75">
        <v>204097</v>
      </c>
      <c r="K1053" t="s">
        <v>4627</v>
      </c>
      <c r="L1053" t="s">
        <v>4628</v>
      </c>
      <c r="M1053" s="81">
        <v>46127.317187499997</v>
      </c>
      <c r="N1053" s="81">
        <v>46128.458368055559</v>
      </c>
      <c r="O1053" t="s">
        <v>58</v>
      </c>
      <c r="P1053" t="s">
        <v>59</v>
      </c>
      <c r="Q1053" t="s">
        <v>130</v>
      </c>
      <c r="R1053" t="s">
        <v>60</v>
      </c>
      <c r="S1053" t="s">
        <v>583</v>
      </c>
      <c r="U1053" s="75">
        <v>231515</v>
      </c>
      <c r="V1053" t="s">
        <v>4629</v>
      </c>
      <c r="W1053" t="s">
        <v>4629</v>
      </c>
      <c r="X1053" t="s">
        <v>118</v>
      </c>
      <c r="Y1053" t="s">
        <v>400</v>
      </c>
      <c r="AA1053" t="s">
        <v>101</v>
      </c>
      <c r="AB1053">
        <v>27.350000999999999</v>
      </c>
      <c r="AC1053">
        <v>18.933333000000001</v>
      </c>
      <c r="AD1053">
        <v>8.4166679999999996</v>
      </c>
      <c r="AE1053">
        <v>0.13333400000000001</v>
      </c>
      <c r="AF1053">
        <v>0</v>
      </c>
      <c r="AG1053">
        <v>8.283334</v>
      </c>
      <c r="AH1053">
        <v>8.283334</v>
      </c>
      <c r="AI1053">
        <v>8.266667</v>
      </c>
      <c r="AJ1053">
        <v>1.6667000000000001E-2</v>
      </c>
      <c r="AK1053">
        <v>0</v>
      </c>
      <c r="AL1053" s="76">
        <v>44836</v>
      </c>
      <c r="AM1053" s="75">
        <v>1291</v>
      </c>
      <c r="AN1053" t="s">
        <v>65</v>
      </c>
      <c r="AO1053" t="s">
        <v>4630</v>
      </c>
      <c r="AP1053" t="s">
        <v>67</v>
      </c>
      <c r="AQ1053" t="s">
        <v>121</v>
      </c>
      <c r="AR1053" t="s">
        <v>69</v>
      </c>
      <c r="AS1053" s="79"/>
      <c r="AT1053" s="82" t="s">
        <v>4423</v>
      </c>
      <c r="AU1053" s="78">
        <v>2026</v>
      </c>
      <c r="AV1053" s="78">
        <v>4</v>
      </c>
      <c r="AW1053" s="78" t="s">
        <v>122</v>
      </c>
      <c r="AX1053" s="78">
        <v>0</v>
      </c>
      <c r="AY1053" s="78">
        <v>0</v>
      </c>
      <c r="BT1053" s="3" t="s">
        <v>122</v>
      </c>
      <c r="BU1053" s="3">
        <v>0</v>
      </c>
      <c r="BV1053" s="3">
        <v>0</v>
      </c>
    </row>
    <row r="1054" spans="1:74" ht="15" customHeight="1" x14ac:dyDescent="0.25">
      <c r="A1054" s="75">
        <v>5919195</v>
      </c>
      <c r="B1054" t="s">
        <v>4631</v>
      </c>
      <c r="C1054" t="s">
        <v>4632</v>
      </c>
      <c r="D1054" t="s">
        <v>282</v>
      </c>
      <c r="E1054" t="s">
        <v>105</v>
      </c>
      <c r="F1054" s="75">
        <v>5</v>
      </c>
      <c r="G1054" s="75">
        <v>290903</v>
      </c>
      <c r="H1054">
        <v>3220</v>
      </c>
      <c r="I1054" t="s">
        <v>55</v>
      </c>
      <c r="J1054" s="75">
        <v>219233</v>
      </c>
      <c r="K1054" t="s">
        <v>4633</v>
      </c>
      <c r="L1054" t="s">
        <v>4634</v>
      </c>
      <c r="M1054" s="81">
        <v>46126.958865740737</v>
      </c>
      <c r="N1054" s="81">
        <v>46128.470821759263</v>
      </c>
      <c r="O1054" t="s">
        <v>58</v>
      </c>
      <c r="P1054" t="s">
        <v>59</v>
      </c>
      <c r="Q1054" t="s">
        <v>90</v>
      </c>
      <c r="R1054" t="s">
        <v>60</v>
      </c>
      <c r="S1054" t="s">
        <v>583</v>
      </c>
      <c r="U1054" s="75">
        <v>231399</v>
      </c>
      <c r="V1054" t="s">
        <v>4635</v>
      </c>
      <c r="X1054" t="s">
        <v>392</v>
      </c>
      <c r="Y1054" t="s">
        <v>393</v>
      </c>
      <c r="AA1054" t="s">
        <v>101</v>
      </c>
      <c r="AB1054">
        <v>36.216665999999996</v>
      </c>
      <c r="AC1054">
        <v>25.3</v>
      </c>
      <c r="AD1054">
        <v>10.916665999999999</v>
      </c>
      <c r="AE1054">
        <v>2.0333329999999998</v>
      </c>
      <c r="AF1054">
        <v>0</v>
      </c>
      <c r="AG1054">
        <v>8.8833330000000004</v>
      </c>
      <c r="AH1054">
        <v>8.8833330000000004</v>
      </c>
      <c r="AI1054">
        <v>8.4</v>
      </c>
      <c r="AJ1054">
        <v>0.48333300000000001</v>
      </c>
      <c r="AK1054">
        <v>0</v>
      </c>
      <c r="AL1054" s="76">
        <v>45106</v>
      </c>
      <c r="AM1054" s="75">
        <v>1020</v>
      </c>
      <c r="AN1054" t="s">
        <v>65</v>
      </c>
      <c r="AO1054" t="s">
        <v>4636</v>
      </c>
      <c r="AP1054" t="s">
        <v>67</v>
      </c>
      <c r="AQ1054" t="s">
        <v>121</v>
      </c>
      <c r="AR1054" t="s">
        <v>69</v>
      </c>
      <c r="AS1054" s="78"/>
      <c r="AT1054" s="82" t="s">
        <v>4423</v>
      </c>
      <c r="AU1054" s="78">
        <v>2026</v>
      </c>
      <c r="AV1054" s="78">
        <v>4</v>
      </c>
      <c r="AW1054" s="78" t="s">
        <v>392</v>
      </c>
      <c r="AX1054" s="78">
        <v>0</v>
      </c>
      <c r="AY1054" s="78">
        <v>0</v>
      </c>
      <c r="BT1054" s="2" t="s">
        <v>392</v>
      </c>
      <c r="BU1054" s="2">
        <v>0</v>
      </c>
      <c r="BV1054" s="2">
        <v>0</v>
      </c>
    </row>
    <row r="1055" spans="1:74" ht="15" customHeight="1" x14ac:dyDescent="0.25">
      <c r="A1055" s="75">
        <v>5920425</v>
      </c>
      <c r="B1055" t="s">
        <v>4637</v>
      </c>
      <c r="C1055" t="s">
        <v>4638</v>
      </c>
      <c r="D1055" t="s">
        <v>2379</v>
      </c>
      <c r="E1055" t="s">
        <v>87</v>
      </c>
      <c r="F1055" s="75">
        <v>76</v>
      </c>
      <c r="G1055" s="75">
        <v>275403</v>
      </c>
      <c r="H1055">
        <v>525.95000000000005</v>
      </c>
      <c r="I1055" t="s">
        <v>55</v>
      </c>
      <c r="J1055" s="75">
        <v>218791</v>
      </c>
      <c r="K1055" t="s">
        <v>312</v>
      </c>
      <c r="L1055" t="s">
        <v>313</v>
      </c>
      <c r="M1055" s="81">
        <v>46127.563090277778</v>
      </c>
      <c r="N1055" s="81">
        <v>46128.47760416667</v>
      </c>
      <c r="O1055" t="s">
        <v>58</v>
      </c>
      <c r="P1055" t="s">
        <v>59</v>
      </c>
      <c r="Q1055" t="s">
        <v>90</v>
      </c>
      <c r="R1055" t="s">
        <v>99</v>
      </c>
      <c r="S1055" t="s">
        <v>1244</v>
      </c>
      <c r="U1055" s="75">
        <v>232299</v>
      </c>
      <c r="V1055" t="s">
        <v>4639</v>
      </c>
      <c r="X1055" t="s">
        <v>62</v>
      </c>
      <c r="Y1055" t="s">
        <v>63</v>
      </c>
      <c r="AA1055" t="s">
        <v>81</v>
      </c>
      <c r="AB1055">
        <v>21.9</v>
      </c>
      <c r="AC1055">
        <v>19.083333</v>
      </c>
      <c r="AD1055">
        <v>2.8166669999999998</v>
      </c>
      <c r="AE1055">
        <v>0.31666699999999998</v>
      </c>
      <c r="AF1055">
        <v>0</v>
      </c>
      <c r="AG1055">
        <v>2.5</v>
      </c>
      <c r="AH1055">
        <v>2.5</v>
      </c>
      <c r="AI1055">
        <v>1.9166669999999999</v>
      </c>
      <c r="AJ1055">
        <v>0.58333299999999999</v>
      </c>
      <c r="AK1055">
        <v>0</v>
      </c>
      <c r="AL1055" s="76">
        <v>44862.70921296296</v>
      </c>
      <c r="AM1055" s="75">
        <v>1264</v>
      </c>
      <c r="AN1055" t="s">
        <v>65</v>
      </c>
      <c r="AO1055" t="s">
        <v>4640</v>
      </c>
      <c r="AP1055" t="s">
        <v>67</v>
      </c>
      <c r="AQ1055" t="s">
        <v>68</v>
      </c>
      <c r="AR1055" t="s">
        <v>69</v>
      </c>
      <c r="AS1055" s="79"/>
      <c r="AT1055" s="82" t="s">
        <v>4423</v>
      </c>
      <c r="AU1055" s="78">
        <v>2026</v>
      </c>
      <c r="AV1055" s="78">
        <v>4</v>
      </c>
      <c r="AW1055" s="78" t="s">
        <v>71</v>
      </c>
      <c r="AX1055" s="78">
        <v>1</v>
      </c>
      <c r="AY1055" s="78">
        <v>0</v>
      </c>
      <c r="BT1055" s="3" t="s">
        <v>71</v>
      </c>
      <c r="BU1055" s="3">
        <v>1</v>
      </c>
      <c r="BV1055" s="3">
        <v>0</v>
      </c>
    </row>
    <row r="1056" spans="1:74" ht="15" customHeight="1" x14ac:dyDescent="0.25">
      <c r="A1056" s="75">
        <v>5919153</v>
      </c>
      <c r="B1056" t="s">
        <v>4641</v>
      </c>
      <c r="C1056" t="s">
        <v>4642</v>
      </c>
      <c r="D1056" t="s">
        <v>1555</v>
      </c>
      <c r="E1056" t="s">
        <v>126</v>
      </c>
      <c r="F1056" s="75">
        <v>14</v>
      </c>
      <c r="G1056" s="75">
        <v>321283</v>
      </c>
      <c r="H1056">
        <v>5453.16</v>
      </c>
      <c r="I1056" t="s">
        <v>55</v>
      </c>
      <c r="J1056" s="75">
        <v>19489</v>
      </c>
      <c r="K1056" t="s">
        <v>935</v>
      </c>
      <c r="L1056" t="s">
        <v>936</v>
      </c>
      <c r="M1056" s="81">
        <v>46126.900127314817</v>
      </c>
      <c r="N1056" s="81">
        <v>46128.477685185193</v>
      </c>
      <c r="O1056" t="s">
        <v>58</v>
      </c>
      <c r="P1056" t="s">
        <v>59</v>
      </c>
      <c r="Q1056" t="s">
        <v>130</v>
      </c>
      <c r="R1056" t="s">
        <v>60</v>
      </c>
      <c r="S1056" t="s">
        <v>583</v>
      </c>
      <c r="U1056" s="75">
        <v>231377</v>
      </c>
      <c r="V1056" t="s">
        <v>4643</v>
      </c>
      <c r="X1056" t="s">
        <v>392</v>
      </c>
      <c r="Y1056" t="s">
        <v>393</v>
      </c>
      <c r="AA1056" t="s">
        <v>416</v>
      </c>
      <c r="AB1056">
        <v>37.816667000000002</v>
      </c>
      <c r="AC1056">
        <v>24.466667000000001</v>
      </c>
      <c r="AD1056">
        <v>13.35</v>
      </c>
      <c r="AE1056">
        <v>1.266667</v>
      </c>
      <c r="AF1056">
        <v>0</v>
      </c>
      <c r="AG1056">
        <v>12.083333</v>
      </c>
      <c r="AH1056">
        <v>12.083333</v>
      </c>
      <c r="AI1056">
        <v>11.033333000000001</v>
      </c>
      <c r="AJ1056">
        <v>1.05</v>
      </c>
      <c r="AK1056">
        <v>0</v>
      </c>
      <c r="AL1056" s="76">
        <v>45687</v>
      </c>
      <c r="AM1056" s="75">
        <v>439</v>
      </c>
      <c r="AN1056" t="s">
        <v>65</v>
      </c>
      <c r="AO1056" t="s">
        <v>1945</v>
      </c>
      <c r="AP1056" t="s">
        <v>67</v>
      </c>
      <c r="AQ1056" t="s">
        <v>121</v>
      </c>
      <c r="AR1056" t="s">
        <v>69</v>
      </c>
      <c r="AS1056" s="78"/>
      <c r="AT1056" s="82" t="s">
        <v>4423</v>
      </c>
      <c r="AU1056" s="78">
        <v>2026</v>
      </c>
      <c r="AV1056" s="78">
        <v>4</v>
      </c>
      <c r="AW1056" s="78" t="s">
        <v>392</v>
      </c>
      <c r="AX1056" s="78">
        <v>0</v>
      </c>
      <c r="AY1056" s="78">
        <v>0</v>
      </c>
      <c r="BT1056" s="2" t="s">
        <v>392</v>
      </c>
      <c r="BU1056" s="2">
        <v>0</v>
      </c>
      <c r="BV1056" s="2">
        <v>0</v>
      </c>
    </row>
    <row r="1057" spans="1:74" ht="15" customHeight="1" x14ac:dyDescent="0.25">
      <c r="A1057" s="75">
        <v>5915649</v>
      </c>
      <c r="B1057" t="s">
        <v>4644</v>
      </c>
      <c r="C1057" t="s">
        <v>3583</v>
      </c>
      <c r="D1057" t="s">
        <v>282</v>
      </c>
      <c r="E1057" t="s">
        <v>87</v>
      </c>
      <c r="F1057" s="75">
        <v>215</v>
      </c>
      <c r="G1057" s="75">
        <v>286105</v>
      </c>
      <c r="H1057">
        <v>521.37</v>
      </c>
      <c r="I1057" t="s">
        <v>55</v>
      </c>
      <c r="J1057" s="75">
        <v>218787</v>
      </c>
      <c r="K1057" t="s">
        <v>96</v>
      </c>
      <c r="L1057" t="s">
        <v>97</v>
      </c>
      <c r="M1057" s="81">
        <v>46125.062916666669</v>
      </c>
      <c r="N1057" s="81">
        <v>46128.478020833332</v>
      </c>
      <c r="O1057" t="s">
        <v>58</v>
      </c>
      <c r="P1057" t="s">
        <v>59</v>
      </c>
      <c r="Q1057" t="s">
        <v>90</v>
      </c>
      <c r="R1057" t="s">
        <v>60</v>
      </c>
      <c r="S1057" t="s">
        <v>583</v>
      </c>
      <c r="U1057" s="75">
        <v>230325</v>
      </c>
      <c r="V1057" t="s">
        <v>4645</v>
      </c>
      <c r="W1057" t="s">
        <v>4646</v>
      </c>
      <c r="X1057" t="s">
        <v>62</v>
      </c>
      <c r="Y1057" t="s">
        <v>63</v>
      </c>
      <c r="AA1057" t="s">
        <v>295</v>
      </c>
      <c r="AB1057">
        <v>81.849998999999997</v>
      </c>
      <c r="AC1057">
        <v>48.933332999999998</v>
      </c>
      <c r="AD1057">
        <v>32.916665999999999</v>
      </c>
      <c r="AE1057">
        <v>0.466667</v>
      </c>
      <c r="AF1057">
        <v>0</v>
      </c>
      <c r="AG1057">
        <v>32.449998999999998</v>
      </c>
      <c r="AH1057">
        <v>32.449998999999998</v>
      </c>
      <c r="AI1057">
        <v>30.816666000000001</v>
      </c>
      <c r="AJ1057">
        <v>1.6333329999999999</v>
      </c>
      <c r="AK1057">
        <v>0</v>
      </c>
      <c r="AL1057" s="76">
        <v>44894</v>
      </c>
      <c r="AM1057" s="75">
        <v>1231</v>
      </c>
      <c r="AN1057" t="s">
        <v>65</v>
      </c>
      <c r="AO1057" t="s">
        <v>3585</v>
      </c>
      <c r="AP1057" t="s">
        <v>67</v>
      </c>
      <c r="AQ1057" t="s">
        <v>68</v>
      </c>
      <c r="AR1057" t="s">
        <v>69</v>
      </c>
      <c r="AS1057" s="79"/>
      <c r="AT1057" s="82" t="s">
        <v>4423</v>
      </c>
      <c r="AU1057" s="78">
        <v>2026</v>
      </c>
      <c r="AV1057" s="78">
        <v>4</v>
      </c>
      <c r="AW1057" s="78" t="s">
        <v>71</v>
      </c>
      <c r="AX1057" s="78">
        <v>0</v>
      </c>
      <c r="AY1057" s="78">
        <v>1</v>
      </c>
      <c r="BT1057" s="3" t="s">
        <v>71</v>
      </c>
      <c r="BU1057" s="3">
        <v>0</v>
      </c>
      <c r="BV1057" s="3">
        <v>1</v>
      </c>
    </row>
    <row r="1058" spans="1:74" ht="15" customHeight="1" x14ac:dyDescent="0.25">
      <c r="A1058" s="75">
        <v>5916323</v>
      </c>
      <c r="B1058" t="s">
        <v>4647</v>
      </c>
      <c r="C1058" t="s">
        <v>4648</v>
      </c>
      <c r="D1058" t="s">
        <v>2379</v>
      </c>
      <c r="E1058" t="s">
        <v>87</v>
      </c>
      <c r="F1058" s="75">
        <v>452</v>
      </c>
      <c r="G1058" s="75">
        <v>289335</v>
      </c>
      <c r="H1058">
        <v>398.82</v>
      </c>
      <c r="I1058" t="s">
        <v>55</v>
      </c>
      <c r="J1058" s="75">
        <v>216233</v>
      </c>
      <c r="K1058" t="s">
        <v>88</v>
      </c>
      <c r="L1058" t="s">
        <v>89</v>
      </c>
      <c r="M1058" s="81">
        <v>46125.47278935185</v>
      </c>
      <c r="N1058" s="81">
        <v>46128.479050925933</v>
      </c>
      <c r="O1058" t="s">
        <v>58</v>
      </c>
      <c r="P1058" t="s">
        <v>59</v>
      </c>
      <c r="Q1058" t="s">
        <v>90</v>
      </c>
      <c r="R1058" t="s">
        <v>60</v>
      </c>
      <c r="S1058" t="s">
        <v>583</v>
      </c>
      <c r="U1058" s="75">
        <v>231311</v>
      </c>
      <c r="V1058" t="s">
        <v>4649</v>
      </c>
      <c r="W1058" t="s">
        <v>4650</v>
      </c>
      <c r="X1058" t="s">
        <v>62</v>
      </c>
      <c r="Y1058" t="s">
        <v>63</v>
      </c>
      <c r="AA1058" t="s">
        <v>416</v>
      </c>
      <c r="AB1058">
        <v>72.033333999999996</v>
      </c>
      <c r="AC1058">
        <v>49.250000999999997</v>
      </c>
      <c r="AD1058">
        <v>22.783332999999999</v>
      </c>
      <c r="AE1058">
        <v>0.13333300000000001</v>
      </c>
      <c r="AF1058">
        <v>0</v>
      </c>
      <c r="AG1058">
        <v>22.65</v>
      </c>
      <c r="AH1058">
        <v>22.65</v>
      </c>
      <c r="AI1058">
        <v>21.433333000000001</v>
      </c>
      <c r="AJ1058">
        <v>1.2166669999999999</v>
      </c>
      <c r="AK1058">
        <v>0</v>
      </c>
      <c r="AL1058" s="76">
        <v>45000</v>
      </c>
      <c r="AM1058" s="75">
        <v>1125</v>
      </c>
      <c r="AN1058" t="s">
        <v>65</v>
      </c>
      <c r="AO1058" t="s">
        <v>4651</v>
      </c>
      <c r="AP1058" t="s">
        <v>67</v>
      </c>
      <c r="AQ1058" t="s">
        <v>68</v>
      </c>
      <c r="AR1058" t="s">
        <v>69</v>
      </c>
      <c r="AS1058" s="78"/>
      <c r="AT1058" s="82" t="s">
        <v>4423</v>
      </c>
      <c r="AU1058" s="78">
        <v>2026</v>
      </c>
      <c r="AV1058" s="78">
        <v>4</v>
      </c>
      <c r="AW1058" s="78" t="s">
        <v>71</v>
      </c>
      <c r="AX1058" s="78">
        <v>0</v>
      </c>
      <c r="AY1058" s="78">
        <v>0</v>
      </c>
      <c r="BT1058" s="2" t="s">
        <v>71</v>
      </c>
      <c r="BU1058" s="2">
        <v>0</v>
      </c>
      <c r="BV1058" s="2">
        <v>0</v>
      </c>
    </row>
    <row r="1059" spans="1:74" ht="15" customHeight="1" x14ac:dyDescent="0.25">
      <c r="A1059" s="75">
        <v>5912193</v>
      </c>
      <c r="B1059" t="s">
        <v>4652</v>
      </c>
      <c r="C1059" t="s">
        <v>4653</v>
      </c>
      <c r="D1059" t="s">
        <v>282</v>
      </c>
      <c r="E1059" t="s">
        <v>87</v>
      </c>
      <c r="F1059" s="75">
        <v>123</v>
      </c>
      <c r="G1059" s="75">
        <v>321131</v>
      </c>
      <c r="H1059">
        <v>0.01</v>
      </c>
      <c r="I1059" t="s">
        <v>55</v>
      </c>
      <c r="J1059" s="75">
        <v>201809</v>
      </c>
      <c r="K1059" t="s">
        <v>505</v>
      </c>
      <c r="L1059" t="s">
        <v>506</v>
      </c>
      <c r="M1059" s="81">
        <v>46121.646203703713</v>
      </c>
      <c r="N1059" s="81">
        <v>46128.489687499998</v>
      </c>
      <c r="O1059" t="s">
        <v>58</v>
      </c>
      <c r="P1059" t="s">
        <v>59</v>
      </c>
      <c r="Q1059" t="s">
        <v>90</v>
      </c>
      <c r="R1059" t="s">
        <v>131</v>
      </c>
      <c r="S1059" t="s">
        <v>1273</v>
      </c>
      <c r="T1059" t="s">
        <v>507</v>
      </c>
      <c r="U1059" s="75">
        <v>231931</v>
      </c>
      <c r="V1059" t="s">
        <v>4654</v>
      </c>
      <c r="W1059" t="s">
        <v>4655</v>
      </c>
      <c r="X1059" t="s">
        <v>62</v>
      </c>
      <c r="Y1059" t="s">
        <v>2598</v>
      </c>
      <c r="AA1059" t="s">
        <v>295</v>
      </c>
      <c r="AB1059">
        <v>164.183334</v>
      </c>
      <c r="AC1059">
        <v>23.9</v>
      </c>
      <c r="AD1059">
        <v>140.283334</v>
      </c>
      <c r="AE1059">
        <v>0.71666700000000005</v>
      </c>
      <c r="AF1059">
        <v>0</v>
      </c>
      <c r="AG1059">
        <v>139.566667</v>
      </c>
      <c r="AH1059">
        <v>139.566667</v>
      </c>
      <c r="AI1059">
        <v>1.8666670000000001</v>
      </c>
      <c r="AJ1059">
        <v>137.69999999999999</v>
      </c>
      <c r="AK1059">
        <v>0</v>
      </c>
      <c r="AL1059" s="76">
        <v>45512.918182870373</v>
      </c>
      <c r="AM1059" s="75">
        <v>608</v>
      </c>
      <c r="AN1059" t="s">
        <v>65</v>
      </c>
      <c r="AO1059" t="s">
        <v>4656</v>
      </c>
      <c r="AP1059" t="s">
        <v>67</v>
      </c>
      <c r="AQ1059" t="s">
        <v>68</v>
      </c>
      <c r="AR1059" t="s">
        <v>69</v>
      </c>
      <c r="AS1059" s="79"/>
      <c r="AT1059" s="82" t="s">
        <v>4423</v>
      </c>
      <c r="AU1059" s="78">
        <v>2026</v>
      </c>
      <c r="AV1059" s="78">
        <v>4</v>
      </c>
      <c r="AW1059" s="78" t="s">
        <v>137</v>
      </c>
      <c r="AX1059" s="78">
        <v>0</v>
      </c>
      <c r="AY1059" s="78">
        <v>1</v>
      </c>
      <c r="BT1059" s="3" t="s">
        <v>137</v>
      </c>
      <c r="BU1059" s="3">
        <v>0</v>
      </c>
      <c r="BV1059" s="3">
        <v>1</v>
      </c>
    </row>
    <row r="1060" spans="1:74" ht="15" customHeight="1" x14ac:dyDescent="0.25">
      <c r="A1060" s="75">
        <v>5918585</v>
      </c>
      <c r="B1060" t="s">
        <v>4657</v>
      </c>
      <c r="C1060" t="s">
        <v>4658</v>
      </c>
      <c r="D1060" t="s">
        <v>282</v>
      </c>
      <c r="E1060" t="s">
        <v>54</v>
      </c>
      <c r="F1060" s="75">
        <v>41</v>
      </c>
      <c r="G1060" s="75">
        <v>300243</v>
      </c>
      <c r="H1060">
        <v>640</v>
      </c>
      <c r="I1060" t="s">
        <v>55</v>
      </c>
      <c r="J1060" s="75">
        <v>202197</v>
      </c>
      <c r="K1060" t="s">
        <v>305</v>
      </c>
      <c r="L1060" t="s">
        <v>306</v>
      </c>
      <c r="M1060" s="81">
        <v>46126.639490740738</v>
      </c>
      <c r="N1060" s="81">
        <v>46128.489918981482</v>
      </c>
      <c r="O1060" t="s">
        <v>58</v>
      </c>
      <c r="P1060" t="s">
        <v>59</v>
      </c>
      <c r="Q1060" t="s">
        <v>90</v>
      </c>
      <c r="R1060" t="s">
        <v>60</v>
      </c>
      <c r="S1060" t="s">
        <v>583</v>
      </c>
      <c r="U1060" s="75">
        <v>232581</v>
      </c>
      <c r="V1060" t="s">
        <v>4659</v>
      </c>
      <c r="W1060" t="s">
        <v>4659</v>
      </c>
      <c r="X1060" t="s">
        <v>62</v>
      </c>
      <c r="Y1060" t="s">
        <v>63</v>
      </c>
      <c r="AA1060" t="s">
        <v>416</v>
      </c>
      <c r="AB1060">
        <v>44.283332999999999</v>
      </c>
      <c r="AC1060">
        <v>31.599999</v>
      </c>
      <c r="AD1060">
        <v>12.683334</v>
      </c>
      <c r="AE1060">
        <v>0.65</v>
      </c>
      <c r="AF1060">
        <v>0</v>
      </c>
      <c r="AG1060">
        <v>12.033334</v>
      </c>
      <c r="AH1060">
        <v>12.033334</v>
      </c>
      <c r="AI1060">
        <v>11.216666999999999</v>
      </c>
      <c r="AJ1060">
        <v>0.81666700000000003</v>
      </c>
      <c r="AK1060">
        <v>0</v>
      </c>
      <c r="AL1060" s="76">
        <v>45427</v>
      </c>
      <c r="AM1060" s="75">
        <v>699</v>
      </c>
      <c r="AN1060" t="s">
        <v>65</v>
      </c>
      <c r="AO1060" t="s">
        <v>4221</v>
      </c>
      <c r="AP1060" t="s">
        <v>67</v>
      </c>
      <c r="AQ1060" t="s">
        <v>68</v>
      </c>
      <c r="AR1060" t="s">
        <v>69</v>
      </c>
      <c r="AS1060" s="78"/>
      <c r="AT1060" s="82" t="s">
        <v>4423</v>
      </c>
      <c r="AU1060" s="78">
        <v>2026</v>
      </c>
      <c r="AV1060" s="78">
        <v>4</v>
      </c>
      <c r="AW1060" s="78" t="s">
        <v>71</v>
      </c>
      <c r="AX1060" s="78">
        <v>0</v>
      </c>
      <c r="AY1060" s="78">
        <v>0</v>
      </c>
      <c r="BT1060" s="2" t="s">
        <v>71</v>
      </c>
      <c r="BU1060" s="2">
        <v>0</v>
      </c>
      <c r="BV1060" s="2">
        <v>0</v>
      </c>
    </row>
    <row r="1061" spans="1:74" ht="15" customHeight="1" x14ac:dyDescent="0.25">
      <c r="A1061" s="75">
        <v>5914927</v>
      </c>
      <c r="B1061" t="s">
        <v>4660</v>
      </c>
      <c r="C1061" t="s">
        <v>4661</v>
      </c>
      <c r="D1061" t="s">
        <v>282</v>
      </c>
      <c r="E1061" t="s">
        <v>54</v>
      </c>
      <c r="F1061" s="75">
        <v>1</v>
      </c>
      <c r="G1061" s="75">
        <v>328997</v>
      </c>
      <c r="H1061">
        <v>450</v>
      </c>
      <c r="I1061" t="s">
        <v>141</v>
      </c>
      <c r="J1061" s="75">
        <v>224349</v>
      </c>
      <c r="K1061" t="s">
        <v>4662</v>
      </c>
      <c r="L1061" t="s">
        <v>4663</v>
      </c>
      <c r="M1061" s="81">
        <v>46123.642407407409</v>
      </c>
      <c r="N1061" s="81">
        <v>46128.492939814823</v>
      </c>
      <c r="O1061" t="s">
        <v>58</v>
      </c>
      <c r="P1061" t="s">
        <v>59</v>
      </c>
      <c r="R1061" t="s">
        <v>60</v>
      </c>
      <c r="S1061" t="s">
        <v>583</v>
      </c>
      <c r="U1061" s="75">
        <v>230321</v>
      </c>
      <c r="V1061" t="s">
        <v>4664</v>
      </c>
      <c r="W1061" t="s">
        <v>4665</v>
      </c>
      <c r="X1061" t="s">
        <v>62</v>
      </c>
      <c r="Y1061" t="s">
        <v>2629</v>
      </c>
      <c r="AA1061" t="s">
        <v>295</v>
      </c>
      <c r="AB1061">
        <v>116.316665</v>
      </c>
      <c r="AC1061">
        <v>71.699999000000005</v>
      </c>
      <c r="AD1061">
        <v>44.616666000000002</v>
      </c>
      <c r="AE1061">
        <v>0.38333299999999998</v>
      </c>
      <c r="AF1061">
        <v>0</v>
      </c>
      <c r="AG1061">
        <v>44.233333000000002</v>
      </c>
      <c r="AH1061">
        <v>44.233333000000002</v>
      </c>
      <c r="AI1061">
        <v>41.8</v>
      </c>
      <c r="AJ1061">
        <v>2.4333330000000002</v>
      </c>
      <c r="AK1061">
        <v>0</v>
      </c>
      <c r="AL1061" s="76">
        <v>45625.612129629633</v>
      </c>
      <c r="AM1061" s="75">
        <v>498</v>
      </c>
      <c r="AN1061" t="s">
        <v>65</v>
      </c>
      <c r="AO1061" t="s">
        <v>4666</v>
      </c>
      <c r="AP1061" t="s">
        <v>67</v>
      </c>
      <c r="AQ1061" t="s">
        <v>68</v>
      </c>
      <c r="AR1061" t="s">
        <v>69</v>
      </c>
      <c r="AS1061" s="79"/>
      <c r="AT1061" s="82" t="s">
        <v>4423</v>
      </c>
      <c r="AU1061" s="78">
        <v>2026</v>
      </c>
      <c r="AV1061" s="78">
        <v>4</v>
      </c>
      <c r="AW1061" s="78" t="s">
        <v>71</v>
      </c>
      <c r="AX1061" s="78">
        <v>0</v>
      </c>
      <c r="AY1061" s="78">
        <v>1</v>
      </c>
      <c r="BT1061" s="3" t="s">
        <v>71</v>
      </c>
      <c r="BU1061" s="3">
        <v>0</v>
      </c>
      <c r="BV1061" s="3">
        <v>1</v>
      </c>
    </row>
    <row r="1062" spans="1:74" ht="15" customHeight="1" x14ac:dyDescent="0.25">
      <c r="A1062" s="75">
        <v>5919313</v>
      </c>
      <c r="B1062" t="s">
        <v>4667</v>
      </c>
      <c r="C1062" t="s">
        <v>4668</v>
      </c>
      <c r="D1062" t="s">
        <v>2379</v>
      </c>
      <c r="E1062" t="s">
        <v>87</v>
      </c>
      <c r="F1062" s="75">
        <v>401</v>
      </c>
      <c r="G1062" s="75">
        <v>288379</v>
      </c>
      <c r="H1062">
        <v>382.47</v>
      </c>
      <c r="I1062" t="s">
        <v>55</v>
      </c>
      <c r="J1062" s="75">
        <v>216233</v>
      </c>
      <c r="K1062" t="s">
        <v>88</v>
      </c>
      <c r="L1062" t="s">
        <v>89</v>
      </c>
      <c r="M1062" s="81">
        <v>46127.160138888888</v>
      </c>
      <c r="N1062" s="81">
        <v>46128.502835648149</v>
      </c>
      <c r="O1062" t="s">
        <v>58</v>
      </c>
      <c r="P1062" t="s">
        <v>59</v>
      </c>
      <c r="Q1062" t="s">
        <v>90</v>
      </c>
      <c r="R1062" t="s">
        <v>60</v>
      </c>
      <c r="S1062" t="s">
        <v>583</v>
      </c>
      <c r="U1062" s="75">
        <v>231413</v>
      </c>
      <c r="V1062" t="s">
        <v>4669</v>
      </c>
      <c r="W1062" t="s">
        <v>4669</v>
      </c>
      <c r="X1062" t="s">
        <v>62</v>
      </c>
      <c r="Y1062" t="s">
        <v>63</v>
      </c>
      <c r="AA1062" t="s">
        <v>416</v>
      </c>
      <c r="AB1062">
        <v>32.116664999999998</v>
      </c>
      <c r="AC1062">
        <v>17.5</v>
      </c>
      <c r="AD1062">
        <v>14.616664999999999</v>
      </c>
      <c r="AE1062">
        <v>0.46666600000000003</v>
      </c>
      <c r="AF1062">
        <v>0</v>
      </c>
      <c r="AG1062">
        <v>14.149998999999999</v>
      </c>
      <c r="AH1062">
        <v>14.149998999999999</v>
      </c>
      <c r="AI1062">
        <v>12.633333</v>
      </c>
      <c r="AJ1062">
        <v>1.5166660000000001</v>
      </c>
      <c r="AK1062">
        <v>0</v>
      </c>
      <c r="AL1062" s="76">
        <v>44950</v>
      </c>
      <c r="AM1062" s="75">
        <v>1177</v>
      </c>
      <c r="AN1062" t="s">
        <v>65</v>
      </c>
      <c r="AO1062" t="s">
        <v>4670</v>
      </c>
      <c r="AP1062" t="s">
        <v>67</v>
      </c>
      <c r="AQ1062" t="s">
        <v>68</v>
      </c>
      <c r="AR1062" t="s">
        <v>69</v>
      </c>
      <c r="AS1062" s="78"/>
      <c r="AT1062" s="82" t="s">
        <v>4423</v>
      </c>
      <c r="AU1062" s="78">
        <v>2026</v>
      </c>
      <c r="AV1062" s="78">
        <v>4</v>
      </c>
      <c r="AW1062" s="78" t="s">
        <v>71</v>
      </c>
      <c r="AX1062" s="78">
        <v>0</v>
      </c>
      <c r="AY1062" s="78">
        <v>0</v>
      </c>
      <c r="BT1062" s="2" t="s">
        <v>71</v>
      </c>
      <c r="BU1062" s="2">
        <v>0</v>
      </c>
      <c r="BV1062" s="2">
        <v>0</v>
      </c>
    </row>
    <row r="1063" spans="1:74" ht="15" customHeight="1" x14ac:dyDescent="0.25">
      <c r="A1063" s="75">
        <v>5921135</v>
      </c>
      <c r="B1063" t="s">
        <v>4671</v>
      </c>
      <c r="C1063" t="s">
        <v>4672</v>
      </c>
      <c r="D1063" t="s">
        <v>282</v>
      </c>
      <c r="E1063" t="s">
        <v>54</v>
      </c>
      <c r="F1063" s="75">
        <v>1</v>
      </c>
      <c r="G1063" s="75">
        <v>322413</v>
      </c>
      <c r="H1063">
        <v>700</v>
      </c>
      <c r="I1063" t="s">
        <v>114</v>
      </c>
      <c r="J1063" s="75">
        <v>225511</v>
      </c>
      <c r="K1063" t="s">
        <v>3222</v>
      </c>
      <c r="L1063" t="s">
        <v>3223</v>
      </c>
      <c r="M1063" s="81">
        <v>46128.009097222217</v>
      </c>
      <c r="N1063" s="81">
        <v>46128.525543981479</v>
      </c>
      <c r="O1063" t="s">
        <v>58</v>
      </c>
      <c r="P1063" t="s">
        <v>59</v>
      </c>
      <c r="Q1063" t="s">
        <v>130</v>
      </c>
      <c r="R1063" t="s">
        <v>99</v>
      </c>
      <c r="S1063" t="s">
        <v>1244</v>
      </c>
      <c r="U1063" s="75">
        <v>232521</v>
      </c>
      <c r="V1063" t="s">
        <v>4673</v>
      </c>
      <c r="X1063" t="s">
        <v>62</v>
      </c>
      <c r="Y1063" t="s">
        <v>63</v>
      </c>
      <c r="AA1063" t="s">
        <v>101</v>
      </c>
      <c r="AB1063">
        <v>12.349999</v>
      </c>
      <c r="AC1063">
        <v>2.733333</v>
      </c>
      <c r="AD1063">
        <v>9.6166660000000004</v>
      </c>
      <c r="AE1063">
        <v>6.6666000000000003E-2</v>
      </c>
      <c r="AF1063">
        <v>0</v>
      </c>
      <c r="AG1063">
        <v>9.5500000000000007</v>
      </c>
      <c r="AH1063">
        <v>9.5500000000000007</v>
      </c>
      <c r="AI1063">
        <v>9.233333</v>
      </c>
      <c r="AJ1063">
        <v>0.31666699999999998</v>
      </c>
      <c r="AK1063">
        <v>0</v>
      </c>
      <c r="AL1063" s="76">
        <v>45497.894270833327</v>
      </c>
      <c r="AM1063" s="75">
        <v>630</v>
      </c>
      <c r="AN1063" t="s">
        <v>65</v>
      </c>
      <c r="AO1063" t="s">
        <v>3225</v>
      </c>
      <c r="AP1063" t="s">
        <v>67</v>
      </c>
      <c r="AQ1063" t="s">
        <v>68</v>
      </c>
      <c r="AR1063" t="s">
        <v>69</v>
      </c>
      <c r="AS1063" s="79"/>
      <c r="AT1063" s="82" t="s">
        <v>4423</v>
      </c>
      <c r="AU1063" s="78">
        <v>2026</v>
      </c>
      <c r="AV1063" s="78">
        <v>4</v>
      </c>
      <c r="AW1063" s="78" t="s">
        <v>71</v>
      </c>
      <c r="AX1063" s="78">
        <v>0</v>
      </c>
      <c r="AY1063" s="78">
        <v>0</v>
      </c>
      <c r="BT1063" s="3" t="s">
        <v>71</v>
      </c>
      <c r="BU1063" s="3">
        <v>0</v>
      </c>
      <c r="BV1063" s="3">
        <v>0</v>
      </c>
    </row>
    <row r="1064" spans="1:74" ht="15" customHeight="1" x14ac:dyDescent="0.25">
      <c r="A1064" s="75">
        <v>5920185</v>
      </c>
      <c r="B1064" t="s">
        <v>4674</v>
      </c>
      <c r="C1064" t="s">
        <v>519</v>
      </c>
      <c r="D1064" t="s">
        <v>527</v>
      </c>
      <c r="E1064" t="s">
        <v>87</v>
      </c>
      <c r="F1064" s="75">
        <v>14</v>
      </c>
      <c r="G1064" s="75">
        <v>251415</v>
      </c>
      <c r="H1064">
        <v>510</v>
      </c>
      <c r="I1064" t="s">
        <v>114</v>
      </c>
      <c r="J1064" s="75">
        <v>203645</v>
      </c>
      <c r="K1064" t="s">
        <v>520</v>
      </c>
      <c r="L1064" t="s">
        <v>521</v>
      </c>
      <c r="M1064" s="81">
        <v>46127.488865740743</v>
      </c>
      <c r="N1064" s="81">
        <v>46128.556238425917</v>
      </c>
      <c r="P1064" t="s">
        <v>59</v>
      </c>
      <c r="Q1064" t="s">
        <v>77</v>
      </c>
      <c r="R1064" t="s">
        <v>131</v>
      </c>
      <c r="S1064" t="s">
        <v>1316</v>
      </c>
      <c r="U1064" s="75">
        <v>232193</v>
      </c>
      <c r="V1064" t="s">
        <v>4675</v>
      </c>
      <c r="W1064" t="s">
        <v>4675</v>
      </c>
      <c r="X1064" t="s">
        <v>118</v>
      </c>
      <c r="Y1064" t="s">
        <v>119</v>
      </c>
      <c r="AA1064" t="s">
        <v>81</v>
      </c>
      <c r="AB1064">
        <v>25.566666999999999</v>
      </c>
      <c r="AC1064">
        <v>21.45</v>
      </c>
      <c r="AD1064">
        <v>4.1166669999999996</v>
      </c>
      <c r="AE1064">
        <v>0.3</v>
      </c>
      <c r="AF1064">
        <v>0</v>
      </c>
      <c r="AG1064">
        <v>3.8166669999999998</v>
      </c>
      <c r="AH1064">
        <v>3.8166669999999998</v>
      </c>
      <c r="AI1064">
        <v>3.75</v>
      </c>
      <c r="AJ1064">
        <v>6.6667000000000004E-2</v>
      </c>
      <c r="AK1064">
        <v>0</v>
      </c>
      <c r="AL1064" s="76">
        <v>44889.544849537036</v>
      </c>
      <c r="AM1064" s="75">
        <v>1237</v>
      </c>
      <c r="AN1064" t="s">
        <v>65</v>
      </c>
      <c r="AO1064" t="s">
        <v>4572</v>
      </c>
      <c r="AP1064" t="s">
        <v>67</v>
      </c>
      <c r="AQ1064" t="s">
        <v>121</v>
      </c>
      <c r="AR1064" t="s">
        <v>69</v>
      </c>
      <c r="AS1064" s="78"/>
      <c r="AT1064" s="82" t="s">
        <v>4423</v>
      </c>
      <c r="AU1064" s="78">
        <v>2026</v>
      </c>
      <c r="AV1064" s="78">
        <v>4</v>
      </c>
      <c r="AW1064" s="78" t="s">
        <v>122</v>
      </c>
      <c r="AX1064" s="78">
        <v>1</v>
      </c>
      <c r="AY1064" s="78">
        <v>0</v>
      </c>
      <c r="BT1064" s="2" t="s">
        <v>122</v>
      </c>
      <c r="BU1064" s="2">
        <v>1</v>
      </c>
      <c r="BV1064" s="2">
        <v>0</v>
      </c>
    </row>
    <row r="1065" spans="1:74" ht="15" customHeight="1" x14ac:dyDescent="0.25">
      <c r="A1065" s="75">
        <v>5920633</v>
      </c>
      <c r="B1065" t="s">
        <v>4676</v>
      </c>
      <c r="C1065" t="s">
        <v>4677</v>
      </c>
      <c r="D1065" t="s">
        <v>150</v>
      </c>
      <c r="E1065" t="s">
        <v>87</v>
      </c>
      <c r="F1065" s="75">
        <v>40</v>
      </c>
      <c r="G1065" s="75">
        <v>275267</v>
      </c>
      <c r="H1065">
        <v>368.16</v>
      </c>
      <c r="I1065" t="s">
        <v>55</v>
      </c>
      <c r="J1065" s="75">
        <v>218791</v>
      </c>
      <c r="K1065" t="s">
        <v>312</v>
      </c>
      <c r="L1065" t="s">
        <v>313</v>
      </c>
      <c r="M1065" s="81">
        <v>46127.634618055563</v>
      </c>
      <c r="N1065" s="81">
        <v>46128.57271990741</v>
      </c>
      <c r="O1065" t="s">
        <v>58</v>
      </c>
      <c r="P1065" t="s">
        <v>59</v>
      </c>
      <c r="Q1065" t="s">
        <v>2562</v>
      </c>
      <c r="R1065" t="s">
        <v>131</v>
      </c>
      <c r="S1065" t="s">
        <v>1316</v>
      </c>
      <c r="U1065" s="75">
        <v>232621</v>
      </c>
      <c r="V1065" t="s">
        <v>4678</v>
      </c>
      <c r="W1065" t="s">
        <v>4679</v>
      </c>
      <c r="X1065" t="s">
        <v>62</v>
      </c>
      <c r="Y1065" t="s">
        <v>63</v>
      </c>
      <c r="AA1065" t="s">
        <v>64</v>
      </c>
      <c r="AB1065">
        <v>22.433333999999999</v>
      </c>
      <c r="AC1065">
        <v>15.05</v>
      </c>
      <c r="AD1065">
        <v>7.3833339999999996</v>
      </c>
      <c r="AE1065">
        <v>0.45</v>
      </c>
      <c r="AF1065">
        <v>0</v>
      </c>
      <c r="AG1065">
        <v>6.9333340000000003</v>
      </c>
      <c r="AH1065">
        <v>6.9333340000000003</v>
      </c>
      <c r="AI1065">
        <v>6.8</v>
      </c>
      <c r="AJ1065">
        <v>0.13333400000000001</v>
      </c>
      <c r="AK1065">
        <v>0</v>
      </c>
      <c r="AL1065" s="76">
        <v>44851.730983796297</v>
      </c>
      <c r="AM1065" s="75">
        <v>1275</v>
      </c>
      <c r="AN1065" t="s">
        <v>65</v>
      </c>
      <c r="AO1065" t="s">
        <v>4680</v>
      </c>
      <c r="AP1065" t="s">
        <v>67</v>
      </c>
      <c r="AQ1065" t="s">
        <v>68</v>
      </c>
      <c r="AR1065" t="s">
        <v>69</v>
      </c>
      <c r="AS1065" s="79"/>
      <c r="AT1065" s="82" t="s">
        <v>4423</v>
      </c>
      <c r="AU1065" s="78">
        <v>2026</v>
      </c>
      <c r="AV1065" s="78">
        <v>4</v>
      </c>
      <c r="AW1065" s="78" t="s">
        <v>71</v>
      </c>
      <c r="AX1065" s="78">
        <v>1</v>
      </c>
      <c r="AY1065" s="78">
        <v>0</v>
      </c>
      <c r="BT1065" s="3" t="s">
        <v>71</v>
      </c>
      <c r="BU1065" s="3">
        <v>1</v>
      </c>
      <c r="BV1065" s="3">
        <v>0</v>
      </c>
    </row>
    <row r="1066" spans="1:74" ht="15" customHeight="1" x14ac:dyDescent="0.25">
      <c r="A1066" s="75">
        <v>5917169</v>
      </c>
      <c r="B1066" t="s">
        <v>4681</v>
      </c>
      <c r="C1066" t="s">
        <v>4682</v>
      </c>
      <c r="D1066" t="s">
        <v>527</v>
      </c>
      <c r="E1066" t="s">
        <v>87</v>
      </c>
      <c r="F1066" s="75">
        <v>435</v>
      </c>
      <c r="G1066" s="75">
        <v>289297</v>
      </c>
      <c r="H1066">
        <v>398.82</v>
      </c>
      <c r="I1066" t="s">
        <v>55</v>
      </c>
      <c r="J1066" s="75">
        <v>216233</v>
      </c>
      <c r="K1066" t="s">
        <v>88</v>
      </c>
      <c r="L1066" t="s">
        <v>89</v>
      </c>
      <c r="M1066" s="81">
        <v>46126.180960648147</v>
      </c>
      <c r="N1066" s="81">
        <v>46128.574282407397</v>
      </c>
      <c r="O1066" t="s">
        <v>58</v>
      </c>
      <c r="P1066" t="s">
        <v>59</v>
      </c>
      <c r="Q1066" t="s">
        <v>90</v>
      </c>
      <c r="R1066" t="s">
        <v>60</v>
      </c>
      <c r="S1066" t="s">
        <v>583</v>
      </c>
      <c r="U1066" s="75">
        <v>232569</v>
      </c>
      <c r="V1066" t="s">
        <v>4683</v>
      </c>
      <c r="W1066" t="s">
        <v>4684</v>
      </c>
      <c r="X1066" t="s">
        <v>62</v>
      </c>
      <c r="Y1066" t="s">
        <v>63</v>
      </c>
      <c r="AA1066" t="s">
        <v>416</v>
      </c>
      <c r="AB1066">
        <v>57.333334000000001</v>
      </c>
      <c r="AC1066">
        <v>34.516666000000001</v>
      </c>
      <c r="AD1066">
        <v>22.816668</v>
      </c>
      <c r="AE1066">
        <v>0.5</v>
      </c>
      <c r="AF1066">
        <v>0</v>
      </c>
      <c r="AG1066">
        <v>22.316668</v>
      </c>
      <c r="AH1066">
        <v>22.316668</v>
      </c>
      <c r="AI1066">
        <v>21.066666999999999</v>
      </c>
      <c r="AJ1066">
        <v>1.2500009999999999</v>
      </c>
      <c r="AK1066">
        <v>0</v>
      </c>
      <c r="AL1066" s="76">
        <v>45005</v>
      </c>
      <c r="AM1066" s="75">
        <v>1121</v>
      </c>
      <c r="AN1066" t="s">
        <v>65</v>
      </c>
      <c r="AO1066" t="s">
        <v>4685</v>
      </c>
      <c r="AP1066" t="s">
        <v>67</v>
      </c>
      <c r="AQ1066" t="s">
        <v>68</v>
      </c>
      <c r="AR1066" t="s">
        <v>69</v>
      </c>
      <c r="AS1066" s="78"/>
      <c r="AT1066" s="82" t="s">
        <v>4423</v>
      </c>
      <c r="AU1066" s="78">
        <v>2026</v>
      </c>
      <c r="AV1066" s="78">
        <v>4</v>
      </c>
      <c r="AW1066" s="78" t="s">
        <v>71</v>
      </c>
      <c r="AX1066" s="78">
        <v>0</v>
      </c>
      <c r="AY1066" s="78">
        <v>0</v>
      </c>
      <c r="BT1066" s="2" t="s">
        <v>71</v>
      </c>
      <c r="BU1066" s="2">
        <v>0</v>
      </c>
      <c r="BV1066" s="2">
        <v>0</v>
      </c>
    </row>
    <row r="1067" spans="1:74" ht="15" customHeight="1" x14ac:dyDescent="0.25">
      <c r="A1067" s="75">
        <v>5915893</v>
      </c>
      <c r="B1067" t="s">
        <v>4686</v>
      </c>
      <c r="C1067" t="s">
        <v>4687</v>
      </c>
      <c r="D1067" t="s">
        <v>527</v>
      </c>
      <c r="E1067" t="s">
        <v>54</v>
      </c>
      <c r="F1067" s="75">
        <v>1</v>
      </c>
      <c r="G1067" s="75">
        <v>48389</v>
      </c>
      <c r="H1067">
        <v>650</v>
      </c>
      <c r="I1067" t="s">
        <v>114</v>
      </c>
      <c r="J1067" s="75">
        <v>49049</v>
      </c>
      <c r="K1067" t="s">
        <v>4688</v>
      </c>
      <c r="L1067" t="s">
        <v>4689</v>
      </c>
      <c r="M1067" s="81">
        <v>46125.354583333326</v>
      </c>
      <c r="N1067" s="81">
        <v>46128.578761574077</v>
      </c>
      <c r="O1067" t="s">
        <v>58</v>
      </c>
      <c r="P1067" t="s">
        <v>59</v>
      </c>
      <c r="Q1067" t="s">
        <v>90</v>
      </c>
      <c r="R1067" t="s">
        <v>156</v>
      </c>
      <c r="S1067" t="s">
        <v>1320</v>
      </c>
      <c r="U1067" s="75">
        <v>232507</v>
      </c>
      <c r="V1067" t="s">
        <v>4690</v>
      </c>
      <c r="W1067" t="s">
        <v>4691</v>
      </c>
      <c r="X1067" t="s">
        <v>79</v>
      </c>
      <c r="Y1067" t="s">
        <v>224</v>
      </c>
      <c r="AA1067" t="s">
        <v>295</v>
      </c>
      <c r="AB1067">
        <v>77.149998999999994</v>
      </c>
      <c r="AC1067">
        <v>43.416665999999999</v>
      </c>
      <c r="AD1067">
        <v>33.733333000000002</v>
      </c>
      <c r="AE1067">
        <v>4.5333329999999998</v>
      </c>
      <c r="AF1067">
        <v>0</v>
      </c>
      <c r="AG1067">
        <v>29.2</v>
      </c>
      <c r="AH1067">
        <v>29.2</v>
      </c>
      <c r="AI1067">
        <v>19.5</v>
      </c>
      <c r="AJ1067">
        <v>9.6999999999999993</v>
      </c>
      <c r="AK1067">
        <v>0.38333299999999998</v>
      </c>
      <c r="AL1067" s="76">
        <v>43042</v>
      </c>
      <c r="AM1067" s="75">
        <v>3083</v>
      </c>
      <c r="AN1067" t="s">
        <v>65</v>
      </c>
      <c r="AO1067" t="s">
        <v>4692</v>
      </c>
      <c r="AP1067" t="s">
        <v>67</v>
      </c>
      <c r="AQ1067" t="s">
        <v>83</v>
      </c>
      <c r="AR1067" t="s">
        <v>69</v>
      </c>
      <c r="AS1067" s="79"/>
      <c r="AT1067" s="82" t="s">
        <v>4423</v>
      </c>
      <c r="AU1067" s="78">
        <v>2026</v>
      </c>
      <c r="AV1067" s="78">
        <v>4</v>
      </c>
      <c r="AW1067" s="78" t="s">
        <v>226</v>
      </c>
      <c r="AX1067" s="78">
        <v>0</v>
      </c>
      <c r="AY1067" s="78">
        <v>1</v>
      </c>
      <c r="BT1067" s="3" t="s">
        <v>226</v>
      </c>
      <c r="BU1067" s="3">
        <v>0</v>
      </c>
      <c r="BV1067" s="3">
        <v>1</v>
      </c>
    </row>
    <row r="1068" spans="1:74" ht="15" customHeight="1" x14ac:dyDescent="0.25">
      <c r="A1068" s="75">
        <v>5919109</v>
      </c>
      <c r="B1068" t="s">
        <v>4693</v>
      </c>
      <c r="C1068" t="s">
        <v>4694</v>
      </c>
      <c r="D1068" t="s">
        <v>527</v>
      </c>
      <c r="E1068" t="s">
        <v>105</v>
      </c>
      <c r="F1068" s="75">
        <v>1124</v>
      </c>
      <c r="G1068" s="75">
        <v>333495</v>
      </c>
      <c r="H1068">
        <v>456.52</v>
      </c>
      <c r="I1068" t="s">
        <v>175</v>
      </c>
      <c r="J1068" s="75">
        <v>83605</v>
      </c>
      <c r="K1068" t="s">
        <v>844</v>
      </c>
      <c r="L1068" t="s">
        <v>845</v>
      </c>
      <c r="M1068" s="81">
        <v>46126.847824074073</v>
      </c>
      <c r="N1068" s="81">
        <v>46128.638495370367</v>
      </c>
      <c r="O1068" t="s">
        <v>58</v>
      </c>
      <c r="P1068" t="s">
        <v>59</v>
      </c>
      <c r="Q1068" t="s">
        <v>90</v>
      </c>
      <c r="R1068" t="s">
        <v>99</v>
      </c>
      <c r="S1068" t="s">
        <v>1244</v>
      </c>
      <c r="U1068" s="75">
        <v>231363</v>
      </c>
      <c r="V1068" t="s">
        <v>4695</v>
      </c>
      <c r="W1068" t="s">
        <v>4696</v>
      </c>
      <c r="X1068" t="s">
        <v>62</v>
      </c>
      <c r="Y1068" t="s">
        <v>63</v>
      </c>
      <c r="AA1068" t="s">
        <v>64</v>
      </c>
      <c r="AB1068">
        <v>42.883333999999998</v>
      </c>
      <c r="AC1068">
        <v>34.866667</v>
      </c>
      <c r="AD1068">
        <v>8.016667</v>
      </c>
      <c r="AE1068">
        <v>0.26666699999999999</v>
      </c>
      <c r="AF1068">
        <v>0</v>
      </c>
      <c r="AG1068">
        <v>7.75</v>
      </c>
      <c r="AH1068">
        <v>7.75</v>
      </c>
      <c r="AI1068">
        <v>6.9</v>
      </c>
      <c r="AJ1068">
        <v>0.85</v>
      </c>
      <c r="AK1068">
        <v>0</v>
      </c>
      <c r="AL1068" s="76">
        <v>45808.717766203707</v>
      </c>
      <c r="AM1068" s="75">
        <v>318</v>
      </c>
      <c r="AN1068" t="s">
        <v>65</v>
      </c>
      <c r="AO1068" t="s">
        <v>2935</v>
      </c>
      <c r="AP1068" t="s">
        <v>67</v>
      </c>
      <c r="AQ1068" t="s">
        <v>68</v>
      </c>
      <c r="AR1068" t="s">
        <v>69</v>
      </c>
      <c r="AS1068" s="78"/>
      <c r="AT1068" s="82" t="s">
        <v>4423</v>
      </c>
      <c r="AU1068" s="78">
        <v>2026</v>
      </c>
      <c r="AV1068" s="78">
        <v>4</v>
      </c>
      <c r="AW1068" s="78" t="s">
        <v>71</v>
      </c>
      <c r="AX1068" s="78">
        <v>1</v>
      </c>
      <c r="AY1068" s="78">
        <v>0</v>
      </c>
      <c r="BT1068" s="2" t="s">
        <v>71</v>
      </c>
      <c r="BU1068" s="2">
        <v>1</v>
      </c>
      <c r="BV1068" s="2">
        <v>0</v>
      </c>
    </row>
    <row r="1069" spans="1:74" ht="15" customHeight="1" x14ac:dyDescent="0.25">
      <c r="A1069" s="75">
        <v>5917859</v>
      </c>
      <c r="B1069" t="s">
        <v>4697</v>
      </c>
      <c r="C1069" t="s">
        <v>4500</v>
      </c>
      <c r="D1069" t="s">
        <v>2379</v>
      </c>
      <c r="E1069" t="s">
        <v>87</v>
      </c>
      <c r="F1069" s="75">
        <v>248</v>
      </c>
      <c r="G1069" s="75">
        <v>286337</v>
      </c>
      <c r="H1069">
        <v>364.96</v>
      </c>
      <c r="I1069" t="s">
        <v>55</v>
      </c>
      <c r="J1069" s="75">
        <v>218787</v>
      </c>
      <c r="K1069" t="s">
        <v>96</v>
      </c>
      <c r="L1069" t="s">
        <v>97</v>
      </c>
      <c r="M1069" s="81">
        <v>46126.445</v>
      </c>
      <c r="N1069" s="81">
        <v>46128.736689814818</v>
      </c>
      <c r="O1069" t="s">
        <v>58</v>
      </c>
      <c r="P1069" t="s">
        <v>59</v>
      </c>
      <c r="Q1069" t="s">
        <v>90</v>
      </c>
      <c r="R1069" t="s">
        <v>60</v>
      </c>
      <c r="S1069" t="s">
        <v>583</v>
      </c>
      <c r="U1069" s="75">
        <v>232571</v>
      </c>
      <c r="V1069" t="s">
        <v>4698</v>
      </c>
      <c r="W1069" t="s">
        <v>4699</v>
      </c>
      <c r="X1069" t="s">
        <v>62</v>
      </c>
      <c r="Y1069" t="s">
        <v>63</v>
      </c>
      <c r="AA1069" t="s">
        <v>416</v>
      </c>
      <c r="AB1069">
        <v>54.916665999999999</v>
      </c>
      <c r="AC1069">
        <v>32.700000000000003</v>
      </c>
      <c r="AD1069">
        <v>22.216666</v>
      </c>
      <c r="AE1069">
        <v>0.73333400000000004</v>
      </c>
      <c r="AF1069">
        <v>0</v>
      </c>
      <c r="AG1069">
        <v>21.483332000000001</v>
      </c>
      <c r="AH1069">
        <v>21.483332000000001</v>
      </c>
      <c r="AI1069">
        <v>19.516666000000001</v>
      </c>
      <c r="AJ1069">
        <v>1.966666</v>
      </c>
      <c r="AK1069">
        <v>0</v>
      </c>
      <c r="AL1069" s="76">
        <v>44882</v>
      </c>
      <c r="AM1069" s="75">
        <v>1244</v>
      </c>
      <c r="AN1069" t="s">
        <v>65</v>
      </c>
      <c r="AO1069" t="s">
        <v>2830</v>
      </c>
      <c r="AP1069" t="s">
        <v>67</v>
      </c>
      <c r="AQ1069" t="s">
        <v>68</v>
      </c>
      <c r="AR1069" t="s">
        <v>69</v>
      </c>
      <c r="AS1069" s="79"/>
      <c r="AT1069" s="82" t="s">
        <v>4423</v>
      </c>
      <c r="AU1069" s="78">
        <v>2026</v>
      </c>
      <c r="AV1069" s="78">
        <v>4</v>
      </c>
      <c r="AW1069" s="78" t="s">
        <v>71</v>
      </c>
      <c r="AX1069" s="78">
        <v>0</v>
      </c>
      <c r="AY1069" s="78">
        <v>0</v>
      </c>
      <c r="BT1069" s="3" t="s">
        <v>71</v>
      </c>
      <c r="BU1069" s="3">
        <v>0</v>
      </c>
      <c r="BV1069" s="3">
        <v>0</v>
      </c>
    </row>
    <row r="1070" spans="1:74" ht="15" customHeight="1" x14ac:dyDescent="0.25">
      <c r="A1070" s="75">
        <v>5921961</v>
      </c>
      <c r="B1070" t="s">
        <v>4700</v>
      </c>
      <c r="C1070" t="s">
        <v>1033</v>
      </c>
      <c r="D1070" t="s">
        <v>527</v>
      </c>
      <c r="E1070" t="s">
        <v>87</v>
      </c>
      <c r="F1070" s="75">
        <v>1</v>
      </c>
      <c r="G1070" s="75">
        <v>284809</v>
      </c>
      <c r="H1070">
        <v>3279.31</v>
      </c>
      <c r="I1070" t="s">
        <v>242</v>
      </c>
      <c r="J1070" s="75">
        <v>215689</v>
      </c>
      <c r="K1070" t="s">
        <v>4701</v>
      </c>
      <c r="L1070" t="s">
        <v>4702</v>
      </c>
      <c r="M1070" s="81">
        <v>46128.493391203701</v>
      </c>
      <c r="N1070" s="81">
        <v>46129.293217592603</v>
      </c>
      <c r="O1070" t="s">
        <v>58</v>
      </c>
      <c r="P1070" t="s">
        <v>59</v>
      </c>
      <c r="Q1070" t="s">
        <v>90</v>
      </c>
      <c r="R1070" t="s">
        <v>99</v>
      </c>
      <c r="S1070" t="s">
        <v>1244</v>
      </c>
      <c r="U1070" s="75">
        <v>233375</v>
      </c>
      <c r="V1070" t="s">
        <v>4703</v>
      </c>
      <c r="W1070" t="s">
        <v>4703</v>
      </c>
      <c r="X1070" t="s">
        <v>118</v>
      </c>
      <c r="Y1070" t="s">
        <v>119</v>
      </c>
      <c r="AA1070" t="s">
        <v>81</v>
      </c>
      <c r="AB1070">
        <v>19.149999999999999</v>
      </c>
      <c r="AC1070">
        <v>14.966666999999999</v>
      </c>
      <c r="AD1070">
        <v>4.1833330000000002</v>
      </c>
      <c r="AE1070">
        <v>0.73333300000000001</v>
      </c>
      <c r="AF1070">
        <v>0</v>
      </c>
      <c r="AG1070">
        <v>3.45</v>
      </c>
      <c r="AH1070">
        <v>3.45</v>
      </c>
      <c r="AI1070">
        <v>3.4333330000000002</v>
      </c>
      <c r="AJ1070">
        <v>1.6667000000000001E-2</v>
      </c>
      <c r="AK1070">
        <v>0</v>
      </c>
      <c r="AL1070" s="76">
        <v>44845.348738425928</v>
      </c>
      <c r="AM1070" s="75">
        <v>1283</v>
      </c>
      <c r="AN1070" t="s">
        <v>65</v>
      </c>
      <c r="AO1070" t="s">
        <v>4704</v>
      </c>
      <c r="AP1070" t="s">
        <v>67</v>
      </c>
      <c r="AQ1070" t="s">
        <v>121</v>
      </c>
      <c r="AR1070" t="s">
        <v>69</v>
      </c>
      <c r="AS1070" s="78"/>
      <c r="AT1070" s="82" t="s">
        <v>4423</v>
      </c>
      <c r="AU1070" s="78">
        <v>2026</v>
      </c>
      <c r="AV1070" s="78">
        <v>4</v>
      </c>
      <c r="AW1070" s="78" t="s">
        <v>122</v>
      </c>
      <c r="AX1070" s="78">
        <v>1</v>
      </c>
      <c r="AY1070" s="78">
        <v>0</v>
      </c>
      <c r="BT1070" s="2" t="s">
        <v>122</v>
      </c>
      <c r="BU1070" s="2">
        <v>1</v>
      </c>
      <c r="BV1070" s="2">
        <v>0</v>
      </c>
    </row>
    <row r="1071" spans="1:74" ht="15" customHeight="1" x14ac:dyDescent="0.25">
      <c r="A1071" s="75">
        <v>5920373</v>
      </c>
      <c r="B1071" t="s">
        <v>4705</v>
      </c>
      <c r="C1071" t="s">
        <v>4706</v>
      </c>
      <c r="D1071" t="s">
        <v>527</v>
      </c>
      <c r="E1071" t="s">
        <v>54</v>
      </c>
      <c r="F1071" s="75">
        <v>1</v>
      </c>
      <c r="G1071" s="75">
        <v>294381</v>
      </c>
      <c r="H1071">
        <v>755.82</v>
      </c>
      <c r="I1071" t="s">
        <v>55</v>
      </c>
      <c r="J1071" s="75">
        <v>218287</v>
      </c>
      <c r="K1071" t="s">
        <v>786</v>
      </c>
      <c r="L1071" t="s">
        <v>4707</v>
      </c>
      <c r="M1071" s="81">
        <v>46127.527106481481</v>
      </c>
      <c r="N1071" s="81">
        <v>46129.427106481482</v>
      </c>
      <c r="O1071" t="s">
        <v>554</v>
      </c>
      <c r="P1071" t="s">
        <v>59</v>
      </c>
      <c r="Q1071" t="s">
        <v>130</v>
      </c>
      <c r="R1071" t="s">
        <v>99</v>
      </c>
      <c r="S1071" t="s">
        <v>1244</v>
      </c>
      <c r="U1071" s="75">
        <v>232605</v>
      </c>
      <c r="V1071" t="s">
        <v>4708</v>
      </c>
      <c r="W1071" t="s">
        <v>4709</v>
      </c>
      <c r="X1071" t="s">
        <v>62</v>
      </c>
      <c r="Y1071" t="s">
        <v>63</v>
      </c>
      <c r="AA1071" t="s">
        <v>416</v>
      </c>
      <c r="AB1071">
        <v>45.55</v>
      </c>
      <c r="AC1071">
        <v>23.55</v>
      </c>
      <c r="AD1071">
        <v>22</v>
      </c>
      <c r="AE1071">
        <v>1</v>
      </c>
      <c r="AF1071">
        <v>0</v>
      </c>
      <c r="AG1071">
        <v>21</v>
      </c>
      <c r="AH1071">
        <v>21</v>
      </c>
      <c r="AI1071">
        <v>20.433333999999999</v>
      </c>
      <c r="AJ1071">
        <v>0.566666</v>
      </c>
      <c r="AK1071">
        <v>0</v>
      </c>
      <c r="AL1071" s="76">
        <v>45189</v>
      </c>
      <c r="AM1071" s="75">
        <v>938</v>
      </c>
      <c r="AN1071" t="s">
        <v>65</v>
      </c>
      <c r="AO1071" t="s">
        <v>4710</v>
      </c>
      <c r="AP1071" t="s">
        <v>67</v>
      </c>
      <c r="AQ1071" t="s">
        <v>68</v>
      </c>
      <c r="AR1071" t="s">
        <v>69</v>
      </c>
      <c r="AS1071" s="79"/>
      <c r="AT1071" s="82" t="s">
        <v>4423</v>
      </c>
      <c r="AU1071" s="78">
        <v>2026</v>
      </c>
      <c r="AV1071" s="78">
        <v>4</v>
      </c>
      <c r="AW1071" s="78" t="s">
        <v>71</v>
      </c>
      <c r="AX1071" s="78">
        <v>0</v>
      </c>
      <c r="AY1071" s="78">
        <v>0</v>
      </c>
      <c r="BT1071" s="3" t="s">
        <v>71</v>
      </c>
      <c r="BU1071" s="3">
        <v>0</v>
      </c>
      <c r="BV1071" s="3">
        <v>0</v>
      </c>
    </row>
    <row r="1072" spans="1:74" ht="15" customHeight="1" x14ac:dyDescent="0.25">
      <c r="A1072" s="75">
        <v>5921145</v>
      </c>
      <c r="B1072" t="s">
        <v>4711</v>
      </c>
      <c r="C1072" t="s">
        <v>4712</v>
      </c>
      <c r="D1072" t="s">
        <v>2379</v>
      </c>
      <c r="E1072" t="s">
        <v>87</v>
      </c>
      <c r="F1072" s="75">
        <v>315</v>
      </c>
      <c r="G1072" s="75">
        <v>286577</v>
      </c>
      <c r="H1072">
        <v>364.96</v>
      </c>
      <c r="I1072" t="s">
        <v>55</v>
      </c>
      <c r="J1072" s="75">
        <v>218787</v>
      </c>
      <c r="K1072" t="s">
        <v>96</v>
      </c>
      <c r="L1072" t="s">
        <v>97</v>
      </c>
      <c r="M1072" s="81">
        <v>46128.042141203703</v>
      </c>
      <c r="N1072" s="81">
        <v>46129.462083333332</v>
      </c>
      <c r="O1072" t="s">
        <v>58</v>
      </c>
      <c r="P1072" t="s">
        <v>59</v>
      </c>
      <c r="Q1072" t="s">
        <v>90</v>
      </c>
      <c r="R1072" t="s">
        <v>60</v>
      </c>
      <c r="S1072" t="s">
        <v>583</v>
      </c>
      <c r="U1072" s="75">
        <v>234057</v>
      </c>
      <c r="V1072" t="s">
        <v>4713</v>
      </c>
      <c r="W1072" t="s">
        <v>4714</v>
      </c>
      <c r="X1072" t="s">
        <v>62</v>
      </c>
      <c r="Y1072" t="s">
        <v>63</v>
      </c>
      <c r="AA1072" t="s">
        <v>101</v>
      </c>
      <c r="AB1072">
        <v>33.966667000000001</v>
      </c>
      <c r="AC1072">
        <v>22.066666999999999</v>
      </c>
      <c r="AD1072">
        <v>11.9</v>
      </c>
      <c r="AE1072">
        <v>0.65</v>
      </c>
      <c r="AF1072">
        <v>0</v>
      </c>
      <c r="AG1072">
        <v>11.25</v>
      </c>
      <c r="AH1072">
        <v>11.25</v>
      </c>
      <c r="AI1072">
        <v>10.583333</v>
      </c>
      <c r="AJ1072">
        <v>0.66666700000000001</v>
      </c>
      <c r="AK1072">
        <v>0</v>
      </c>
      <c r="AL1072" s="76">
        <v>44911</v>
      </c>
      <c r="AM1072" s="75">
        <v>1217</v>
      </c>
      <c r="AN1072" t="s">
        <v>65</v>
      </c>
      <c r="AO1072" t="s">
        <v>1151</v>
      </c>
      <c r="AP1072" t="s">
        <v>67</v>
      </c>
      <c r="AQ1072" t="s">
        <v>68</v>
      </c>
      <c r="AR1072" t="s">
        <v>69</v>
      </c>
      <c r="AS1072" s="78"/>
      <c r="AT1072" s="82" t="s">
        <v>4423</v>
      </c>
      <c r="AU1072" s="78">
        <v>2026</v>
      </c>
      <c r="AV1072" s="78">
        <v>4</v>
      </c>
      <c r="AW1072" s="78" t="s">
        <v>71</v>
      </c>
      <c r="AX1072" s="78">
        <v>0</v>
      </c>
      <c r="AY1072" s="78">
        <v>0</v>
      </c>
      <c r="BT1072" s="2" t="s">
        <v>71</v>
      </c>
      <c r="BU1072" s="2">
        <v>0</v>
      </c>
      <c r="BV1072" s="2">
        <v>0</v>
      </c>
    </row>
    <row r="1073" spans="1:74" ht="15" customHeight="1" x14ac:dyDescent="0.25">
      <c r="A1073" s="75">
        <v>5920463</v>
      </c>
      <c r="B1073" t="s">
        <v>4715</v>
      </c>
      <c r="C1073" t="s">
        <v>1133</v>
      </c>
      <c r="D1073" t="s">
        <v>527</v>
      </c>
      <c r="E1073" t="s">
        <v>54</v>
      </c>
      <c r="F1073" s="75">
        <v>17</v>
      </c>
      <c r="G1073" s="75">
        <v>295445</v>
      </c>
      <c r="H1073">
        <v>200</v>
      </c>
      <c r="I1073" t="s">
        <v>55</v>
      </c>
      <c r="J1073" s="75">
        <v>218297</v>
      </c>
      <c r="K1073" t="s">
        <v>258</v>
      </c>
      <c r="L1073" t="s">
        <v>259</v>
      </c>
      <c r="M1073" s="81">
        <v>46127.581770833327</v>
      </c>
      <c r="N1073" s="81">
        <v>46129.544999999998</v>
      </c>
      <c r="O1073" t="s">
        <v>58</v>
      </c>
      <c r="P1073" t="s">
        <v>59</v>
      </c>
      <c r="Q1073" t="s">
        <v>77</v>
      </c>
      <c r="R1073" t="s">
        <v>60</v>
      </c>
      <c r="S1073" t="s">
        <v>583</v>
      </c>
      <c r="U1073" s="75">
        <v>232613</v>
      </c>
      <c r="V1073" t="s">
        <v>4716</v>
      </c>
      <c r="W1073" t="s">
        <v>4717</v>
      </c>
      <c r="X1073" t="s">
        <v>62</v>
      </c>
      <c r="Y1073" t="s">
        <v>2629</v>
      </c>
      <c r="AA1073" t="s">
        <v>416</v>
      </c>
      <c r="AB1073">
        <v>47.016668000000003</v>
      </c>
      <c r="AC1073">
        <v>24.416667</v>
      </c>
      <c r="AD1073">
        <v>22.600000999999999</v>
      </c>
      <c r="AE1073">
        <v>0.13333400000000001</v>
      </c>
      <c r="AF1073">
        <v>0</v>
      </c>
      <c r="AG1073">
        <v>22.466667000000001</v>
      </c>
      <c r="AH1073">
        <v>22.466667000000001</v>
      </c>
      <c r="AI1073">
        <v>22.15</v>
      </c>
      <c r="AJ1073">
        <v>0.31666699999999998</v>
      </c>
      <c r="AK1073">
        <v>0</v>
      </c>
      <c r="AL1073" s="76">
        <v>45248.43204861111</v>
      </c>
      <c r="AM1073" s="75">
        <v>879</v>
      </c>
      <c r="AN1073" t="s">
        <v>65</v>
      </c>
      <c r="AO1073" t="s">
        <v>4294</v>
      </c>
      <c r="AP1073" t="s">
        <v>67</v>
      </c>
      <c r="AQ1073" t="s">
        <v>68</v>
      </c>
      <c r="AR1073" t="s">
        <v>69</v>
      </c>
      <c r="AS1073" s="79"/>
      <c r="AT1073" s="82" t="s">
        <v>4423</v>
      </c>
      <c r="AU1073" s="78">
        <v>2026</v>
      </c>
      <c r="AV1073" s="78">
        <v>4</v>
      </c>
      <c r="AW1073" s="78" t="s">
        <v>71</v>
      </c>
      <c r="AX1073" s="78">
        <v>0</v>
      </c>
      <c r="AY1073" s="78">
        <v>0</v>
      </c>
      <c r="BT1073" s="3" t="s">
        <v>71</v>
      </c>
      <c r="BU1073" s="3">
        <v>0</v>
      </c>
      <c r="BV1073" s="3">
        <v>0</v>
      </c>
    </row>
    <row r="1074" spans="1:74" ht="15" customHeight="1" x14ac:dyDescent="0.25">
      <c r="A1074" s="75">
        <v>5915949</v>
      </c>
      <c r="B1074" t="s">
        <v>4718</v>
      </c>
      <c r="C1074" t="s">
        <v>4719</v>
      </c>
      <c r="D1074" t="s">
        <v>1555</v>
      </c>
      <c r="E1074" t="s">
        <v>54</v>
      </c>
      <c r="F1074" s="75">
        <v>1</v>
      </c>
      <c r="G1074" s="75">
        <v>303297</v>
      </c>
      <c r="H1074">
        <v>949.9</v>
      </c>
      <c r="I1074" t="s">
        <v>114</v>
      </c>
      <c r="J1074" s="75">
        <v>219911</v>
      </c>
      <c r="K1074" t="s">
        <v>2288</v>
      </c>
      <c r="L1074" t="s">
        <v>2289</v>
      </c>
      <c r="M1074" s="81">
        <v>46125.369074074071</v>
      </c>
      <c r="N1074" s="81">
        <v>46129.548495370371</v>
      </c>
      <c r="O1074" t="s">
        <v>58</v>
      </c>
      <c r="P1074" t="s">
        <v>59</v>
      </c>
      <c r="Q1074" t="s">
        <v>130</v>
      </c>
      <c r="R1074" t="s">
        <v>60</v>
      </c>
      <c r="S1074" t="s">
        <v>583</v>
      </c>
      <c r="U1074" s="75">
        <v>229733</v>
      </c>
      <c r="V1074" t="s">
        <v>4720</v>
      </c>
      <c r="W1074" t="s">
        <v>4720</v>
      </c>
      <c r="X1074" t="s">
        <v>62</v>
      </c>
      <c r="Y1074" t="s">
        <v>63</v>
      </c>
      <c r="AA1074" t="s">
        <v>295</v>
      </c>
      <c r="AB1074">
        <v>100.166667</v>
      </c>
      <c r="AC1074">
        <v>58.183334000000002</v>
      </c>
      <c r="AD1074">
        <v>41.983333000000002</v>
      </c>
      <c r="AE1074">
        <v>0.76666599999999996</v>
      </c>
      <c r="AF1074">
        <v>0</v>
      </c>
      <c r="AG1074">
        <v>41.216667000000001</v>
      </c>
      <c r="AH1074">
        <v>41.216667000000001</v>
      </c>
      <c r="AI1074">
        <v>40.75</v>
      </c>
      <c r="AJ1074">
        <v>0.466667</v>
      </c>
      <c r="AK1074">
        <v>0</v>
      </c>
      <c r="AL1074" s="76">
        <v>45450</v>
      </c>
      <c r="AM1074" s="75">
        <v>675</v>
      </c>
      <c r="AN1074" t="s">
        <v>65</v>
      </c>
      <c r="AO1074" t="s">
        <v>2291</v>
      </c>
      <c r="AP1074" t="s">
        <v>67</v>
      </c>
      <c r="AQ1074" t="s">
        <v>68</v>
      </c>
      <c r="AR1074" t="s">
        <v>69</v>
      </c>
      <c r="AS1074" s="78"/>
      <c r="AT1074" s="82" t="s">
        <v>4423</v>
      </c>
      <c r="AU1074" s="78">
        <v>2026</v>
      </c>
      <c r="AV1074" s="78">
        <v>4</v>
      </c>
      <c r="AW1074" s="78" t="s">
        <v>71</v>
      </c>
      <c r="AX1074" s="78">
        <v>0</v>
      </c>
      <c r="AY1074" s="78">
        <v>1</v>
      </c>
      <c r="BT1074" s="2" t="s">
        <v>71</v>
      </c>
      <c r="BU1074" s="2">
        <v>0</v>
      </c>
      <c r="BV1074" s="2">
        <v>1</v>
      </c>
    </row>
    <row r="1075" spans="1:74" ht="15" customHeight="1" x14ac:dyDescent="0.25">
      <c r="A1075" s="75">
        <v>5922535</v>
      </c>
      <c r="B1075" t="s">
        <v>4721</v>
      </c>
      <c r="C1075" t="s">
        <v>4722</v>
      </c>
      <c r="D1075" t="s">
        <v>527</v>
      </c>
      <c r="E1075" t="s">
        <v>54</v>
      </c>
      <c r="F1075" s="75">
        <v>53</v>
      </c>
      <c r="G1075" s="75">
        <v>296339</v>
      </c>
      <c r="H1075">
        <v>399</v>
      </c>
      <c r="I1075" t="s">
        <v>114</v>
      </c>
      <c r="J1075" s="75">
        <v>60121</v>
      </c>
      <c r="K1075" t="s">
        <v>481</v>
      </c>
      <c r="L1075" t="s">
        <v>482</v>
      </c>
      <c r="M1075" s="81">
        <v>46128.569953703707</v>
      </c>
      <c r="N1075" s="81">
        <v>46129.573819444442</v>
      </c>
      <c r="O1075" t="s">
        <v>475</v>
      </c>
      <c r="P1075" t="s">
        <v>59</v>
      </c>
      <c r="Q1075" t="s">
        <v>905</v>
      </c>
      <c r="R1075" t="s">
        <v>476</v>
      </c>
      <c r="S1075" t="s">
        <v>2707</v>
      </c>
      <c r="U1075" s="75">
        <v>233915</v>
      </c>
      <c r="V1075" t="s">
        <v>4723</v>
      </c>
      <c r="W1075" t="s">
        <v>4724</v>
      </c>
      <c r="X1075" t="s">
        <v>79</v>
      </c>
      <c r="Y1075" t="s">
        <v>246</v>
      </c>
      <c r="AA1075" t="s">
        <v>64</v>
      </c>
      <c r="AB1075">
        <v>24.033334</v>
      </c>
      <c r="AC1075">
        <v>15.55</v>
      </c>
      <c r="AD1075">
        <v>8.4833339999999993</v>
      </c>
      <c r="AE1075">
        <v>1.65</v>
      </c>
      <c r="AF1075">
        <v>0</v>
      </c>
      <c r="AG1075">
        <v>6.8333339999999998</v>
      </c>
      <c r="AH1075">
        <v>6.8333339999999998</v>
      </c>
      <c r="AI1075">
        <v>6.65</v>
      </c>
      <c r="AJ1075">
        <v>0.183334</v>
      </c>
      <c r="AK1075">
        <v>0</v>
      </c>
      <c r="AL1075" s="76">
        <v>45272</v>
      </c>
      <c r="AM1075" s="75">
        <v>856</v>
      </c>
      <c r="AN1075" t="s">
        <v>65</v>
      </c>
      <c r="AO1075" t="s">
        <v>1895</v>
      </c>
      <c r="AP1075" t="s">
        <v>67</v>
      </c>
      <c r="AQ1075" t="s">
        <v>83</v>
      </c>
      <c r="AR1075" t="s">
        <v>69</v>
      </c>
      <c r="AS1075" s="79"/>
      <c r="AT1075" s="82" t="s">
        <v>4423</v>
      </c>
      <c r="AU1075" s="78">
        <v>2026</v>
      </c>
      <c r="AV1075" s="78">
        <v>4</v>
      </c>
      <c r="AW1075" s="78" t="s">
        <v>84</v>
      </c>
      <c r="AX1075" s="78">
        <v>1</v>
      </c>
      <c r="AY1075" s="78">
        <v>0</v>
      </c>
      <c r="BT1075" s="3" t="s">
        <v>84</v>
      </c>
      <c r="BU1075" s="3">
        <v>1</v>
      </c>
      <c r="BV1075" s="3">
        <v>0</v>
      </c>
    </row>
    <row r="1076" spans="1:74" ht="15" customHeight="1" x14ac:dyDescent="0.25">
      <c r="A1076" s="75">
        <v>5919949</v>
      </c>
      <c r="B1076" t="s">
        <v>4725</v>
      </c>
      <c r="C1076" t="s">
        <v>2321</v>
      </c>
      <c r="D1076" t="s">
        <v>527</v>
      </c>
      <c r="E1076" t="s">
        <v>87</v>
      </c>
      <c r="F1076" s="75">
        <v>398</v>
      </c>
      <c r="G1076" s="75">
        <v>288005</v>
      </c>
      <c r="H1076">
        <v>368.16</v>
      </c>
      <c r="I1076" t="s">
        <v>55</v>
      </c>
      <c r="J1076" s="75">
        <v>218791</v>
      </c>
      <c r="K1076" t="s">
        <v>312</v>
      </c>
      <c r="L1076" t="s">
        <v>313</v>
      </c>
      <c r="M1076" s="81">
        <v>46127.45894675926</v>
      </c>
      <c r="N1076" s="81">
        <v>46129.587372685193</v>
      </c>
      <c r="O1076" t="s">
        <v>58</v>
      </c>
      <c r="P1076" t="s">
        <v>59</v>
      </c>
      <c r="Q1076" t="s">
        <v>90</v>
      </c>
      <c r="R1076" t="s">
        <v>60</v>
      </c>
      <c r="S1076" t="s">
        <v>583</v>
      </c>
      <c r="U1076" s="75">
        <v>233867</v>
      </c>
      <c r="V1076" t="s">
        <v>4726</v>
      </c>
      <c r="W1076" t="s">
        <v>4727</v>
      </c>
      <c r="X1076" t="s">
        <v>62</v>
      </c>
      <c r="Y1076" t="s">
        <v>63</v>
      </c>
      <c r="AA1076" t="s">
        <v>295</v>
      </c>
      <c r="AB1076">
        <v>50.983331999999997</v>
      </c>
      <c r="AC1076">
        <v>26.199998999999998</v>
      </c>
      <c r="AD1076">
        <v>24.783332999999999</v>
      </c>
      <c r="AE1076">
        <v>0.283333</v>
      </c>
      <c r="AF1076">
        <v>0</v>
      </c>
      <c r="AG1076">
        <v>24.5</v>
      </c>
      <c r="AH1076">
        <v>24.5</v>
      </c>
      <c r="AI1076">
        <v>23.400001</v>
      </c>
      <c r="AJ1076">
        <v>1.0999989999999999</v>
      </c>
      <c r="AK1076">
        <v>0</v>
      </c>
      <c r="AL1076" s="76">
        <v>44929.959733796299</v>
      </c>
      <c r="AM1076" s="75">
        <v>1197</v>
      </c>
      <c r="AN1076" t="s">
        <v>65</v>
      </c>
      <c r="AO1076" t="s">
        <v>2324</v>
      </c>
      <c r="AP1076" t="s">
        <v>67</v>
      </c>
      <c r="AQ1076" t="s">
        <v>68</v>
      </c>
      <c r="AR1076" t="s">
        <v>69</v>
      </c>
      <c r="AS1076" s="78"/>
      <c r="AT1076" s="82" t="s">
        <v>4423</v>
      </c>
      <c r="AU1076" s="78">
        <v>2026</v>
      </c>
      <c r="AV1076" s="78">
        <v>4</v>
      </c>
      <c r="AW1076" s="78" t="s">
        <v>71</v>
      </c>
      <c r="AX1076" s="78">
        <v>0</v>
      </c>
      <c r="AY1076" s="78">
        <v>1</v>
      </c>
      <c r="BT1076" s="2" t="s">
        <v>71</v>
      </c>
      <c r="BU1076" s="2">
        <v>0</v>
      </c>
      <c r="BV1076" s="2">
        <v>1</v>
      </c>
    </row>
    <row r="1077" spans="1:74" ht="15" customHeight="1" x14ac:dyDescent="0.25">
      <c r="A1077" s="75">
        <v>5919263</v>
      </c>
      <c r="B1077" t="s">
        <v>4728</v>
      </c>
      <c r="C1077" t="s">
        <v>4729</v>
      </c>
      <c r="D1077" t="s">
        <v>527</v>
      </c>
      <c r="E1077" t="s">
        <v>87</v>
      </c>
      <c r="F1077" s="75">
        <v>16</v>
      </c>
      <c r="G1077" s="75">
        <v>275219</v>
      </c>
      <c r="H1077">
        <v>398.82</v>
      </c>
      <c r="I1077" t="s">
        <v>55</v>
      </c>
      <c r="J1077" s="75">
        <v>216233</v>
      </c>
      <c r="K1077" t="s">
        <v>88</v>
      </c>
      <c r="L1077" t="s">
        <v>89</v>
      </c>
      <c r="M1077" s="81">
        <v>46127.097650462973</v>
      </c>
      <c r="N1077" s="81">
        <v>46129.587581018517</v>
      </c>
      <c r="O1077" t="s">
        <v>58</v>
      </c>
      <c r="P1077" t="s">
        <v>59</v>
      </c>
      <c r="Q1077" t="s">
        <v>90</v>
      </c>
      <c r="R1077" t="s">
        <v>60</v>
      </c>
      <c r="S1077" t="s">
        <v>1268</v>
      </c>
      <c r="U1077" s="75">
        <v>232591</v>
      </c>
      <c r="V1077" t="s">
        <v>4730</v>
      </c>
      <c r="W1077" t="s">
        <v>4731</v>
      </c>
      <c r="X1077" t="s">
        <v>62</v>
      </c>
      <c r="Y1077" t="s">
        <v>63</v>
      </c>
      <c r="AA1077" t="s">
        <v>295</v>
      </c>
      <c r="AB1077">
        <v>59.616666000000002</v>
      </c>
      <c r="AC1077">
        <v>35.266666000000001</v>
      </c>
      <c r="AD1077">
        <v>24.35</v>
      </c>
      <c r="AE1077">
        <v>0.33333299999999999</v>
      </c>
      <c r="AF1077">
        <v>0</v>
      </c>
      <c r="AG1077">
        <v>24.016667000000002</v>
      </c>
      <c r="AH1077">
        <v>24.016667000000002</v>
      </c>
      <c r="AI1077">
        <v>23.15</v>
      </c>
      <c r="AJ1077">
        <v>0.86666699999999997</v>
      </c>
      <c r="AK1077">
        <v>0</v>
      </c>
      <c r="AL1077" s="76">
        <v>44917</v>
      </c>
      <c r="AM1077" s="75">
        <v>1210</v>
      </c>
      <c r="AN1077" t="s">
        <v>65</v>
      </c>
      <c r="AO1077" t="s">
        <v>4732</v>
      </c>
      <c r="AP1077" t="s">
        <v>67</v>
      </c>
      <c r="AQ1077" t="s">
        <v>68</v>
      </c>
      <c r="AR1077" t="s">
        <v>69</v>
      </c>
      <c r="AS1077" s="79"/>
      <c r="AT1077" s="82" t="s">
        <v>4423</v>
      </c>
      <c r="AU1077" s="78">
        <v>2026</v>
      </c>
      <c r="AV1077" s="78">
        <v>4</v>
      </c>
      <c r="AW1077" s="78" t="s">
        <v>71</v>
      </c>
      <c r="AX1077" s="78">
        <v>0</v>
      </c>
      <c r="AY1077" s="78">
        <v>1</v>
      </c>
      <c r="BT1077" s="3" t="s">
        <v>71</v>
      </c>
      <c r="BU1077" s="3">
        <v>0</v>
      </c>
      <c r="BV1077" s="3">
        <v>1</v>
      </c>
    </row>
    <row r="1078" spans="1:74" ht="15" customHeight="1" x14ac:dyDescent="0.25">
      <c r="A1078" s="75">
        <v>5923617</v>
      </c>
      <c r="B1078" t="s">
        <v>4733</v>
      </c>
      <c r="C1078" t="s">
        <v>4734</v>
      </c>
      <c r="D1078" t="s">
        <v>956</v>
      </c>
      <c r="E1078" t="s">
        <v>87</v>
      </c>
      <c r="F1078" s="75">
        <v>281</v>
      </c>
      <c r="G1078" s="75">
        <v>286425</v>
      </c>
      <c r="H1078">
        <v>364.96</v>
      </c>
      <c r="I1078" t="s">
        <v>55</v>
      </c>
      <c r="J1078" s="75">
        <v>218787</v>
      </c>
      <c r="K1078" t="s">
        <v>96</v>
      </c>
      <c r="L1078" t="s">
        <v>97</v>
      </c>
      <c r="M1078" s="81">
        <v>46129.368634259263</v>
      </c>
      <c r="N1078" s="81">
        <v>46129.617106481477</v>
      </c>
      <c r="O1078" t="s">
        <v>58</v>
      </c>
      <c r="P1078" t="s">
        <v>59</v>
      </c>
      <c r="Q1078" t="s">
        <v>90</v>
      </c>
      <c r="R1078" t="s">
        <v>60</v>
      </c>
      <c r="S1078" t="s">
        <v>583</v>
      </c>
      <c r="U1078" s="75">
        <v>234353</v>
      </c>
      <c r="V1078" t="s">
        <v>4735</v>
      </c>
      <c r="W1078" t="s">
        <v>4736</v>
      </c>
      <c r="X1078" t="s">
        <v>62</v>
      </c>
      <c r="Y1078" t="s">
        <v>63</v>
      </c>
      <c r="AA1078" t="s">
        <v>64</v>
      </c>
      <c r="AB1078">
        <v>5.9000009999999996</v>
      </c>
      <c r="AC1078">
        <v>1.1000000000000001</v>
      </c>
      <c r="AD1078">
        <v>4.800001</v>
      </c>
      <c r="AE1078">
        <v>3.3334000000000003E-2</v>
      </c>
      <c r="AF1078">
        <v>0</v>
      </c>
      <c r="AG1078">
        <v>4.766667</v>
      </c>
      <c r="AH1078">
        <v>4.766667</v>
      </c>
      <c r="AI1078">
        <v>4.3499999999999996</v>
      </c>
      <c r="AJ1078">
        <v>0.41666700000000001</v>
      </c>
      <c r="AK1078">
        <v>0</v>
      </c>
      <c r="AL1078" s="76">
        <v>44882</v>
      </c>
      <c r="AM1078" s="75">
        <v>1247</v>
      </c>
      <c r="AN1078" t="s">
        <v>65</v>
      </c>
      <c r="AO1078" t="s">
        <v>4737</v>
      </c>
      <c r="AP1078" t="s">
        <v>67</v>
      </c>
      <c r="AQ1078" t="s">
        <v>68</v>
      </c>
      <c r="AR1078" t="s">
        <v>69</v>
      </c>
      <c r="AS1078" s="78"/>
      <c r="AT1078" s="82" t="s">
        <v>4423</v>
      </c>
      <c r="AU1078" s="78">
        <v>2026</v>
      </c>
      <c r="AV1078" s="78">
        <v>4</v>
      </c>
      <c r="AW1078" s="78" t="s">
        <v>71</v>
      </c>
      <c r="AX1078" s="78">
        <v>1</v>
      </c>
      <c r="AY1078" s="78">
        <v>0</v>
      </c>
      <c r="BT1078" s="2" t="s">
        <v>71</v>
      </c>
      <c r="BU1078" s="2">
        <v>1</v>
      </c>
      <c r="BV1078" s="2">
        <v>0</v>
      </c>
    </row>
    <row r="1079" spans="1:74" ht="15" customHeight="1" x14ac:dyDescent="0.25">
      <c r="A1079" s="75">
        <v>5922881</v>
      </c>
      <c r="B1079" t="s">
        <v>4738</v>
      </c>
      <c r="C1079" t="s">
        <v>4739</v>
      </c>
      <c r="D1079" t="s">
        <v>1052</v>
      </c>
      <c r="E1079" t="s">
        <v>54</v>
      </c>
      <c r="F1079" s="75">
        <v>1</v>
      </c>
      <c r="G1079" s="75">
        <v>335457</v>
      </c>
      <c r="H1079">
        <v>369.7</v>
      </c>
      <c r="I1079" t="s">
        <v>127</v>
      </c>
      <c r="J1079" s="75">
        <v>226873</v>
      </c>
      <c r="K1079" t="s">
        <v>4740</v>
      </c>
      <c r="L1079" t="s">
        <v>4741</v>
      </c>
      <c r="M1079" s="81">
        <v>46128.669374999998</v>
      </c>
      <c r="N1079" s="81">
        <v>46129.695381944453</v>
      </c>
      <c r="O1079" t="s">
        <v>58</v>
      </c>
      <c r="P1079" t="s">
        <v>59</v>
      </c>
      <c r="Q1079" t="s">
        <v>130</v>
      </c>
      <c r="R1079" t="s">
        <v>99</v>
      </c>
      <c r="S1079" t="s">
        <v>1244</v>
      </c>
      <c r="U1079" s="75">
        <v>233655</v>
      </c>
      <c r="V1079" t="s">
        <v>4742</v>
      </c>
      <c r="W1079" t="s">
        <v>4742</v>
      </c>
      <c r="X1079" t="s">
        <v>62</v>
      </c>
      <c r="Y1079" t="s">
        <v>190</v>
      </c>
      <c r="AA1079" t="s">
        <v>81</v>
      </c>
      <c r="AB1079">
        <v>24.6</v>
      </c>
      <c r="AC1079">
        <v>21.516667000000002</v>
      </c>
      <c r="AD1079">
        <v>3.0833330000000001</v>
      </c>
      <c r="AE1079">
        <v>0.2</v>
      </c>
      <c r="AF1079">
        <v>0</v>
      </c>
      <c r="AG1079">
        <v>2.8833329999999999</v>
      </c>
      <c r="AH1079">
        <v>2.8833329999999999</v>
      </c>
      <c r="AI1079">
        <v>2.5499999999999998</v>
      </c>
      <c r="AJ1079">
        <v>0.33333299999999999</v>
      </c>
      <c r="AK1079">
        <v>0</v>
      </c>
      <c r="AL1079" s="76"/>
      <c r="AM1079" s="75"/>
      <c r="AN1079" t="s">
        <v>135</v>
      </c>
      <c r="AO1079" t="s">
        <v>4743</v>
      </c>
      <c r="AP1079" t="s">
        <v>67</v>
      </c>
      <c r="AQ1079" t="s">
        <v>68</v>
      </c>
      <c r="AR1079" t="s">
        <v>69</v>
      </c>
      <c r="AS1079" s="79"/>
      <c r="AT1079" s="82" t="s">
        <v>4423</v>
      </c>
      <c r="AU1079" s="78">
        <v>2026</v>
      </c>
      <c r="AV1079" s="78">
        <v>4</v>
      </c>
      <c r="AW1079" s="78" t="s">
        <v>137</v>
      </c>
      <c r="AX1079" s="78">
        <v>1</v>
      </c>
      <c r="AY1079" s="78">
        <v>0</v>
      </c>
      <c r="BT1079" s="3" t="s">
        <v>137</v>
      </c>
      <c r="BU1079" s="3">
        <v>1</v>
      </c>
      <c r="BV1079" s="3">
        <v>0</v>
      </c>
    </row>
    <row r="1080" spans="1:74" ht="15" customHeight="1" x14ac:dyDescent="0.25">
      <c r="A1080" s="75">
        <v>5924759</v>
      </c>
      <c r="B1080" t="s">
        <v>4744</v>
      </c>
      <c r="C1080" t="s">
        <v>4638</v>
      </c>
      <c r="D1080" t="s">
        <v>257</v>
      </c>
      <c r="E1080" t="s">
        <v>87</v>
      </c>
      <c r="F1080" s="75">
        <v>76</v>
      </c>
      <c r="G1080" s="75">
        <v>275403</v>
      </c>
      <c r="H1080">
        <v>525.95000000000005</v>
      </c>
      <c r="I1080" t="s">
        <v>55</v>
      </c>
      <c r="J1080" s="75">
        <v>218791</v>
      </c>
      <c r="K1080" t="s">
        <v>312</v>
      </c>
      <c r="L1080" t="s">
        <v>313</v>
      </c>
      <c r="M1080" s="81">
        <v>46129.722881944443</v>
      </c>
      <c r="N1080" s="81">
        <v>46130.454224537039</v>
      </c>
      <c r="O1080" t="s">
        <v>277</v>
      </c>
      <c r="P1080" t="s">
        <v>59</v>
      </c>
      <c r="Q1080" t="s">
        <v>90</v>
      </c>
      <c r="R1080" t="s">
        <v>99</v>
      </c>
      <c r="S1080" t="s">
        <v>1244</v>
      </c>
      <c r="U1080" s="75">
        <v>235093</v>
      </c>
      <c r="V1080" t="s">
        <v>4745</v>
      </c>
      <c r="X1080" t="s">
        <v>62</v>
      </c>
      <c r="Y1080" t="s">
        <v>63</v>
      </c>
      <c r="AA1080" t="s">
        <v>81</v>
      </c>
      <c r="AB1080">
        <v>17.483332999999998</v>
      </c>
      <c r="AC1080">
        <v>14.083333</v>
      </c>
      <c r="AD1080">
        <v>3.4</v>
      </c>
      <c r="AE1080">
        <v>0.25</v>
      </c>
      <c r="AF1080">
        <v>0</v>
      </c>
      <c r="AG1080">
        <v>3.15</v>
      </c>
      <c r="AH1080">
        <v>3.15</v>
      </c>
      <c r="AI1080">
        <v>2.4166669999999999</v>
      </c>
      <c r="AJ1080">
        <v>0.73333300000000001</v>
      </c>
      <c r="AK1080">
        <v>0</v>
      </c>
      <c r="AL1080" s="76">
        <v>44862.70921296296</v>
      </c>
      <c r="AM1080" s="75">
        <v>1267</v>
      </c>
      <c r="AN1080" t="s">
        <v>65</v>
      </c>
      <c r="AO1080" t="s">
        <v>4640</v>
      </c>
      <c r="AP1080" t="s">
        <v>67</v>
      </c>
      <c r="AQ1080" t="s">
        <v>68</v>
      </c>
      <c r="AR1080" t="s">
        <v>69</v>
      </c>
      <c r="AS1080" s="78"/>
      <c r="AT1080" s="82" t="s">
        <v>4423</v>
      </c>
      <c r="AU1080" s="78">
        <v>2026</v>
      </c>
      <c r="AV1080" s="78">
        <v>4</v>
      </c>
      <c r="AW1080" s="78" t="s">
        <v>71</v>
      </c>
      <c r="AX1080" s="78">
        <v>1</v>
      </c>
      <c r="AY1080" s="78">
        <v>0</v>
      </c>
      <c r="BT1080" s="2" t="s">
        <v>71</v>
      </c>
      <c r="BU1080" s="2">
        <v>1</v>
      </c>
      <c r="BV1080" s="2">
        <v>0</v>
      </c>
    </row>
    <row r="1081" spans="1:74" ht="15" customHeight="1" x14ac:dyDescent="0.25">
      <c r="A1081" s="75">
        <v>5920653</v>
      </c>
      <c r="B1081" t="s">
        <v>4746</v>
      </c>
      <c r="C1081" t="s">
        <v>4506</v>
      </c>
      <c r="D1081" t="s">
        <v>257</v>
      </c>
      <c r="E1081" t="s">
        <v>87</v>
      </c>
      <c r="F1081" s="75">
        <v>138</v>
      </c>
      <c r="G1081" s="75">
        <v>285617</v>
      </c>
      <c r="H1081">
        <v>368.16</v>
      </c>
      <c r="I1081" t="s">
        <v>55</v>
      </c>
      <c r="J1081" s="75">
        <v>218791</v>
      </c>
      <c r="K1081" t="s">
        <v>312</v>
      </c>
      <c r="L1081" t="s">
        <v>313</v>
      </c>
      <c r="M1081" s="81">
        <v>46127.639479166668</v>
      </c>
      <c r="N1081" s="81">
        <v>46130.476493055547</v>
      </c>
      <c r="O1081" t="s">
        <v>624</v>
      </c>
      <c r="P1081" t="s">
        <v>59</v>
      </c>
      <c r="Q1081" t="s">
        <v>90</v>
      </c>
      <c r="R1081" t="s">
        <v>99</v>
      </c>
      <c r="S1081" t="s">
        <v>1244</v>
      </c>
      <c r="U1081" s="75">
        <v>233883</v>
      </c>
      <c r="V1081" t="s">
        <v>4747</v>
      </c>
      <c r="X1081" t="s">
        <v>62</v>
      </c>
      <c r="Y1081" t="s">
        <v>63</v>
      </c>
      <c r="AA1081" t="s">
        <v>416</v>
      </c>
      <c r="AB1081">
        <v>67.966666000000004</v>
      </c>
      <c r="AC1081">
        <v>49.816667000000002</v>
      </c>
      <c r="AD1081">
        <v>18.149999000000001</v>
      </c>
      <c r="AE1081">
        <v>0.51666599999999996</v>
      </c>
      <c r="AF1081">
        <v>0</v>
      </c>
      <c r="AG1081">
        <v>17.633333</v>
      </c>
      <c r="AH1081">
        <v>17.633333</v>
      </c>
      <c r="AI1081">
        <v>15.15</v>
      </c>
      <c r="AJ1081">
        <v>2.483333</v>
      </c>
      <c r="AK1081">
        <v>0</v>
      </c>
      <c r="AL1081" s="76">
        <v>44896.419305555559</v>
      </c>
      <c r="AM1081" s="75">
        <v>1231</v>
      </c>
      <c r="AN1081" t="s">
        <v>65</v>
      </c>
      <c r="AO1081" t="s">
        <v>4508</v>
      </c>
      <c r="AP1081" t="s">
        <v>67</v>
      </c>
      <c r="AQ1081" t="s">
        <v>68</v>
      </c>
      <c r="AR1081" t="s">
        <v>69</v>
      </c>
      <c r="AS1081" s="79"/>
      <c r="AT1081" s="82" t="s">
        <v>4423</v>
      </c>
      <c r="AU1081" s="78">
        <v>2026</v>
      </c>
      <c r="AV1081" s="78">
        <v>4</v>
      </c>
      <c r="AW1081" s="78" t="s">
        <v>71</v>
      </c>
      <c r="AX1081" s="78">
        <v>0</v>
      </c>
      <c r="AY1081" s="78">
        <v>0</v>
      </c>
      <c r="BT1081" s="3" t="s">
        <v>71</v>
      </c>
      <c r="BU1081" s="3">
        <v>0</v>
      </c>
      <c r="BV1081" s="3">
        <v>0</v>
      </c>
    </row>
    <row r="1082" spans="1:74" ht="15" customHeight="1" x14ac:dyDescent="0.25">
      <c r="A1082" s="75">
        <v>5924909</v>
      </c>
      <c r="B1082" t="s">
        <v>4748</v>
      </c>
      <c r="C1082" t="s">
        <v>4749</v>
      </c>
      <c r="D1082" t="s">
        <v>3560</v>
      </c>
      <c r="E1082" t="s">
        <v>105</v>
      </c>
      <c r="F1082" s="75">
        <v>1131</v>
      </c>
      <c r="G1082" s="75">
        <v>333539</v>
      </c>
      <c r="H1082">
        <v>456.52</v>
      </c>
      <c r="I1082" t="s">
        <v>175</v>
      </c>
      <c r="J1082" s="75">
        <v>83605</v>
      </c>
      <c r="K1082" t="s">
        <v>844</v>
      </c>
      <c r="L1082" t="s">
        <v>845</v>
      </c>
      <c r="M1082" s="81">
        <v>46130.02820601852</v>
      </c>
      <c r="N1082" s="81">
        <v>46130.736238425918</v>
      </c>
      <c r="O1082" t="s">
        <v>58</v>
      </c>
      <c r="P1082" t="s">
        <v>59</v>
      </c>
      <c r="Q1082" t="s">
        <v>90</v>
      </c>
      <c r="R1082" t="s">
        <v>60</v>
      </c>
      <c r="S1082" t="s">
        <v>583</v>
      </c>
      <c r="U1082" s="75">
        <v>235025</v>
      </c>
      <c r="V1082" t="s">
        <v>4750</v>
      </c>
      <c r="W1082" t="s">
        <v>4750</v>
      </c>
      <c r="X1082" t="s">
        <v>62</v>
      </c>
      <c r="Y1082" t="s">
        <v>63</v>
      </c>
      <c r="AA1082" t="s">
        <v>101</v>
      </c>
      <c r="AB1082">
        <v>16.949998999999998</v>
      </c>
      <c r="AC1082">
        <v>4.5833329999999997</v>
      </c>
      <c r="AD1082">
        <v>12.366666</v>
      </c>
      <c r="AE1082">
        <v>1.3833329999999999</v>
      </c>
      <c r="AF1082">
        <v>0</v>
      </c>
      <c r="AG1082">
        <v>10.983333</v>
      </c>
      <c r="AH1082">
        <v>10.983333</v>
      </c>
      <c r="AI1082">
        <v>10.583333</v>
      </c>
      <c r="AJ1082">
        <v>0.4</v>
      </c>
      <c r="AK1082">
        <v>0</v>
      </c>
      <c r="AL1082" s="76">
        <v>45895</v>
      </c>
      <c r="AM1082" s="75">
        <v>235</v>
      </c>
      <c r="AN1082" t="s">
        <v>65</v>
      </c>
      <c r="AO1082" t="s">
        <v>1888</v>
      </c>
      <c r="AP1082" t="s">
        <v>67</v>
      </c>
      <c r="AQ1082" t="s">
        <v>68</v>
      </c>
      <c r="AR1082" t="s">
        <v>69</v>
      </c>
      <c r="AS1082" s="78"/>
      <c r="AT1082" s="82" t="s">
        <v>4423</v>
      </c>
      <c r="AU1082" s="78">
        <v>2026</v>
      </c>
      <c r="AV1082" s="78">
        <v>4</v>
      </c>
      <c r="AW1082" s="78" t="s">
        <v>71</v>
      </c>
      <c r="AX1082" s="78">
        <v>0</v>
      </c>
      <c r="AY1082" s="78">
        <v>0</v>
      </c>
      <c r="BT1082" s="2" t="s">
        <v>71</v>
      </c>
      <c r="BU1082" s="2">
        <v>0</v>
      </c>
      <c r="BV1082" s="2">
        <v>0</v>
      </c>
    </row>
    <row r="1083" spans="1:74" ht="15" customHeight="1" x14ac:dyDescent="0.25">
      <c r="A1083" s="75">
        <v>5912225</v>
      </c>
      <c r="B1083" t="s">
        <v>4751</v>
      </c>
      <c r="C1083" t="s">
        <v>4694</v>
      </c>
      <c r="D1083" t="s">
        <v>3560</v>
      </c>
      <c r="E1083" t="s">
        <v>105</v>
      </c>
      <c r="F1083" s="75">
        <v>1222</v>
      </c>
      <c r="G1083" s="75">
        <v>340853</v>
      </c>
      <c r="H1083">
        <v>442.11</v>
      </c>
      <c r="I1083" t="s">
        <v>175</v>
      </c>
      <c r="J1083" s="75">
        <v>83605</v>
      </c>
      <c r="K1083" t="s">
        <v>844</v>
      </c>
      <c r="L1083" t="s">
        <v>845</v>
      </c>
      <c r="M1083" s="81">
        <v>46121.653402777767</v>
      </c>
      <c r="N1083" s="81">
        <v>46130.738368055558</v>
      </c>
      <c r="O1083" t="s">
        <v>58</v>
      </c>
      <c r="P1083" t="s">
        <v>59</v>
      </c>
      <c r="Q1083" t="s">
        <v>90</v>
      </c>
      <c r="R1083" t="s">
        <v>60</v>
      </c>
      <c r="S1083" t="s">
        <v>583</v>
      </c>
      <c r="U1083" s="75">
        <v>235177</v>
      </c>
      <c r="V1083" t="s">
        <v>4752</v>
      </c>
      <c r="W1083" t="s">
        <v>4753</v>
      </c>
      <c r="X1083" t="s">
        <v>62</v>
      </c>
      <c r="Y1083" t="s">
        <v>63</v>
      </c>
      <c r="AA1083" t="s">
        <v>416</v>
      </c>
      <c r="AB1083">
        <v>217.81666899999999</v>
      </c>
      <c r="AC1083">
        <v>199.2</v>
      </c>
      <c r="AD1083">
        <v>18.616669000000002</v>
      </c>
      <c r="AE1083">
        <v>0.31666699999999998</v>
      </c>
      <c r="AF1083">
        <v>0</v>
      </c>
      <c r="AG1083">
        <v>18.300001999999999</v>
      </c>
      <c r="AH1083">
        <v>18.300001999999999</v>
      </c>
      <c r="AI1083">
        <v>17.233335</v>
      </c>
      <c r="AJ1083">
        <v>1.066667</v>
      </c>
      <c r="AK1083">
        <v>0</v>
      </c>
      <c r="AL1083" s="76">
        <v>45869.70894675926</v>
      </c>
      <c r="AM1083" s="75">
        <v>251</v>
      </c>
      <c r="AN1083" t="s">
        <v>65</v>
      </c>
      <c r="AO1083" t="s">
        <v>3777</v>
      </c>
      <c r="AP1083" t="s">
        <v>67</v>
      </c>
      <c r="AQ1083" t="s">
        <v>68</v>
      </c>
      <c r="AR1083" t="s">
        <v>69</v>
      </c>
      <c r="AS1083" s="79"/>
      <c r="AT1083" s="82" t="s">
        <v>4423</v>
      </c>
      <c r="AU1083" s="78">
        <v>2026</v>
      </c>
      <c r="AV1083" s="78">
        <v>4</v>
      </c>
      <c r="AW1083" s="78" t="s">
        <v>71</v>
      </c>
      <c r="AX1083" s="78">
        <v>0</v>
      </c>
      <c r="AY1083" s="78">
        <v>0</v>
      </c>
      <c r="BT1083" s="3" t="s">
        <v>71</v>
      </c>
      <c r="BU1083" s="3">
        <v>0</v>
      </c>
      <c r="BV1083" s="3">
        <v>0</v>
      </c>
    </row>
    <row r="1084" spans="1:74" ht="15" customHeight="1" x14ac:dyDescent="0.25">
      <c r="A1084" s="75">
        <v>5916945</v>
      </c>
      <c r="B1084" t="s">
        <v>4754</v>
      </c>
      <c r="C1084" t="s">
        <v>4009</v>
      </c>
      <c r="D1084" t="s">
        <v>527</v>
      </c>
      <c r="E1084" t="s">
        <v>87</v>
      </c>
      <c r="F1084" s="75">
        <v>369</v>
      </c>
      <c r="G1084" s="75">
        <v>286779</v>
      </c>
      <c r="H1084">
        <v>364.96</v>
      </c>
      <c r="I1084" t="s">
        <v>55</v>
      </c>
      <c r="J1084" s="75">
        <v>218787</v>
      </c>
      <c r="K1084" t="s">
        <v>96</v>
      </c>
      <c r="L1084" t="s">
        <v>97</v>
      </c>
      <c r="M1084" s="81">
        <v>46125.778333333343</v>
      </c>
      <c r="N1084" s="81">
        <v>46131.320428240739</v>
      </c>
      <c r="O1084" t="s">
        <v>58</v>
      </c>
      <c r="P1084" t="s">
        <v>59</v>
      </c>
      <c r="Q1084" t="s">
        <v>90</v>
      </c>
      <c r="R1084" t="s">
        <v>131</v>
      </c>
      <c r="S1084" t="s">
        <v>1273</v>
      </c>
      <c r="U1084" s="75">
        <v>230349</v>
      </c>
      <c r="V1084" t="s">
        <v>4755</v>
      </c>
      <c r="W1084" t="s">
        <v>4755</v>
      </c>
      <c r="X1084" t="s">
        <v>62</v>
      </c>
      <c r="Y1084" t="s">
        <v>63</v>
      </c>
      <c r="Z1084" t="s">
        <v>4617</v>
      </c>
      <c r="AA1084" t="s">
        <v>416</v>
      </c>
      <c r="AB1084">
        <v>132.933333</v>
      </c>
      <c r="AC1084">
        <v>98.983333000000002</v>
      </c>
      <c r="AD1084">
        <v>33.950000000000003</v>
      </c>
      <c r="AE1084">
        <v>21.666665999999999</v>
      </c>
      <c r="AF1084">
        <v>21.15</v>
      </c>
      <c r="AG1084">
        <v>12.283334</v>
      </c>
      <c r="AH1084">
        <v>33.433334000000002</v>
      </c>
      <c r="AI1084">
        <v>11.15</v>
      </c>
      <c r="AJ1084">
        <v>1.1333340000000001</v>
      </c>
      <c r="AK1084">
        <v>0</v>
      </c>
      <c r="AL1084" s="76">
        <v>44964</v>
      </c>
      <c r="AM1084" s="75">
        <v>1161</v>
      </c>
      <c r="AN1084" t="s">
        <v>65</v>
      </c>
      <c r="AO1084" t="s">
        <v>4011</v>
      </c>
      <c r="AP1084" t="s">
        <v>67</v>
      </c>
      <c r="AQ1084" t="s">
        <v>68</v>
      </c>
      <c r="AR1084" t="s">
        <v>69</v>
      </c>
      <c r="AS1084" s="78"/>
      <c r="AT1084" s="82" t="s">
        <v>4423</v>
      </c>
      <c r="AU1084" s="78">
        <v>2026</v>
      </c>
      <c r="AV1084" s="78">
        <v>4</v>
      </c>
      <c r="AW1084" s="78" t="s">
        <v>71</v>
      </c>
      <c r="AX1084" s="78">
        <v>0</v>
      </c>
      <c r="AY1084" s="78">
        <v>0</v>
      </c>
      <c r="BT1084" s="2" t="s">
        <v>71</v>
      </c>
      <c r="BU1084" s="2">
        <v>0</v>
      </c>
      <c r="BV1084" s="2">
        <v>0</v>
      </c>
    </row>
    <row r="1085" spans="1:74" ht="15" customHeight="1" x14ac:dyDescent="0.25">
      <c r="A1085" s="75">
        <v>5919483</v>
      </c>
      <c r="B1085" t="s">
        <v>4756</v>
      </c>
      <c r="C1085" t="s">
        <v>2625</v>
      </c>
      <c r="D1085" t="s">
        <v>527</v>
      </c>
      <c r="E1085" t="s">
        <v>54</v>
      </c>
      <c r="F1085" s="75">
        <v>2</v>
      </c>
      <c r="G1085" s="75">
        <v>266187</v>
      </c>
      <c r="H1085">
        <v>179.7</v>
      </c>
      <c r="I1085" t="s">
        <v>242</v>
      </c>
      <c r="J1085" s="75">
        <v>211857</v>
      </c>
      <c r="K1085" t="s">
        <v>2626</v>
      </c>
      <c r="L1085" t="s">
        <v>2627</v>
      </c>
      <c r="M1085" s="81">
        <v>46127.361261574071</v>
      </c>
      <c r="N1085" s="81">
        <v>46131.32271990741</v>
      </c>
      <c r="O1085" t="s">
        <v>58</v>
      </c>
      <c r="P1085" t="s">
        <v>59</v>
      </c>
      <c r="Q1085" t="s">
        <v>77</v>
      </c>
      <c r="R1085" t="s">
        <v>131</v>
      </c>
      <c r="S1085" t="s">
        <v>1316</v>
      </c>
      <c r="T1085" t="s">
        <v>507</v>
      </c>
      <c r="U1085" s="75">
        <v>232597</v>
      </c>
      <c r="V1085" t="s">
        <v>4757</v>
      </c>
      <c r="W1085" t="s">
        <v>4758</v>
      </c>
      <c r="X1085" t="s">
        <v>62</v>
      </c>
      <c r="Y1085" t="s">
        <v>2629</v>
      </c>
      <c r="AA1085" t="s">
        <v>416</v>
      </c>
      <c r="AB1085">
        <v>94.983334999999997</v>
      </c>
      <c r="AC1085">
        <v>73.933334000000002</v>
      </c>
      <c r="AD1085">
        <v>21.050001000000002</v>
      </c>
      <c r="AE1085">
        <v>1.6</v>
      </c>
      <c r="AF1085">
        <v>0</v>
      </c>
      <c r="AG1085">
        <v>19.450001</v>
      </c>
      <c r="AH1085">
        <v>19.450001</v>
      </c>
      <c r="AI1085">
        <v>19.033334</v>
      </c>
      <c r="AJ1085">
        <v>0.41666700000000001</v>
      </c>
      <c r="AK1085">
        <v>0</v>
      </c>
      <c r="AL1085" s="76">
        <v>36526</v>
      </c>
      <c r="AM1085" s="75">
        <v>9601</v>
      </c>
      <c r="AN1085" t="s">
        <v>65</v>
      </c>
      <c r="AO1085" t="s">
        <v>2630</v>
      </c>
      <c r="AP1085" t="s">
        <v>67</v>
      </c>
      <c r="AQ1085" t="s">
        <v>68</v>
      </c>
      <c r="AR1085" t="s">
        <v>69</v>
      </c>
      <c r="AS1085" s="79"/>
      <c r="AT1085" s="82" t="s">
        <v>4423</v>
      </c>
      <c r="AU1085" s="78">
        <v>2026</v>
      </c>
      <c r="AV1085" s="78">
        <v>4</v>
      </c>
      <c r="AW1085" s="78" t="s">
        <v>71</v>
      </c>
      <c r="AX1085" s="78">
        <v>0</v>
      </c>
      <c r="AY1085" s="78">
        <v>0</v>
      </c>
      <c r="BT1085" s="3" t="s">
        <v>71</v>
      </c>
      <c r="BU1085" s="3">
        <v>0</v>
      </c>
      <c r="BV1085" s="3">
        <v>0</v>
      </c>
    </row>
    <row r="1086" spans="1:74" ht="15" customHeight="1" x14ac:dyDescent="0.25">
      <c r="A1086" s="75">
        <v>5920387</v>
      </c>
      <c r="B1086" t="s">
        <v>4759</v>
      </c>
      <c r="C1086" t="s">
        <v>4760</v>
      </c>
      <c r="D1086" t="s">
        <v>527</v>
      </c>
      <c r="E1086" t="s">
        <v>54</v>
      </c>
      <c r="F1086" s="75">
        <v>794</v>
      </c>
      <c r="G1086" s="75">
        <v>272185</v>
      </c>
      <c r="H1086">
        <v>750</v>
      </c>
      <c r="I1086" t="s">
        <v>242</v>
      </c>
      <c r="J1086" s="75">
        <v>42041</v>
      </c>
      <c r="K1086" t="s">
        <v>1700</v>
      </c>
      <c r="L1086" t="s">
        <v>1701</v>
      </c>
      <c r="M1086" s="81">
        <v>46127.530023148152</v>
      </c>
      <c r="N1086" s="81">
        <v>46131.327048611107</v>
      </c>
      <c r="O1086" t="s">
        <v>58</v>
      </c>
      <c r="P1086" t="s">
        <v>59</v>
      </c>
      <c r="Q1086" t="s">
        <v>130</v>
      </c>
      <c r="R1086" t="s">
        <v>60</v>
      </c>
      <c r="S1086" t="s">
        <v>583</v>
      </c>
      <c r="T1086" t="s">
        <v>507</v>
      </c>
      <c r="U1086" s="75">
        <v>232607</v>
      </c>
      <c r="V1086" t="s">
        <v>4761</v>
      </c>
      <c r="W1086" t="s">
        <v>4762</v>
      </c>
      <c r="X1086" t="s">
        <v>62</v>
      </c>
      <c r="Y1086" t="s">
        <v>63</v>
      </c>
      <c r="AA1086" t="s">
        <v>64</v>
      </c>
      <c r="AB1086">
        <v>91.066666999999995</v>
      </c>
      <c r="AC1086">
        <v>83.566666999999995</v>
      </c>
      <c r="AD1086">
        <v>7.5</v>
      </c>
      <c r="AE1086">
        <v>1.6666669999999999</v>
      </c>
      <c r="AF1086">
        <v>0</v>
      </c>
      <c r="AG1086">
        <v>5.8333329999999997</v>
      </c>
      <c r="AH1086">
        <v>5.8333329999999997</v>
      </c>
      <c r="AI1086">
        <v>5.6833330000000002</v>
      </c>
      <c r="AJ1086">
        <v>0.15</v>
      </c>
      <c r="AK1086">
        <v>0</v>
      </c>
      <c r="AL1086" s="76">
        <v>36526</v>
      </c>
      <c r="AM1086" s="75">
        <v>9601</v>
      </c>
      <c r="AN1086" t="s">
        <v>65</v>
      </c>
      <c r="AO1086" t="s">
        <v>1705</v>
      </c>
      <c r="AP1086" t="s">
        <v>67</v>
      </c>
      <c r="AQ1086" t="s">
        <v>68</v>
      </c>
      <c r="AR1086" t="s">
        <v>69</v>
      </c>
      <c r="AS1086" s="78"/>
      <c r="AT1086" s="82" t="s">
        <v>4423</v>
      </c>
      <c r="AU1086" s="78">
        <v>2026</v>
      </c>
      <c r="AV1086" s="78">
        <v>4</v>
      </c>
      <c r="AW1086" s="78" t="s">
        <v>71</v>
      </c>
      <c r="AX1086" s="78">
        <v>1</v>
      </c>
      <c r="AY1086" s="78">
        <v>0</v>
      </c>
      <c r="BT1086" s="2" t="s">
        <v>71</v>
      </c>
      <c r="BU1086" s="2">
        <v>1</v>
      </c>
      <c r="BV1086" s="2">
        <v>0</v>
      </c>
    </row>
    <row r="1087" spans="1:74" ht="15" customHeight="1" x14ac:dyDescent="0.25">
      <c r="A1087" s="75">
        <v>5920997</v>
      </c>
      <c r="B1087" t="s">
        <v>4763</v>
      </c>
      <c r="C1087" t="s">
        <v>1631</v>
      </c>
      <c r="D1087" t="s">
        <v>527</v>
      </c>
      <c r="E1087" t="s">
        <v>87</v>
      </c>
      <c r="F1087" s="75">
        <v>508</v>
      </c>
      <c r="G1087" s="75">
        <v>292003</v>
      </c>
      <c r="H1087">
        <v>364.95</v>
      </c>
      <c r="I1087" t="s">
        <v>55</v>
      </c>
      <c r="J1087" s="75">
        <v>218787</v>
      </c>
      <c r="K1087" t="s">
        <v>96</v>
      </c>
      <c r="L1087" t="s">
        <v>97</v>
      </c>
      <c r="M1087" s="81">
        <v>46127.785196759258</v>
      </c>
      <c r="N1087" s="81">
        <v>46131.329108796293</v>
      </c>
      <c r="O1087" t="s">
        <v>58</v>
      </c>
      <c r="P1087" t="s">
        <v>59</v>
      </c>
      <c r="Q1087" t="s">
        <v>90</v>
      </c>
      <c r="R1087" t="s">
        <v>60</v>
      </c>
      <c r="S1087" t="s">
        <v>583</v>
      </c>
      <c r="U1087" s="75">
        <v>232631</v>
      </c>
      <c r="V1087" t="s">
        <v>4764</v>
      </c>
      <c r="W1087" t="s">
        <v>4764</v>
      </c>
      <c r="X1087" t="s">
        <v>62</v>
      </c>
      <c r="Y1087" t="s">
        <v>63</v>
      </c>
      <c r="AA1087" t="s">
        <v>64</v>
      </c>
      <c r="AB1087">
        <v>84.983333000000002</v>
      </c>
      <c r="AC1087">
        <v>77.733333000000002</v>
      </c>
      <c r="AD1087">
        <v>7.25</v>
      </c>
      <c r="AE1087">
        <v>0.26666699999999999</v>
      </c>
      <c r="AF1087">
        <v>0</v>
      </c>
      <c r="AG1087">
        <v>6.983333</v>
      </c>
      <c r="AH1087">
        <v>6.983333</v>
      </c>
      <c r="AI1087">
        <v>6.5833329999999997</v>
      </c>
      <c r="AJ1087">
        <v>0.4</v>
      </c>
      <c r="AK1087">
        <v>0</v>
      </c>
      <c r="AL1087" s="76">
        <v>45156</v>
      </c>
      <c r="AM1087" s="75">
        <v>971</v>
      </c>
      <c r="AN1087" t="s">
        <v>65</v>
      </c>
      <c r="AO1087" t="s">
        <v>1634</v>
      </c>
      <c r="AP1087" t="s">
        <v>67</v>
      </c>
      <c r="AQ1087" t="s">
        <v>68</v>
      </c>
      <c r="AR1087" t="s">
        <v>69</v>
      </c>
      <c r="AS1087" s="79"/>
      <c r="AT1087" s="82" t="s">
        <v>4423</v>
      </c>
      <c r="AU1087" s="78">
        <v>2026</v>
      </c>
      <c r="AV1087" s="78">
        <v>4</v>
      </c>
      <c r="AW1087" s="78" t="s">
        <v>71</v>
      </c>
      <c r="AX1087" s="78">
        <v>1</v>
      </c>
      <c r="AY1087" s="78">
        <v>0</v>
      </c>
      <c r="BT1087" s="3" t="s">
        <v>71</v>
      </c>
      <c r="BU1087" s="3">
        <v>1</v>
      </c>
      <c r="BV1087" s="3">
        <v>0</v>
      </c>
    </row>
    <row r="1088" spans="1:74" ht="15" customHeight="1" x14ac:dyDescent="0.25">
      <c r="A1088" s="75">
        <v>5920907</v>
      </c>
      <c r="B1088" t="s">
        <v>4765</v>
      </c>
      <c r="C1088" t="s">
        <v>4766</v>
      </c>
      <c r="D1088" t="s">
        <v>527</v>
      </c>
      <c r="E1088" t="s">
        <v>54</v>
      </c>
      <c r="F1088" s="75">
        <v>17</v>
      </c>
      <c r="G1088" s="75">
        <v>300001</v>
      </c>
      <c r="H1088">
        <v>640</v>
      </c>
      <c r="I1088" t="s">
        <v>55</v>
      </c>
      <c r="J1088" s="75">
        <v>202197</v>
      </c>
      <c r="K1088" t="s">
        <v>305</v>
      </c>
      <c r="L1088" t="s">
        <v>306</v>
      </c>
      <c r="M1088" s="81">
        <v>46127.715775462973</v>
      </c>
      <c r="N1088" s="81">
        <v>46131.329548611109</v>
      </c>
      <c r="O1088" t="s">
        <v>58</v>
      </c>
      <c r="P1088" t="s">
        <v>59</v>
      </c>
      <c r="Q1088" t="s">
        <v>90</v>
      </c>
      <c r="R1088" t="s">
        <v>131</v>
      </c>
      <c r="S1088" t="s">
        <v>1273</v>
      </c>
      <c r="U1088" s="75">
        <v>232625</v>
      </c>
      <c r="V1088" t="s">
        <v>4767</v>
      </c>
      <c r="W1088" t="s">
        <v>4768</v>
      </c>
      <c r="X1088" t="s">
        <v>79</v>
      </c>
      <c r="Y1088" t="s">
        <v>224</v>
      </c>
      <c r="AA1088" t="s">
        <v>101</v>
      </c>
      <c r="AB1088">
        <v>86.65</v>
      </c>
      <c r="AC1088">
        <v>75.233333000000002</v>
      </c>
      <c r="AD1088">
        <v>11.416667</v>
      </c>
      <c r="AE1088">
        <v>0.45</v>
      </c>
      <c r="AF1088">
        <v>0</v>
      </c>
      <c r="AG1088">
        <v>10.966666999999999</v>
      </c>
      <c r="AH1088">
        <v>10.966666999999999</v>
      </c>
      <c r="AI1088">
        <v>10.45</v>
      </c>
      <c r="AJ1088">
        <v>0.51666699999999999</v>
      </c>
      <c r="AK1088">
        <v>0</v>
      </c>
      <c r="AL1088" s="76">
        <v>45316</v>
      </c>
      <c r="AM1088" s="75">
        <v>811</v>
      </c>
      <c r="AN1088" t="s">
        <v>65</v>
      </c>
      <c r="AO1088" t="s">
        <v>2428</v>
      </c>
      <c r="AP1088" t="s">
        <v>67</v>
      </c>
      <c r="AQ1088" t="s">
        <v>83</v>
      </c>
      <c r="AR1088" t="s">
        <v>69</v>
      </c>
      <c r="AS1088" s="78"/>
      <c r="AT1088" s="82" t="s">
        <v>4423</v>
      </c>
      <c r="AU1088" s="78">
        <v>2026</v>
      </c>
      <c r="AV1088" s="78">
        <v>4</v>
      </c>
      <c r="AW1088" s="78" t="s">
        <v>226</v>
      </c>
      <c r="AX1088" s="78">
        <v>0</v>
      </c>
      <c r="AY1088" s="78">
        <v>0</v>
      </c>
      <c r="BT1088" s="2" t="s">
        <v>226</v>
      </c>
      <c r="BU1088" s="2">
        <v>0</v>
      </c>
      <c r="BV1088" s="2">
        <v>0</v>
      </c>
    </row>
    <row r="1089" spans="1:74" ht="15" customHeight="1" x14ac:dyDescent="0.25">
      <c r="A1089" s="75">
        <v>5921477</v>
      </c>
      <c r="B1089" t="s">
        <v>4769</v>
      </c>
      <c r="C1089" t="s">
        <v>4770</v>
      </c>
      <c r="D1089" t="s">
        <v>527</v>
      </c>
      <c r="E1089" t="s">
        <v>54</v>
      </c>
      <c r="F1089" s="75">
        <v>1</v>
      </c>
      <c r="G1089" s="75">
        <v>290161</v>
      </c>
      <c r="H1089">
        <v>1399.9</v>
      </c>
      <c r="I1089" t="s">
        <v>114</v>
      </c>
      <c r="J1089" s="75">
        <v>217513</v>
      </c>
      <c r="K1089" t="s">
        <v>4771</v>
      </c>
      <c r="L1089" t="s">
        <v>4772</v>
      </c>
      <c r="M1089" s="81">
        <v>46128.379224537042</v>
      </c>
      <c r="N1089" s="81">
        <v>46131.334097222221</v>
      </c>
      <c r="O1089" t="s">
        <v>58</v>
      </c>
      <c r="P1089" t="s">
        <v>59</v>
      </c>
      <c r="Q1089" t="s">
        <v>130</v>
      </c>
      <c r="R1089" t="s">
        <v>144</v>
      </c>
      <c r="S1089" t="s">
        <v>1901</v>
      </c>
      <c r="U1089" s="75">
        <v>233253</v>
      </c>
      <c r="V1089" t="s">
        <v>4773</v>
      </c>
      <c r="W1089" t="s">
        <v>4773</v>
      </c>
      <c r="X1089" t="s">
        <v>79</v>
      </c>
      <c r="Y1089" t="s">
        <v>224</v>
      </c>
      <c r="AA1089" t="s">
        <v>64</v>
      </c>
      <c r="AB1089">
        <v>70.849997999999999</v>
      </c>
      <c r="AC1089">
        <v>65.433333000000005</v>
      </c>
      <c r="AD1089">
        <v>5.4166650000000001</v>
      </c>
      <c r="AE1089">
        <v>0.249999</v>
      </c>
      <c r="AF1089">
        <v>0</v>
      </c>
      <c r="AG1089">
        <v>5.1666660000000002</v>
      </c>
      <c r="AH1089">
        <v>5.1666660000000002</v>
      </c>
      <c r="AI1089">
        <v>4.9166660000000002</v>
      </c>
      <c r="AJ1089">
        <v>0.25</v>
      </c>
      <c r="AK1089">
        <v>0</v>
      </c>
      <c r="AL1089" s="76">
        <v>45069</v>
      </c>
      <c r="AM1089" s="75">
        <v>1059</v>
      </c>
      <c r="AN1089" t="s">
        <v>65</v>
      </c>
      <c r="AO1089" t="s">
        <v>4774</v>
      </c>
      <c r="AP1089" t="s">
        <v>67</v>
      </c>
      <c r="AQ1089" t="s">
        <v>83</v>
      </c>
      <c r="AR1089" t="s">
        <v>69</v>
      </c>
      <c r="AS1089" s="79"/>
      <c r="AT1089" s="82" t="s">
        <v>4423</v>
      </c>
      <c r="AU1089" s="78">
        <v>2026</v>
      </c>
      <c r="AV1089" s="78">
        <v>4</v>
      </c>
      <c r="AW1089" s="78" t="s">
        <v>226</v>
      </c>
      <c r="AX1089" s="78">
        <v>1</v>
      </c>
      <c r="AY1089" s="78">
        <v>0</v>
      </c>
      <c r="BT1089" s="3" t="s">
        <v>226</v>
      </c>
      <c r="BU1089" s="3">
        <v>1</v>
      </c>
      <c r="BV1089" s="3">
        <v>0</v>
      </c>
    </row>
    <row r="1090" spans="1:74" ht="15" customHeight="1" x14ac:dyDescent="0.25">
      <c r="A1090" s="75">
        <v>5922081</v>
      </c>
      <c r="B1090" t="s">
        <v>4775</v>
      </c>
      <c r="C1090" t="s">
        <v>4776</v>
      </c>
      <c r="D1090" t="s">
        <v>527</v>
      </c>
      <c r="E1090" t="s">
        <v>54</v>
      </c>
      <c r="F1090" s="75">
        <v>1</v>
      </c>
      <c r="G1090" s="75">
        <v>322413</v>
      </c>
      <c r="H1090">
        <v>700</v>
      </c>
      <c r="I1090" t="s">
        <v>114</v>
      </c>
      <c r="J1090" s="75">
        <v>225511</v>
      </c>
      <c r="K1090" t="s">
        <v>3222</v>
      </c>
      <c r="L1090" t="s">
        <v>3223</v>
      </c>
      <c r="M1090" s="81">
        <v>46128.531076388892</v>
      </c>
      <c r="N1090" s="81">
        <v>46131.335231481477</v>
      </c>
      <c r="O1090" t="s">
        <v>58</v>
      </c>
      <c r="P1090" t="s">
        <v>59</v>
      </c>
      <c r="Q1090" t="s">
        <v>130</v>
      </c>
      <c r="R1090" t="s">
        <v>60</v>
      </c>
      <c r="S1090" t="s">
        <v>583</v>
      </c>
      <c r="U1090" s="75">
        <v>233911</v>
      </c>
      <c r="V1090" t="s">
        <v>4777</v>
      </c>
      <c r="W1090" t="s">
        <v>4778</v>
      </c>
      <c r="X1090" t="s">
        <v>62</v>
      </c>
      <c r="Y1090" t="s">
        <v>63</v>
      </c>
      <c r="AA1090" t="s">
        <v>416</v>
      </c>
      <c r="AB1090">
        <v>67.216666000000004</v>
      </c>
      <c r="AC1090">
        <v>47.033334000000004</v>
      </c>
      <c r="AD1090">
        <v>20.183332</v>
      </c>
      <c r="AE1090">
        <v>0.86666600000000005</v>
      </c>
      <c r="AF1090">
        <v>0</v>
      </c>
      <c r="AG1090">
        <v>19.316666000000001</v>
      </c>
      <c r="AH1090">
        <v>19.316666000000001</v>
      </c>
      <c r="AI1090">
        <v>18.583333</v>
      </c>
      <c r="AJ1090">
        <v>0.73333300000000001</v>
      </c>
      <c r="AK1090">
        <v>0</v>
      </c>
      <c r="AL1090" s="76">
        <v>45497.894270833327</v>
      </c>
      <c r="AM1090" s="75">
        <v>630</v>
      </c>
      <c r="AN1090" t="s">
        <v>65</v>
      </c>
      <c r="AO1090" t="s">
        <v>3225</v>
      </c>
      <c r="AP1090" t="s">
        <v>67</v>
      </c>
      <c r="AQ1090" t="s">
        <v>68</v>
      </c>
      <c r="AR1090" t="s">
        <v>69</v>
      </c>
      <c r="AS1090" s="78"/>
      <c r="AT1090" s="82" t="s">
        <v>4423</v>
      </c>
      <c r="AU1090" s="78">
        <v>2026</v>
      </c>
      <c r="AV1090" s="78">
        <v>4</v>
      </c>
      <c r="AW1090" s="78" t="s">
        <v>71</v>
      </c>
      <c r="AX1090" s="78">
        <v>0</v>
      </c>
      <c r="AY1090" s="78">
        <v>0</v>
      </c>
      <c r="BT1090" s="2" t="s">
        <v>71</v>
      </c>
      <c r="BU1090" s="2">
        <v>0</v>
      </c>
      <c r="BV1090" s="2">
        <v>0</v>
      </c>
    </row>
    <row r="1091" spans="1:74" ht="15" customHeight="1" x14ac:dyDescent="0.25">
      <c r="A1091" s="75">
        <v>5922511</v>
      </c>
      <c r="B1091" t="s">
        <v>4779</v>
      </c>
      <c r="C1091" t="s">
        <v>3772</v>
      </c>
      <c r="D1091" t="s">
        <v>527</v>
      </c>
      <c r="E1091" t="s">
        <v>87</v>
      </c>
      <c r="F1091" s="75">
        <v>246</v>
      </c>
      <c r="G1091" s="75">
        <v>286333</v>
      </c>
      <c r="H1091">
        <v>364.96</v>
      </c>
      <c r="I1091" t="s">
        <v>55</v>
      </c>
      <c r="J1091" s="75">
        <v>218787</v>
      </c>
      <c r="K1091" t="s">
        <v>96</v>
      </c>
      <c r="L1091" t="s">
        <v>97</v>
      </c>
      <c r="M1091" s="81">
        <v>46128.563055555547</v>
      </c>
      <c r="N1091" s="81">
        <v>46131.335370370369</v>
      </c>
      <c r="O1091" t="s">
        <v>58</v>
      </c>
      <c r="P1091" t="s">
        <v>59</v>
      </c>
      <c r="Q1091" t="s">
        <v>90</v>
      </c>
      <c r="R1091" t="s">
        <v>131</v>
      </c>
      <c r="S1091" t="s">
        <v>1273</v>
      </c>
      <c r="U1091" s="75">
        <v>233463</v>
      </c>
      <c r="V1091" t="s">
        <v>4780</v>
      </c>
      <c r="W1091" t="s">
        <v>4780</v>
      </c>
      <c r="X1091" t="s">
        <v>62</v>
      </c>
      <c r="Y1091" t="s">
        <v>63</v>
      </c>
      <c r="AA1091" t="s">
        <v>81</v>
      </c>
      <c r="AB1091">
        <v>66.5</v>
      </c>
      <c r="AC1091">
        <v>63.116667</v>
      </c>
      <c r="AD1091">
        <v>3.3833329999999999</v>
      </c>
      <c r="AE1091">
        <v>0.183333</v>
      </c>
      <c r="AF1091">
        <v>0</v>
      </c>
      <c r="AG1091">
        <v>3.2</v>
      </c>
      <c r="AH1091">
        <v>3.2</v>
      </c>
      <c r="AI1091">
        <v>3</v>
      </c>
      <c r="AJ1091">
        <v>0.2</v>
      </c>
      <c r="AK1091">
        <v>0</v>
      </c>
      <c r="AL1091" s="76">
        <v>44888</v>
      </c>
      <c r="AM1091" s="75">
        <v>1240</v>
      </c>
      <c r="AN1091" t="s">
        <v>65</v>
      </c>
      <c r="AO1091" t="s">
        <v>3774</v>
      </c>
      <c r="AP1091" t="s">
        <v>67</v>
      </c>
      <c r="AQ1091" t="s">
        <v>68</v>
      </c>
      <c r="AR1091" t="s">
        <v>69</v>
      </c>
      <c r="AS1091" s="79"/>
      <c r="AT1091" s="82" t="s">
        <v>4423</v>
      </c>
      <c r="AU1091" s="78">
        <v>2026</v>
      </c>
      <c r="AV1091" s="78">
        <v>4</v>
      </c>
      <c r="AW1091" s="78" t="s">
        <v>71</v>
      </c>
      <c r="AX1091" s="78">
        <v>1</v>
      </c>
      <c r="AY1091" s="78">
        <v>0</v>
      </c>
      <c r="BT1091" s="3" t="s">
        <v>71</v>
      </c>
      <c r="BU1091" s="3">
        <v>1</v>
      </c>
      <c r="BV1091" s="3">
        <v>0</v>
      </c>
    </row>
    <row r="1092" spans="1:74" ht="15" customHeight="1" x14ac:dyDescent="0.25">
      <c r="A1092" s="75">
        <v>5922513</v>
      </c>
      <c r="B1092" t="s">
        <v>4781</v>
      </c>
      <c r="C1092" t="s">
        <v>3764</v>
      </c>
      <c r="D1092" t="s">
        <v>527</v>
      </c>
      <c r="E1092" t="s">
        <v>87</v>
      </c>
      <c r="F1092" s="75">
        <v>69</v>
      </c>
      <c r="G1092" s="75">
        <v>275387</v>
      </c>
      <c r="H1092">
        <v>368.16</v>
      </c>
      <c r="I1092" t="s">
        <v>55</v>
      </c>
      <c r="J1092" s="75">
        <v>218791</v>
      </c>
      <c r="K1092" t="s">
        <v>312</v>
      </c>
      <c r="L1092" t="s">
        <v>313</v>
      </c>
      <c r="M1092" s="81">
        <v>46128.563078703701</v>
      </c>
      <c r="N1092" s="81">
        <v>46131.3359375</v>
      </c>
      <c r="O1092" t="s">
        <v>58</v>
      </c>
      <c r="P1092" t="s">
        <v>59</v>
      </c>
      <c r="Q1092" t="s">
        <v>90</v>
      </c>
      <c r="R1092" t="s">
        <v>131</v>
      </c>
      <c r="S1092" t="s">
        <v>1273</v>
      </c>
      <c r="U1092" s="75">
        <v>233457</v>
      </c>
      <c r="V1092" t="s">
        <v>4782</v>
      </c>
      <c r="W1092" t="s">
        <v>4782</v>
      </c>
      <c r="X1092" t="s">
        <v>62</v>
      </c>
      <c r="Y1092" t="s">
        <v>63</v>
      </c>
      <c r="AA1092" t="s">
        <v>81</v>
      </c>
      <c r="AB1092">
        <v>66.5</v>
      </c>
      <c r="AC1092">
        <v>63.083333000000003</v>
      </c>
      <c r="AD1092">
        <v>3.4166669999999999</v>
      </c>
      <c r="AE1092">
        <v>0.23333300000000001</v>
      </c>
      <c r="AF1092">
        <v>0</v>
      </c>
      <c r="AG1092">
        <v>3.1833339999999999</v>
      </c>
      <c r="AH1092">
        <v>3.1833339999999999</v>
      </c>
      <c r="AI1092">
        <v>3.1166670000000001</v>
      </c>
      <c r="AJ1092">
        <v>6.6667000000000004E-2</v>
      </c>
      <c r="AK1092">
        <v>0</v>
      </c>
      <c r="AL1092" s="76">
        <v>44872.707546296297</v>
      </c>
      <c r="AM1092" s="75">
        <v>1255</v>
      </c>
      <c r="AN1092" t="s">
        <v>65</v>
      </c>
      <c r="AO1092" t="s">
        <v>3766</v>
      </c>
      <c r="AP1092" t="s">
        <v>67</v>
      </c>
      <c r="AQ1092" t="s">
        <v>68</v>
      </c>
      <c r="AR1092" t="s">
        <v>69</v>
      </c>
      <c r="AS1092" s="78"/>
      <c r="AT1092" s="82" t="s">
        <v>4423</v>
      </c>
      <c r="AU1092" s="78">
        <v>2026</v>
      </c>
      <c r="AV1092" s="78">
        <v>4</v>
      </c>
      <c r="AW1092" s="78" t="s">
        <v>71</v>
      </c>
      <c r="AX1092" s="78">
        <v>1</v>
      </c>
      <c r="AY1092" s="78">
        <v>0</v>
      </c>
      <c r="BT1092" s="2" t="s">
        <v>71</v>
      </c>
      <c r="BU1092" s="2">
        <v>1</v>
      </c>
      <c r="BV1092" s="2">
        <v>0</v>
      </c>
    </row>
    <row r="1093" spans="1:74" ht="15" customHeight="1" x14ac:dyDescent="0.25">
      <c r="A1093" s="75">
        <v>5922559</v>
      </c>
      <c r="B1093" t="s">
        <v>4783</v>
      </c>
      <c r="C1093" t="s">
        <v>4784</v>
      </c>
      <c r="D1093" t="s">
        <v>527</v>
      </c>
      <c r="E1093" t="s">
        <v>105</v>
      </c>
      <c r="F1093" s="75">
        <v>49</v>
      </c>
      <c r="G1093" s="75">
        <v>328355</v>
      </c>
      <c r="H1093">
        <v>399</v>
      </c>
      <c r="I1093" t="s">
        <v>141</v>
      </c>
      <c r="J1093" s="75">
        <v>175487</v>
      </c>
      <c r="K1093" t="s">
        <v>1529</v>
      </c>
      <c r="L1093" t="s">
        <v>1530</v>
      </c>
      <c r="M1093" s="81">
        <v>46128.575902777768</v>
      </c>
      <c r="N1093" s="81">
        <v>46131.336087962962</v>
      </c>
      <c r="O1093" t="s">
        <v>58</v>
      </c>
      <c r="P1093" t="s">
        <v>59</v>
      </c>
      <c r="Q1093" t="s">
        <v>130</v>
      </c>
      <c r="R1093" t="s">
        <v>60</v>
      </c>
      <c r="S1093" t="s">
        <v>583</v>
      </c>
      <c r="U1093" s="75">
        <v>233927</v>
      </c>
      <c r="V1093" t="s">
        <v>4785</v>
      </c>
      <c r="W1093" t="s">
        <v>4786</v>
      </c>
      <c r="X1093" t="s">
        <v>62</v>
      </c>
      <c r="Y1093" t="s">
        <v>63</v>
      </c>
      <c r="AA1093" t="s">
        <v>416</v>
      </c>
      <c r="AB1093">
        <v>66.116665999999995</v>
      </c>
      <c r="AC1093">
        <v>50.233333000000002</v>
      </c>
      <c r="AD1093">
        <v>15.883333</v>
      </c>
      <c r="AE1093">
        <v>0.46666600000000003</v>
      </c>
      <c r="AF1093">
        <v>0</v>
      </c>
      <c r="AG1093">
        <v>15.416667</v>
      </c>
      <c r="AH1093">
        <v>15.416667</v>
      </c>
      <c r="AI1093">
        <v>15</v>
      </c>
      <c r="AJ1093">
        <v>0.41666700000000001</v>
      </c>
      <c r="AK1093">
        <v>0</v>
      </c>
      <c r="AL1093" s="76">
        <v>45681</v>
      </c>
      <c r="AM1093" s="75">
        <v>447</v>
      </c>
      <c r="AN1093" t="s">
        <v>65</v>
      </c>
      <c r="AO1093" t="s">
        <v>4787</v>
      </c>
      <c r="AP1093" t="s">
        <v>67</v>
      </c>
      <c r="AQ1093" t="s">
        <v>68</v>
      </c>
      <c r="AR1093" t="s">
        <v>69</v>
      </c>
      <c r="AS1093" s="79"/>
      <c r="AT1093" s="82" t="s">
        <v>4423</v>
      </c>
      <c r="AU1093" s="78">
        <v>2026</v>
      </c>
      <c r="AV1093" s="78">
        <v>4</v>
      </c>
      <c r="AW1093" s="78" t="s">
        <v>71</v>
      </c>
      <c r="AX1093" s="78">
        <v>0</v>
      </c>
      <c r="AY1093" s="78">
        <v>0</v>
      </c>
      <c r="BT1093" s="3" t="s">
        <v>71</v>
      </c>
      <c r="BU1093" s="3">
        <v>0</v>
      </c>
      <c r="BV1093" s="3">
        <v>0</v>
      </c>
    </row>
    <row r="1094" spans="1:74" ht="15" customHeight="1" x14ac:dyDescent="0.25">
      <c r="A1094" s="75">
        <v>5922755</v>
      </c>
      <c r="B1094" t="s">
        <v>4788</v>
      </c>
      <c r="C1094" t="s">
        <v>4789</v>
      </c>
      <c r="D1094" t="s">
        <v>527</v>
      </c>
      <c r="E1094" t="s">
        <v>87</v>
      </c>
      <c r="F1094" s="75">
        <v>621</v>
      </c>
      <c r="G1094" s="75">
        <v>346639</v>
      </c>
      <c r="H1094">
        <v>569.71</v>
      </c>
      <c r="I1094" t="s">
        <v>175</v>
      </c>
      <c r="J1094" s="75">
        <v>216233</v>
      </c>
      <c r="K1094" t="s">
        <v>88</v>
      </c>
      <c r="L1094" t="s">
        <v>89</v>
      </c>
      <c r="M1094" s="81">
        <v>46128.632476851853</v>
      </c>
      <c r="N1094" s="81">
        <v>46131.338437500002</v>
      </c>
      <c r="O1094" t="s">
        <v>58</v>
      </c>
      <c r="P1094" t="s">
        <v>59</v>
      </c>
      <c r="Q1094" t="s">
        <v>90</v>
      </c>
      <c r="R1094" t="s">
        <v>99</v>
      </c>
      <c r="S1094" t="s">
        <v>1244</v>
      </c>
      <c r="U1094" s="75">
        <v>233939</v>
      </c>
      <c r="V1094" t="s">
        <v>4790</v>
      </c>
      <c r="X1094" t="s">
        <v>62</v>
      </c>
      <c r="Y1094" t="s">
        <v>63</v>
      </c>
      <c r="AA1094" t="s">
        <v>81</v>
      </c>
      <c r="AB1094">
        <v>64.900000000000006</v>
      </c>
      <c r="AC1094">
        <v>63.483333000000002</v>
      </c>
      <c r="AD1094">
        <v>1.4166669999999999</v>
      </c>
      <c r="AE1094">
        <v>0.65</v>
      </c>
      <c r="AF1094">
        <v>0</v>
      </c>
      <c r="AG1094">
        <v>0.76666699999999999</v>
      </c>
      <c r="AH1094">
        <v>0.76666699999999999</v>
      </c>
      <c r="AI1094">
        <v>0</v>
      </c>
      <c r="AJ1094">
        <v>0.76666699999999999</v>
      </c>
      <c r="AK1094">
        <v>0</v>
      </c>
      <c r="AL1094" s="76">
        <v>45960</v>
      </c>
      <c r="AM1094" s="75">
        <v>168</v>
      </c>
      <c r="AN1094" t="s">
        <v>65</v>
      </c>
      <c r="AO1094" t="s">
        <v>4564</v>
      </c>
      <c r="AP1094" t="s">
        <v>67</v>
      </c>
      <c r="AQ1094" t="s">
        <v>68</v>
      </c>
      <c r="AR1094" t="s">
        <v>69</v>
      </c>
      <c r="AS1094" s="78"/>
      <c r="AT1094" s="82" t="s">
        <v>4423</v>
      </c>
      <c r="AU1094" s="78">
        <v>2026</v>
      </c>
      <c r="AV1094" s="78">
        <v>4</v>
      </c>
      <c r="AW1094" s="78" t="s">
        <v>71</v>
      </c>
      <c r="AX1094" s="78">
        <v>1</v>
      </c>
      <c r="AY1094" s="78">
        <v>0</v>
      </c>
      <c r="BT1094" s="2" t="s">
        <v>71</v>
      </c>
      <c r="BU1094" s="2">
        <v>1</v>
      </c>
      <c r="BV1094" s="2">
        <v>0</v>
      </c>
    </row>
    <row r="1095" spans="1:74" ht="15" customHeight="1" x14ac:dyDescent="0.25">
      <c r="A1095" s="75">
        <v>5922975</v>
      </c>
      <c r="B1095" t="s">
        <v>4791</v>
      </c>
      <c r="C1095" t="s">
        <v>4792</v>
      </c>
      <c r="D1095" t="s">
        <v>527</v>
      </c>
      <c r="E1095" t="s">
        <v>87</v>
      </c>
      <c r="F1095" s="75">
        <v>300</v>
      </c>
      <c r="G1095" s="75">
        <v>285733</v>
      </c>
      <c r="H1095">
        <v>616.59</v>
      </c>
      <c r="I1095" t="s">
        <v>266</v>
      </c>
      <c r="J1095" s="75">
        <v>49495</v>
      </c>
      <c r="K1095" t="s">
        <v>460</v>
      </c>
      <c r="L1095" t="s">
        <v>461</v>
      </c>
      <c r="M1095" s="81">
        <v>46128.695381944453</v>
      </c>
      <c r="N1095" s="81">
        <v>46131.340474537043</v>
      </c>
      <c r="O1095" t="s">
        <v>58</v>
      </c>
      <c r="P1095" t="s">
        <v>59</v>
      </c>
      <c r="Q1095" t="s">
        <v>90</v>
      </c>
      <c r="R1095" t="s">
        <v>156</v>
      </c>
      <c r="S1095" t="s">
        <v>1311</v>
      </c>
      <c r="U1095" s="75">
        <v>234435</v>
      </c>
      <c r="V1095" t="s">
        <v>4793</v>
      </c>
      <c r="W1095" t="s">
        <v>4793</v>
      </c>
      <c r="X1095" t="s">
        <v>62</v>
      </c>
      <c r="Y1095" t="s">
        <v>1049</v>
      </c>
      <c r="AA1095" t="s">
        <v>64</v>
      </c>
      <c r="AB1095">
        <v>63.399999000000001</v>
      </c>
      <c r="AC1095">
        <v>52.783332999999999</v>
      </c>
      <c r="AD1095">
        <v>10.616666</v>
      </c>
      <c r="AE1095">
        <v>3.05</v>
      </c>
      <c r="AF1095">
        <v>0</v>
      </c>
      <c r="AG1095">
        <v>7.5666659999999997</v>
      </c>
      <c r="AH1095">
        <v>7.5666659999999997</v>
      </c>
      <c r="AI1095">
        <v>6.5833329999999997</v>
      </c>
      <c r="AJ1095">
        <v>0.98333300000000001</v>
      </c>
      <c r="AK1095">
        <v>0</v>
      </c>
      <c r="AL1095" s="76">
        <v>44862.600069444437</v>
      </c>
      <c r="AM1095" s="75">
        <v>1266</v>
      </c>
      <c r="AN1095" t="s">
        <v>65</v>
      </c>
      <c r="AO1095" t="s">
        <v>1050</v>
      </c>
      <c r="AP1095" t="s">
        <v>67</v>
      </c>
      <c r="AQ1095" t="s">
        <v>68</v>
      </c>
      <c r="AR1095" t="s">
        <v>69</v>
      </c>
      <c r="AS1095" s="79"/>
      <c r="AT1095" s="82" t="s">
        <v>4423</v>
      </c>
      <c r="AU1095" s="78">
        <v>2026</v>
      </c>
      <c r="AV1095" s="78">
        <v>4</v>
      </c>
      <c r="AW1095" s="78" t="s">
        <v>137</v>
      </c>
      <c r="AX1095" s="78">
        <v>1</v>
      </c>
      <c r="AY1095" s="78">
        <v>0</v>
      </c>
      <c r="BT1095" s="3" t="s">
        <v>137</v>
      </c>
      <c r="BU1095" s="3">
        <v>1</v>
      </c>
      <c r="BV1095" s="3">
        <v>0</v>
      </c>
    </row>
    <row r="1096" spans="1:74" ht="15" customHeight="1" x14ac:dyDescent="0.25">
      <c r="A1096" s="75">
        <v>5924171</v>
      </c>
      <c r="B1096" t="s">
        <v>4794</v>
      </c>
      <c r="C1096" t="s">
        <v>4795</v>
      </c>
      <c r="D1096" t="s">
        <v>527</v>
      </c>
      <c r="E1096" t="s">
        <v>54</v>
      </c>
      <c r="F1096" s="75">
        <v>67</v>
      </c>
      <c r="G1096" s="75">
        <v>52581</v>
      </c>
      <c r="H1096">
        <v>188.59</v>
      </c>
      <c r="I1096" t="s">
        <v>195</v>
      </c>
      <c r="J1096" s="75">
        <v>1819</v>
      </c>
      <c r="K1096" t="s">
        <v>759</v>
      </c>
      <c r="L1096" t="s">
        <v>760</v>
      </c>
      <c r="M1096" s="81">
        <v>46129.50240740741</v>
      </c>
      <c r="N1096" s="81">
        <v>46131.345601851863</v>
      </c>
      <c r="O1096" t="s">
        <v>58</v>
      </c>
      <c r="P1096" t="s">
        <v>59</v>
      </c>
      <c r="Q1096" t="s">
        <v>77</v>
      </c>
      <c r="R1096" t="s">
        <v>60</v>
      </c>
      <c r="S1096" t="s">
        <v>4796</v>
      </c>
      <c r="U1096" s="75">
        <v>234731</v>
      </c>
      <c r="V1096" t="s">
        <v>4797</v>
      </c>
      <c r="W1096" t="s">
        <v>4797</v>
      </c>
      <c r="X1096" t="s">
        <v>79</v>
      </c>
      <c r="Y1096" t="s">
        <v>224</v>
      </c>
      <c r="AA1096" t="s">
        <v>64</v>
      </c>
      <c r="AB1096">
        <v>44.183332</v>
      </c>
      <c r="AC1096">
        <v>38.283332999999999</v>
      </c>
      <c r="AD1096">
        <v>5.8999990000000002</v>
      </c>
      <c r="AE1096">
        <v>0.55000000000000004</v>
      </c>
      <c r="AF1096">
        <v>0</v>
      </c>
      <c r="AG1096">
        <v>5.3499990000000004</v>
      </c>
      <c r="AH1096">
        <v>5.3499990000000004</v>
      </c>
      <c r="AI1096">
        <v>5.216666</v>
      </c>
      <c r="AJ1096">
        <v>0.13333300000000001</v>
      </c>
      <c r="AK1096">
        <v>0</v>
      </c>
      <c r="AL1096" s="76">
        <v>41964</v>
      </c>
      <c r="AM1096" s="75">
        <v>4165</v>
      </c>
      <c r="AN1096" t="s">
        <v>65</v>
      </c>
      <c r="AO1096" t="s">
        <v>2118</v>
      </c>
      <c r="AP1096" t="s">
        <v>67</v>
      </c>
      <c r="AQ1096" t="s">
        <v>83</v>
      </c>
      <c r="AR1096" t="s">
        <v>69</v>
      </c>
      <c r="AS1096" s="78"/>
      <c r="AT1096" s="82" t="s">
        <v>4423</v>
      </c>
      <c r="AU1096" s="78">
        <v>2026</v>
      </c>
      <c r="AV1096" s="78">
        <v>4</v>
      </c>
      <c r="AW1096" s="78" t="s">
        <v>226</v>
      </c>
      <c r="AX1096" s="78">
        <v>1</v>
      </c>
      <c r="AY1096" s="78">
        <v>0</v>
      </c>
      <c r="BT1096" s="2" t="s">
        <v>226</v>
      </c>
      <c r="BU1096" s="2">
        <v>1</v>
      </c>
      <c r="BV1096" s="2">
        <v>0</v>
      </c>
    </row>
    <row r="1097" spans="1:74" ht="15" customHeight="1" x14ac:dyDescent="0.25">
      <c r="A1097" s="75">
        <v>5918727</v>
      </c>
      <c r="B1097" t="s">
        <v>4798</v>
      </c>
      <c r="C1097" t="s">
        <v>4799</v>
      </c>
      <c r="D1097" t="s">
        <v>527</v>
      </c>
      <c r="E1097" t="s">
        <v>54</v>
      </c>
      <c r="F1097" s="75">
        <v>4</v>
      </c>
      <c r="G1097" s="75">
        <v>341023</v>
      </c>
      <c r="H1097">
        <v>425</v>
      </c>
      <c r="I1097" t="s">
        <v>141</v>
      </c>
      <c r="J1097" s="75">
        <v>226759</v>
      </c>
      <c r="K1097" t="s">
        <v>736</v>
      </c>
      <c r="L1097" t="s">
        <v>737</v>
      </c>
      <c r="M1097" s="81">
        <v>46126.674618055556</v>
      </c>
      <c r="N1097" s="81">
        <v>46131.360949074071</v>
      </c>
      <c r="O1097" t="s">
        <v>58</v>
      </c>
      <c r="P1097" t="s">
        <v>59</v>
      </c>
      <c r="Q1097" t="s">
        <v>130</v>
      </c>
      <c r="R1097" t="s">
        <v>60</v>
      </c>
      <c r="S1097" t="s">
        <v>583</v>
      </c>
      <c r="U1097" s="75">
        <v>233863</v>
      </c>
      <c r="V1097" t="s">
        <v>4800</v>
      </c>
      <c r="W1097" t="s">
        <v>4801</v>
      </c>
      <c r="X1097" t="s">
        <v>62</v>
      </c>
      <c r="Y1097" t="s">
        <v>63</v>
      </c>
      <c r="AA1097" t="s">
        <v>64</v>
      </c>
      <c r="AB1097">
        <v>112.35000100000001</v>
      </c>
      <c r="AC1097">
        <v>57.866667</v>
      </c>
      <c r="AD1097">
        <v>54.483333999999999</v>
      </c>
      <c r="AE1097">
        <v>46.666668000000001</v>
      </c>
      <c r="AF1097">
        <v>46.450001</v>
      </c>
      <c r="AG1097">
        <v>7.8166659999999997</v>
      </c>
      <c r="AH1097">
        <v>54.266666999999998</v>
      </c>
      <c r="AI1097">
        <v>7.1833330000000002</v>
      </c>
      <c r="AJ1097">
        <v>0.63333300000000003</v>
      </c>
      <c r="AK1097">
        <v>0</v>
      </c>
      <c r="AL1097" s="76">
        <v>45901.385798611111</v>
      </c>
      <c r="AM1097" s="75">
        <v>225</v>
      </c>
      <c r="AN1097" t="s">
        <v>65</v>
      </c>
      <c r="AO1097" t="s">
        <v>4802</v>
      </c>
      <c r="AP1097" t="s">
        <v>67</v>
      </c>
      <c r="AQ1097" t="s">
        <v>68</v>
      </c>
      <c r="AR1097" t="s">
        <v>69</v>
      </c>
      <c r="AS1097" s="79"/>
      <c r="AT1097" s="82" t="s">
        <v>4423</v>
      </c>
      <c r="AU1097" s="78">
        <v>2026</v>
      </c>
      <c r="AV1097" s="78">
        <v>4</v>
      </c>
      <c r="AW1097" s="78" t="s">
        <v>71</v>
      </c>
      <c r="AX1097" s="78">
        <v>1</v>
      </c>
      <c r="AY1097" s="78">
        <v>0</v>
      </c>
      <c r="BT1097" s="3" t="s">
        <v>71</v>
      </c>
      <c r="BU1097" s="3">
        <v>1</v>
      </c>
      <c r="BV1097" s="3">
        <v>0</v>
      </c>
    </row>
    <row r="1098" spans="1:74" ht="15" customHeight="1" x14ac:dyDescent="0.25">
      <c r="A1098" s="75">
        <v>5918541</v>
      </c>
      <c r="B1098" t="s">
        <v>4803</v>
      </c>
      <c r="C1098" t="s">
        <v>4804</v>
      </c>
      <c r="D1098" t="s">
        <v>527</v>
      </c>
      <c r="E1098" t="s">
        <v>126</v>
      </c>
      <c r="F1098" s="75">
        <v>52</v>
      </c>
      <c r="G1098" s="75">
        <v>350477</v>
      </c>
      <c r="H1098">
        <v>250</v>
      </c>
      <c r="I1098" t="s">
        <v>175</v>
      </c>
      <c r="J1098" s="75">
        <v>133341</v>
      </c>
      <c r="K1098" t="s">
        <v>176</v>
      </c>
      <c r="L1098" t="s">
        <v>177</v>
      </c>
      <c r="M1098" s="81">
        <v>46126.628055555557</v>
      </c>
      <c r="N1098" s="81">
        <v>46131.36141203704</v>
      </c>
      <c r="O1098" t="s">
        <v>58</v>
      </c>
      <c r="P1098" t="s">
        <v>59</v>
      </c>
      <c r="Q1098" t="s">
        <v>130</v>
      </c>
      <c r="R1098" t="s">
        <v>156</v>
      </c>
      <c r="S1098" t="s">
        <v>1320</v>
      </c>
      <c r="U1098" s="75">
        <v>231475</v>
      </c>
      <c r="V1098" t="s">
        <v>4805</v>
      </c>
      <c r="W1098" t="s">
        <v>4806</v>
      </c>
      <c r="X1098" t="s">
        <v>62</v>
      </c>
      <c r="Y1098" t="s">
        <v>63</v>
      </c>
      <c r="AA1098" t="s">
        <v>416</v>
      </c>
      <c r="AB1098">
        <v>113.466666</v>
      </c>
      <c r="AC1098">
        <v>92.266666999999998</v>
      </c>
      <c r="AD1098">
        <v>21.199998999999998</v>
      </c>
      <c r="AE1098">
        <v>0.85</v>
      </c>
      <c r="AF1098">
        <v>0</v>
      </c>
      <c r="AG1098">
        <v>20.349999</v>
      </c>
      <c r="AH1098">
        <v>20.349999</v>
      </c>
      <c r="AI1098">
        <v>19.666665999999999</v>
      </c>
      <c r="AJ1098">
        <v>0.68333299999999997</v>
      </c>
      <c r="AK1098">
        <v>0</v>
      </c>
      <c r="AL1098" s="76">
        <v>46080.61246527778</v>
      </c>
      <c r="AM1098" s="75">
        <v>46</v>
      </c>
      <c r="AN1098" t="s">
        <v>65</v>
      </c>
      <c r="AO1098" t="s">
        <v>4807</v>
      </c>
      <c r="AP1098" t="s">
        <v>67</v>
      </c>
      <c r="AQ1098" t="s">
        <v>68</v>
      </c>
      <c r="AR1098" t="s">
        <v>69</v>
      </c>
      <c r="AS1098" s="78"/>
      <c r="AT1098" s="82" t="s">
        <v>4423</v>
      </c>
      <c r="AU1098" s="78">
        <v>2026</v>
      </c>
      <c r="AV1098" s="78">
        <v>4</v>
      </c>
      <c r="AW1098" s="78" t="s">
        <v>71</v>
      </c>
      <c r="AX1098" s="78">
        <v>0</v>
      </c>
      <c r="AY1098" s="78">
        <v>0</v>
      </c>
      <c r="BT1098" s="2" t="s">
        <v>71</v>
      </c>
      <c r="BU1098" s="2">
        <v>0</v>
      </c>
      <c r="BV1098" s="2">
        <v>0</v>
      </c>
    </row>
    <row r="1099" spans="1:74" ht="15" customHeight="1" x14ac:dyDescent="0.25">
      <c r="A1099" s="75">
        <v>5920547</v>
      </c>
      <c r="B1099" t="s">
        <v>4808</v>
      </c>
      <c r="C1099" t="s">
        <v>4809</v>
      </c>
      <c r="D1099" t="s">
        <v>527</v>
      </c>
      <c r="E1099" t="s">
        <v>54</v>
      </c>
      <c r="F1099" s="75">
        <v>1</v>
      </c>
      <c r="G1099" s="75">
        <v>335499</v>
      </c>
      <c r="H1099">
        <v>209.8</v>
      </c>
      <c r="I1099" t="s">
        <v>163</v>
      </c>
      <c r="J1099" s="75">
        <v>226899</v>
      </c>
      <c r="K1099" t="s">
        <v>4810</v>
      </c>
      <c r="L1099" t="s">
        <v>4811</v>
      </c>
      <c r="M1099" s="81">
        <v>46127.609895833331</v>
      </c>
      <c r="N1099" s="81">
        <v>46131.362442129634</v>
      </c>
      <c r="O1099" t="s">
        <v>58</v>
      </c>
      <c r="P1099" t="s">
        <v>59</v>
      </c>
      <c r="Q1099" t="s">
        <v>130</v>
      </c>
      <c r="R1099" t="s">
        <v>99</v>
      </c>
      <c r="S1099" t="s">
        <v>1244</v>
      </c>
      <c r="U1099" s="75">
        <v>232615</v>
      </c>
      <c r="V1099" t="s">
        <v>4812</v>
      </c>
      <c r="X1099" t="s">
        <v>62</v>
      </c>
      <c r="Y1099" t="s">
        <v>702</v>
      </c>
      <c r="AA1099" t="s">
        <v>416</v>
      </c>
      <c r="AB1099">
        <v>89.95</v>
      </c>
      <c r="AC1099">
        <v>71.333333999999994</v>
      </c>
      <c r="AD1099">
        <v>18.616665999999999</v>
      </c>
      <c r="AE1099">
        <v>2.4166660000000002</v>
      </c>
      <c r="AF1099">
        <v>0</v>
      </c>
      <c r="AG1099">
        <v>16.2</v>
      </c>
      <c r="AH1099">
        <v>16.2</v>
      </c>
      <c r="AI1099">
        <v>12.983333999999999</v>
      </c>
      <c r="AJ1099">
        <v>3.216666</v>
      </c>
      <c r="AK1099">
        <v>0</v>
      </c>
      <c r="AL1099" s="76">
        <v>46109.399722222217</v>
      </c>
      <c r="AM1099" s="75">
        <v>18</v>
      </c>
      <c r="AN1099" t="s">
        <v>65</v>
      </c>
      <c r="AO1099" t="s">
        <v>4813</v>
      </c>
      <c r="AP1099" t="s">
        <v>67</v>
      </c>
      <c r="AQ1099" t="s">
        <v>68</v>
      </c>
      <c r="AR1099" t="s">
        <v>69</v>
      </c>
      <c r="AS1099" s="79"/>
      <c r="AT1099" s="82" t="s">
        <v>4423</v>
      </c>
      <c r="AU1099" s="78">
        <v>2026</v>
      </c>
      <c r="AV1099" s="78">
        <v>4</v>
      </c>
      <c r="AW1099" s="78" t="s">
        <v>137</v>
      </c>
      <c r="AX1099" s="78">
        <v>0</v>
      </c>
      <c r="AY1099" s="78">
        <v>0</v>
      </c>
      <c r="BT1099" s="3" t="s">
        <v>137</v>
      </c>
      <c r="BU1099" s="3">
        <v>0</v>
      </c>
      <c r="BV1099" s="3">
        <v>0</v>
      </c>
    </row>
    <row r="1100" spans="1:74" ht="15" customHeight="1" x14ac:dyDescent="0.25">
      <c r="A1100" s="75">
        <v>5923289</v>
      </c>
      <c r="B1100" t="s">
        <v>4814</v>
      </c>
      <c r="C1100" t="s">
        <v>4815</v>
      </c>
      <c r="D1100" t="s">
        <v>527</v>
      </c>
      <c r="E1100" t="s">
        <v>87</v>
      </c>
      <c r="F1100" s="75">
        <v>83</v>
      </c>
      <c r="G1100" s="75">
        <v>275451</v>
      </c>
      <c r="H1100">
        <v>398.82</v>
      </c>
      <c r="I1100" t="s">
        <v>55</v>
      </c>
      <c r="J1100" s="75">
        <v>216233</v>
      </c>
      <c r="K1100" t="s">
        <v>88</v>
      </c>
      <c r="L1100" t="s">
        <v>89</v>
      </c>
      <c r="M1100" s="81">
        <v>46128.861527777779</v>
      </c>
      <c r="N1100" s="81">
        <v>46131.364976851852</v>
      </c>
      <c r="O1100" t="s">
        <v>58</v>
      </c>
      <c r="P1100" t="s">
        <v>59</v>
      </c>
      <c r="Q1100" t="s">
        <v>90</v>
      </c>
      <c r="R1100" t="s">
        <v>60</v>
      </c>
      <c r="S1100" t="s">
        <v>583</v>
      </c>
      <c r="U1100" s="75">
        <v>233785</v>
      </c>
      <c r="V1100" t="s">
        <v>4816</v>
      </c>
      <c r="W1100" t="s">
        <v>4816</v>
      </c>
      <c r="X1100" t="s">
        <v>62</v>
      </c>
      <c r="Y1100" t="s">
        <v>63</v>
      </c>
      <c r="AA1100" t="s">
        <v>101</v>
      </c>
      <c r="AB1100">
        <v>60.000000999999997</v>
      </c>
      <c r="AC1100">
        <v>51.45</v>
      </c>
      <c r="AD1100">
        <v>8.550001</v>
      </c>
      <c r="AE1100">
        <v>0.25</v>
      </c>
      <c r="AF1100">
        <v>0</v>
      </c>
      <c r="AG1100">
        <v>8.300001</v>
      </c>
      <c r="AH1100">
        <v>8.300001</v>
      </c>
      <c r="AI1100">
        <v>8.283334</v>
      </c>
      <c r="AJ1100">
        <v>1.6667000000000001E-2</v>
      </c>
      <c r="AK1100">
        <v>0</v>
      </c>
      <c r="AL1100" s="76">
        <v>44876</v>
      </c>
      <c r="AM1100" s="75">
        <v>1252</v>
      </c>
      <c r="AN1100" t="s">
        <v>65</v>
      </c>
      <c r="AO1100" t="s">
        <v>4817</v>
      </c>
      <c r="AP1100" t="s">
        <v>67</v>
      </c>
      <c r="AQ1100" t="s">
        <v>68</v>
      </c>
      <c r="AR1100" t="s">
        <v>69</v>
      </c>
      <c r="AS1100" s="78"/>
      <c r="AT1100" s="82" t="s">
        <v>4423</v>
      </c>
      <c r="AU1100" s="78">
        <v>2026</v>
      </c>
      <c r="AV1100" s="78">
        <v>4</v>
      </c>
      <c r="AW1100" s="78" t="s">
        <v>71</v>
      </c>
      <c r="AX1100" s="78">
        <v>0</v>
      </c>
      <c r="AY1100" s="78">
        <v>0</v>
      </c>
      <c r="BT1100" s="2" t="s">
        <v>71</v>
      </c>
      <c r="BU1100" s="2">
        <v>0</v>
      </c>
      <c r="BV1100" s="2">
        <v>0</v>
      </c>
    </row>
    <row r="1101" spans="1:74" ht="15" customHeight="1" x14ac:dyDescent="0.25">
      <c r="A1101" s="75">
        <v>5909563</v>
      </c>
      <c r="B1101" t="s">
        <v>4818</v>
      </c>
      <c r="C1101" t="s">
        <v>4819</v>
      </c>
      <c r="D1101" t="s">
        <v>1137</v>
      </c>
      <c r="E1101" t="s">
        <v>54</v>
      </c>
      <c r="F1101" s="75">
        <v>1</v>
      </c>
      <c r="G1101" s="75">
        <v>266271</v>
      </c>
      <c r="H1101">
        <v>2200</v>
      </c>
      <c r="I1101" t="s">
        <v>4820</v>
      </c>
      <c r="J1101" s="75">
        <v>210805</v>
      </c>
      <c r="K1101" t="s">
        <v>4821</v>
      </c>
      <c r="L1101" t="s">
        <v>4822</v>
      </c>
      <c r="M1101" s="81">
        <v>46120.285300925927</v>
      </c>
      <c r="N1101" s="81">
        <v>46131.451944444438</v>
      </c>
      <c r="O1101" t="s">
        <v>58</v>
      </c>
      <c r="P1101" t="s">
        <v>59</v>
      </c>
      <c r="Q1101" t="s">
        <v>90</v>
      </c>
      <c r="R1101" t="s">
        <v>156</v>
      </c>
      <c r="S1101" t="s">
        <v>1320</v>
      </c>
      <c r="U1101" s="75">
        <v>232563</v>
      </c>
      <c r="V1101" t="s">
        <v>4823</v>
      </c>
      <c r="X1101" t="s">
        <v>79</v>
      </c>
      <c r="Y1101" t="s">
        <v>3300</v>
      </c>
      <c r="AA1101" t="s">
        <v>295</v>
      </c>
      <c r="AB1101">
        <v>267.86666500000001</v>
      </c>
      <c r="AC1101">
        <v>223.849999</v>
      </c>
      <c r="AD1101">
        <v>44.016666000000001</v>
      </c>
      <c r="AE1101">
        <v>0.53333299999999995</v>
      </c>
      <c r="AF1101">
        <v>0</v>
      </c>
      <c r="AG1101">
        <v>43.483333000000002</v>
      </c>
      <c r="AH1101">
        <v>43.483333000000002</v>
      </c>
      <c r="AI1101">
        <v>43.216667000000001</v>
      </c>
      <c r="AJ1101">
        <v>0.26666600000000001</v>
      </c>
      <c r="AK1101">
        <v>0</v>
      </c>
      <c r="AL1101" s="76">
        <v>36526</v>
      </c>
      <c r="AM1101" s="75">
        <v>9594</v>
      </c>
      <c r="AN1101" t="s">
        <v>65</v>
      </c>
      <c r="AO1101" t="s">
        <v>4824</v>
      </c>
      <c r="AP1101" t="s">
        <v>67</v>
      </c>
      <c r="AQ1101" t="s">
        <v>83</v>
      </c>
      <c r="AR1101" t="s">
        <v>69</v>
      </c>
      <c r="AS1101" s="79"/>
      <c r="AT1101" s="82" t="s">
        <v>4423</v>
      </c>
      <c r="AU1101" s="78">
        <v>2026</v>
      </c>
      <c r="AV1101" s="78">
        <v>4</v>
      </c>
      <c r="AW1101" s="78" t="s">
        <v>84</v>
      </c>
      <c r="AX1101" s="78">
        <v>0</v>
      </c>
      <c r="AY1101" s="78">
        <v>1</v>
      </c>
      <c r="BT1101" s="3" t="s">
        <v>84</v>
      </c>
      <c r="BU1101" s="3">
        <v>0</v>
      </c>
      <c r="BV1101" s="3">
        <v>1</v>
      </c>
    </row>
    <row r="1102" spans="1:74" ht="15" customHeight="1" x14ac:dyDescent="0.25">
      <c r="A1102" s="75">
        <v>5925933</v>
      </c>
      <c r="B1102" t="s">
        <v>4825</v>
      </c>
      <c r="C1102" t="s">
        <v>4826</v>
      </c>
      <c r="D1102" t="s">
        <v>1052</v>
      </c>
      <c r="E1102" t="s">
        <v>126</v>
      </c>
      <c r="F1102" s="75">
        <v>1</v>
      </c>
      <c r="G1102" s="75">
        <v>343293</v>
      </c>
      <c r="H1102">
        <v>1400</v>
      </c>
      <c r="I1102" t="s">
        <v>141</v>
      </c>
      <c r="J1102" s="75">
        <v>228277</v>
      </c>
      <c r="K1102" t="s">
        <v>4475</v>
      </c>
      <c r="L1102" t="s">
        <v>4476</v>
      </c>
      <c r="M1102" s="81">
        <v>46131.473379629628</v>
      </c>
      <c r="N1102" s="81">
        <v>46131.946215277778</v>
      </c>
      <c r="O1102" t="s">
        <v>58</v>
      </c>
      <c r="P1102" t="s">
        <v>59</v>
      </c>
      <c r="Q1102" t="s">
        <v>130</v>
      </c>
      <c r="R1102" t="s">
        <v>60</v>
      </c>
      <c r="S1102" t="s">
        <v>583</v>
      </c>
      <c r="U1102" s="75">
        <v>235519</v>
      </c>
      <c r="V1102" t="s">
        <v>4827</v>
      </c>
      <c r="X1102" t="s">
        <v>118</v>
      </c>
      <c r="Y1102" t="s">
        <v>1678</v>
      </c>
      <c r="AA1102" t="s">
        <v>101</v>
      </c>
      <c r="AB1102">
        <v>11.3</v>
      </c>
      <c r="AC1102">
        <v>0.33333299999999999</v>
      </c>
      <c r="AD1102">
        <v>10.966666999999999</v>
      </c>
      <c r="AE1102">
        <v>0.23333300000000001</v>
      </c>
      <c r="AF1102">
        <v>0</v>
      </c>
      <c r="AG1102">
        <v>10.733333999999999</v>
      </c>
      <c r="AH1102">
        <v>10.733333999999999</v>
      </c>
      <c r="AI1102">
        <v>10.533334</v>
      </c>
      <c r="AJ1102">
        <v>0.2</v>
      </c>
      <c r="AK1102">
        <v>0</v>
      </c>
      <c r="AL1102" s="76">
        <v>45877.445740740739</v>
      </c>
      <c r="AM1102" s="75">
        <v>254</v>
      </c>
      <c r="AN1102" t="s">
        <v>65</v>
      </c>
      <c r="AO1102" t="s">
        <v>4478</v>
      </c>
      <c r="AP1102" t="s">
        <v>67</v>
      </c>
      <c r="AQ1102" t="s">
        <v>121</v>
      </c>
      <c r="AR1102" t="s">
        <v>69</v>
      </c>
      <c r="AS1102" s="78"/>
      <c r="AT1102" s="82" t="s">
        <v>4423</v>
      </c>
      <c r="AU1102" s="78">
        <v>2026</v>
      </c>
      <c r="AV1102" s="78">
        <v>4</v>
      </c>
      <c r="AW1102" s="78" t="s">
        <v>347</v>
      </c>
      <c r="AX1102" s="78">
        <v>0</v>
      </c>
      <c r="AY1102" s="78">
        <v>0</v>
      </c>
      <c r="BT1102" s="2" t="s">
        <v>347</v>
      </c>
      <c r="BU1102" s="2">
        <v>0</v>
      </c>
      <c r="BV1102" s="2">
        <v>0</v>
      </c>
    </row>
    <row r="1103" spans="1:74" ht="15" customHeight="1" x14ac:dyDescent="0.25">
      <c r="A1103" s="75">
        <v>5926063</v>
      </c>
      <c r="B1103" t="s">
        <v>4828</v>
      </c>
      <c r="C1103" t="s">
        <v>4829</v>
      </c>
      <c r="D1103" t="s">
        <v>527</v>
      </c>
      <c r="E1103" t="s">
        <v>87</v>
      </c>
      <c r="F1103" s="75">
        <v>863</v>
      </c>
      <c r="G1103" s="75">
        <v>296387</v>
      </c>
      <c r="H1103">
        <v>0</v>
      </c>
      <c r="I1103" t="s">
        <v>853</v>
      </c>
      <c r="J1103" s="75">
        <v>43919</v>
      </c>
      <c r="K1103" t="s">
        <v>3068</v>
      </c>
      <c r="L1103" t="s">
        <v>3069</v>
      </c>
      <c r="M1103" s="81">
        <v>46131.743344907409</v>
      </c>
      <c r="N1103" s="81">
        <v>46132.339930555558</v>
      </c>
      <c r="O1103" t="s">
        <v>624</v>
      </c>
      <c r="P1103" t="s">
        <v>59</v>
      </c>
      <c r="Q1103" t="s">
        <v>90</v>
      </c>
      <c r="R1103" t="s">
        <v>99</v>
      </c>
      <c r="S1103" t="s">
        <v>1244</v>
      </c>
      <c r="U1103" s="75">
        <v>235653</v>
      </c>
      <c r="V1103" t="s">
        <v>4830</v>
      </c>
      <c r="X1103" t="s">
        <v>79</v>
      </c>
      <c r="Y1103" t="s">
        <v>246</v>
      </c>
      <c r="AA1103" t="s">
        <v>81</v>
      </c>
      <c r="AB1103">
        <v>14.283333000000001</v>
      </c>
      <c r="AC1103">
        <v>12.866667</v>
      </c>
      <c r="AD1103">
        <v>1.416666</v>
      </c>
      <c r="AE1103">
        <v>1.2833330000000001</v>
      </c>
      <c r="AF1103">
        <v>0</v>
      </c>
      <c r="AG1103">
        <v>0.13333300000000001</v>
      </c>
      <c r="AH1103">
        <v>0.13333300000000001</v>
      </c>
      <c r="AI1103">
        <v>0</v>
      </c>
      <c r="AJ1103">
        <v>0.13333300000000001</v>
      </c>
      <c r="AK1103">
        <v>0</v>
      </c>
      <c r="AL1103" s="76">
        <v>45386</v>
      </c>
      <c r="AM1103" s="75">
        <v>745</v>
      </c>
      <c r="AN1103" t="s">
        <v>65</v>
      </c>
      <c r="AO1103" t="s">
        <v>4831</v>
      </c>
      <c r="AP1103" t="s">
        <v>67</v>
      </c>
      <c r="AQ1103" t="s">
        <v>83</v>
      </c>
      <c r="AR1103" t="s">
        <v>69</v>
      </c>
      <c r="AS1103" s="79"/>
      <c r="AT1103" s="82" t="s">
        <v>4832</v>
      </c>
      <c r="AU1103" s="78">
        <v>2026</v>
      </c>
      <c r="AV1103" s="78">
        <v>4</v>
      </c>
      <c r="AW1103" s="78" t="s">
        <v>84</v>
      </c>
      <c r="AX1103" s="78">
        <v>1</v>
      </c>
      <c r="AY1103" s="78">
        <v>0</v>
      </c>
      <c r="BT1103" s="3" t="s">
        <v>84</v>
      </c>
      <c r="BU1103" s="3">
        <v>1</v>
      </c>
      <c r="BV1103" s="3">
        <v>0</v>
      </c>
    </row>
    <row r="1104" spans="1:74" ht="15" customHeight="1" x14ac:dyDescent="0.25">
      <c r="A1104" s="75">
        <v>5924385</v>
      </c>
      <c r="B1104" t="s">
        <v>4833</v>
      </c>
      <c r="C1104" t="s">
        <v>4834</v>
      </c>
      <c r="D1104" t="s">
        <v>527</v>
      </c>
      <c r="E1104" t="s">
        <v>87</v>
      </c>
      <c r="F1104" s="75">
        <v>870</v>
      </c>
      <c r="G1104" s="75">
        <v>340799</v>
      </c>
      <c r="H1104">
        <v>750</v>
      </c>
      <c r="I1104" t="s">
        <v>203</v>
      </c>
      <c r="J1104" s="75">
        <v>19917</v>
      </c>
      <c r="K1104" t="s">
        <v>1325</v>
      </c>
      <c r="L1104" t="s">
        <v>1326</v>
      </c>
      <c r="M1104" s="81">
        <v>46129.590300925927</v>
      </c>
      <c r="N1104" s="81">
        <v>46132.382025462961</v>
      </c>
      <c r="O1104" t="s">
        <v>269</v>
      </c>
      <c r="P1104" t="s">
        <v>59</v>
      </c>
      <c r="Q1104" t="s">
        <v>130</v>
      </c>
      <c r="R1104" t="s">
        <v>99</v>
      </c>
      <c r="S1104" t="s">
        <v>1244</v>
      </c>
      <c r="U1104" s="75"/>
      <c r="X1104" t="s">
        <v>79</v>
      </c>
      <c r="Y1104" t="s">
        <v>224</v>
      </c>
      <c r="AA1104" t="s">
        <v>81</v>
      </c>
      <c r="AB1104">
        <v>66.949999000000005</v>
      </c>
      <c r="AC1104">
        <v>65.566665999999998</v>
      </c>
      <c r="AD1104">
        <v>1.3833329999999999</v>
      </c>
      <c r="AE1104">
        <v>0.66666700000000001</v>
      </c>
      <c r="AF1104">
        <v>0</v>
      </c>
      <c r="AG1104">
        <v>0.71666600000000003</v>
      </c>
      <c r="AH1104">
        <v>0.71666600000000003</v>
      </c>
      <c r="AI1104">
        <v>0.43333300000000002</v>
      </c>
      <c r="AJ1104">
        <v>0.283333</v>
      </c>
      <c r="AK1104">
        <v>0</v>
      </c>
      <c r="AL1104" s="76">
        <v>45811.478136574071</v>
      </c>
      <c r="AM1104" s="75">
        <v>318</v>
      </c>
      <c r="AN1104" t="s">
        <v>65</v>
      </c>
      <c r="AO1104" t="s">
        <v>4835</v>
      </c>
      <c r="AP1104" t="s">
        <v>67</v>
      </c>
      <c r="AQ1104" t="s">
        <v>83</v>
      </c>
      <c r="AR1104" t="s">
        <v>69</v>
      </c>
      <c r="AS1104" s="78"/>
      <c r="AT1104" s="82" t="s">
        <v>4832</v>
      </c>
      <c r="AU1104" s="78">
        <v>2026</v>
      </c>
      <c r="AV1104" s="78">
        <v>4</v>
      </c>
      <c r="AW1104" s="78" t="s">
        <v>226</v>
      </c>
      <c r="AX1104" s="78">
        <v>1</v>
      </c>
      <c r="AY1104" s="78">
        <v>0</v>
      </c>
      <c r="BT1104" s="2" t="s">
        <v>226</v>
      </c>
      <c r="BU1104" s="2">
        <v>1</v>
      </c>
      <c r="BV1104" s="2">
        <v>0</v>
      </c>
    </row>
    <row r="1105" spans="1:74" ht="15" customHeight="1" x14ac:dyDescent="0.25">
      <c r="A1105" s="75">
        <v>5920065</v>
      </c>
      <c r="B1105" t="s">
        <v>4836</v>
      </c>
      <c r="C1105" t="s">
        <v>4837</v>
      </c>
      <c r="D1105" t="s">
        <v>809</v>
      </c>
      <c r="E1105" t="s">
        <v>105</v>
      </c>
      <c r="F1105" s="75">
        <v>1</v>
      </c>
      <c r="G1105" s="75">
        <v>327353</v>
      </c>
      <c r="H1105">
        <v>580</v>
      </c>
      <c r="I1105" t="s">
        <v>175</v>
      </c>
      <c r="J1105" s="75">
        <v>219039</v>
      </c>
      <c r="K1105" t="s">
        <v>106</v>
      </c>
      <c r="L1105" t="s">
        <v>3749</v>
      </c>
      <c r="M1105" s="81">
        <v>46127.479629629634</v>
      </c>
      <c r="N1105" s="81">
        <v>46132.416041666656</v>
      </c>
      <c r="O1105" t="s">
        <v>277</v>
      </c>
      <c r="P1105" t="s">
        <v>59</v>
      </c>
      <c r="Q1105" t="s">
        <v>90</v>
      </c>
      <c r="R1105" t="s">
        <v>60</v>
      </c>
      <c r="S1105" t="s">
        <v>583</v>
      </c>
      <c r="U1105" s="75">
        <v>233871</v>
      </c>
      <c r="V1105" t="s">
        <v>4838</v>
      </c>
      <c r="X1105" t="s">
        <v>118</v>
      </c>
      <c r="Y1105" t="s">
        <v>119</v>
      </c>
      <c r="AA1105" t="s">
        <v>101</v>
      </c>
      <c r="AB1105">
        <v>118.283334</v>
      </c>
      <c r="AC1105">
        <v>101.249999</v>
      </c>
      <c r="AD1105">
        <v>17.033335000000001</v>
      </c>
      <c r="AE1105">
        <v>5.0833339999999998</v>
      </c>
      <c r="AF1105">
        <v>0</v>
      </c>
      <c r="AG1105">
        <v>11.950001</v>
      </c>
      <c r="AH1105">
        <v>11.950001</v>
      </c>
      <c r="AI1105">
        <v>9.0500000000000007</v>
      </c>
      <c r="AJ1105">
        <v>2.9000010000000001</v>
      </c>
      <c r="AK1105">
        <v>0</v>
      </c>
      <c r="AL1105" s="76">
        <v>45590.470150462963</v>
      </c>
      <c r="AM1105" s="75">
        <v>537</v>
      </c>
      <c r="AN1105" t="s">
        <v>65</v>
      </c>
      <c r="AO1105" t="s">
        <v>4839</v>
      </c>
      <c r="AP1105" t="s">
        <v>67</v>
      </c>
      <c r="AQ1105" t="s">
        <v>121</v>
      </c>
      <c r="AR1105" t="s">
        <v>69</v>
      </c>
      <c r="AS1105" s="79"/>
      <c r="AT1105" s="82" t="s">
        <v>4832</v>
      </c>
      <c r="AU1105" s="78">
        <v>2026</v>
      </c>
      <c r="AV1105" s="78">
        <v>4</v>
      </c>
      <c r="AW1105" s="78" t="s">
        <v>122</v>
      </c>
      <c r="AX1105" s="78">
        <v>0</v>
      </c>
      <c r="AY1105" s="78">
        <v>0</v>
      </c>
      <c r="BT1105" s="3" t="s">
        <v>122</v>
      </c>
      <c r="BU1105" s="3">
        <v>0</v>
      </c>
      <c r="BV1105" s="3">
        <v>0</v>
      </c>
    </row>
    <row r="1106" spans="1:74" ht="15" customHeight="1" x14ac:dyDescent="0.25">
      <c r="A1106" s="75">
        <v>5925065</v>
      </c>
      <c r="B1106" t="s">
        <v>4840</v>
      </c>
      <c r="C1106" t="s">
        <v>2998</v>
      </c>
      <c r="D1106" t="s">
        <v>527</v>
      </c>
      <c r="E1106" t="s">
        <v>87</v>
      </c>
      <c r="F1106" s="75">
        <v>129</v>
      </c>
      <c r="G1106" s="75">
        <v>285597</v>
      </c>
      <c r="H1106">
        <v>368.16</v>
      </c>
      <c r="I1106" t="s">
        <v>55</v>
      </c>
      <c r="J1106" s="75">
        <v>218791</v>
      </c>
      <c r="K1106" t="s">
        <v>312</v>
      </c>
      <c r="L1106" t="s">
        <v>313</v>
      </c>
      <c r="M1106" s="81">
        <v>46130.201782407406</v>
      </c>
      <c r="N1106" s="81">
        <v>46132.543368055558</v>
      </c>
      <c r="O1106" t="s">
        <v>58</v>
      </c>
      <c r="P1106" t="s">
        <v>59</v>
      </c>
      <c r="Q1106" t="s">
        <v>90</v>
      </c>
      <c r="R1106" t="s">
        <v>60</v>
      </c>
      <c r="S1106" t="s">
        <v>583</v>
      </c>
      <c r="U1106" s="75">
        <v>235029</v>
      </c>
      <c r="V1106" t="s">
        <v>4841</v>
      </c>
      <c r="W1106" t="s">
        <v>4841</v>
      </c>
      <c r="X1106" t="s">
        <v>62</v>
      </c>
      <c r="Y1106" t="s">
        <v>63</v>
      </c>
      <c r="AA1106" t="s">
        <v>64</v>
      </c>
      <c r="AB1106">
        <v>56.116666000000002</v>
      </c>
      <c r="AC1106">
        <v>51.683332999999998</v>
      </c>
      <c r="AD1106">
        <v>4.4333330000000002</v>
      </c>
      <c r="AE1106">
        <v>0.216667</v>
      </c>
      <c r="AF1106">
        <v>0</v>
      </c>
      <c r="AG1106">
        <v>4.216666</v>
      </c>
      <c r="AH1106">
        <v>4.216666</v>
      </c>
      <c r="AI1106">
        <v>2.716666</v>
      </c>
      <c r="AJ1106">
        <v>1.5</v>
      </c>
      <c r="AK1106">
        <v>0</v>
      </c>
      <c r="AL1106" s="76">
        <v>44897.547465277778</v>
      </c>
      <c r="AM1106" s="75">
        <v>1232</v>
      </c>
      <c r="AN1106" t="s">
        <v>65</v>
      </c>
      <c r="AO1106" t="s">
        <v>3000</v>
      </c>
      <c r="AP1106" t="s">
        <v>67</v>
      </c>
      <c r="AQ1106" t="s">
        <v>68</v>
      </c>
      <c r="AR1106" t="s">
        <v>69</v>
      </c>
      <c r="AS1106" s="78"/>
      <c r="AT1106" s="82" t="s">
        <v>4832</v>
      </c>
      <c r="AU1106" s="78">
        <v>2026</v>
      </c>
      <c r="AV1106" s="78">
        <v>4</v>
      </c>
      <c r="AW1106" s="78" t="s">
        <v>71</v>
      </c>
      <c r="AX1106" s="78">
        <v>1</v>
      </c>
      <c r="AY1106" s="78">
        <v>0</v>
      </c>
      <c r="BT1106" s="2" t="s">
        <v>71</v>
      </c>
      <c r="BU1106" s="2">
        <v>1</v>
      </c>
      <c r="BV1106" s="2">
        <v>0</v>
      </c>
    </row>
    <row r="1107" spans="1:74" ht="15" customHeight="1" x14ac:dyDescent="0.25">
      <c r="A1107" s="75">
        <v>5925363</v>
      </c>
      <c r="B1107" t="s">
        <v>4842</v>
      </c>
      <c r="C1107" t="s">
        <v>4843</v>
      </c>
      <c r="D1107" t="s">
        <v>1555</v>
      </c>
      <c r="E1107" t="s">
        <v>105</v>
      </c>
      <c r="F1107" s="75">
        <v>13</v>
      </c>
      <c r="G1107" s="75">
        <v>345621</v>
      </c>
      <c r="H1107">
        <v>646.5</v>
      </c>
      <c r="I1107" t="s">
        <v>203</v>
      </c>
      <c r="J1107" s="75">
        <v>204139</v>
      </c>
      <c r="K1107" t="s">
        <v>1000</v>
      </c>
      <c r="L1107" t="s">
        <v>1001</v>
      </c>
      <c r="M1107" s="81">
        <v>46130.569976851853</v>
      </c>
      <c r="N1107" s="81">
        <v>46132.623298611114</v>
      </c>
      <c r="O1107" t="s">
        <v>58</v>
      </c>
      <c r="P1107" t="s">
        <v>59</v>
      </c>
      <c r="Q1107" t="s">
        <v>90</v>
      </c>
      <c r="R1107" t="s">
        <v>60</v>
      </c>
      <c r="S1107" t="s">
        <v>583</v>
      </c>
      <c r="U1107" s="75">
        <v>235775</v>
      </c>
      <c r="V1107" t="s">
        <v>4844</v>
      </c>
      <c r="W1107" t="s">
        <v>4845</v>
      </c>
      <c r="X1107" t="s">
        <v>62</v>
      </c>
      <c r="Y1107" t="s">
        <v>63</v>
      </c>
      <c r="AA1107" t="s">
        <v>64</v>
      </c>
      <c r="AB1107">
        <v>49.166666999999997</v>
      </c>
      <c r="AC1107">
        <v>42.3</v>
      </c>
      <c r="AD1107">
        <v>6.8666669999999996</v>
      </c>
      <c r="AE1107">
        <v>0.81666700000000003</v>
      </c>
      <c r="AF1107">
        <v>0</v>
      </c>
      <c r="AG1107">
        <v>6.05</v>
      </c>
      <c r="AH1107">
        <v>6.05</v>
      </c>
      <c r="AI1107">
        <v>4.8666669999999996</v>
      </c>
      <c r="AJ1107">
        <v>1.183333</v>
      </c>
      <c r="AK1107">
        <v>0</v>
      </c>
      <c r="AL1107" s="76">
        <v>44315</v>
      </c>
      <c r="AM1107" s="75">
        <v>1815</v>
      </c>
      <c r="AN1107" t="s">
        <v>65</v>
      </c>
      <c r="AO1107" t="s">
        <v>1685</v>
      </c>
      <c r="AP1107" t="s">
        <v>67</v>
      </c>
      <c r="AQ1107" t="s">
        <v>68</v>
      </c>
      <c r="AR1107" t="s">
        <v>69</v>
      </c>
      <c r="AS1107" s="79"/>
      <c r="AT1107" s="82" t="s">
        <v>4832</v>
      </c>
      <c r="AU1107" s="78">
        <v>2026</v>
      </c>
      <c r="AV1107" s="78">
        <v>4</v>
      </c>
      <c r="AW1107" s="78" t="s">
        <v>71</v>
      </c>
      <c r="AX1107" s="78">
        <v>1</v>
      </c>
      <c r="AY1107" s="78">
        <v>0</v>
      </c>
      <c r="BT1107" s="3" t="s">
        <v>71</v>
      </c>
      <c r="BU1107" s="3">
        <v>1</v>
      </c>
      <c r="BV1107" s="3">
        <v>0</v>
      </c>
    </row>
    <row r="1108" spans="1:74" ht="15" customHeight="1" x14ac:dyDescent="0.25">
      <c r="A1108" s="75">
        <v>5926779</v>
      </c>
      <c r="B1108" t="s">
        <v>4846</v>
      </c>
      <c r="C1108" t="s">
        <v>4847</v>
      </c>
      <c r="D1108" t="s">
        <v>3560</v>
      </c>
      <c r="E1108" t="s">
        <v>126</v>
      </c>
      <c r="F1108" s="75">
        <v>1</v>
      </c>
      <c r="G1108" s="75">
        <v>350981</v>
      </c>
      <c r="H1108">
        <v>3650</v>
      </c>
      <c r="I1108" t="s">
        <v>141</v>
      </c>
      <c r="J1108" s="75">
        <v>214775</v>
      </c>
      <c r="K1108" t="s">
        <v>4848</v>
      </c>
      <c r="L1108" t="s">
        <v>4849</v>
      </c>
      <c r="M1108" s="81">
        <v>46132.451932870368</v>
      </c>
      <c r="N1108" s="81">
        <v>46132.649513888893</v>
      </c>
      <c r="O1108" t="s">
        <v>58</v>
      </c>
      <c r="P1108" t="s">
        <v>59</v>
      </c>
      <c r="R1108" t="s">
        <v>99</v>
      </c>
      <c r="S1108" t="s">
        <v>1244</v>
      </c>
      <c r="U1108" s="75">
        <v>236265</v>
      </c>
      <c r="V1108" t="s">
        <v>4850</v>
      </c>
      <c r="X1108" t="s">
        <v>118</v>
      </c>
      <c r="Y1108" t="s">
        <v>400</v>
      </c>
      <c r="AA1108" t="s">
        <v>64</v>
      </c>
      <c r="AB1108">
        <v>4.7</v>
      </c>
      <c r="AC1108">
        <v>8.3333000000000004E-2</v>
      </c>
      <c r="AD1108">
        <v>4.6166669999999996</v>
      </c>
      <c r="AE1108">
        <v>0.25</v>
      </c>
      <c r="AF1108">
        <v>0</v>
      </c>
      <c r="AG1108">
        <v>4.3666669999999996</v>
      </c>
      <c r="AH1108">
        <v>4.3666669999999996</v>
      </c>
      <c r="AI1108">
        <v>3.3166669999999998</v>
      </c>
      <c r="AJ1108">
        <v>1.05</v>
      </c>
      <c r="AK1108">
        <v>0</v>
      </c>
      <c r="AL1108" s="76">
        <v>46092.630983796298</v>
      </c>
      <c r="AM1108" s="75">
        <v>39</v>
      </c>
      <c r="AN1108" t="s">
        <v>65</v>
      </c>
      <c r="AO1108" t="s">
        <v>4851</v>
      </c>
      <c r="AP1108" t="s">
        <v>67</v>
      </c>
      <c r="AQ1108" t="s">
        <v>121</v>
      </c>
      <c r="AR1108" t="s">
        <v>69</v>
      </c>
      <c r="AS1108" s="78"/>
      <c r="AT1108" s="82" t="s">
        <v>4832</v>
      </c>
      <c r="AU1108" s="78">
        <v>2026</v>
      </c>
      <c r="AV1108" s="78">
        <v>4</v>
      </c>
      <c r="AW1108" s="78" t="s">
        <v>122</v>
      </c>
      <c r="AX1108" s="78">
        <v>1</v>
      </c>
      <c r="AY1108" s="78">
        <v>0</v>
      </c>
      <c r="BT1108" s="2" t="s">
        <v>122</v>
      </c>
      <c r="BU1108" s="2">
        <v>1</v>
      </c>
      <c r="BV1108" s="2">
        <v>0</v>
      </c>
    </row>
    <row r="1109" spans="1:74" ht="15" customHeight="1" x14ac:dyDescent="0.25">
      <c r="A1109" s="75">
        <v>5926737</v>
      </c>
      <c r="B1109" t="s">
        <v>4852</v>
      </c>
      <c r="C1109" t="s">
        <v>4853</v>
      </c>
      <c r="D1109" t="s">
        <v>1555</v>
      </c>
      <c r="E1109" t="s">
        <v>54</v>
      </c>
      <c r="F1109" s="75">
        <v>27</v>
      </c>
      <c r="G1109" s="75">
        <v>333095</v>
      </c>
      <c r="H1109">
        <v>250</v>
      </c>
      <c r="I1109" t="s">
        <v>141</v>
      </c>
      <c r="J1109" s="75">
        <v>88921</v>
      </c>
      <c r="K1109" t="s">
        <v>1177</v>
      </c>
      <c r="L1109" t="s">
        <v>1178</v>
      </c>
      <c r="M1109" s="81">
        <v>46132.432557870372</v>
      </c>
      <c r="N1109" s="81">
        <v>46132.715219907397</v>
      </c>
      <c r="O1109" t="s">
        <v>58</v>
      </c>
      <c r="P1109" t="s">
        <v>59</v>
      </c>
      <c r="Q1109" t="s">
        <v>130</v>
      </c>
      <c r="R1109" t="s">
        <v>99</v>
      </c>
      <c r="S1109" t="s">
        <v>1244</v>
      </c>
      <c r="U1109" s="75">
        <v>236269</v>
      </c>
      <c r="V1109" t="s">
        <v>4854</v>
      </c>
      <c r="X1109" t="s">
        <v>62</v>
      </c>
      <c r="Y1109" t="s">
        <v>63</v>
      </c>
      <c r="AA1109" t="s">
        <v>81</v>
      </c>
      <c r="AB1109">
        <v>6.75</v>
      </c>
      <c r="AC1109">
        <v>2.0499999999999998</v>
      </c>
      <c r="AD1109">
        <v>4.7</v>
      </c>
      <c r="AE1109">
        <v>0.85</v>
      </c>
      <c r="AF1109">
        <v>0</v>
      </c>
      <c r="AG1109">
        <v>3.85</v>
      </c>
      <c r="AH1109">
        <v>3.85</v>
      </c>
      <c r="AI1109">
        <v>2.733333</v>
      </c>
      <c r="AJ1109">
        <v>1.1166670000000001</v>
      </c>
      <c r="AK1109">
        <v>0</v>
      </c>
      <c r="AL1109" s="76">
        <v>45783</v>
      </c>
      <c r="AM1109" s="75">
        <v>349</v>
      </c>
      <c r="AN1109" t="s">
        <v>65</v>
      </c>
      <c r="AO1109" t="s">
        <v>4236</v>
      </c>
      <c r="AP1109" t="s">
        <v>67</v>
      </c>
      <c r="AQ1109" t="s">
        <v>68</v>
      </c>
      <c r="AR1109" t="s">
        <v>69</v>
      </c>
      <c r="AS1109" s="79"/>
      <c r="AT1109" s="82" t="s">
        <v>4832</v>
      </c>
      <c r="AU1109" s="78">
        <v>2026</v>
      </c>
      <c r="AV1109" s="78">
        <v>4</v>
      </c>
      <c r="AW1109" s="78" t="s">
        <v>71</v>
      </c>
      <c r="AX1109" s="78">
        <v>1</v>
      </c>
      <c r="AY1109" s="78">
        <v>0</v>
      </c>
      <c r="BT1109" s="3" t="s">
        <v>71</v>
      </c>
      <c r="BU1109" s="3">
        <v>1</v>
      </c>
      <c r="BV1109" s="3">
        <v>0</v>
      </c>
    </row>
    <row r="1110" spans="1:74" ht="15" customHeight="1" x14ac:dyDescent="0.25">
      <c r="A1110" s="75">
        <v>5924597</v>
      </c>
      <c r="B1110" t="s">
        <v>4855</v>
      </c>
      <c r="C1110" t="s">
        <v>4856</v>
      </c>
      <c r="D1110" t="s">
        <v>1555</v>
      </c>
      <c r="E1110" t="s">
        <v>54</v>
      </c>
      <c r="F1110" s="75">
        <v>1</v>
      </c>
      <c r="G1110" s="75">
        <v>287639</v>
      </c>
      <c r="H1110">
        <v>600</v>
      </c>
      <c r="I1110" t="s">
        <v>114</v>
      </c>
      <c r="J1110" s="75">
        <v>217119</v>
      </c>
      <c r="K1110" t="s">
        <v>4857</v>
      </c>
      <c r="L1110" t="s">
        <v>4858</v>
      </c>
      <c r="M1110" s="81">
        <v>46129.651655092603</v>
      </c>
      <c r="N1110" s="81">
        <v>46132.765960648147</v>
      </c>
      <c r="O1110" t="s">
        <v>58</v>
      </c>
      <c r="P1110" t="s">
        <v>59</v>
      </c>
      <c r="Q1110" t="s">
        <v>130</v>
      </c>
      <c r="R1110" t="s">
        <v>60</v>
      </c>
      <c r="S1110" t="s">
        <v>583</v>
      </c>
      <c r="U1110" s="75">
        <v>236231</v>
      </c>
      <c r="V1110" t="s">
        <v>4859</v>
      </c>
      <c r="W1110" t="s">
        <v>4860</v>
      </c>
      <c r="X1110" t="s">
        <v>62</v>
      </c>
      <c r="Y1110" t="s">
        <v>63</v>
      </c>
      <c r="AA1110" t="s">
        <v>416</v>
      </c>
      <c r="AB1110">
        <v>74.583331999999999</v>
      </c>
      <c r="AC1110">
        <v>58.666665999999999</v>
      </c>
      <c r="AD1110">
        <v>15.916665999999999</v>
      </c>
      <c r="AE1110">
        <v>6.6667000000000004E-2</v>
      </c>
      <c r="AF1110">
        <v>0</v>
      </c>
      <c r="AG1110">
        <v>15.849999</v>
      </c>
      <c r="AH1110">
        <v>15.849999</v>
      </c>
      <c r="AI1110">
        <v>14.666665999999999</v>
      </c>
      <c r="AJ1110">
        <v>1.183333</v>
      </c>
      <c r="AK1110">
        <v>0</v>
      </c>
      <c r="AL1110" s="76">
        <v>44942</v>
      </c>
      <c r="AM1110" s="75">
        <v>1187</v>
      </c>
      <c r="AN1110" t="s">
        <v>65</v>
      </c>
      <c r="AO1110" t="s">
        <v>4861</v>
      </c>
      <c r="AP1110" t="s">
        <v>67</v>
      </c>
      <c r="AQ1110" t="s">
        <v>68</v>
      </c>
      <c r="AR1110" t="s">
        <v>69</v>
      </c>
      <c r="AS1110" s="78"/>
      <c r="AT1110" s="82" t="s">
        <v>4832</v>
      </c>
      <c r="AU1110" s="78">
        <v>2026</v>
      </c>
      <c r="AV1110" s="78">
        <v>4</v>
      </c>
      <c r="AW1110" s="78" t="s">
        <v>71</v>
      </c>
      <c r="AX1110" s="78">
        <v>0</v>
      </c>
      <c r="AY1110" s="78">
        <v>0</v>
      </c>
      <c r="BT1110" s="2" t="s">
        <v>71</v>
      </c>
      <c r="BU1110" s="2">
        <v>0</v>
      </c>
      <c r="BV1110" s="2">
        <v>0</v>
      </c>
    </row>
    <row r="1111" spans="1:74" ht="15" customHeight="1" x14ac:dyDescent="0.25">
      <c r="A1111" s="75">
        <v>5926473</v>
      </c>
      <c r="B1111" t="s">
        <v>4862</v>
      </c>
      <c r="C1111" t="s">
        <v>4863</v>
      </c>
      <c r="D1111" t="s">
        <v>527</v>
      </c>
      <c r="E1111" t="s">
        <v>126</v>
      </c>
      <c r="F1111" s="75">
        <v>26</v>
      </c>
      <c r="G1111" s="75">
        <v>303123</v>
      </c>
      <c r="H1111">
        <v>0.01</v>
      </c>
      <c r="I1111" t="s">
        <v>55</v>
      </c>
      <c r="J1111" s="75">
        <v>42451</v>
      </c>
      <c r="K1111" t="s">
        <v>4864</v>
      </c>
      <c r="L1111" t="s">
        <v>4865</v>
      </c>
      <c r="M1111" s="81">
        <v>46132.369062500002</v>
      </c>
      <c r="N1111" s="81">
        <v>46133.337430555563</v>
      </c>
      <c r="O1111" t="s">
        <v>58</v>
      </c>
      <c r="P1111" t="s">
        <v>59</v>
      </c>
      <c r="Q1111" t="s">
        <v>90</v>
      </c>
      <c r="R1111" t="s">
        <v>99</v>
      </c>
      <c r="S1111" t="s">
        <v>1244</v>
      </c>
      <c r="U1111" s="75">
        <v>236131</v>
      </c>
      <c r="V1111" t="s">
        <v>4866</v>
      </c>
      <c r="X1111" t="s">
        <v>118</v>
      </c>
      <c r="Y1111" t="s">
        <v>2376</v>
      </c>
      <c r="AA1111" t="s">
        <v>101</v>
      </c>
      <c r="AB1111">
        <v>23.183333999999999</v>
      </c>
      <c r="AC1111">
        <v>14.066667000000001</v>
      </c>
      <c r="AD1111">
        <v>9.1166669999999996</v>
      </c>
      <c r="AE1111">
        <v>0.5</v>
      </c>
      <c r="AF1111">
        <v>0</v>
      </c>
      <c r="AG1111">
        <v>8.6166669999999996</v>
      </c>
      <c r="AH1111">
        <v>8.6166669999999996</v>
      </c>
      <c r="AI1111">
        <v>8.1666670000000003</v>
      </c>
      <c r="AJ1111">
        <v>0.45</v>
      </c>
      <c r="AK1111">
        <v>0</v>
      </c>
      <c r="AL1111" s="76">
        <v>45427</v>
      </c>
      <c r="AM1111" s="75">
        <v>705</v>
      </c>
      <c r="AN1111" t="s">
        <v>65</v>
      </c>
      <c r="AO1111" t="s">
        <v>4867</v>
      </c>
      <c r="AP1111" t="s">
        <v>67</v>
      </c>
      <c r="AQ1111" t="s">
        <v>121</v>
      </c>
      <c r="AR1111" t="s">
        <v>69</v>
      </c>
      <c r="AS1111" s="79"/>
      <c r="AT1111" s="82" t="s">
        <v>4832</v>
      </c>
      <c r="AU1111" s="78">
        <v>2026</v>
      </c>
      <c r="AV1111" s="78">
        <v>4</v>
      </c>
      <c r="AW1111" s="78" t="s">
        <v>347</v>
      </c>
      <c r="AX1111" s="78">
        <v>0</v>
      </c>
      <c r="AY1111" s="78">
        <v>0</v>
      </c>
      <c r="BT1111" s="3" t="s">
        <v>347</v>
      </c>
      <c r="BU1111" s="3">
        <v>0</v>
      </c>
      <c r="BV1111" s="3">
        <v>0</v>
      </c>
    </row>
    <row r="1112" spans="1:74" ht="15" customHeight="1" x14ac:dyDescent="0.25">
      <c r="A1112" s="75">
        <v>5927765</v>
      </c>
      <c r="B1112" t="s">
        <v>4868</v>
      </c>
      <c r="C1112" t="s">
        <v>4869</v>
      </c>
      <c r="D1112" t="s">
        <v>2602</v>
      </c>
      <c r="E1112" t="s">
        <v>87</v>
      </c>
      <c r="F1112" s="75">
        <v>3</v>
      </c>
      <c r="G1112" s="75">
        <v>283113</v>
      </c>
      <c r="H1112">
        <v>3649</v>
      </c>
      <c r="I1112" t="s">
        <v>114</v>
      </c>
      <c r="J1112" s="75">
        <v>204531</v>
      </c>
      <c r="K1112" t="s">
        <v>3061</v>
      </c>
      <c r="L1112" t="s">
        <v>3062</v>
      </c>
      <c r="M1112" s="81">
        <v>46132.951828703714</v>
      </c>
      <c r="N1112" s="81">
        <v>46133.513518518521</v>
      </c>
      <c r="O1112" t="s">
        <v>624</v>
      </c>
      <c r="P1112" t="s">
        <v>59</v>
      </c>
      <c r="Q1112" t="s">
        <v>90</v>
      </c>
      <c r="R1112" t="s">
        <v>99</v>
      </c>
      <c r="S1112" t="s">
        <v>1244</v>
      </c>
      <c r="U1112" s="75">
        <v>236723</v>
      </c>
      <c r="V1112" t="s">
        <v>4870</v>
      </c>
      <c r="W1112" t="s">
        <v>4870</v>
      </c>
      <c r="X1112" t="s">
        <v>79</v>
      </c>
      <c r="Y1112" t="s">
        <v>224</v>
      </c>
      <c r="AA1112" t="s">
        <v>81</v>
      </c>
      <c r="AB1112">
        <v>13.45</v>
      </c>
      <c r="AC1112">
        <v>13.05</v>
      </c>
      <c r="AD1112">
        <v>0.4</v>
      </c>
      <c r="AE1112">
        <v>0.31666699999999998</v>
      </c>
      <c r="AF1112">
        <v>0</v>
      </c>
      <c r="AG1112">
        <v>8.3333000000000004E-2</v>
      </c>
      <c r="AH1112">
        <v>8.3333000000000004E-2</v>
      </c>
      <c r="AI1112">
        <v>0</v>
      </c>
      <c r="AJ1112">
        <v>8.3333000000000004E-2</v>
      </c>
      <c r="AK1112">
        <v>0</v>
      </c>
      <c r="AL1112" s="76">
        <v>44540</v>
      </c>
      <c r="AM1112" s="75">
        <v>1592</v>
      </c>
      <c r="AN1112" t="s">
        <v>65</v>
      </c>
      <c r="AO1112" t="s">
        <v>4871</v>
      </c>
      <c r="AP1112" t="s">
        <v>67</v>
      </c>
      <c r="AQ1112" t="s">
        <v>83</v>
      </c>
      <c r="AR1112" t="s">
        <v>69</v>
      </c>
      <c r="AS1112" s="78"/>
      <c r="AT1112" s="82" t="s">
        <v>4832</v>
      </c>
      <c r="AU1112" s="78">
        <v>2026</v>
      </c>
      <c r="AV1112" s="78">
        <v>4</v>
      </c>
      <c r="AW1112" s="78" t="s">
        <v>226</v>
      </c>
      <c r="AX1112" s="78">
        <v>1</v>
      </c>
      <c r="AY1112" s="78">
        <v>0</v>
      </c>
      <c r="BT1112" s="2" t="s">
        <v>226</v>
      </c>
      <c r="BU1112" s="2">
        <v>1</v>
      </c>
      <c r="BV1112" s="2">
        <v>0</v>
      </c>
    </row>
    <row r="1113" spans="1:74" ht="15" customHeight="1" x14ac:dyDescent="0.25">
      <c r="A1113" s="75">
        <v>5927993</v>
      </c>
      <c r="B1113" t="s">
        <v>4872</v>
      </c>
      <c r="C1113" t="s">
        <v>4873</v>
      </c>
      <c r="D1113" t="s">
        <v>257</v>
      </c>
      <c r="E1113" t="s">
        <v>126</v>
      </c>
      <c r="F1113" s="75">
        <v>3</v>
      </c>
      <c r="G1113" s="75">
        <v>336027</v>
      </c>
      <c r="H1113">
        <v>5000</v>
      </c>
      <c r="I1113" t="s">
        <v>175</v>
      </c>
      <c r="J1113" s="75">
        <v>226775</v>
      </c>
      <c r="K1113" t="s">
        <v>4874</v>
      </c>
      <c r="L1113" t="s">
        <v>4875</v>
      </c>
      <c r="M1113" s="81">
        <v>46133.367025462961</v>
      </c>
      <c r="N1113" s="81">
        <v>46133.572893518518</v>
      </c>
      <c r="O1113" t="s">
        <v>554</v>
      </c>
      <c r="P1113" t="s">
        <v>59</v>
      </c>
      <c r="Q1113" t="s">
        <v>130</v>
      </c>
      <c r="R1113" t="s">
        <v>99</v>
      </c>
      <c r="S1113" t="s">
        <v>1244</v>
      </c>
      <c r="U1113" s="75">
        <v>236685</v>
      </c>
      <c r="V1113" t="s">
        <v>4876</v>
      </c>
      <c r="X1113" t="s">
        <v>118</v>
      </c>
      <c r="Y1113" t="s">
        <v>484</v>
      </c>
      <c r="AA1113" t="s">
        <v>64</v>
      </c>
      <c r="AB1113">
        <v>4.8833330000000004</v>
      </c>
      <c r="AC1113">
        <v>6.6667000000000004E-2</v>
      </c>
      <c r="AD1113">
        <v>4.8166659999999997</v>
      </c>
      <c r="AE1113">
        <v>0.13333300000000001</v>
      </c>
      <c r="AF1113">
        <v>0</v>
      </c>
      <c r="AG1113">
        <v>4.6833330000000002</v>
      </c>
      <c r="AH1113">
        <v>4.6833330000000002</v>
      </c>
      <c r="AI1113">
        <v>4.5666659999999997</v>
      </c>
      <c r="AJ1113">
        <v>0.11666700000000001</v>
      </c>
      <c r="AK1113">
        <v>0</v>
      </c>
      <c r="AL1113" s="76">
        <v>45777.601921296293</v>
      </c>
      <c r="AM1113" s="75">
        <v>355</v>
      </c>
      <c r="AN1113" t="s">
        <v>65</v>
      </c>
      <c r="AO1113" t="s">
        <v>4877</v>
      </c>
      <c r="AP1113" t="s">
        <v>67</v>
      </c>
      <c r="AQ1113" t="s">
        <v>121</v>
      </c>
      <c r="AR1113" t="s">
        <v>69</v>
      </c>
      <c r="AS1113" s="79"/>
      <c r="AT1113" s="82" t="s">
        <v>4832</v>
      </c>
      <c r="AU1113" s="78">
        <v>2026</v>
      </c>
      <c r="AV1113" s="78">
        <v>4</v>
      </c>
      <c r="AW1113" s="78" t="s">
        <v>347</v>
      </c>
      <c r="AX1113" s="78">
        <v>1</v>
      </c>
      <c r="AY1113" s="78">
        <v>0</v>
      </c>
      <c r="BT1113" s="3" t="s">
        <v>347</v>
      </c>
      <c r="BU1113" s="3">
        <v>1</v>
      </c>
      <c r="BV1113" s="3">
        <v>0</v>
      </c>
    </row>
    <row r="1114" spans="1:74" ht="15" customHeight="1" x14ac:dyDescent="0.25">
      <c r="A1114" s="75">
        <v>5926195</v>
      </c>
      <c r="B1114" t="s">
        <v>4878</v>
      </c>
      <c r="C1114" t="s">
        <v>3680</v>
      </c>
      <c r="D1114" t="s">
        <v>527</v>
      </c>
      <c r="E1114" t="s">
        <v>87</v>
      </c>
      <c r="F1114" s="75">
        <v>32</v>
      </c>
      <c r="G1114" s="75">
        <v>295797</v>
      </c>
      <c r="H1114">
        <v>900</v>
      </c>
      <c r="I1114" t="s">
        <v>853</v>
      </c>
      <c r="J1114" s="75">
        <v>202555</v>
      </c>
      <c r="K1114" t="s">
        <v>2216</v>
      </c>
      <c r="L1114" t="s">
        <v>2217</v>
      </c>
      <c r="M1114" s="81">
        <v>46131.923888888887</v>
      </c>
      <c r="N1114" s="81">
        <v>46134.347777777781</v>
      </c>
      <c r="O1114" t="s">
        <v>58</v>
      </c>
      <c r="P1114" t="s">
        <v>59</v>
      </c>
      <c r="Q1114" t="s">
        <v>90</v>
      </c>
      <c r="R1114" t="s">
        <v>99</v>
      </c>
      <c r="S1114" t="s">
        <v>1244</v>
      </c>
      <c r="U1114" s="75">
        <v>235705</v>
      </c>
      <c r="V1114" t="s">
        <v>4879</v>
      </c>
      <c r="X1114" t="s">
        <v>62</v>
      </c>
      <c r="Y1114" t="s">
        <v>271</v>
      </c>
      <c r="AA1114" t="s">
        <v>81</v>
      </c>
      <c r="AB1114">
        <v>58.099998999999997</v>
      </c>
      <c r="AC1114">
        <v>47.666666999999997</v>
      </c>
      <c r="AD1114">
        <v>10.433332</v>
      </c>
      <c r="AE1114">
        <v>8.7499990000000007</v>
      </c>
      <c r="AF1114">
        <v>0</v>
      </c>
      <c r="AG1114">
        <v>1.683333</v>
      </c>
      <c r="AH1114">
        <v>1.683333</v>
      </c>
      <c r="AI1114">
        <v>1.433333</v>
      </c>
      <c r="AJ1114">
        <v>0.25</v>
      </c>
      <c r="AK1114">
        <v>0</v>
      </c>
      <c r="AL1114" s="76">
        <v>45468</v>
      </c>
      <c r="AM1114" s="75">
        <v>663</v>
      </c>
      <c r="AN1114" t="s">
        <v>65</v>
      </c>
      <c r="AO1114" t="s">
        <v>3682</v>
      </c>
      <c r="AP1114" t="s">
        <v>67</v>
      </c>
      <c r="AQ1114" t="s">
        <v>68</v>
      </c>
      <c r="AR1114" t="s">
        <v>69</v>
      </c>
      <c r="AS1114" s="78"/>
      <c r="AT1114" s="82" t="s">
        <v>4832</v>
      </c>
      <c r="AU1114" s="78">
        <v>2026</v>
      </c>
      <c r="AV1114" s="78">
        <v>4</v>
      </c>
      <c r="AW1114" s="78" t="s">
        <v>137</v>
      </c>
      <c r="AX1114" s="78">
        <v>1</v>
      </c>
      <c r="AY1114" s="78">
        <v>0</v>
      </c>
      <c r="BT1114" s="2" t="s">
        <v>137</v>
      </c>
      <c r="BU1114" s="2">
        <v>1</v>
      </c>
      <c r="BV1114" s="2">
        <v>0</v>
      </c>
    </row>
    <row r="1115" spans="1:74" ht="15" customHeight="1" x14ac:dyDescent="0.25">
      <c r="A1115" s="75">
        <v>5926191</v>
      </c>
      <c r="B1115" t="s">
        <v>4880</v>
      </c>
      <c r="C1115" t="s">
        <v>4881</v>
      </c>
      <c r="D1115" t="s">
        <v>527</v>
      </c>
      <c r="E1115" t="s">
        <v>87</v>
      </c>
      <c r="F1115" s="75">
        <v>876</v>
      </c>
      <c r="G1115" s="75">
        <v>332289</v>
      </c>
      <c r="H1115">
        <v>700</v>
      </c>
      <c r="I1115" t="s">
        <v>141</v>
      </c>
      <c r="J1115" s="75">
        <v>19913</v>
      </c>
      <c r="K1115" t="s">
        <v>2336</v>
      </c>
      <c r="L1115" t="s">
        <v>2337</v>
      </c>
      <c r="M1115" s="81">
        <v>46131.922476851847</v>
      </c>
      <c r="N1115" s="81">
        <v>46134.40488425926</v>
      </c>
      <c r="O1115" t="s">
        <v>277</v>
      </c>
      <c r="P1115" t="s">
        <v>59</v>
      </c>
      <c r="Q1115" t="s">
        <v>130</v>
      </c>
      <c r="R1115" t="s">
        <v>99</v>
      </c>
      <c r="S1115" t="s">
        <v>1244</v>
      </c>
      <c r="U1115" s="75">
        <v>237383</v>
      </c>
      <c r="V1115" t="s">
        <v>4882</v>
      </c>
      <c r="X1115" t="s">
        <v>62</v>
      </c>
      <c r="Y1115" t="s">
        <v>271</v>
      </c>
      <c r="AA1115" t="s">
        <v>81</v>
      </c>
      <c r="AB1115">
        <v>59.516666999999998</v>
      </c>
      <c r="AC1115">
        <v>52.116667</v>
      </c>
      <c r="AD1115">
        <v>7.4</v>
      </c>
      <c r="AE1115">
        <v>3.983333</v>
      </c>
      <c r="AF1115">
        <v>0</v>
      </c>
      <c r="AG1115">
        <v>3.4166669999999999</v>
      </c>
      <c r="AH1115">
        <v>3.4166669999999999</v>
      </c>
      <c r="AI1115">
        <v>2.3666670000000001</v>
      </c>
      <c r="AJ1115">
        <v>1.05</v>
      </c>
      <c r="AK1115">
        <v>0</v>
      </c>
      <c r="AL1115" s="76">
        <v>45699.675856481481</v>
      </c>
      <c r="AM1115" s="75">
        <v>432</v>
      </c>
      <c r="AN1115" t="s">
        <v>65</v>
      </c>
      <c r="AO1115" t="s">
        <v>3628</v>
      </c>
      <c r="AP1115" t="s">
        <v>67</v>
      </c>
      <c r="AQ1115" t="s">
        <v>68</v>
      </c>
      <c r="AR1115" t="s">
        <v>69</v>
      </c>
      <c r="AS1115" s="79"/>
      <c r="AT1115" s="82" t="s">
        <v>4832</v>
      </c>
      <c r="AU1115" s="78">
        <v>2026</v>
      </c>
      <c r="AV1115" s="78">
        <v>4</v>
      </c>
      <c r="AW1115" s="78" t="s">
        <v>137</v>
      </c>
      <c r="AX1115" s="78">
        <v>1</v>
      </c>
      <c r="AY1115" s="78">
        <v>0</v>
      </c>
      <c r="BT1115" s="3" t="s">
        <v>137</v>
      </c>
      <c r="BU1115" s="3">
        <v>1</v>
      </c>
      <c r="BV1115" s="3">
        <v>0</v>
      </c>
    </row>
    <row r="1116" spans="1:74" ht="15" customHeight="1" x14ac:dyDescent="0.25">
      <c r="A1116" s="75">
        <v>5925247</v>
      </c>
      <c r="B1116" t="s">
        <v>4883</v>
      </c>
      <c r="C1116" t="s">
        <v>4884</v>
      </c>
      <c r="D1116" t="s">
        <v>282</v>
      </c>
      <c r="E1116" t="s">
        <v>105</v>
      </c>
      <c r="F1116" s="75">
        <v>1120</v>
      </c>
      <c r="G1116" s="75">
        <v>296591</v>
      </c>
      <c r="H1116">
        <v>0.01</v>
      </c>
      <c r="I1116" t="s">
        <v>55</v>
      </c>
      <c r="J1116" s="75">
        <v>49331</v>
      </c>
      <c r="K1116" t="s">
        <v>1266</v>
      </c>
      <c r="L1116" t="s">
        <v>1267</v>
      </c>
      <c r="M1116" s="81">
        <v>46130.403923611113</v>
      </c>
      <c r="N1116" s="81">
        <v>46134.476967592593</v>
      </c>
      <c r="O1116" t="s">
        <v>58</v>
      </c>
      <c r="P1116" t="s">
        <v>59</v>
      </c>
      <c r="Q1116" t="s">
        <v>341</v>
      </c>
      <c r="R1116" t="s">
        <v>99</v>
      </c>
      <c r="S1116" t="s">
        <v>1244</v>
      </c>
      <c r="U1116" s="75">
        <v>236537</v>
      </c>
      <c r="V1116" t="s">
        <v>4885</v>
      </c>
      <c r="X1116" t="s">
        <v>118</v>
      </c>
      <c r="Y1116" t="s">
        <v>119</v>
      </c>
      <c r="AA1116" t="s">
        <v>295</v>
      </c>
      <c r="AB1116">
        <v>97.666666000000006</v>
      </c>
      <c r="AC1116">
        <v>7.2666659999999998</v>
      </c>
      <c r="AD1116">
        <v>90.4</v>
      </c>
      <c r="AE1116">
        <v>53.216667000000001</v>
      </c>
      <c r="AF1116">
        <v>52.116667</v>
      </c>
      <c r="AG1116">
        <v>37.183332999999998</v>
      </c>
      <c r="AH1116">
        <v>89.3</v>
      </c>
      <c r="AI1116">
        <v>9.6333330000000004</v>
      </c>
      <c r="AJ1116">
        <v>27.55</v>
      </c>
      <c r="AK1116">
        <v>0</v>
      </c>
      <c r="AL1116" s="76"/>
      <c r="AM1116" s="75"/>
      <c r="AN1116" t="s">
        <v>135</v>
      </c>
      <c r="AP1116" t="s">
        <v>67</v>
      </c>
      <c r="AQ1116" t="s">
        <v>121</v>
      </c>
      <c r="AR1116" t="s">
        <v>69</v>
      </c>
      <c r="AS1116" s="78"/>
      <c r="AT1116" s="82" t="s">
        <v>4832</v>
      </c>
      <c r="AU1116" s="78">
        <v>2026</v>
      </c>
      <c r="AV1116" s="78">
        <v>4</v>
      </c>
      <c r="AW1116" s="78" t="s">
        <v>122</v>
      </c>
      <c r="AX1116" s="78">
        <v>0</v>
      </c>
      <c r="AY1116" s="78">
        <v>1</v>
      </c>
      <c r="BT1116" s="2" t="s">
        <v>122</v>
      </c>
      <c r="BU1116" s="2">
        <v>0</v>
      </c>
      <c r="BV1116" s="2">
        <v>1</v>
      </c>
    </row>
    <row r="1117" spans="1:74" ht="15" customHeight="1" x14ac:dyDescent="0.25">
      <c r="A1117" s="75">
        <v>5925499</v>
      </c>
      <c r="B1117" t="s">
        <v>4886</v>
      </c>
      <c r="C1117" t="s">
        <v>4506</v>
      </c>
      <c r="D1117" t="s">
        <v>1555</v>
      </c>
      <c r="E1117" t="s">
        <v>87</v>
      </c>
      <c r="F1117" s="75">
        <v>138</v>
      </c>
      <c r="G1117" s="75">
        <v>285617</v>
      </c>
      <c r="H1117">
        <v>368.16</v>
      </c>
      <c r="I1117" t="s">
        <v>55</v>
      </c>
      <c r="J1117" s="75">
        <v>218791</v>
      </c>
      <c r="K1117" t="s">
        <v>312</v>
      </c>
      <c r="L1117" t="s">
        <v>313</v>
      </c>
      <c r="M1117" s="81">
        <v>46130.715740740743</v>
      </c>
      <c r="N1117" s="81">
        <v>46134.56144675926</v>
      </c>
      <c r="O1117" t="s">
        <v>58</v>
      </c>
      <c r="P1117" t="s">
        <v>59</v>
      </c>
      <c r="Q1117" t="s">
        <v>90</v>
      </c>
      <c r="R1117" t="s">
        <v>99</v>
      </c>
      <c r="S1117" t="s">
        <v>1244</v>
      </c>
      <c r="U1117" s="75">
        <v>235789</v>
      </c>
      <c r="V1117" t="s">
        <v>4887</v>
      </c>
      <c r="W1117" t="s">
        <v>4888</v>
      </c>
      <c r="X1117" t="s">
        <v>62</v>
      </c>
      <c r="Y1117" t="s">
        <v>63</v>
      </c>
      <c r="AA1117" t="s">
        <v>64</v>
      </c>
      <c r="AB1117">
        <v>92.200001</v>
      </c>
      <c r="AC1117">
        <v>83.800000999999995</v>
      </c>
      <c r="AD1117">
        <v>8.4</v>
      </c>
      <c r="AE1117">
        <v>1.65</v>
      </c>
      <c r="AF1117">
        <v>0</v>
      </c>
      <c r="AG1117">
        <v>6.75</v>
      </c>
      <c r="AH1117">
        <v>6.75</v>
      </c>
      <c r="AI1117">
        <v>4.0833329999999997</v>
      </c>
      <c r="AJ1117">
        <v>2.6666669999999999</v>
      </c>
      <c r="AK1117">
        <v>0</v>
      </c>
      <c r="AL1117" s="76">
        <v>44896.419305555559</v>
      </c>
      <c r="AM1117" s="75">
        <v>1234</v>
      </c>
      <c r="AN1117" t="s">
        <v>65</v>
      </c>
      <c r="AO1117" t="s">
        <v>4508</v>
      </c>
      <c r="AP1117" t="s">
        <v>67</v>
      </c>
      <c r="AQ1117" t="s">
        <v>68</v>
      </c>
      <c r="AR1117" t="s">
        <v>69</v>
      </c>
      <c r="AS1117" s="79"/>
      <c r="AT1117" s="82" t="s">
        <v>4832</v>
      </c>
      <c r="AU1117" s="78">
        <v>2026</v>
      </c>
      <c r="AV1117" s="78">
        <v>4</v>
      </c>
      <c r="AW1117" s="78" t="s">
        <v>71</v>
      </c>
      <c r="AX1117" s="78">
        <v>1</v>
      </c>
      <c r="AY1117" s="78">
        <v>0</v>
      </c>
      <c r="BT1117" s="3" t="s">
        <v>71</v>
      </c>
      <c r="BU1117" s="3">
        <v>1</v>
      </c>
      <c r="BV1117" s="3">
        <v>0</v>
      </c>
    </row>
    <row r="1118" spans="1:74" ht="15" customHeight="1" x14ac:dyDescent="0.25">
      <c r="A1118" s="75">
        <v>5925313</v>
      </c>
      <c r="B1118" t="s">
        <v>4889</v>
      </c>
      <c r="C1118" t="s">
        <v>3700</v>
      </c>
      <c r="D1118" t="s">
        <v>1555</v>
      </c>
      <c r="E1118" t="s">
        <v>87</v>
      </c>
      <c r="F1118" s="75">
        <v>525</v>
      </c>
      <c r="G1118" s="75">
        <v>333123</v>
      </c>
      <c r="H1118">
        <v>710.28</v>
      </c>
      <c r="I1118" t="s">
        <v>114</v>
      </c>
      <c r="J1118" s="75">
        <v>218791</v>
      </c>
      <c r="K1118" t="s">
        <v>312</v>
      </c>
      <c r="L1118" t="s">
        <v>313</v>
      </c>
      <c r="M1118" s="81">
        <v>46130.528182870366</v>
      </c>
      <c r="N1118" s="81">
        <v>46134.568090277768</v>
      </c>
      <c r="O1118" t="s">
        <v>58</v>
      </c>
      <c r="P1118" t="s">
        <v>59</v>
      </c>
      <c r="Q1118" t="s">
        <v>90</v>
      </c>
      <c r="R1118" t="s">
        <v>60</v>
      </c>
      <c r="S1118" t="s">
        <v>583</v>
      </c>
      <c r="U1118" s="75">
        <v>235765</v>
      </c>
      <c r="V1118" t="s">
        <v>4890</v>
      </c>
      <c r="W1118" t="s">
        <v>4891</v>
      </c>
      <c r="X1118" t="s">
        <v>62</v>
      </c>
      <c r="Y1118" t="s">
        <v>63</v>
      </c>
      <c r="AA1118" t="s">
        <v>64</v>
      </c>
      <c r="AB1118">
        <v>96.899998999999994</v>
      </c>
      <c r="AC1118">
        <v>89.166666000000006</v>
      </c>
      <c r="AD1118">
        <v>7.733333</v>
      </c>
      <c r="AE1118">
        <v>1.1499999999999999</v>
      </c>
      <c r="AF1118">
        <v>0</v>
      </c>
      <c r="AG1118">
        <v>6.5833329999999997</v>
      </c>
      <c r="AH1118">
        <v>6.5833329999999997</v>
      </c>
      <c r="AI1118">
        <v>5.0166659999999998</v>
      </c>
      <c r="AJ1118">
        <v>1.566667</v>
      </c>
      <c r="AK1118">
        <v>0</v>
      </c>
      <c r="AL1118" s="76">
        <v>45775.448518518519</v>
      </c>
      <c r="AM1118" s="75">
        <v>355</v>
      </c>
      <c r="AN1118" t="s">
        <v>65</v>
      </c>
      <c r="AO1118" t="s">
        <v>3702</v>
      </c>
      <c r="AP1118" t="s">
        <v>67</v>
      </c>
      <c r="AQ1118" t="s">
        <v>68</v>
      </c>
      <c r="AR1118" t="s">
        <v>69</v>
      </c>
      <c r="AS1118" s="78"/>
      <c r="AT1118" s="82" t="s">
        <v>4832</v>
      </c>
      <c r="AU1118" s="78">
        <v>2026</v>
      </c>
      <c r="AV1118" s="78">
        <v>4</v>
      </c>
      <c r="AW1118" s="78" t="s">
        <v>71</v>
      </c>
      <c r="AX1118" s="78">
        <v>1</v>
      </c>
      <c r="AY1118" s="78">
        <v>0</v>
      </c>
      <c r="BT1118" s="2" t="s">
        <v>71</v>
      </c>
      <c r="BU1118" s="2">
        <v>1</v>
      </c>
      <c r="BV1118" s="2">
        <v>0</v>
      </c>
    </row>
    <row r="1119" spans="1:74" ht="15" customHeight="1" x14ac:dyDescent="0.25">
      <c r="A1119" s="75">
        <v>5925213</v>
      </c>
      <c r="B1119" t="s">
        <v>4892</v>
      </c>
      <c r="C1119" t="s">
        <v>4893</v>
      </c>
      <c r="D1119" t="s">
        <v>1555</v>
      </c>
      <c r="E1119" t="s">
        <v>54</v>
      </c>
      <c r="F1119" s="75">
        <v>10</v>
      </c>
      <c r="G1119" s="75">
        <v>274769</v>
      </c>
      <c r="H1119">
        <v>974.56</v>
      </c>
      <c r="I1119" t="s">
        <v>266</v>
      </c>
      <c r="J1119" s="75">
        <v>218427</v>
      </c>
      <c r="K1119" t="s">
        <v>4894</v>
      </c>
      <c r="L1119" t="s">
        <v>4895</v>
      </c>
      <c r="M1119" s="81">
        <v>46130.403599537043</v>
      </c>
      <c r="N1119" s="81">
        <v>46134.572708333333</v>
      </c>
      <c r="O1119" t="s">
        <v>58</v>
      </c>
      <c r="P1119" t="s">
        <v>59</v>
      </c>
      <c r="Q1119" t="s">
        <v>77</v>
      </c>
      <c r="R1119" t="s">
        <v>60</v>
      </c>
      <c r="S1119" t="s">
        <v>583</v>
      </c>
      <c r="T1119" t="s">
        <v>4896</v>
      </c>
      <c r="U1119" s="75"/>
      <c r="X1119" t="s">
        <v>118</v>
      </c>
      <c r="Y1119" t="s">
        <v>4897</v>
      </c>
      <c r="AA1119" t="s">
        <v>295</v>
      </c>
      <c r="AB1119">
        <v>100</v>
      </c>
      <c r="AC1119">
        <v>44.083334000000001</v>
      </c>
      <c r="AD1119">
        <v>55.916665999999999</v>
      </c>
      <c r="AE1119">
        <v>0.16666600000000001</v>
      </c>
      <c r="AF1119">
        <v>0</v>
      </c>
      <c r="AG1119">
        <v>55.75</v>
      </c>
      <c r="AH1119">
        <v>55.75</v>
      </c>
      <c r="AI1119">
        <v>6.75</v>
      </c>
      <c r="AJ1119">
        <v>49</v>
      </c>
      <c r="AK1119">
        <v>0</v>
      </c>
      <c r="AL1119" s="76">
        <v>36526</v>
      </c>
      <c r="AM1119" s="75">
        <v>9604</v>
      </c>
      <c r="AN1119" t="s">
        <v>65</v>
      </c>
      <c r="AO1119" t="s">
        <v>4898</v>
      </c>
      <c r="AP1119" t="s">
        <v>67</v>
      </c>
      <c r="AQ1119" t="s">
        <v>121</v>
      </c>
      <c r="AR1119" t="s">
        <v>69</v>
      </c>
      <c r="AS1119" s="79"/>
      <c r="AT1119" s="82" t="s">
        <v>4832</v>
      </c>
      <c r="AU1119" s="78">
        <v>2026</v>
      </c>
      <c r="AV1119" s="78">
        <v>4</v>
      </c>
      <c r="AW1119" s="78" t="s">
        <v>347</v>
      </c>
      <c r="AX1119" s="78">
        <v>0</v>
      </c>
      <c r="AY1119" s="78">
        <v>1</v>
      </c>
      <c r="BT1119" s="3" t="s">
        <v>347</v>
      </c>
      <c r="BU1119" s="3">
        <v>0</v>
      </c>
      <c r="BV1119" s="3">
        <v>1</v>
      </c>
    </row>
    <row r="1120" spans="1:74" ht="15" customHeight="1" x14ac:dyDescent="0.25">
      <c r="A1120" s="75">
        <v>5926857</v>
      </c>
      <c r="B1120" t="s">
        <v>4899</v>
      </c>
      <c r="C1120" t="s">
        <v>4766</v>
      </c>
      <c r="D1120" t="s">
        <v>527</v>
      </c>
      <c r="E1120" t="s">
        <v>54</v>
      </c>
      <c r="F1120" s="75">
        <v>17</v>
      </c>
      <c r="G1120" s="75">
        <v>300001</v>
      </c>
      <c r="H1120">
        <v>640</v>
      </c>
      <c r="I1120" t="s">
        <v>55</v>
      </c>
      <c r="J1120" s="75">
        <v>202197</v>
      </c>
      <c r="K1120" t="s">
        <v>305</v>
      </c>
      <c r="L1120" t="s">
        <v>306</v>
      </c>
      <c r="M1120" s="81">
        <v>46132.479942129627</v>
      </c>
      <c r="N1120" s="81">
        <v>46135.292604166672</v>
      </c>
      <c r="O1120" t="s">
        <v>391</v>
      </c>
      <c r="P1120" t="s">
        <v>59</v>
      </c>
      <c r="Q1120" t="s">
        <v>90</v>
      </c>
      <c r="R1120" t="s">
        <v>60</v>
      </c>
      <c r="S1120" t="s">
        <v>583</v>
      </c>
      <c r="U1120" s="75">
        <v>236945</v>
      </c>
      <c r="V1120" t="s">
        <v>4900</v>
      </c>
      <c r="W1120" t="s">
        <v>4901</v>
      </c>
      <c r="X1120" t="s">
        <v>79</v>
      </c>
      <c r="Y1120" t="s">
        <v>224</v>
      </c>
      <c r="AA1120" t="s">
        <v>416</v>
      </c>
      <c r="AB1120">
        <v>67.400001000000003</v>
      </c>
      <c r="AC1120">
        <v>52.2</v>
      </c>
      <c r="AD1120">
        <v>15.200001</v>
      </c>
      <c r="AE1120">
        <v>0.35</v>
      </c>
      <c r="AF1120">
        <v>0</v>
      </c>
      <c r="AG1120">
        <v>14.850001000000001</v>
      </c>
      <c r="AH1120">
        <v>14.850001000000001</v>
      </c>
      <c r="AI1120">
        <v>13.750000999999999</v>
      </c>
      <c r="AJ1120">
        <v>1.1000000000000001</v>
      </c>
      <c r="AK1120">
        <v>0</v>
      </c>
      <c r="AL1120" s="76">
        <v>45316</v>
      </c>
      <c r="AM1120" s="75">
        <v>816</v>
      </c>
      <c r="AN1120" t="s">
        <v>65</v>
      </c>
      <c r="AO1120" t="s">
        <v>2428</v>
      </c>
      <c r="AP1120" t="s">
        <v>67</v>
      </c>
      <c r="AQ1120" t="s">
        <v>83</v>
      </c>
      <c r="AR1120" t="s">
        <v>69</v>
      </c>
      <c r="AS1120" s="78"/>
      <c r="AT1120" s="82" t="s">
        <v>4832</v>
      </c>
      <c r="AU1120" s="78">
        <v>2026</v>
      </c>
      <c r="AV1120" s="78">
        <v>4</v>
      </c>
      <c r="AW1120" s="78" t="s">
        <v>226</v>
      </c>
      <c r="AX1120" s="78">
        <v>0</v>
      </c>
      <c r="AY1120" s="78">
        <v>0</v>
      </c>
      <c r="BT1120" s="2" t="s">
        <v>226</v>
      </c>
      <c r="BU1120" s="2">
        <v>0</v>
      </c>
      <c r="BV1120" s="2">
        <v>0</v>
      </c>
    </row>
    <row r="1121" spans="1:74" ht="15" customHeight="1" x14ac:dyDescent="0.25">
      <c r="A1121" s="75">
        <v>5926671</v>
      </c>
      <c r="B1121" t="s">
        <v>4902</v>
      </c>
      <c r="C1121" t="s">
        <v>4903</v>
      </c>
      <c r="D1121" t="s">
        <v>527</v>
      </c>
      <c r="E1121" t="s">
        <v>87</v>
      </c>
      <c r="F1121" s="75">
        <v>855</v>
      </c>
      <c r="G1121" s="75">
        <v>290555</v>
      </c>
      <c r="H1121">
        <v>2944.79</v>
      </c>
      <c r="I1121" t="s">
        <v>114</v>
      </c>
      <c r="J1121" s="75">
        <v>19917</v>
      </c>
      <c r="K1121" t="s">
        <v>1325</v>
      </c>
      <c r="L1121" t="s">
        <v>1326</v>
      </c>
      <c r="M1121" s="81">
        <v>46132.41710648148</v>
      </c>
      <c r="N1121" s="81">
        <v>46135.364745370367</v>
      </c>
      <c r="P1121" t="s">
        <v>59</v>
      </c>
      <c r="Q1121" t="s">
        <v>130</v>
      </c>
      <c r="R1121" t="s">
        <v>99</v>
      </c>
      <c r="S1121" t="s">
        <v>1244</v>
      </c>
      <c r="T1121" t="s">
        <v>4904</v>
      </c>
      <c r="U1121" s="75">
        <v>238001</v>
      </c>
      <c r="V1121" t="s">
        <v>4905</v>
      </c>
      <c r="X1121" t="s">
        <v>79</v>
      </c>
      <c r="Y1121" t="s">
        <v>4906</v>
      </c>
      <c r="AA1121" t="s">
        <v>295</v>
      </c>
      <c r="AB1121">
        <v>70.633332999999993</v>
      </c>
      <c r="AC1121">
        <v>21.283332999999999</v>
      </c>
      <c r="AD1121">
        <v>49.35</v>
      </c>
      <c r="AE1121">
        <v>0.11666700000000001</v>
      </c>
      <c r="AF1121">
        <v>0</v>
      </c>
      <c r="AG1121">
        <v>49.233333000000002</v>
      </c>
      <c r="AH1121">
        <v>49.233333000000002</v>
      </c>
      <c r="AI1121">
        <v>7.0333329999999998</v>
      </c>
      <c r="AJ1121">
        <v>42.2</v>
      </c>
      <c r="AK1121">
        <v>0</v>
      </c>
      <c r="AL1121" s="76">
        <v>45127.736296296287</v>
      </c>
      <c r="AM1121" s="75">
        <v>1004</v>
      </c>
      <c r="AN1121" t="s">
        <v>65</v>
      </c>
      <c r="AO1121" t="s">
        <v>4907</v>
      </c>
      <c r="AP1121" t="s">
        <v>67</v>
      </c>
      <c r="AQ1121" t="s">
        <v>83</v>
      </c>
      <c r="AR1121" t="s">
        <v>69</v>
      </c>
      <c r="AS1121" s="79"/>
      <c r="AT1121" s="82" t="s">
        <v>4832</v>
      </c>
      <c r="AU1121" s="78">
        <v>2026</v>
      </c>
      <c r="AV1121" s="78">
        <v>4</v>
      </c>
      <c r="AW1121" s="78" t="s">
        <v>84</v>
      </c>
      <c r="AX1121" s="78">
        <v>0</v>
      </c>
      <c r="AY1121" s="78">
        <v>1</v>
      </c>
      <c r="BT1121" s="3" t="s">
        <v>84</v>
      </c>
      <c r="BU1121" s="3">
        <v>0</v>
      </c>
      <c r="BV1121" s="3">
        <v>1</v>
      </c>
    </row>
    <row r="1122" spans="1:74" ht="15" customHeight="1" x14ac:dyDescent="0.25">
      <c r="A1122" s="75">
        <v>5919593</v>
      </c>
      <c r="B1122" t="s">
        <v>4908</v>
      </c>
      <c r="C1122" t="s">
        <v>4909</v>
      </c>
      <c r="D1122" t="s">
        <v>527</v>
      </c>
      <c r="E1122" t="s">
        <v>87</v>
      </c>
      <c r="F1122" s="75">
        <v>7</v>
      </c>
      <c r="G1122" s="75">
        <v>283121</v>
      </c>
      <c r="H1122">
        <v>617.27</v>
      </c>
      <c r="I1122" t="s">
        <v>266</v>
      </c>
      <c r="J1122" s="75">
        <v>204531</v>
      </c>
      <c r="K1122" t="s">
        <v>3061</v>
      </c>
      <c r="L1122" t="s">
        <v>3062</v>
      </c>
      <c r="M1122" s="81">
        <v>46127.382685185177</v>
      </c>
      <c r="N1122" s="81">
        <v>46135.376840277779</v>
      </c>
      <c r="O1122" t="s">
        <v>58</v>
      </c>
      <c r="P1122" t="s">
        <v>59</v>
      </c>
      <c r="Q1122" t="s">
        <v>90</v>
      </c>
      <c r="R1122" t="s">
        <v>156</v>
      </c>
      <c r="S1122" t="s">
        <v>1320</v>
      </c>
      <c r="T1122" t="s">
        <v>4910</v>
      </c>
      <c r="U1122" s="75">
        <v>237481</v>
      </c>
      <c r="V1122" t="s">
        <v>4911</v>
      </c>
      <c r="W1122" t="s">
        <v>4911</v>
      </c>
      <c r="X1122" t="s">
        <v>79</v>
      </c>
      <c r="Y1122" t="s">
        <v>4912</v>
      </c>
      <c r="AA1122" t="s">
        <v>295</v>
      </c>
      <c r="AB1122">
        <v>191.76666599999999</v>
      </c>
      <c r="AC1122">
        <v>145.433333</v>
      </c>
      <c r="AD1122">
        <v>46.333333000000003</v>
      </c>
      <c r="AE1122">
        <v>0.51666699999999999</v>
      </c>
      <c r="AF1122">
        <v>0</v>
      </c>
      <c r="AG1122">
        <v>45.816665999999998</v>
      </c>
      <c r="AH1122">
        <v>45.816665999999998</v>
      </c>
      <c r="AI1122">
        <v>6.3333329999999997</v>
      </c>
      <c r="AJ1122">
        <v>39.483333000000002</v>
      </c>
      <c r="AK1122">
        <v>0</v>
      </c>
      <c r="AL1122" s="76">
        <v>44540</v>
      </c>
      <c r="AM1122" s="75">
        <v>1587</v>
      </c>
      <c r="AN1122" t="s">
        <v>65</v>
      </c>
      <c r="AO1122" t="s">
        <v>4913</v>
      </c>
      <c r="AP1122" t="s">
        <v>67</v>
      </c>
      <c r="AQ1122" t="s">
        <v>83</v>
      </c>
      <c r="AR1122" t="s">
        <v>69</v>
      </c>
      <c r="AS1122" s="78"/>
      <c r="AT1122" s="82" t="s">
        <v>4832</v>
      </c>
      <c r="AU1122" s="78">
        <v>2026</v>
      </c>
      <c r="AV1122" s="78">
        <v>4</v>
      </c>
      <c r="AW1122" s="78" t="s">
        <v>84</v>
      </c>
      <c r="AX1122" s="78">
        <v>0</v>
      </c>
      <c r="AY1122" s="78">
        <v>1</v>
      </c>
      <c r="BT1122" s="2" t="s">
        <v>84</v>
      </c>
      <c r="BU1122" s="2">
        <v>0</v>
      </c>
      <c r="BV1122" s="2">
        <v>1</v>
      </c>
    </row>
    <row r="1123" spans="1:74" ht="15" customHeight="1" x14ac:dyDescent="0.25">
      <c r="A1123" s="75">
        <v>5925993</v>
      </c>
      <c r="B1123" t="s">
        <v>4914</v>
      </c>
      <c r="C1123" t="s">
        <v>4915</v>
      </c>
      <c r="D1123" t="s">
        <v>2379</v>
      </c>
      <c r="E1123" t="s">
        <v>87</v>
      </c>
      <c r="F1123" s="75">
        <v>2</v>
      </c>
      <c r="G1123" s="75">
        <v>56093</v>
      </c>
      <c r="H1123">
        <v>3187.5</v>
      </c>
      <c r="I1123" t="s">
        <v>880</v>
      </c>
      <c r="J1123" s="75">
        <v>49495</v>
      </c>
      <c r="K1123" t="s">
        <v>460</v>
      </c>
      <c r="L1123" t="s">
        <v>461</v>
      </c>
      <c r="M1123" s="81">
        <v>46131.583726851852</v>
      </c>
      <c r="N1123" s="81">
        <v>46135.507557870369</v>
      </c>
      <c r="O1123" t="s">
        <v>269</v>
      </c>
      <c r="P1123" t="s">
        <v>59</v>
      </c>
      <c r="Q1123" t="s">
        <v>130</v>
      </c>
      <c r="R1123" t="s">
        <v>99</v>
      </c>
      <c r="S1123" t="s">
        <v>1244</v>
      </c>
      <c r="U1123" s="75">
        <v>237999</v>
      </c>
      <c r="V1123" t="s">
        <v>4916</v>
      </c>
      <c r="X1123" t="s">
        <v>62</v>
      </c>
      <c r="Y1123" t="s">
        <v>63</v>
      </c>
      <c r="AA1123" t="s">
        <v>416</v>
      </c>
      <c r="AB1123">
        <v>94.083332999999996</v>
      </c>
      <c r="AC1123">
        <v>79.55</v>
      </c>
      <c r="AD1123">
        <v>14.533333000000001</v>
      </c>
      <c r="AE1123">
        <v>0.11666700000000001</v>
      </c>
      <c r="AF1123">
        <v>0</v>
      </c>
      <c r="AG1123">
        <v>14.416665999999999</v>
      </c>
      <c r="AH1123">
        <v>14.416665999999999</v>
      </c>
      <c r="AI1123">
        <v>10.6</v>
      </c>
      <c r="AJ1123">
        <v>3.8166660000000001</v>
      </c>
      <c r="AK1123">
        <v>0</v>
      </c>
      <c r="AL1123" s="76">
        <v>43010.662314814806</v>
      </c>
      <c r="AM1123" s="75">
        <v>3120</v>
      </c>
      <c r="AN1123" t="s">
        <v>65</v>
      </c>
      <c r="AO1123" t="s">
        <v>1546</v>
      </c>
      <c r="AP1123" t="s">
        <v>67</v>
      </c>
      <c r="AQ1123" t="s">
        <v>68</v>
      </c>
      <c r="AR1123" t="s">
        <v>69</v>
      </c>
      <c r="AS1123" s="79"/>
      <c r="AT1123" s="82" t="s">
        <v>4832</v>
      </c>
      <c r="AU1123" s="78">
        <v>2026</v>
      </c>
      <c r="AV1123" s="78">
        <v>4</v>
      </c>
      <c r="AW1123" s="78" t="s">
        <v>71</v>
      </c>
      <c r="AX1123" s="78">
        <v>0</v>
      </c>
      <c r="AY1123" s="78">
        <v>0</v>
      </c>
      <c r="BT1123" s="3" t="s">
        <v>71</v>
      </c>
      <c r="BU1123" s="3">
        <v>0</v>
      </c>
      <c r="BV1123" s="3">
        <v>0</v>
      </c>
    </row>
    <row r="1124" spans="1:74" ht="15" customHeight="1" x14ac:dyDescent="0.25">
      <c r="A1124" s="75">
        <v>5928197</v>
      </c>
      <c r="B1124" t="s">
        <v>4917</v>
      </c>
      <c r="C1124" t="s">
        <v>2478</v>
      </c>
      <c r="D1124" t="s">
        <v>1567</v>
      </c>
      <c r="E1124" t="s">
        <v>87</v>
      </c>
      <c r="F1124" s="75">
        <v>185</v>
      </c>
      <c r="G1124" s="75">
        <v>285893</v>
      </c>
      <c r="H1124">
        <v>398.82</v>
      </c>
      <c r="I1124" t="s">
        <v>55</v>
      </c>
      <c r="J1124" s="75">
        <v>216233</v>
      </c>
      <c r="K1124" t="s">
        <v>88</v>
      </c>
      <c r="L1124" t="s">
        <v>89</v>
      </c>
      <c r="M1124" s="81">
        <v>46133.535231481481</v>
      </c>
      <c r="N1124" s="81">
        <v>46135.546469907407</v>
      </c>
      <c r="O1124" t="s">
        <v>58</v>
      </c>
      <c r="P1124" t="s">
        <v>59</v>
      </c>
      <c r="Q1124" t="s">
        <v>90</v>
      </c>
      <c r="R1124" t="s">
        <v>60</v>
      </c>
      <c r="S1124" t="s">
        <v>583</v>
      </c>
      <c r="U1124" s="75">
        <v>236889</v>
      </c>
      <c r="V1124" t="s">
        <v>4918</v>
      </c>
      <c r="W1124" t="s">
        <v>4918</v>
      </c>
      <c r="X1124" t="s">
        <v>62</v>
      </c>
      <c r="Y1124" t="s">
        <v>63</v>
      </c>
      <c r="AA1124" t="s">
        <v>101</v>
      </c>
      <c r="AB1124">
        <v>48.200001</v>
      </c>
      <c r="AC1124">
        <v>37.166666999999997</v>
      </c>
      <c r="AD1124">
        <v>11.033334</v>
      </c>
      <c r="AE1124">
        <v>0.61666699999999997</v>
      </c>
      <c r="AF1124">
        <v>0</v>
      </c>
      <c r="AG1124">
        <v>10.416667</v>
      </c>
      <c r="AH1124">
        <v>10.416667</v>
      </c>
      <c r="AI1124">
        <v>9.15</v>
      </c>
      <c r="AJ1124">
        <v>1.266667</v>
      </c>
      <c r="AK1124">
        <v>0</v>
      </c>
      <c r="AL1124" s="76">
        <v>44879</v>
      </c>
      <c r="AM1124" s="75">
        <v>1254</v>
      </c>
      <c r="AN1124" t="s">
        <v>65</v>
      </c>
      <c r="AO1124" t="s">
        <v>2480</v>
      </c>
      <c r="AP1124" t="s">
        <v>67</v>
      </c>
      <c r="AQ1124" t="s">
        <v>68</v>
      </c>
      <c r="AR1124" t="s">
        <v>69</v>
      </c>
      <c r="AS1124" s="78"/>
      <c r="AT1124" s="82" t="s">
        <v>4832</v>
      </c>
      <c r="AU1124" s="78">
        <v>2026</v>
      </c>
      <c r="AV1124" s="78">
        <v>4</v>
      </c>
      <c r="AW1124" s="78" t="s">
        <v>71</v>
      </c>
      <c r="AX1124" s="78">
        <v>0</v>
      </c>
      <c r="AY1124" s="78">
        <v>0</v>
      </c>
      <c r="BT1124" s="2" t="s">
        <v>71</v>
      </c>
      <c r="BU1124" s="2">
        <v>0</v>
      </c>
      <c r="BV1124" s="2">
        <v>0</v>
      </c>
    </row>
    <row r="1125" spans="1:74" ht="15" customHeight="1" x14ac:dyDescent="0.25">
      <c r="A1125" s="75">
        <v>5927679</v>
      </c>
      <c r="B1125" t="s">
        <v>4919</v>
      </c>
      <c r="C1125" t="s">
        <v>4920</v>
      </c>
      <c r="D1125" t="s">
        <v>1555</v>
      </c>
      <c r="E1125" t="s">
        <v>87</v>
      </c>
      <c r="F1125" s="75">
        <v>18</v>
      </c>
      <c r="G1125" s="75">
        <v>280693</v>
      </c>
      <c r="H1125">
        <v>414.07</v>
      </c>
      <c r="I1125" t="s">
        <v>1291</v>
      </c>
      <c r="J1125" s="75">
        <v>77293</v>
      </c>
      <c r="K1125" t="s">
        <v>1292</v>
      </c>
      <c r="L1125" t="s">
        <v>1293</v>
      </c>
      <c r="M1125" s="81">
        <v>46132.84752314815</v>
      </c>
      <c r="N1125" s="81">
        <v>46135.553784722222</v>
      </c>
      <c r="O1125" t="s">
        <v>58</v>
      </c>
      <c r="P1125" t="s">
        <v>59</v>
      </c>
      <c r="Q1125" t="s">
        <v>90</v>
      </c>
      <c r="R1125" t="s">
        <v>156</v>
      </c>
      <c r="S1125" t="s">
        <v>1320</v>
      </c>
      <c r="T1125" t="s">
        <v>4921</v>
      </c>
      <c r="U1125" s="75">
        <v>236609</v>
      </c>
      <c r="V1125" t="s">
        <v>4922</v>
      </c>
      <c r="W1125" t="s">
        <v>4922</v>
      </c>
      <c r="X1125" t="s">
        <v>79</v>
      </c>
      <c r="Y1125" t="s">
        <v>224</v>
      </c>
      <c r="AA1125" t="s">
        <v>81</v>
      </c>
      <c r="AB1125">
        <v>64.899998999999994</v>
      </c>
      <c r="AC1125">
        <v>57.433332999999998</v>
      </c>
      <c r="AD1125">
        <v>7.466666</v>
      </c>
      <c r="AE1125">
        <v>4.3833330000000004</v>
      </c>
      <c r="AF1125">
        <v>0</v>
      </c>
      <c r="AG1125">
        <v>3.0833330000000001</v>
      </c>
      <c r="AH1125">
        <v>3.0833330000000001</v>
      </c>
      <c r="AI1125">
        <v>1.6333329999999999</v>
      </c>
      <c r="AJ1125">
        <v>1.45</v>
      </c>
      <c r="AK1125">
        <v>0</v>
      </c>
      <c r="AL1125" s="76">
        <v>44834</v>
      </c>
      <c r="AM1125" s="75">
        <v>1298</v>
      </c>
      <c r="AN1125" t="s">
        <v>65</v>
      </c>
      <c r="AO1125" t="s">
        <v>4923</v>
      </c>
      <c r="AP1125" t="s">
        <v>67</v>
      </c>
      <c r="AQ1125" t="s">
        <v>83</v>
      </c>
      <c r="AR1125" t="s">
        <v>69</v>
      </c>
      <c r="AS1125" s="79"/>
      <c r="AT1125" s="82" t="s">
        <v>4832</v>
      </c>
      <c r="AU1125" s="78">
        <v>2026</v>
      </c>
      <c r="AV1125" s="78">
        <v>4</v>
      </c>
      <c r="AW1125" s="78" t="s">
        <v>226</v>
      </c>
      <c r="AX1125" s="78">
        <v>1</v>
      </c>
      <c r="AY1125" s="78">
        <v>0</v>
      </c>
      <c r="BT1125" s="3" t="s">
        <v>226</v>
      </c>
      <c r="BU1125" s="3">
        <v>1</v>
      </c>
      <c r="BV1125" s="3">
        <v>0</v>
      </c>
    </row>
    <row r="1126" spans="1:74" ht="15" customHeight="1" x14ac:dyDescent="0.25">
      <c r="A1126" s="75">
        <v>5927673</v>
      </c>
      <c r="B1126" t="s">
        <v>4924</v>
      </c>
      <c r="C1126" t="s">
        <v>3636</v>
      </c>
      <c r="D1126" t="s">
        <v>1555</v>
      </c>
      <c r="E1126" t="s">
        <v>87</v>
      </c>
      <c r="F1126" s="75">
        <v>1</v>
      </c>
      <c r="G1126" s="75">
        <v>254805</v>
      </c>
      <c r="H1126">
        <v>0.01</v>
      </c>
      <c r="I1126" t="s">
        <v>114</v>
      </c>
      <c r="J1126" s="75">
        <v>204531</v>
      </c>
      <c r="K1126" t="s">
        <v>3061</v>
      </c>
      <c r="L1126" t="s">
        <v>3062</v>
      </c>
      <c r="M1126" s="81">
        <v>46132.83390046296</v>
      </c>
      <c r="N1126" s="81">
        <v>46135.554907407408</v>
      </c>
      <c r="O1126" t="s">
        <v>58</v>
      </c>
      <c r="P1126" t="s">
        <v>59</v>
      </c>
      <c r="Q1126" t="s">
        <v>90</v>
      </c>
      <c r="R1126" t="s">
        <v>99</v>
      </c>
      <c r="S1126" t="s">
        <v>1244</v>
      </c>
      <c r="U1126" s="75">
        <v>236553</v>
      </c>
      <c r="V1126" t="s">
        <v>4925</v>
      </c>
      <c r="X1126" t="s">
        <v>79</v>
      </c>
      <c r="Y1126" t="s">
        <v>224</v>
      </c>
      <c r="AA1126" t="s">
        <v>81</v>
      </c>
      <c r="AB1126">
        <v>65.266666000000001</v>
      </c>
      <c r="AC1126">
        <v>63.916665999999999</v>
      </c>
      <c r="AD1126">
        <v>1.35</v>
      </c>
      <c r="AE1126">
        <v>1.2166669999999999</v>
      </c>
      <c r="AF1126">
        <v>0</v>
      </c>
      <c r="AG1126">
        <v>0.13333300000000001</v>
      </c>
      <c r="AH1126">
        <v>0.13333300000000001</v>
      </c>
      <c r="AI1126">
        <v>0</v>
      </c>
      <c r="AJ1126">
        <v>0.13333300000000001</v>
      </c>
      <c r="AK1126">
        <v>0</v>
      </c>
      <c r="AL1126" s="76">
        <v>44858.594537037039</v>
      </c>
      <c r="AM1126" s="75">
        <v>1274</v>
      </c>
      <c r="AN1126" t="s">
        <v>65</v>
      </c>
      <c r="AO1126" t="s">
        <v>3638</v>
      </c>
      <c r="AP1126" t="s">
        <v>67</v>
      </c>
      <c r="AQ1126" t="s">
        <v>83</v>
      </c>
      <c r="AR1126" t="s">
        <v>69</v>
      </c>
      <c r="AS1126" s="78"/>
      <c r="AT1126" s="82" t="s">
        <v>4832</v>
      </c>
      <c r="AU1126" s="78">
        <v>2026</v>
      </c>
      <c r="AV1126" s="78">
        <v>4</v>
      </c>
      <c r="AW1126" s="78" t="s">
        <v>226</v>
      </c>
      <c r="AX1126" s="78">
        <v>1</v>
      </c>
      <c r="AY1126" s="78">
        <v>0</v>
      </c>
      <c r="BT1126" s="2" t="s">
        <v>226</v>
      </c>
      <c r="BU1126" s="2">
        <v>1</v>
      </c>
      <c r="BV1126" s="2">
        <v>0</v>
      </c>
    </row>
    <row r="1127" spans="1:74" ht="15" customHeight="1" x14ac:dyDescent="0.25">
      <c r="A1127" s="75">
        <v>5927291</v>
      </c>
      <c r="B1127" t="s">
        <v>4926</v>
      </c>
      <c r="C1127" t="s">
        <v>1687</v>
      </c>
      <c r="D1127" t="s">
        <v>1555</v>
      </c>
      <c r="E1127" t="s">
        <v>54</v>
      </c>
      <c r="F1127" s="75">
        <v>106</v>
      </c>
      <c r="G1127" s="75">
        <v>295677</v>
      </c>
      <c r="H1127">
        <v>100</v>
      </c>
      <c r="I1127" t="s">
        <v>195</v>
      </c>
      <c r="J1127" s="75">
        <v>13955</v>
      </c>
      <c r="K1127" t="s">
        <v>75</v>
      </c>
      <c r="L1127" t="s">
        <v>76</v>
      </c>
      <c r="M1127" s="81">
        <v>46132.593611111108</v>
      </c>
      <c r="N1127" s="81">
        <v>46135.557430555556</v>
      </c>
      <c r="O1127" t="s">
        <v>58</v>
      </c>
      <c r="P1127" t="s">
        <v>59</v>
      </c>
      <c r="Q1127" t="s">
        <v>77</v>
      </c>
      <c r="R1127" t="s">
        <v>99</v>
      </c>
      <c r="S1127" t="s">
        <v>1244</v>
      </c>
      <c r="U1127" s="75">
        <v>237447</v>
      </c>
      <c r="V1127" t="s">
        <v>4927</v>
      </c>
      <c r="X1127" t="s">
        <v>62</v>
      </c>
      <c r="Y1127" t="s">
        <v>63</v>
      </c>
      <c r="AA1127" t="s">
        <v>416</v>
      </c>
      <c r="AB1127">
        <v>71.05</v>
      </c>
      <c r="AC1127">
        <v>56.466667000000001</v>
      </c>
      <c r="AD1127">
        <v>14.583333</v>
      </c>
      <c r="AE1127">
        <v>0.283333</v>
      </c>
      <c r="AF1127">
        <v>0</v>
      </c>
      <c r="AG1127">
        <v>14.3</v>
      </c>
      <c r="AH1127">
        <v>14.3</v>
      </c>
      <c r="AI1127">
        <v>14.116667</v>
      </c>
      <c r="AJ1127">
        <v>0.183333</v>
      </c>
      <c r="AK1127">
        <v>0</v>
      </c>
      <c r="AL1127" s="76">
        <v>45344</v>
      </c>
      <c r="AM1127" s="75">
        <v>788</v>
      </c>
      <c r="AN1127" t="s">
        <v>65</v>
      </c>
      <c r="AO1127" t="s">
        <v>1689</v>
      </c>
      <c r="AP1127" t="s">
        <v>67</v>
      </c>
      <c r="AQ1127" t="s">
        <v>68</v>
      </c>
      <c r="AR1127" t="s">
        <v>69</v>
      </c>
      <c r="AS1127" s="79"/>
      <c r="AT1127" s="82" t="s">
        <v>4832</v>
      </c>
      <c r="AU1127" s="78">
        <v>2026</v>
      </c>
      <c r="AV1127" s="78">
        <v>4</v>
      </c>
      <c r="AW1127" s="78" t="s">
        <v>71</v>
      </c>
      <c r="AX1127" s="78">
        <v>0</v>
      </c>
      <c r="AY1127" s="78">
        <v>0</v>
      </c>
      <c r="BT1127" s="3" t="s">
        <v>71</v>
      </c>
      <c r="BU1127" s="3">
        <v>0</v>
      </c>
      <c r="BV1127" s="3">
        <v>0</v>
      </c>
    </row>
    <row r="1128" spans="1:74" ht="15" customHeight="1" x14ac:dyDescent="0.25">
      <c r="A1128" s="75">
        <v>5924663</v>
      </c>
      <c r="B1128" t="s">
        <v>4928</v>
      </c>
      <c r="C1128" t="s">
        <v>4929</v>
      </c>
      <c r="D1128" t="s">
        <v>527</v>
      </c>
      <c r="E1128" t="s">
        <v>54</v>
      </c>
      <c r="F1128" s="75">
        <v>908</v>
      </c>
      <c r="G1128" s="75">
        <v>331223</v>
      </c>
      <c r="H1128">
        <v>850</v>
      </c>
      <c r="I1128" t="s">
        <v>141</v>
      </c>
      <c r="J1128" s="75">
        <v>49147</v>
      </c>
      <c r="K1128" t="s">
        <v>4930</v>
      </c>
      <c r="L1128" t="s">
        <v>4931</v>
      </c>
      <c r="M1128" s="81">
        <v>46129.678333333337</v>
      </c>
      <c r="N1128" s="81">
        <v>46135.56591435185</v>
      </c>
      <c r="O1128" t="s">
        <v>58</v>
      </c>
      <c r="P1128" t="s">
        <v>59</v>
      </c>
      <c r="Q1128" t="s">
        <v>77</v>
      </c>
      <c r="R1128" t="s">
        <v>60</v>
      </c>
      <c r="S1128" t="s">
        <v>583</v>
      </c>
      <c r="U1128" s="75">
        <v>236905</v>
      </c>
      <c r="V1128" t="s">
        <v>4932</v>
      </c>
      <c r="W1128" t="s">
        <v>4933</v>
      </c>
      <c r="X1128" t="s">
        <v>62</v>
      </c>
      <c r="Y1128" t="s">
        <v>63</v>
      </c>
      <c r="AA1128" t="s">
        <v>295</v>
      </c>
      <c r="AB1128">
        <v>141.15</v>
      </c>
      <c r="AC1128">
        <v>109.1</v>
      </c>
      <c r="AD1128">
        <v>32.049999999999997</v>
      </c>
      <c r="AE1128">
        <v>1.8</v>
      </c>
      <c r="AF1128">
        <v>0</v>
      </c>
      <c r="AG1128">
        <v>30.25</v>
      </c>
      <c r="AH1128">
        <v>30.25</v>
      </c>
      <c r="AI1128">
        <v>27.816666000000001</v>
      </c>
      <c r="AJ1128">
        <v>2.4333339999999999</v>
      </c>
      <c r="AK1128">
        <v>0</v>
      </c>
      <c r="AL1128" s="76">
        <v>45689</v>
      </c>
      <c r="AM1128" s="75">
        <v>440</v>
      </c>
      <c r="AN1128" t="s">
        <v>65</v>
      </c>
      <c r="AO1128" t="s">
        <v>4934</v>
      </c>
      <c r="AP1128" t="s">
        <v>67</v>
      </c>
      <c r="AQ1128" t="s">
        <v>68</v>
      </c>
      <c r="AR1128" t="s">
        <v>69</v>
      </c>
      <c r="AS1128" s="78"/>
      <c r="AT1128" s="82" t="s">
        <v>4832</v>
      </c>
      <c r="AU1128" s="78">
        <v>2026</v>
      </c>
      <c r="AV1128" s="78">
        <v>4</v>
      </c>
      <c r="AW1128" s="78" t="s">
        <v>71</v>
      </c>
      <c r="AX1128" s="78">
        <v>0</v>
      </c>
      <c r="AY1128" s="78">
        <v>1</v>
      </c>
      <c r="BT1128" s="2" t="s">
        <v>71</v>
      </c>
      <c r="BU1128" s="2">
        <v>0</v>
      </c>
      <c r="BV1128" s="2">
        <v>1</v>
      </c>
    </row>
    <row r="1129" spans="1:74" ht="15" customHeight="1" x14ac:dyDescent="0.25">
      <c r="A1129" s="75">
        <v>5926055</v>
      </c>
      <c r="B1129" t="s">
        <v>4935</v>
      </c>
      <c r="C1129" t="s">
        <v>4936</v>
      </c>
      <c r="D1129" t="s">
        <v>1555</v>
      </c>
      <c r="E1129" t="s">
        <v>87</v>
      </c>
      <c r="F1129" s="75">
        <v>252</v>
      </c>
      <c r="G1129" s="75">
        <v>286345</v>
      </c>
      <c r="H1129">
        <v>364.96</v>
      </c>
      <c r="I1129" t="s">
        <v>55</v>
      </c>
      <c r="J1129" s="75">
        <v>218787</v>
      </c>
      <c r="K1129" t="s">
        <v>96</v>
      </c>
      <c r="L1129" t="s">
        <v>97</v>
      </c>
      <c r="M1129" s="81">
        <v>46131.715694444443</v>
      </c>
      <c r="N1129" s="81">
        <v>46135.566087962958</v>
      </c>
      <c r="O1129" t="s">
        <v>58</v>
      </c>
      <c r="P1129" t="s">
        <v>59</v>
      </c>
      <c r="Q1129" t="s">
        <v>90</v>
      </c>
      <c r="R1129" t="s">
        <v>99</v>
      </c>
      <c r="S1129" t="s">
        <v>1244</v>
      </c>
      <c r="U1129" s="75">
        <v>236923</v>
      </c>
      <c r="V1129" t="s">
        <v>4937</v>
      </c>
      <c r="W1129" t="s">
        <v>4938</v>
      </c>
      <c r="X1129" t="s">
        <v>62</v>
      </c>
      <c r="Y1129" t="s">
        <v>63</v>
      </c>
      <c r="AA1129" t="s">
        <v>81</v>
      </c>
      <c r="AB1129">
        <v>92.350001000000006</v>
      </c>
      <c r="AC1129">
        <v>87.116667000000007</v>
      </c>
      <c r="AD1129">
        <v>5.2333340000000002</v>
      </c>
      <c r="AE1129">
        <v>1.3666670000000001</v>
      </c>
      <c r="AF1129">
        <v>0</v>
      </c>
      <c r="AG1129">
        <v>3.8666670000000001</v>
      </c>
      <c r="AH1129">
        <v>3.8666670000000001</v>
      </c>
      <c r="AI1129">
        <v>2.75</v>
      </c>
      <c r="AJ1129">
        <v>1.1166670000000001</v>
      </c>
      <c r="AK1129">
        <v>0</v>
      </c>
      <c r="AL1129" s="76">
        <v>44888</v>
      </c>
      <c r="AM1129" s="75">
        <v>1243</v>
      </c>
      <c r="AN1129" t="s">
        <v>65</v>
      </c>
      <c r="AO1129" t="s">
        <v>4939</v>
      </c>
      <c r="AP1129" t="s">
        <v>67</v>
      </c>
      <c r="AQ1129" t="s">
        <v>68</v>
      </c>
      <c r="AR1129" t="s">
        <v>69</v>
      </c>
      <c r="AS1129" s="79"/>
      <c r="AT1129" s="82" t="s">
        <v>4832</v>
      </c>
      <c r="AU1129" s="78">
        <v>2026</v>
      </c>
      <c r="AV1129" s="78">
        <v>4</v>
      </c>
      <c r="AW1129" s="78" t="s">
        <v>71</v>
      </c>
      <c r="AX1129" s="78">
        <v>1</v>
      </c>
      <c r="AY1129" s="78">
        <v>0</v>
      </c>
      <c r="BT1129" s="3" t="s">
        <v>71</v>
      </c>
      <c r="BU1129" s="3">
        <v>1</v>
      </c>
      <c r="BV1129" s="3">
        <v>0</v>
      </c>
    </row>
    <row r="1130" spans="1:74" ht="15" customHeight="1" x14ac:dyDescent="0.25">
      <c r="A1130" s="75">
        <v>5925709</v>
      </c>
      <c r="B1130" t="s">
        <v>4940</v>
      </c>
      <c r="C1130" t="s">
        <v>4941</v>
      </c>
      <c r="D1130" t="s">
        <v>527</v>
      </c>
      <c r="E1130" t="s">
        <v>87</v>
      </c>
      <c r="F1130" s="75">
        <v>399</v>
      </c>
      <c r="G1130" s="75">
        <v>288171</v>
      </c>
      <c r="H1130">
        <v>710.28</v>
      </c>
      <c r="I1130" t="s">
        <v>55</v>
      </c>
      <c r="J1130" s="75">
        <v>216233</v>
      </c>
      <c r="K1130" t="s">
        <v>88</v>
      </c>
      <c r="L1130" t="s">
        <v>89</v>
      </c>
      <c r="M1130" s="81">
        <v>46130.986516203702</v>
      </c>
      <c r="N1130" s="81">
        <v>46135.571944444448</v>
      </c>
      <c r="O1130" t="s">
        <v>58</v>
      </c>
      <c r="P1130" t="s">
        <v>59</v>
      </c>
      <c r="Q1130" t="s">
        <v>90</v>
      </c>
      <c r="R1130" t="s">
        <v>60</v>
      </c>
      <c r="S1130" t="s">
        <v>583</v>
      </c>
      <c r="U1130" s="75">
        <v>236915</v>
      </c>
      <c r="V1130" t="s">
        <v>4942</v>
      </c>
      <c r="W1130" t="s">
        <v>4943</v>
      </c>
      <c r="X1130" t="s">
        <v>62</v>
      </c>
      <c r="Y1130" t="s">
        <v>63</v>
      </c>
      <c r="AA1130" t="s">
        <v>416</v>
      </c>
      <c r="AB1130">
        <v>109.966667</v>
      </c>
      <c r="AC1130">
        <v>92.550000999999995</v>
      </c>
      <c r="AD1130">
        <v>17.416665999999999</v>
      </c>
      <c r="AE1130">
        <v>0.3</v>
      </c>
      <c r="AF1130">
        <v>0</v>
      </c>
      <c r="AG1130">
        <v>17.116665999999999</v>
      </c>
      <c r="AH1130">
        <v>17.116665999999999</v>
      </c>
      <c r="AI1130">
        <v>16.05</v>
      </c>
      <c r="AJ1130">
        <v>1.0666659999999999</v>
      </c>
      <c r="AK1130">
        <v>0</v>
      </c>
      <c r="AL1130" s="76">
        <v>44933</v>
      </c>
      <c r="AM1130" s="75">
        <v>1197</v>
      </c>
      <c r="AN1130" t="s">
        <v>65</v>
      </c>
      <c r="AO1130" t="s">
        <v>4944</v>
      </c>
      <c r="AP1130" t="s">
        <v>67</v>
      </c>
      <c r="AQ1130" t="s">
        <v>68</v>
      </c>
      <c r="AR1130" t="s">
        <v>69</v>
      </c>
      <c r="AS1130" s="78"/>
      <c r="AT1130" s="82" t="s">
        <v>4832</v>
      </c>
      <c r="AU1130" s="78">
        <v>2026</v>
      </c>
      <c r="AV1130" s="78">
        <v>4</v>
      </c>
      <c r="AW1130" s="78" t="s">
        <v>71</v>
      </c>
      <c r="AX1130" s="78">
        <v>0</v>
      </c>
      <c r="AY1130" s="78">
        <v>0</v>
      </c>
      <c r="BT1130" s="2" t="s">
        <v>71</v>
      </c>
      <c r="BU1130" s="2">
        <v>0</v>
      </c>
      <c r="BV1130" s="2">
        <v>0</v>
      </c>
    </row>
    <row r="1131" spans="1:74" ht="15" customHeight="1" x14ac:dyDescent="0.25">
      <c r="A1131" s="75">
        <v>5925991</v>
      </c>
      <c r="B1131" t="s">
        <v>4945</v>
      </c>
      <c r="C1131" t="s">
        <v>1067</v>
      </c>
      <c r="D1131" t="s">
        <v>527</v>
      </c>
      <c r="E1131" t="s">
        <v>87</v>
      </c>
      <c r="F1131" s="75">
        <v>426</v>
      </c>
      <c r="G1131" s="75">
        <v>289277</v>
      </c>
      <c r="H1131">
        <v>382.47</v>
      </c>
      <c r="I1131" t="s">
        <v>55</v>
      </c>
      <c r="J1131" s="75">
        <v>216233</v>
      </c>
      <c r="K1131" t="s">
        <v>88</v>
      </c>
      <c r="L1131" t="s">
        <v>89</v>
      </c>
      <c r="M1131" s="81">
        <v>46131.576805555553</v>
      </c>
      <c r="N1131" s="81">
        <v>46135.572071759263</v>
      </c>
      <c r="O1131" t="s">
        <v>58</v>
      </c>
      <c r="P1131" t="s">
        <v>59</v>
      </c>
      <c r="Q1131" t="s">
        <v>90</v>
      </c>
      <c r="R1131" t="s">
        <v>60</v>
      </c>
      <c r="S1131" t="s">
        <v>583</v>
      </c>
      <c r="U1131" s="75">
        <v>236917</v>
      </c>
      <c r="V1131" t="s">
        <v>4946</v>
      </c>
      <c r="W1131" t="s">
        <v>4947</v>
      </c>
      <c r="X1131" t="s">
        <v>62</v>
      </c>
      <c r="Y1131" t="s">
        <v>63</v>
      </c>
      <c r="AA1131" t="s">
        <v>416</v>
      </c>
      <c r="AB1131">
        <v>95.799999</v>
      </c>
      <c r="AC1131">
        <v>77.583332999999996</v>
      </c>
      <c r="AD1131">
        <v>18.216666</v>
      </c>
      <c r="AE1131">
        <v>0.4</v>
      </c>
      <c r="AF1131">
        <v>0</v>
      </c>
      <c r="AG1131">
        <v>17.816666000000001</v>
      </c>
      <c r="AH1131">
        <v>17.816666000000001</v>
      </c>
      <c r="AI1131">
        <v>16.866667</v>
      </c>
      <c r="AJ1131">
        <v>0.94999900000000004</v>
      </c>
      <c r="AK1131">
        <v>0</v>
      </c>
      <c r="AL1131" s="76">
        <v>44998</v>
      </c>
      <c r="AM1131" s="75">
        <v>1133</v>
      </c>
      <c r="AN1131" t="s">
        <v>65</v>
      </c>
      <c r="AO1131" t="s">
        <v>1070</v>
      </c>
      <c r="AP1131" t="s">
        <v>67</v>
      </c>
      <c r="AQ1131" t="s">
        <v>68</v>
      </c>
      <c r="AR1131" t="s">
        <v>69</v>
      </c>
      <c r="AS1131" s="79"/>
      <c r="AT1131" s="82" t="s">
        <v>4832</v>
      </c>
      <c r="AU1131" s="78">
        <v>2026</v>
      </c>
      <c r="AV1131" s="78">
        <v>4</v>
      </c>
      <c r="AW1131" s="78" t="s">
        <v>71</v>
      </c>
      <c r="AX1131" s="78">
        <v>0</v>
      </c>
      <c r="AY1131" s="78">
        <v>0</v>
      </c>
      <c r="BT1131" s="3" t="s">
        <v>71</v>
      </c>
      <c r="BU1131" s="3">
        <v>0</v>
      </c>
      <c r="BV1131" s="3">
        <v>0</v>
      </c>
    </row>
    <row r="1132" spans="1:74" ht="15" customHeight="1" x14ac:dyDescent="0.25">
      <c r="A1132" s="75">
        <v>5926099</v>
      </c>
      <c r="B1132" t="s">
        <v>4948</v>
      </c>
      <c r="C1132" t="s">
        <v>4949</v>
      </c>
      <c r="D1132" t="s">
        <v>527</v>
      </c>
      <c r="E1132" t="s">
        <v>87</v>
      </c>
      <c r="F1132" s="75">
        <v>310</v>
      </c>
      <c r="G1132" s="75">
        <v>286517</v>
      </c>
      <c r="H1132">
        <v>364.96</v>
      </c>
      <c r="I1132" t="s">
        <v>55</v>
      </c>
      <c r="J1132" s="75">
        <v>218787</v>
      </c>
      <c r="K1132" t="s">
        <v>96</v>
      </c>
      <c r="L1132" t="s">
        <v>97</v>
      </c>
      <c r="M1132" s="81">
        <v>46131.799016203702</v>
      </c>
      <c r="N1132" s="81">
        <v>46135.572372685187</v>
      </c>
      <c r="O1132" t="s">
        <v>58</v>
      </c>
      <c r="P1132" t="s">
        <v>59</v>
      </c>
      <c r="Q1132" t="s">
        <v>90</v>
      </c>
      <c r="R1132" t="s">
        <v>60</v>
      </c>
      <c r="S1132" t="s">
        <v>583</v>
      </c>
      <c r="U1132" s="75">
        <v>236925</v>
      </c>
      <c r="V1132" t="s">
        <v>4950</v>
      </c>
      <c r="X1132" t="s">
        <v>62</v>
      </c>
      <c r="Y1132" t="s">
        <v>63</v>
      </c>
      <c r="AA1132" t="s">
        <v>101</v>
      </c>
      <c r="AB1132">
        <v>90.499999000000003</v>
      </c>
      <c r="AC1132">
        <v>80.649998999999994</v>
      </c>
      <c r="AD1132">
        <v>9.85</v>
      </c>
      <c r="AE1132">
        <v>0.1</v>
      </c>
      <c r="AF1132">
        <v>0</v>
      </c>
      <c r="AG1132">
        <v>9.75</v>
      </c>
      <c r="AH1132">
        <v>9.75</v>
      </c>
      <c r="AI1132">
        <v>8.7833330000000007</v>
      </c>
      <c r="AJ1132">
        <v>0.96666700000000005</v>
      </c>
      <c r="AK1132">
        <v>0</v>
      </c>
      <c r="AL1132" s="76">
        <v>44928</v>
      </c>
      <c r="AM1132" s="75">
        <v>1203</v>
      </c>
      <c r="AN1132" t="s">
        <v>65</v>
      </c>
      <c r="AO1132" t="s">
        <v>4951</v>
      </c>
      <c r="AP1132" t="s">
        <v>67</v>
      </c>
      <c r="AQ1132" t="s">
        <v>68</v>
      </c>
      <c r="AR1132" t="s">
        <v>69</v>
      </c>
      <c r="AS1132" s="78"/>
      <c r="AT1132" s="82" t="s">
        <v>4832</v>
      </c>
      <c r="AU1132" s="78">
        <v>2026</v>
      </c>
      <c r="AV1132" s="78">
        <v>4</v>
      </c>
      <c r="AW1132" s="78" t="s">
        <v>71</v>
      </c>
      <c r="AX1132" s="78">
        <v>0</v>
      </c>
      <c r="AY1132" s="78">
        <v>0</v>
      </c>
      <c r="BT1132" s="2" t="s">
        <v>71</v>
      </c>
      <c r="BU1132" s="2">
        <v>0</v>
      </c>
      <c r="BV1132" s="2">
        <v>0</v>
      </c>
    </row>
    <row r="1133" spans="1:74" ht="15" customHeight="1" x14ac:dyDescent="0.25">
      <c r="A1133" s="75">
        <v>5930075</v>
      </c>
      <c r="B1133" t="s">
        <v>4952</v>
      </c>
      <c r="C1133" t="s">
        <v>2998</v>
      </c>
      <c r="D1133" t="s">
        <v>527</v>
      </c>
      <c r="E1133" t="s">
        <v>87</v>
      </c>
      <c r="F1133" s="75">
        <v>129</v>
      </c>
      <c r="G1133" s="75">
        <v>285597</v>
      </c>
      <c r="H1133">
        <v>368.16</v>
      </c>
      <c r="I1133" t="s">
        <v>55</v>
      </c>
      <c r="J1133" s="75">
        <v>218791</v>
      </c>
      <c r="K1133" t="s">
        <v>312</v>
      </c>
      <c r="L1133" t="s">
        <v>313</v>
      </c>
      <c r="M1133" s="81">
        <v>46134.660162037027</v>
      </c>
      <c r="N1133" s="81">
        <v>46135.572500000002</v>
      </c>
      <c r="O1133" t="s">
        <v>58</v>
      </c>
      <c r="P1133" t="s">
        <v>59</v>
      </c>
      <c r="Q1133" t="s">
        <v>90</v>
      </c>
      <c r="R1133" t="s">
        <v>60</v>
      </c>
      <c r="S1133" t="s">
        <v>583</v>
      </c>
      <c r="U1133" s="75">
        <v>238043</v>
      </c>
      <c r="V1133" t="s">
        <v>4953</v>
      </c>
      <c r="W1133" t="s">
        <v>4954</v>
      </c>
      <c r="X1133" t="s">
        <v>62</v>
      </c>
      <c r="Y1133" t="s">
        <v>63</v>
      </c>
      <c r="AA1133" t="s">
        <v>64</v>
      </c>
      <c r="AB1133">
        <v>21.816666000000001</v>
      </c>
      <c r="AC1133">
        <v>14.7</v>
      </c>
      <c r="AD1133">
        <v>7.1166660000000004</v>
      </c>
      <c r="AE1133">
        <v>0.3</v>
      </c>
      <c r="AF1133">
        <v>0</v>
      </c>
      <c r="AG1133">
        <v>6.8166659999999997</v>
      </c>
      <c r="AH1133">
        <v>6.8166659999999997</v>
      </c>
      <c r="AI1133">
        <v>6.733333</v>
      </c>
      <c r="AJ1133">
        <v>8.3333000000000004E-2</v>
      </c>
      <c r="AK1133">
        <v>0</v>
      </c>
      <c r="AL1133" s="76">
        <v>44897.547465277778</v>
      </c>
      <c r="AM1133" s="75">
        <v>1237</v>
      </c>
      <c r="AN1133" t="s">
        <v>65</v>
      </c>
      <c r="AO1133" t="s">
        <v>3000</v>
      </c>
      <c r="AP1133" t="s">
        <v>67</v>
      </c>
      <c r="AQ1133" t="s">
        <v>68</v>
      </c>
      <c r="AR1133" t="s">
        <v>69</v>
      </c>
      <c r="AS1133" s="79"/>
      <c r="AT1133" s="82" t="s">
        <v>4832</v>
      </c>
      <c r="AU1133" s="78">
        <v>2026</v>
      </c>
      <c r="AV1133" s="78">
        <v>4</v>
      </c>
      <c r="AW1133" s="78" t="s">
        <v>71</v>
      </c>
      <c r="AX1133" s="78">
        <v>1</v>
      </c>
      <c r="AY1133" s="78">
        <v>0</v>
      </c>
      <c r="BT1133" s="3" t="s">
        <v>71</v>
      </c>
      <c r="BU1133" s="3">
        <v>1</v>
      </c>
      <c r="BV1133" s="3">
        <v>0</v>
      </c>
    </row>
    <row r="1134" spans="1:74" ht="15" customHeight="1" x14ac:dyDescent="0.25">
      <c r="A1134" s="75">
        <v>5929837</v>
      </c>
      <c r="B1134" t="s">
        <v>4955</v>
      </c>
      <c r="C1134" t="s">
        <v>4956</v>
      </c>
      <c r="D1134" t="s">
        <v>527</v>
      </c>
      <c r="E1134" t="s">
        <v>87</v>
      </c>
      <c r="F1134" s="75">
        <v>525</v>
      </c>
      <c r="G1134" s="75">
        <v>333123</v>
      </c>
      <c r="H1134">
        <v>710.28</v>
      </c>
      <c r="I1134" t="s">
        <v>114</v>
      </c>
      <c r="J1134" s="75">
        <v>218791</v>
      </c>
      <c r="K1134" t="s">
        <v>312</v>
      </c>
      <c r="L1134" t="s">
        <v>313</v>
      </c>
      <c r="M1134" s="81">
        <v>46134.580405092587</v>
      </c>
      <c r="N1134" s="81">
        <v>46135.572627314818</v>
      </c>
      <c r="O1134" t="s">
        <v>58</v>
      </c>
      <c r="P1134" t="s">
        <v>59</v>
      </c>
      <c r="Q1134" t="s">
        <v>2562</v>
      </c>
      <c r="R1134" t="s">
        <v>60</v>
      </c>
      <c r="S1134" t="s">
        <v>583</v>
      </c>
      <c r="U1134" s="75">
        <v>237889</v>
      </c>
      <c r="V1134" t="s">
        <v>4957</v>
      </c>
      <c r="X1134" t="s">
        <v>62</v>
      </c>
      <c r="Y1134" t="s">
        <v>63</v>
      </c>
      <c r="AA1134" t="s">
        <v>81</v>
      </c>
      <c r="AB1134">
        <v>23.783332999999999</v>
      </c>
      <c r="AC1134">
        <v>21.316666999999999</v>
      </c>
      <c r="AD1134">
        <v>2.466666</v>
      </c>
      <c r="AE1134">
        <v>1.5666659999999999</v>
      </c>
      <c r="AF1134">
        <v>0</v>
      </c>
      <c r="AG1134">
        <v>0.9</v>
      </c>
      <c r="AH1134">
        <v>0.9</v>
      </c>
      <c r="AI1134">
        <v>0.71666700000000005</v>
      </c>
      <c r="AJ1134">
        <v>0.183333</v>
      </c>
      <c r="AK1134">
        <v>0</v>
      </c>
      <c r="AL1134" s="76">
        <v>45775.448518518519</v>
      </c>
      <c r="AM1134" s="75">
        <v>359</v>
      </c>
      <c r="AN1134" t="s">
        <v>65</v>
      </c>
      <c r="AO1134" t="s">
        <v>3702</v>
      </c>
      <c r="AP1134" t="s">
        <v>67</v>
      </c>
      <c r="AQ1134" t="s">
        <v>68</v>
      </c>
      <c r="AR1134" t="s">
        <v>69</v>
      </c>
      <c r="AS1134" s="78"/>
      <c r="AT1134" s="82" t="s">
        <v>4832</v>
      </c>
      <c r="AU1134" s="78">
        <v>2026</v>
      </c>
      <c r="AV1134" s="78">
        <v>4</v>
      </c>
      <c r="AW1134" s="78" t="s">
        <v>71</v>
      </c>
      <c r="AX1134" s="78">
        <v>1</v>
      </c>
      <c r="AY1134" s="78">
        <v>0</v>
      </c>
      <c r="BT1134" s="2" t="s">
        <v>71</v>
      </c>
      <c r="BU1134" s="2">
        <v>1</v>
      </c>
      <c r="BV1134" s="2">
        <v>0</v>
      </c>
    </row>
    <row r="1135" spans="1:74" ht="15" customHeight="1" x14ac:dyDescent="0.25">
      <c r="A1135" s="75">
        <v>5929761</v>
      </c>
      <c r="B1135" t="s">
        <v>4958</v>
      </c>
      <c r="C1135" t="s">
        <v>2482</v>
      </c>
      <c r="D1135" t="s">
        <v>527</v>
      </c>
      <c r="E1135" t="s">
        <v>87</v>
      </c>
      <c r="F1135" s="75">
        <v>202</v>
      </c>
      <c r="G1135" s="75">
        <v>286003</v>
      </c>
      <c r="H1135">
        <v>398.82</v>
      </c>
      <c r="I1135" t="s">
        <v>55</v>
      </c>
      <c r="J1135" s="75">
        <v>216233</v>
      </c>
      <c r="K1135" t="s">
        <v>88</v>
      </c>
      <c r="L1135" t="s">
        <v>89</v>
      </c>
      <c r="M1135" s="81">
        <v>46134.535300925927</v>
      </c>
      <c r="N1135" s="81">
        <v>46135.572766203702</v>
      </c>
      <c r="O1135" t="s">
        <v>58</v>
      </c>
      <c r="P1135" t="s">
        <v>59</v>
      </c>
      <c r="Q1135" t="s">
        <v>90</v>
      </c>
      <c r="R1135" t="s">
        <v>60</v>
      </c>
      <c r="S1135" t="s">
        <v>583</v>
      </c>
      <c r="U1135" s="75">
        <v>238027</v>
      </c>
      <c r="V1135" t="s">
        <v>4959</v>
      </c>
      <c r="X1135" t="s">
        <v>62</v>
      </c>
      <c r="Y1135" t="s">
        <v>63</v>
      </c>
      <c r="AA1135" t="s">
        <v>81</v>
      </c>
      <c r="AB1135">
        <v>24.850000999999999</v>
      </c>
      <c r="AC1135">
        <v>20.533334</v>
      </c>
      <c r="AD1135">
        <v>4.3166669999999998</v>
      </c>
      <c r="AE1135">
        <v>1.033334</v>
      </c>
      <c r="AF1135">
        <v>0</v>
      </c>
      <c r="AG1135">
        <v>3.2833329999999998</v>
      </c>
      <c r="AH1135">
        <v>3.2833329999999998</v>
      </c>
      <c r="AI1135">
        <v>2.983333</v>
      </c>
      <c r="AJ1135">
        <v>0.3</v>
      </c>
      <c r="AK1135">
        <v>0</v>
      </c>
      <c r="AL1135" s="76">
        <v>44966</v>
      </c>
      <c r="AM1135" s="75">
        <v>1168</v>
      </c>
      <c r="AN1135" t="s">
        <v>65</v>
      </c>
      <c r="AO1135" t="s">
        <v>2484</v>
      </c>
      <c r="AP1135" t="s">
        <v>67</v>
      </c>
      <c r="AQ1135" t="s">
        <v>68</v>
      </c>
      <c r="AR1135" t="s">
        <v>69</v>
      </c>
      <c r="AS1135" s="79"/>
      <c r="AT1135" s="82" t="s">
        <v>4832</v>
      </c>
      <c r="AU1135" s="78">
        <v>2026</v>
      </c>
      <c r="AV1135" s="78">
        <v>4</v>
      </c>
      <c r="AW1135" s="78" t="s">
        <v>71</v>
      </c>
      <c r="AX1135" s="78">
        <v>1</v>
      </c>
      <c r="AY1135" s="78">
        <v>0</v>
      </c>
      <c r="BT1135" s="3" t="s">
        <v>71</v>
      </c>
      <c r="BU1135" s="3">
        <v>1</v>
      </c>
      <c r="BV1135" s="3">
        <v>0</v>
      </c>
    </row>
    <row r="1136" spans="1:74" ht="15" customHeight="1" x14ac:dyDescent="0.25">
      <c r="A1136" s="75">
        <v>5928803</v>
      </c>
      <c r="B1136" t="s">
        <v>4960</v>
      </c>
      <c r="C1136" t="s">
        <v>2383</v>
      </c>
      <c r="D1136" t="s">
        <v>527</v>
      </c>
      <c r="E1136" t="s">
        <v>87</v>
      </c>
      <c r="F1136" s="75">
        <v>51</v>
      </c>
      <c r="G1136" s="75">
        <v>275339</v>
      </c>
      <c r="H1136">
        <v>398.82</v>
      </c>
      <c r="I1136" t="s">
        <v>55</v>
      </c>
      <c r="J1136" s="75">
        <v>216233</v>
      </c>
      <c r="K1136" t="s">
        <v>88</v>
      </c>
      <c r="L1136" t="s">
        <v>89</v>
      </c>
      <c r="M1136" s="81">
        <v>46134.354618055557</v>
      </c>
      <c r="N1136" s="81">
        <v>46135.572881944441</v>
      </c>
      <c r="O1136" t="s">
        <v>58</v>
      </c>
      <c r="P1136" t="s">
        <v>59</v>
      </c>
      <c r="Q1136" t="s">
        <v>90</v>
      </c>
      <c r="R1136" t="s">
        <v>60</v>
      </c>
      <c r="S1136" t="s">
        <v>583</v>
      </c>
      <c r="U1136" s="75">
        <v>237321</v>
      </c>
      <c r="V1136" t="s">
        <v>4961</v>
      </c>
      <c r="W1136" t="s">
        <v>4961</v>
      </c>
      <c r="X1136" t="s">
        <v>62</v>
      </c>
      <c r="Y1136" t="s">
        <v>63</v>
      </c>
      <c r="AA1136" t="s">
        <v>101</v>
      </c>
      <c r="AB1136">
        <v>29.183332</v>
      </c>
      <c r="AC1136">
        <v>20.283332999999999</v>
      </c>
      <c r="AD1136">
        <v>8.8999989999999993</v>
      </c>
      <c r="AE1136">
        <v>0.26666600000000001</v>
      </c>
      <c r="AF1136">
        <v>0</v>
      </c>
      <c r="AG1136">
        <v>8.6333330000000004</v>
      </c>
      <c r="AH1136">
        <v>8.6333330000000004</v>
      </c>
      <c r="AI1136">
        <v>8.233333</v>
      </c>
      <c r="AJ1136">
        <v>0.4</v>
      </c>
      <c r="AK1136">
        <v>0</v>
      </c>
      <c r="AL1136" s="76">
        <v>44844</v>
      </c>
      <c r="AM1136" s="75">
        <v>1290</v>
      </c>
      <c r="AN1136" t="s">
        <v>65</v>
      </c>
      <c r="AO1136" t="s">
        <v>2385</v>
      </c>
      <c r="AP1136" t="s">
        <v>67</v>
      </c>
      <c r="AQ1136" t="s">
        <v>68</v>
      </c>
      <c r="AR1136" t="s">
        <v>69</v>
      </c>
      <c r="AS1136" s="78"/>
      <c r="AT1136" s="82" t="s">
        <v>4832</v>
      </c>
      <c r="AU1136" s="78">
        <v>2026</v>
      </c>
      <c r="AV1136" s="78">
        <v>4</v>
      </c>
      <c r="AW1136" s="78" t="s">
        <v>71</v>
      </c>
      <c r="AX1136" s="78">
        <v>0</v>
      </c>
      <c r="AY1136" s="78">
        <v>0</v>
      </c>
      <c r="BT1136" s="2" t="s">
        <v>71</v>
      </c>
      <c r="BU1136" s="2">
        <v>0</v>
      </c>
      <c r="BV1136" s="2">
        <v>0</v>
      </c>
    </row>
    <row r="1137" spans="1:74" ht="15" customHeight="1" x14ac:dyDescent="0.25">
      <c r="A1137" s="75">
        <v>5927705</v>
      </c>
      <c r="B1137" t="s">
        <v>4962</v>
      </c>
      <c r="C1137" t="s">
        <v>4963</v>
      </c>
      <c r="D1137" t="s">
        <v>527</v>
      </c>
      <c r="E1137" t="s">
        <v>87</v>
      </c>
      <c r="F1137" s="75">
        <v>822</v>
      </c>
      <c r="G1137" s="75">
        <v>290369</v>
      </c>
      <c r="H1137">
        <v>910</v>
      </c>
      <c r="I1137" t="s">
        <v>114</v>
      </c>
      <c r="J1137" s="75">
        <v>19921</v>
      </c>
      <c r="K1137" t="s">
        <v>1325</v>
      </c>
      <c r="L1137" t="s">
        <v>2612</v>
      </c>
      <c r="M1137" s="81">
        <v>46132.866354166668</v>
      </c>
      <c r="N1137" s="81">
        <v>46135.634479166663</v>
      </c>
      <c r="O1137" t="s">
        <v>58</v>
      </c>
      <c r="P1137" t="s">
        <v>59</v>
      </c>
      <c r="Q1137" t="s">
        <v>130</v>
      </c>
      <c r="R1137" t="s">
        <v>99</v>
      </c>
      <c r="S1137" t="s">
        <v>1244</v>
      </c>
      <c r="U1137" s="75">
        <v>236557</v>
      </c>
      <c r="V1137" t="s">
        <v>4964</v>
      </c>
      <c r="X1137" t="s">
        <v>118</v>
      </c>
      <c r="Y1137" t="s">
        <v>119</v>
      </c>
      <c r="AA1137" t="s">
        <v>416</v>
      </c>
      <c r="AB1137">
        <v>66.383332999999993</v>
      </c>
      <c r="AC1137">
        <v>54.066665999999998</v>
      </c>
      <c r="AD1137">
        <v>12.316667000000001</v>
      </c>
      <c r="AE1137">
        <v>0.15</v>
      </c>
      <c r="AF1137">
        <v>0</v>
      </c>
      <c r="AG1137">
        <v>12.166667</v>
      </c>
      <c r="AH1137">
        <v>12.166667</v>
      </c>
      <c r="AI1137">
        <v>11.45</v>
      </c>
      <c r="AJ1137">
        <v>0.71666700000000005</v>
      </c>
      <c r="AK1137">
        <v>0</v>
      </c>
      <c r="AL1137" s="76">
        <v>45099.451388888891</v>
      </c>
      <c r="AM1137" s="75">
        <v>1033</v>
      </c>
      <c r="AN1137" t="s">
        <v>65</v>
      </c>
      <c r="AO1137" t="s">
        <v>4965</v>
      </c>
      <c r="AP1137" t="s">
        <v>67</v>
      </c>
      <c r="AQ1137" t="s">
        <v>121</v>
      </c>
      <c r="AR1137" t="s">
        <v>69</v>
      </c>
      <c r="AS1137" s="79"/>
      <c r="AT1137" s="82" t="s">
        <v>4832</v>
      </c>
      <c r="AU1137" s="78">
        <v>2026</v>
      </c>
      <c r="AV1137" s="78">
        <v>4</v>
      </c>
      <c r="AW1137" s="78" t="s">
        <v>122</v>
      </c>
      <c r="AX1137" s="78">
        <v>0</v>
      </c>
      <c r="AY1137" s="78">
        <v>0</v>
      </c>
      <c r="BT1137" s="3" t="s">
        <v>122</v>
      </c>
      <c r="BU1137" s="3">
        <v>0</v>
      </c>
      <c r="BV1137" s="3">
        <v>0</v>
      </c>
    </row>
    <row r="1138" spans="1:74" ht="15" customHeight="1" x14ac:dyDescent="0.25">
      <c r="A1138" s="75">
        <v>5918191</v>
      </c>
      <c r="B1138" t="s">
        <v>4966</v>
      </c>
      <c r="C1138" t="s">
        <v>4321</v>
      </c>
      <c r="D1138" t="s">
        <v>1567</v>
      </c>
      <c r="E1138" t="s">
        <v>87</v>
      </c>
      <c r="F1138" s="75">
        <v>268</v>
      </c>
      <c r="G1138" s="75">
        <v>286381</v>
      </c>
      <c r="H1138">
        <v>364.96</v>
      </c>
      <c r="I1138" t="s">
        <v>55</v>
      </c>
      <c r="J1138" s="75">
        <v>218787</v>
      </c>
      <c r="K1138" t="s">
        <v>96</v>
      </c>
      <c r="L1138" t="s">
        <v>97</v>
      </c>
      <c r="M1138" s="81">
        <v>46126.535219907397</v>
      </c>
      <c r="N1138" s="81">
        <v>46135.655601851853</v>
      </c>
      <c r="O1138" t="s">
        <v>58</v>
      </c>
      <c r="P1138" t="s">
        <v>59</v>
      </c>
      <c r="Q1138" t="s">
        <v>90</v>
      </c>
      <c r="R1138" t="s">
        <v>60</v>
      </c>
      <c r="S1138" t="s">
        <v>583</v>
      </c>
      <c r="U1138" s="75">
        <v>237987</v>
      </c>
      <c r="V1138" t="s">
        <v>4967</v>
      </c>
      <c r="W1138" t="s">
        <v>4968</v>
      </c>
      <c r="X1138" t="s">
        <v>62</v>
      </c>
      <c r="Y1138" t="s">
        <v>63</v>
      </c>
      <c r="AA1138" t="s">
        <v>295</v>
      </c>
      <c r="AB1138">
        <v>218.633332</v>
      </c>
      <c r="AC1138">
        <v>167.066666</v>
      </c>
      <c r="AD1138">
        <v>51.566665999999998</v>
      </c>
      <c r="AE1138">
        <v>0.13333300000000001</v>
      </c>
      <c r="AF1138">
        <v>0</v>
      </c>
      <c r="AG1138">
        <v>51.433332999999998</v>
      </c>
      <c r="AH1138">
        <v>51.433332999999998</v>
      </c>
      <c r="AI1138">
        <v>48.799999</v>
      </c>
      <c r="AJ1138">
        <v>2.6333340000000001</v>
      </c>
      <c r="AK1138">
        <v>0</v>
      </c>
      <c r="AL1138" s="76">
        <v>44894</v>
      </c>
      <c r="AM1138" s="75">
        <v>1232</v>
      </c>
      <c r="AN1138" t="s">
        <v>65</v>
      </c>
      <c r="AO1138" t="s">
        <v>4324</v>
      </c>
      <c r="AP1138" t="s">
        <v>67</v>
      </c>
      <c r="AQ1138" t="s">
        <v>68</v>
      </c>
      <c r="AR1138" t="s">
        <v>69</v>
      </c>
      <c r="AS1138" s="78"/>
      <c r="AT1138" s="82" t="s">
        <v>4832</v>
      </c>
      <c r="AU1138" s="78">
        <v>2026</v>
      </c>
      <c r="AV1138" s="78">
        <v>4</v>
      </c>
      <c r="AW1138" s="78" t="s">
        <v>71</v>
      </c>
      <c r="AX1138" s="78">
        <v>0</v>
      </c>
      <c r="AY1138" s="78">
        <v>1</v>
      </c>
      <c r="BT1138" s="2" t="s">
        <v>71</v>
      </c>
      <c r="BU1138" s="2">
        <v>0</v>
      </c>
      <c r="BV1138" s="2">
        <v>1</v>
      </c>
    </row>
    <row r="1139" spans="1:74" ht="15" customHeight="1" x14ac:dyDescent="0.25">
      <c r="A1139" s="75">
        <v>5927487</v>
      </c>
      <c r="B1139" t="s">
        <v>4969</v>
      </c>
      <c r="C1139" t="s">
        <v>4970</v>
      </c>
      <c r="D1139" t="s">
        <v>1567</v>
      </c>
      <c r="E1139" t="s">
        <v>126</v>
      </c>
      <c r="F1139" s="75">
        <v>50</v>
      </c>
      <c r="G1139" s="75">
        <v>350473</v>
      </c>
      <c r="H1139">
        <v>250</v>
      </c>
      <c r="I1139" t="s">
        <v>175</v>
      </c>
      <c r="J1139" s="75">
        <v>133341</v>
      </c>
      <c r="K1139" t="s">
        <v>176</v>
      </c>
      <c r="L1139" t="s">
        <v>177</v>
      </c>
      <c r="M1139" s="81">
        <v>46132.685902777783</v>
      </c>
      <c r="N1139" s="81">
        <v>46135.682384259257</v>
      </c>
      <c r="O1139" t="s">
        <v>58</v>
      </c>
      <c r="P1139" t="s">
        <v>59</v>
      </c>
      <c r="Q1139" t="s">
        <v>130</v>
      </c>
      <c r="R1139" t="s">
        <v>60</v>
      </c>
      <c r="S1139" t="s">
        <v>583</v>
      </c>
      <c r="U1139" s="75">
        <v>238005</v>
      </c>
      <c r="V1139" t="s">
        <v>4971</v>
      </c>
      <c r="W1139" t="s">
        <v>4972</v>
      </c>
      <c r="X1139" t="s">
        <v>62</v>
      </c>
      <c r="Y1139" t="s">
        <v>63</v>
      </c>
      <c r="AA1139" t="s">
        <v>64</v>
      </c>
      <c r="AB1139">
        <v>71.800000999999995</v>
      </c>
      <c r="AC1139">
        <v>60.9</v>
      </c>
      <c r="AD1139">
        <v>10.900001</v>
      </c>
      <c r="AE1139">
        <v>4.283334</v>
      </c>
      <c r="AF1139">
        <v>0</v>
      </c>
      <c r="AG1139">
        <v>6.6166669999999996</v>
      </c>
      <c r="AH1139">
        <v>6.6166669999999996</v>
      </c>
      <c r="AI1139">
        <v>5.9</v>
      </c>
      <c r="AJ1139">
        <v>0.71666700000000005</v>
      </c>
      <c r="AK1139">
        <v>0</v>
      </c>
      <c r="AL1139" s="76">
        <v>46080</v>
      </c>
      <c r="AM1139" s="75">
        <v>52</v>
      </c>
      <c r="AN1139" t="s">
        <v>65</v>
      </c>
      <c r="AO1139" t="s">
        <v>4973</v>
      </c>
      <c r="AP1139" t="s">
        <v>67</v>
      </c>
      <c r="AQ1139" t="s">
        <v>68</v>
      </c>
      <c r="AR1139" t="s">
        <v>69</v>
      </c>
      <c r="AS1139" s="79"/>
      <c r="AT1139" s="82" t="s">
        <v>4832</v>
      </c>
      <c r="AU1139" s="78">
        <v>2026</v>
      </c>
      <c r="AV1139" s="78">
        <v>4</v>
      </c>
      <c r="AW1139" s="78" t="s">
        <v>71</v>
      </c>
      <c r="AX1139" s="78">
        <v>1</v>
      </c>
      <c r="AY1139" s="78">
        <v>0</v>
      </c>
      <c r="BT1139" s="3" t="s">
        <v>71</v>
      </c>
      <c r="BU1139" s="3">
        <v>1</v>
      </c>
      <c r="BV1139" s="3">
        <v>0</v>
      </c>
    </row>
    <row r="1140" spans="1:74" ht="15" customHeight="1" x14ac:dyDescent="0.25">
      <c r="A1140" s="75">
        <v>5931013</v>
      </c>
      <c r="B1140" t="s">
        <v>4974</v>
      </c>
      <c r="C1140" t="s">
        <v>4975</v>
      </c>
      <c r="D1140" t="s">
        <v>1052</v>
      </c>
      <c r="E1140" t="s">
        <v>54</v>
      </c>
      <c r="F1140" s="75">
        <v>1</v>
      </c>
      <c r="G1140" s="75">
        <v>294385</v>
      </c>
      <c r="H1140">
        <v>377.91</v>
      </c>
      <c r="I1140" t="s">
        <v>55</v>
      </c>
      <c r="J1140" s="75">
        <v>218291</v>
      </c>
      <c r="K1140" t="s">
        <v>786</v>
      </c>
      <c r="L1140" t="s">
        <v>787</v>
      </c>
      <c r="M1140" s="81">
        <v>46135.414189814823</v>
      </c>
      <c r="N1140" s="81">
        <v>46135.945960648147</v>
      </c>
      <c r="O1140" t="s">
        <v>58</v>
      </c>
      <c r="P1140" t="s">
        <v>59</v>
      </c>
      <c r="Q1140" t="s">
        <v>130</v>
      </c>
      <c r="R1140" t="s">
        <v>60</v>
      </c>
      <c r="S1140" t="s">
        <v>583</v>
      </c>
      <c r="U1140" s="75">
        <v>238447</v>
      </c>
      <c r="V1140" t="s">
        <v>4976</v>
      </c>
      <c r="W1140" t="s">
        <v>4976</v>
      </c>
      <c r="X1140" t="s">
        <v>62</v>
      </c>
      <c r="Y1140" t="s">
        <v>63</v>
      </c>
      <c r="AA1140" t="s">
        <v>64</v>
      </c>
      <c r="AB1140">
        <v>12.716666</v>
      </c>
      <c r="AC1140">
        <v>6.5333329999999998</v>
      </c>
      <c r="AD1140">
        <v>6.1833330000000002</v>
      </c>
      <c r="AE1140">
        <v>1.6667000000000001E-2</v>
      </c>
      <c r="AF1140">
        <v>0</v>
      </c>
      <c r="AG1140">
        <v>6.1666660000000002</v>
      </c>
      <c r="AH1140">
        <v>6.1666660000000002</v>
      </c>
      <c r="AI1140">
        <v>5.9333330000000002</v>
      </c>
      <c r="AJ1140">
        <v>0.23333300000000001</v>
      </c>
      <c r="AK1140">
        <v>0</v>
      </c>
      <c r="AL1140" s="76">
        <v>45195</v>
      </c>
      <c r="AM1140" s="75">
        <v>940</v>
      </c>
      <c r="AN1140" t="s">
        <v>65</v>
      </c>
      <c r="AO1140" t="s">
        <v>790</v>
      </c>
      <c r="AP1140" t="s">
        <v>67</v>
      </c>
      <c r="AQ1140" t="s">
        <v>68</v>
      </c>
      <c r="AR1140" t="s">
        <v>69</v>
      </c>
      <c r="AS1140" s="78"/>
      <c r="AT1140" s="82" t="s">
        <v>4832</v>
      </c>
      <c r="AU1140" s="78">
        <v>2026</v>
      </c>
      <c r="AV1140" s="78">
        <v>4</v>
      </c>
      <c r="AW1140" s="78" t="s">
        <v>71</v>
      </c>
      <c r="AX1140" s="78">
        <v>1</v>
      </c>
      <c r="AY1140" s="78">
        <v>0</v>
      </c>
      <c r="BT1140" s="2" t="s">
        <v>71</v>
      </c>
      <c r="BU1140" s="2">
        <v>1</v>
      </c>
      <c r="BV1140" s="2">
        <v>0</v>
      </c>
    </row>
    <row r="1141" spans="1:74" ht="15" customHeight="1" x14ac:dyDescent="0.25">
      <c r="A1141" s="75">
        <v>5932105</v>
      </c>
      <c r="B1141" t="s">
        <v>4977</v>
      </c>
      <c r="C1141" t="s">
        <v>4978</v>
      </c>
      <c r="D1141" t="s">
        <v>4979</v>
      </c>
      <c r="E1141" t="s">
        <v>126</v>
      </c>
      <c r="F1141" s="75">
        <v>1</v>
      </c>
      <c r="G1141" s="75">
        <v>269199</v>
      </c>
      <c r="H1141">
        <v>51000</v>
      </c>
      <c r="I1141" t="s">
        <v>266</v>
      </c>
      <c r="J1141" s="75">
        <v>213423</v>
      </c>
      <c r="K1141" t="s">
        <v>4980</v>
      </c>
      <c r="L1141" t="s">
        <v>4981</v>
      </c>
      <c r="M1141" s="81">
        <v>46135.84988425926</v>
      </c>
      <c r="N1141" s="81">
        <v>46136.03974537037</v>
      </c>
      <c r="O1141" t="s">
        <v>58</v>
      </c>
      <c r="P1141" t="s">
        <v>59</v>
      </c>
      <c r="Q1141" t="s">
        <v>130</v>
      </c>
      <c r="R1141" t="s">
        <v>2399</v>
      </c>
      <c r="S1141" t="s">
        <v>1491</v>
      </c>
      <c r="U1141" s="75">
        <v>238993</v>
      </c>
      <c r="V1141" t="s">
        <v>4982</v>
      </c>
      <c r="W1141" t="s">
        <v>4982</v>
      </c>
      <c r="X1141" t="s">
        <v>62</v>
      </c>
      <c r="Y1141" t="s">
        <v>271</v>
      </c>
      <c r="AA1141" t="s">
        <v>81</v>
      </c>
      <c r="AB1141">
        <v>4.5000010000000001</v>
      </c>
      <c r="AC1141">
        <v>2.0666669999999998</v>
      </c>
      <c r="AD1141">
        <v>2.4333339999999999</v>
      </c>
      <c r="AE1141">
        <v>0.05</v>
      </c>
      <c r="AF1141">
        <v>0</v>
      </c>
      <c r="AG1141">
        <v>2.3833340000000001</v>
      </c>
      <c r="AH1141">
        <v>2.3833340000000001</v>
      </c>
      <c r="AI1141">
        <v>2.0833339999999998</v>
      </c>
      <c r="AJ1141">
        <v>0.3</v>
      </c>
      <c r="AK1141">
        <v>0</v>
      </c>
      <c r="AL1141" s="76">
        <v>36526</v>
      </c>
      <c r="AM1141" s="75">
        <v>9609</v>
      </c>
      <c r="AN1141" t="s">
        <v>65</v>
      </c>
      <c r="AO1141" t="s">
        <v>4983</v>
      </c>
      <c r="AP1141" t="s">
        <v>67</v>
      </c>
      <c r="AQ1141" t="s">
        <v>68</v>
      </c>
      <c r="AR1141" t="s">
        <v>69</v>
      </c>
      <c r="AS1141" s="79"/>
      <c r="AT1141" s="82" t="s">
        <v>4832</v>
      </c>
      <c r="AU1141" s="78">
        <v>2026</v>
      </c>
      <c r="AV1141" s="78">
        <v>4</v>
      </c>
      <c r="AW1141" s="78" t="s">
        <v>137</v>
      </c>
      <c r="AX1141" s="78">
        <v>1</v>
      </c>
      <c r="AY1141" s="78">
        <v>0</v>
      </c>
      <c r="BT1141" s="3" t="s">
        <v>137</v>
      </c>
      <c r="BU1141" s="3">
        <v>1</v>
      </c>
      <c r="BV1141" s="3">
        <v>0</v>
      </c>
    </row>
    <row r="1142" spans="1:74" ht="15" customHeight="1" x14ac:dyDescent="0.25">
      <c r="A1142" s="75">
        <v>5930049</v>
      </c>
      <c r="B1142" t="s">
        <v>4984</v>
      </c>
      <c r="C1142" t="s">
        <v>4985</v>
      </c>
      <c r="D1142" t="s">
        <v>150</v>
      </c>
      <c r="E1142" t="s">
        <v>87</v>
      </c>
      <c r="F1142" s="75">
        <v>881</v>
      </c>
      <c r="G1142" s="75">
        <v>335147</v>
      </c>
      <c r="H1142">
        <v>750</v>
      </c>
      <c r="I1142" t="s">
        <v>141</v>
      </c>
      <c r="J1142" s="75">
        <v>19913</v>
      </c>
      <c r="K1142" t="s">
        <v>2336</v>
      </c>
      <c r="L1142" t="s">
        <v>2337</v>
      </c>
      <c r="M1142" s="81">
        <v>46134.647418981483</v>
      </c>
      <c r="N1142" s="81">
        <v>46136.34752314815</v>
      </c>
      <c r="O1142" t="s">
        <v>58</v>
      </c>
      <c r="P1142" t="s">
        <v>59</v>
      </c>
      <c r="Q1142" t="s">
        <v>130</v>
      </c>
      <c r="R1142" t="s">
        <v>131</v>
      </c>
      <c r="S1142" t="s">
        <v>1316</v>
      </c>
      <c r="U1142" s="75">
        <v>237935</v>
      </c>
      <c r="V1142" t="s">
        <v>4986</v>
      </c>
      <c r="W1142" t="s">
        <v>4986</v>
      </c>
      <c r="X1142" t="s">
        <v>62</v>
      </c>
      <c r="Y1142" t="s">
        <v>2297</v>
      </c>
      <c r="AA1142" t="s">
        <v>81</v>
      </c>
      <c r="AB1142">
        <v>40.699998999999998</v>
      </c>
      <c r="AC1142">
        <v>28.4</v>
      </c>
      <c r="AD1142">
        <v>12.299999</v>
      </c>
      <c r="AE1142">
        <v>10.266666000000001</v>
      </c>
      <c r="AF1142">
        <v>0</v>
      </c>
      <c r="AG1142">
        <v>2.0333329999999998</v>
      </c>
      <c r="AH1142">
        <v>2.0333329999999998</v>
      </c>
      <c r="AI1142">
        <v>1.3</v>
      </c>
      <c r="AJ1142">
        <v>0.73333300000000001</v>
      </c>
      <c r="AK1142">
        <v>0</v>
      </c>
      <c r="AL1142" s="76">
        <v>45770.41615740741</v>
      </c>
      <c r="AM1142" s="75">
        <v>364</v>
      </c>
      <c r="AN1142" t="s">
        <v>65</v>
      </c>
      <c r="AO1142" t="s">
        <v>4987</v>
      </c>
      <c r="AP1142" t="s">
        <v>67</v>
      </c>
      <c r="AQ1142" t="s">
        <v>68</v>
      </c>
      <c r="AR1142" t="s">
        <v>69</v>
      </c>
      <c r="AS1142" s="78"/>
      <c r="AT1142" s="82" t="s">
        <v>4832</v>
      </c>
      <c r="AU1142" s="78">
        <v>2026</v>
      </c>
      <c r="AV1142" s="78">
        <v>4</v>
      </c>
      <c r="AW1142" s="78" t="s">
        <v>137</v>
      </c>
      <c r="AX1142" s="78">
        <v>1</v>
      </c>
      <c r="AY1142" s="78">
        <v>0</v>
      </c>
      <c r="BT1142" s="2" t="s">
        <v>137</v>
      </c>
      <c r="BU1142" s="2">
        <v>1</v>
      </c>
      <c r="BV1142" s="2">
        <v>0</v>
      </c>
    </row>
    <row r="1143" spans="1:74" ht="15" customHeight="1" x14ac:dyDescent="0.25">
      <c r="A1143" s="75">
        <v>5931531</v>
      </c>
      <c r="B1143" t="s">
        <v>4988</v>
      </c>
      <c r="C1143" t="s">
        <v>459</v>
      </c>
      <c r="D1143" t="s">
        <v>527</v>
      </c>
      <c r="E1143" t="s">
        <v>87</v>
      </c>
      <c r="F1143" s="75">
        <v>299</v>
      </c>
      <c r="G1143" s="75">
        <v>285731</v>
      </c>
      <c r="H1143">
        <v>512.08000000000004</v>
      </c>
      <c r="I1143" t="s">
        <v>266</v>
      </c>
      <c r="J1143" s="75">
        <v>49495</v>
      </c>
      <c r="K1143" t="s">
        <v>460</v>
      </c>
      <c r="L1143" t="s">
        <v>461</v>
      </c>
      <c r="M1143" s="81">
        <v>46135.583692129629</v>
      </c>
      <c r="N1143" s="81">
        <v>46136.357199074067</v>
      </c>
      <c r="O1143" t="s">
        <v>58</v>
      </c>
      <c r="P1143" t="s">
        <v>59</v>
      </c>
      <c r="Q1143" t="s">
        <v>90</v>
      </c>
      <c r="R1143" t="s">
        <v>99</v>
      </c>
      <c r="S1143" t="s">
        <v>1375</v>
      </c>
      <c r="U1143" s="75">
        <v>239075</v>
      </c>
      <c r="V1143" t="s">
        <v>4989</v>
      </c>
      <c r="X1143" t="s">
        <v>62</v>
      </c>
      <c r="Y1143" t="s">
        <v>63</v>
      </c>
      <c r="AA1143" t="s">
        <v>81</v>
      </c>
      <c r="AB1143">
        <v>18.483333999999999</v>
      </c>
      <c r="AC1143">
        <v>17.100000000000001</v>
      </c>
      <c r="AD1143">
        <v>1.3833340000000001</v>
      </c>
      <c r="AE1143">
        <v>0.50000100000000003</v>
      </c>
      <c r="AF1143">
        <v>0</v>
      </c>
      <c r="AG1143">
        <v>0.88333300000000003</v>
      </c>
      <c r="AH1143">
        <v>0.88333300000000003</v>
      </c>
      <c r="AI1143">
        <v>0</v>
      </c>
      <c r="AJ1143">
        <v>0.88333300000000003</v>
      </c>
      <c r="AK1143">
        <v>0</v>
      </c>
      <c r="AL1143" s="76">
        <v>44862</v>
      </c>
      <c r="AM1143" s="75">
        <v>1273</v>
      </c>
      <c r="AN1143" t="s">
        <v>65</v>
      </c>
      <c r="AO1143" t="s">
        <v>462</v>
      </c>
      <c r="AP1143" t="s">
        <v>67</v>
      </c>
      <c r="AQ1143" t="s">
        <v>68</v>
      </c>
      <c r="AR1143" t="s">
        <v>69</v>
      </c>
      <c r="AS1143" s="79"/>
      <c r="AT1143" s="82" t="s">
        <v>4832</v>
      </c>
      <c r="AU1143" s="78">
        <v>2026</v>
      </c>
      <c r="AV1143" s="78">
        <v>4</v>
      </c>
      <c r="AW1143" s="78" t="s">
        <v>71</v>
      </c>
      <c r="AX1143" s="78">
        <v>1</v>
      </c>
      <c r="AY1143" s="78">
        <v>0</v>
      </c>
      <c r="BT1143" s="3" t="s">
        <v>71</v>
      </c>
      <c r="BU1143" s="3">
        <v>1</v>
      </c>
      <c r="BV1143" s="3">
        <v>0</v>
      </c>
    </row>
    <row r="1144" spans="1:74" ht="15" customHeight="1" x14ac:dyDescent="0.25">
      <c r="A1144" s="75">
        <v>5926211</v>
      </c>
      <c r="B1144" t="s">
        <v>4990</v>
      </c>
      <c r="C1144" t="s">
        <v>3475</v>
      </c>
      <c r="D1144" t="s">
        <v>150</v>
      </c>
      <c r="E1144" t="s">
        <v>87</v>
      </c>
      <c r="F1144" s="75">
        <v>356</v>
      </c>
      <c r="G1144" s="75">
        <v>286741</v>
      </c>
      <c r="H1144">
        <v>364.96</v>
      </c>
      <c r="I1144" t="s">
        <v>55</v>
      </c>
      <c r="J1144" s="75">
        <v>218787</v>
      </c>
      <c r="K1144" t="s">
        <v>96</v>
      </c>
      <c r="L1144" t="s">
        <v>97</v>
      </c>
      <c r="M1144" s="81">
        <v>46131.944907407407</v>
      </c>
      <c r="N1144" s="81">
        <v>46136.40421296296</v>
      </c>
      <c r="O1144" t="s">
        <v>58</v>
      </c>
      <c r="P1144" t="s">
        <v>59</v>
      </c>
      <c r="Q1144" t="s">
        <v>90</v>
      </c>
      <c r="R1144" t="s">
        <v>131</v>
      </c>
      <c r="S1144" t="s">
        <v>1316</v>
      </c>
      <c r="U1144" s="75">
        <v>238625</v>
      </c>
      <c r="V1144" t="s">
        <v>4991</v>
      </c>
      <c r="W1144" t="s">
        <v>4992</v>
      </c>
      <c r="X1144" t="s">
        <v>62</v>
      </c>
      <c r="Y1144" t="s">
        <v>63</v>
      </c>
      <c r="AA1144" t="s">
        <v>295</v>
      </c>
      <c r="AB1144">
        <v>106.933334</v>
      </c>
      <c r="AC1144">
        <v>67.3</v>
      </c>
      <c r="AD1144">
        <v>39.633333999999998</v>
      </c>
      <c r="AE1144">
        <v>8.016667</v>
      </c>
      <c r="AF1144">
        <v>0</v>
      </c>
      <c r="AG1144">
        <v>31.616667</v>
      </c>
      <c r="AH1144">
        <v>31.616667</v>
      </c>
      <c r="AI1144">
        <v>30.683333999999999</v>
      </c>
      <c r="AJ1144">
        <v>0.93333299999999997</v>
      </c>
      <c r="AK1144">
        <v>0</v>
      </c>
      <c r="AL1144" s="76">
        <v>44981</v>
      </c>
      <c r="AM1144" s="75">
        <v>1150</v>
      </c>
      <c r="AN1144" t="s">
        <v>65</v>
      </c>
      <c r="AO1144" t="s">
        <v>3477</v>
      </c>
      <c r="AP1144" t="s">
        <v>67</v>
      </c>
      <c r="AQ1144" t="s">
        <v>68</v>
      </c>
      <c r="AR1144" t="s">
        <v>69</v>
      </c>
      <c r="AS1144" s="78"/>
      <c r="AT1144" s="82" t="s">
        <v>4832</v>
      </c>
      <c r="AU1144" s="78">
        <v>2026</v>
      </c>
      <c r="AV1144" s="78">
        <v>4</v>
      </c>
      <c r="AW1144" s="78" t="s">
        <v>71</v>
      </c>
      <c r="AX1144" s="78">
        <v>0</v>
      </c>
      <c r="AY1144" s="78">
        <v>1</v>
      </c>
      <c r="BT1144" s="2" t="s">
        <v>71</v>
      </c>
      <c r="BU1144" s="2">
        <v>0</v>
      </c>
      <c r="BV1144" s="2">
        <v>1</v>
      </c>
    </row>
    <row r="1145" spans="1:74" ht="15" customHeight="1" x14ac:dyDescent="0.25">
      <c r="A1145" s="75">
        <v>5929791</v>
      </c>
      <c r="B1145" t="s">
        <v>4993</v>
      </c>
      <c r="C1145" t="s">
        <v>4994</v>
      </c>
      <c r="D1145" t="s">
        <v>150</v>
      </c>
      <c r="E1145" t="s">
        <v>87</v>
      </c>
      <c r="F1145" s="75">
        <v>331</v>
      </c>
      <c r="G1145" s="75">
        <v>286633</v>
      </c>
      <c r="H1145">
        <v>364.96</v>
      </c>
      <c r="I1145" t="s">
        <v>55</v>
      </c>
      <c r="J1145" s="75">
        <v>218787</v>
      </c>
      <c r="K1145" t="s">
        <v>96</v>
      </c>
      <c r="L1145" t="s">
        <v>97</v>
      </c>
      <c r="M1145" s="81">
        <v>46134.556134259263</v>
      </c>
      <c r="N1145" s="81">
        <v>46136.404456018521</v>
      </c>
      <c r="O1145" t="s">
        <v>58</v>
      </c>
      <c r="P1145" t="s">
        <v>59</v>
      </c>
      <c r="Q1145" t="s">
        <v>90</v>
      </c>
      <c r="R1145" t="s">
        <v>131</v>
      </c>
      <c r="S1145" t="s">
        <v>1316</v>
      </c>
      <c r="U1145" s="75">
        <v>238031</v>
      </c>
      <c r="V1145" t="s">
        <v>4995</v>
      </c>
      <c r="W1145" t="s">
        <v>4996</v>
      </c>
      <c r="X1145" t="s">
        <v>62</v>
      </c>
      <c r="Y1145" t="s">
        <v>63</v>
      </c>
      <c r="AA1145" t="s">
        <v>416</v>
      </c>
      <c r="AB1145">
        <v>44.283334000000004</v>
      </c>
      <c r="AC1145">
        <v>31.3</v>
      </c>
      <c r="AD1145">
        <v>12.983333999999999</v>
      </c>
      <c r="AE1145">
        <v>0.33333400000000002</v>
      </c>
      <c r="AF1145">
        <v>0</v>
      </c>
      <c r="AG1145">
        <v>12.65</v>
      </c>
      <c r="AH1145">
        <v>12.65</v>
      </c>
      <c r="AI1145">
        <v>12.016667</v>
      </c>
      <c r="AJ1145">
        <v>0.63333300000000003</v>
      </c>
      <c r="AK1145">
        <v>0</v>
      </c>
      <c r="AL1145" s="76">
        <v>44935</v>
      </c>
      <c r="AM1145" s="75">
        <v>1199</v>
      </c>
      <c r="AN1145" t="s">
        <v>65</v>
      </c>
      <c r="AO1145" t="s">
        <v>4997</v>
      </c>
      <c r="AP1145" t="s">
        <v>67</v>
      </c>
      <c r="AQ1145" t="s">
        <v>68</v>
      </c>
      <c r="AR1145" t="s">
        <v>69</v>
      </c>
      <c r="AS1145" s="79"/>
      <c r="AT1145" s="82" t="s">
        <v>4832</v>
      </c>
      <c r="AU1145" s="78">
        <v>2026</v>
      </c>
      <c r="AV1145" s="78">
        <v>4</v>
      </c>
      <c r="AW1145" s="78" t="s">
        <v>71</v>
      </c>
      <c r="AX1145" s="78">
        <v>0</v>
      </c>
      <c r="AY1145" s="78">
        <v>0</v>
      </c>
      <c r="BT1145" s="3" t="s">
        <v>71</v>
      </c>
      <c r="BU1145" s="3">
        <v>0</v>
      </c>
      <c r="BV1145" s="3">
        <v>0</v>
      </c>
    </row>
    <row r="1146" spans="1:74" ht="15" customHeight="1" x14ac:dyDescent="0.25">
      <c r="A1146" s="75">
        <v>5929947</v>
      </c>
      <c r="B1146" t="s">
        <v>4998</v>
      </c>
      <c r="C1146" t="s">
        <v>4999</v>
      </c>
      <c r="D1146" t="s">
        <v>150</v>
      </c>
      <c r="E1146" t="s">
        <v>87</v>
      </c>
      <c r="F1146" s="75">
        <v>357</v>
      </c>
      <c r="G1146" s="75">
        <v>286747</v>
      </c>
      <c r="H1146">
        <v>364.96</v>
      </c>
      <c r="I1146" t="s">
        <v>55</v>
      </c>
      <c r="J1146" s="75">
        <v>218787</v>
      </c>
      <c r="K1146" t="s">
        <v>96</v>
      </c>
      <c r="L1146" t="s">
        <v>97</v>
      </c>
      <c r="M1146" s="81">
        <v>46134.611331018517</v>
      </c>
      <c r="N1146" s="81">
        <v>46136.404675925929</v>
      </c>
      <c r="O1146" t="s">
        <v>58</v>
      </c>
      <c r="P1146" t="s">
        <v>59</v>
      </c>
      <c r="Q1146" t="s">
        <v>2562</v>
      </c>
      <c r="R1146" t="s">
        <v>131</v>
      </c>
      <c r="S1146" t="s">
        <v>1316</v>
      </c>
      <c r="U1146" s="75">
        <v>238033</v>
      </c>
      <c r="V1146" t="s">
        <v>5000</v>
      </c>
      <c r="W1146" t="s">
        <v>5001</v>
      </c>
      <c r="X1146" t="s">
        <v>62</v>
      </c>
      <c r="Y1146" t="s">
        <v>63</v>
      </c>
      <c r="AA1146" t="s">
        <v>101</v>
      </c>
      <c r="AB1146">
        <v>42.933332999999998</v>
      </c>
      <c r="AC1146">
        <v>32.066665999999998</v>
      </c>
      <c r="AD1146">
        <v>10.866667</v>
      </c>
      <c r="AE1146">
        <v>0.25</v>
      </c>
      <c r="AF1146">
        <v>0</v>
      </c>
      <c r="AG1146">
        <v>10.616667</v>
      </c>
      <c r="AH1146">
        <v>10.616667</v>
      </c>
      <c r="AI1146">
        <v>10.15</v>
      </c>
      <c r="AJ1146">
        <v>0.466667</v>
      </c>
      <c r="AK1146">
        <v>0</v>
      </c>
      <c r="AL1146" s="76">
        <v>44974.462523148148</v>
      </c>
      <c r="AM1146" s="75">
        <v>1160</v>
      </c>
      <c r="AN1146" t="s">
        <v>65</v>
      </c>
      <c r="AO1146" t="s">
        <v>5002</v>
      </c>
      <c r="AP1146" t="s">
        <v>67</v>
      </c>
      <c r="AQ1146" t="s">
        <v>68</v>
      </c>
      <c r="AR1146" t="s">
        <v>69</v>
      </c>
      <c r="AS1146" s="78"/>
      <c r="AT1146" s="82" t="s">
        <v>4832</v>
      </c>
      <c r="AU1146" s="78">
        <v>2026</v>
      </c>
      <c r="AV1146" s="78">
        <v>4</v>
      </c>
      <c r="AW1146" s="78" t="s">
        <v>71</v>
      </c>
      <c r="AX1146" s="78">
        <v>0</v>
      </c>
      <c r="AY1146" s="78">
        <v>0</v>
      </c>
      <c r="BT1146" s="2" t="s">
        <v>71</v>
      </c>
      <c r="BU1146" s="2">
        <v>0</v>
      </c>
      <c r="BV1146" s="2">
        <v>0</v>
      </c>
    </row>
    <row r="1147" spans="1:74" ht="15" customHeight="1" x14ac:dyDescent="0.25">
      <c r="A1147" s="75">
        <v>5930545</v>
      </c>
      <c r="B1147" t="s">
        <v>5003</v>
      </c>
      <c r="C1147" t="s">
        <v>3285</v>
      </c>
      <c r="D1147" t="s">
        <v>150</v>
      </c>
      <c r="E1147" t="s">
        <v>87</v>
      </c>
      <c r="F1147" s="75">
        <v>147</v>
      </c>
      <c r="G1147" s="75">
        <v>285635</v>
      </c>
      <c r="H1147">
        <v>398.82</v>
      </c>
      <c r="I1147" t="s">
        <v>55</v>
      </c>
      <c r="J1147" s="75">
        <v>216233</v>
      </c>
      <c r="K1147" t="s">
        <v>88</v>
      </c>
      <c r="L1147" t="s">
        <v>89</v>
      </c>
      <c r="M1147" s="81">
        <v>46135.028194444443</v>
      </c>
      <c r="N1147" s="81">
        <v>46136.404999999999</v>
      </c>
      <c r="O1147" t="s">
        <v>58</v>
      </c>
      <c r="P1147" t="s">
        <v>59</v>
      </c>
      <c r="Q1147" t="s">
        <v>90</v>
      </c>
      <c r="R1147" t="s">
        <v>99</v>
      </c>
      <c r="S1147" t="s">
        <v>1244</v>
      </c>
      <c r="U1147" s="75">
        <v>237973</v>
      </c>
      <c r="V1147" t="s">
        <v>5004</v>
      </c>
      <c r="W1147" t="s">
        <v>5004</v>
      </c>
      <c r="X1147" t="s">
        <v>62</v>
      </c>
      <c r="Y1147" t="s">
        <v>63</v>
      </c>
      <c r="AA1147" t="s">
        <v>81</v>
      </c>
      <c r="AB1147">
        <v>32.983333999999999</v>
      </c>
      <c r="AC1147">
        <v>24.8</v>
      </c>
      <c r="AD1147">
        <v>8.1833340000000003</v>
      </c>
      <c r="AE1147">
        <v>6.1666670000000003</v>
      </c>
      <c r="AF1147">
        <v>0</v>
      </c>
      <c r="AG1147">
        <v>2.016667</v>
      </c>
      <c r="AH1147">
        <v>2.016667</v>
      </c>
      <c r="AI1147">
        <v>2</v>
      </c>
      <c r="AJ1147">
        <v>1.6667000000000001E-2</v>
      </c>
      <c r="AK1147">
        <v>0</v>
      </c>
      <c r="AL1147" s="76">
        <v>44873</v>
      </c>
      <c r="AM1147" s="75">
        <v>1262</v>
      </c>
      <c r="AN1147" t="s">
        <v>65</v>
      </c>
      <c r="AO1147" t="s">
        <v>3287</v>
      </c>
      <c r="AP1147" t="s">
        <v>67</v>
      </c>
      <c r="AQ1147" t="s">
        <v>68</v>
      </c>
      <c r="AR1147" t="s">
        <v>69</v>
      </c>
      <c r="AS1147" s="79"/>
      <c r="AT1147" s="82" t="s">
        <v>4832</v>
      </c>
      <c r="AU1147" s="78">
        <v>2026</v>
      </c>
      <c r="AV1147" s="78">
        <v>4</v>
      </c>
      <c r="AW1147" s="78" t="s">
        <v>71</v>
      </c>
      <c r="AX1147" s="78">
        <v>1</v>
      </c>
      <c r="AY1147" s="78">
        <v>0</v>
      </c>
      <c r="BT1147" s="3" t="s">
        <v>71</v>
      </c>
      <c r="BU1147" s="3">
        <v>1</v>
      </c>
      <c r="BV1147" s="3">
        <v>0</v>
      </c>
    </row>
    <row r="1148" spans="1:74" ht="15" customHeight="1" x14ac:dyDescent="0.25">
      <c r="A1148" s="75">
        <v>5932089</v>
      </c>
      <c r="B1148" t="s">
        <v>5005</v>
      </c>
      <c r="C1148" t="s">
        <v>5006</v>
      </c>
      <c r="D1148" t="s">
        <v>527</v>
      </c>
      <c r="E1148" t="s">
        <v>54</v>
      </c>
      <c r="F1148" s="75">
        <v>1</v>
      </c>
      <c r="G1148" s="75">
        <v>321851</v>
      </c>
      <c r="H1148">
        <v>950</v>
      </c>
      <c r="I1148" t="s">
        <v>114</v>
      </c>
      <c r="J1148" s="75">
        <v>223293</v>
      </c>
      <c r="K1148" t="s">
        <v>3387</v>
      </c>
      <c r="L1148" t="s">
        <v>3388</v>
      </c>
      <c r="M1148" s="81">
        <v>46135.827581018522</v>
      </c>
      <c r="N1148" s="81">
        <v>46136.423750000002</v>
      </c>
      <c r="O1148" t="s">
        <v>277</v>
      </c>
      <c r="P1148" t="s">
        <v>59</v>
      </c>
      <c r="R1148" t="s">
        <v>60</v>
      </c>
      <c r="S1148" t="s">
        <v>583</v>
      </c>
      <c r="U1148" s="75">
        <v>238995</v>
      </c>
      <c r="V1148" t="s">
        <v>5007</v>
      </c>
      <c r="X1148" t="s">
        <v>118</v>
      </c>
      <c r="Y1148" t="s">
        <v>400</v>
      </c>
      <c r="AA1148" t="s">
        <v>81</v>
      </c>
      <c r="AB1148">
        <v>14.25</v>
      </c>
      <c r="AC1148">
        <v>10.816667000000001</v>
      </c>
      <c r="AD1148">
        <v>3.4333330000000002</v>
      </c>
      <c r="AE1148">
        <v>1.1666669999999999</v>
      </c>
      <c r="AF1148">
        <v>0</v>
      </c>
      <c r="AG1148">
        <v>2.2666659999999998</v>
      </c>
      <c r="AH1148">
        <v>2.2666659999999998</v>
      </c>
      <c r="AI1148">
        <v>1.9</v>
      </c>
      <c r="AJ1148">
        <v>0.36666599999999999</v>
      </c>
      <c r="AK1148">
        <v>0</v>
      </c>
      <c r="AL1148" s="76">
        <v>45534</v>
      </c>
      <c r="AM1148" s="75">
        <v>601</v>
      </c>
      <c r="AN1148" t="s">
        <v>65</v>
      </c>
      <c r="AO1148" t="s">
        <v>3391</v>
      </c>
      <c r="AP1148" t="s">
        <v>67</v>
      </c>
      <c r="AQ1148" t="s">
        <v>121</v>
      </c>
      <c r="AR1148" t="s">
        <v>69</v>
      </c>
      <c r="AS1148" s="78"/>
      <c r="AT1148" s="82" t="s">
        <v>4832</v>
      </c>
      <c r="AU1148" s="78">
        <v>2026</v>
      </c>
      <c r="AV1148" s="78">
        <v>4</v>
      </c>
      <c r="AW1148" s="78" t="s">
        <v>122</v>
      </c>
      <c r="AX1148" s="78">
        <v>1</v>
      </c>
      <c r="AY1148" s="78">
        <v>0</v>
      </c>
      <c r="BT1148" s="2" t="s">
        <v>122</v>
      </c>
      <c r="BU1148" s="2">
        <v>1</v>
      </c>
      <c r="BV1148" s="2">
        <v>0</v>
      </c>
    </row>
    <row r="1149" spans="1:74" ht="15" customHeight="1" x14ac:dyDescent="0.25">
      <c r="A1149" s="75">
        <v>5929663</v>
      </c>
      <c r="B1149" t="s">
        <v>5008</v>
      </c>
      <c r="C1149" t="s">
        <v>1424</v>
      </c>
      <c r="D1149" t="s">
        <v>527</v>
      </c>
      <c r="E1149" t="s">
        <v>87</v>
      </c>
      <c r="F1149" s="75">
        <v>4</v>
      </c>
      <c r="G1149" s="75">
        <v>251395</v>
      </c>
      <c r="H1149">
        <v>510</v>
      </c>
      <c r="I1149" t="s">
        <v>114</v>
      </c>
      <c r="J1149" s="75">
        <v>203645</v>
      </c>
      <c r="K1149" t="s">
        <v>520</v>
      </c>
      <c r="L1149" t="s">
        <v>521</v>
      </c>
      <c r="M1149" s="81">
        <v>46134.49664351852</v>
      </c>
      <c r="N1149" s="81">
        <v>46136.433206018519</v>
      </c>
      <c r="P1149" t="s">
        <v>59</v>
      </c>
      <c r="Q1149" t="s">
        <v>77</v>
      </c>
      <c r="R1149" t="s">
        <v>60</v>
      </c>
      <c r="S1149" t="s">
        <v>583</v>
      </c>
      <c r="U1149" s="75">
        <v>238023</v>
      </c>
      <c r="V1149" t="s">
        <v>5009</v>
      </c>
      <c r="W1149" t="s">
        <v>5010</v>
      </c>
      <c r="X1149" t="s">
        <v>118</v>
      </c>
      <c r="Y1149" t="s">
        <v>119</v>
      </c>
      <c r="AA1149" t="s">
        <v>416</v>
      </c>
      <c r="AB1149">
        <v>46.4</v>
      </c>
      <c r="AC1149">
        <v>31.766666000000001</v>
      </c>
      <c r="AD1149">
        <v>14.633334</v>
      </c>
      <c r="AE1149">
        <v>1.6500010000000001</v>
      </c>
      <c r="AF1149">
        <v>0</v>
      </c>
      <c r="AG1149">
        <v>12.983333</v>
      </c>
      <c r="AH1149">
        <v>12.983333</v>
      </c>
      <c r="AI1149">
        <v>12.483333</v>
      </c>
      <c r="AJ1149">
        <v>0.5</v>
      </c>
      <c r="AK1149">
        <v>0</v>
      </c>
      <c r="AL1149" s="76">
        <v>45082.679305555554</v>
      </c>
      <c r="AM1149" s="75">
        <v>1051</v>
      </c>
      <c r="AN1149" t="s">
        <v>65</v>
      </c>
      <c r="AO1149" t="s">
        <v>5011</v>
      </c>
      <c r="AP1149" t="s">
        <v>67</v>
      </c>
      <c r="AQ1149" t="s">
        <v>121</v>
      </c>
      <c r="AR1149" t="s">
        <v>69</v>
      </c>
      <c r="AS1149" s="79"/>
      <c r="AT1149" s="82" t="s">
        <v>4832</v>
      </c>
      <c r="AU1149" s="78">
        <v>2026</v>
      </c>
      <c r="AV1149" s="78">
        <v>4</v>
      </c>
      <c r="AW1149" s="78" t="s">
        <v>122</v>
      </c>
      <c r="AX1149" s="78">
        <v>0</v>
      </c>
      <c r="AY1149" s="78">
        <v>0</v>
      </c>
      <c r="BT1149" s="3" t="s">
        <v>122</v>
      </c>
      <c r="BU1149" s="3">
        <v>0</v>
      </c>
      <c r="BV1149" s="3">
        <v>0</v>
      </c>
    </row>
    <row r="1150" spans="1:74" ht="15" customHeight="1" x14ac:dyDescent="0.25">
      <c r="A1150" s="75">
        <v>5929565</v>
      </c>
      <c r="B1150" t="s">
        <v>5012</v>
      </c>
      <c r="C1150" t="s">
        <v>3804</v>
      </c>
      <c r="D1150" t="s">
        <v>282</v>
      </c>
      <c r="E1150" t="s">
        <v>54</v>
      </c>
      <c r="F1150" s="75">
        <v>800</v>
      </c>
      <c r="G1150" s="75">
        <v>255421</v>
      </c>
      <c r="H1150">
        <v>970.63</v>
      </c>
      <c r="I1150" t="s">
        <v>114</v>
      </c>
      <c r="J1150" s="75">
        <v>41827</v>
      </c>
      <c r="K1150" t="s">
        <v>1745</v>
      </c>
      <c r="L1150" t="s">
        <v>1746</v>
      </c>
      <c r="M1150" s="81">
        <v>46134.458912037036</v>
      </c>
      <c r="N1150" s="81">
        <v>46136.440312500003</v>
      </c>
      <c r="O1150" t="s">
        <v>58</v>
      </c>
      <c r="P1150" t="s">
        <v>59</v>
      </c>
      <c r="Q1150" t="s">
        <v>90</v>
      </c>
      <c r="R1150" t="s">
        <v>60</v>
      </c>
      <c r="S1150" t="s">
        <v>583</v>
      </c>
      <c r="U1150" s="75">
        <v>237547</v>
      </c>
      <c r="V1150" t="s">
        <v>5013</v>
      </c>
      <c r="X1150" t="s">
        <v>118</v>
      </c>
      <c r="Y1150" t="s">
        <v>2614</v>
      </c>
      <c r="AA1150" t="s">
        <v>81</v>
      </c>
      <c r="AB1150">
        <v>47.5</v>
      </c>
      <c r="AC1150">
        <v>43.683332999999998</v>
      </c>
      <c r="AD1150">
        <v>3.8166669999999998</v>
      </c>
      <c r="AE1150">
        <v>0.36666700000000002</v>
      </c>
      <c r="AF1150">
        <v>0</v>
      </c>
      <c r="AG1150">
        <v>3.45</v>
      </c>
      <c r="AH1150">
        <v>3.45</v>
      </c>
      <c r="AI1150">
        <v>3.3333330000000001</v>
      </c>
      <c r="AJ1150">
        <v>0.11666700000000001</v>
      </c>
      <c r="AK1150">
        <v>0</v>
      </c>
      <c r="AL1150" s="76">
        <v>45210.585833333331</v>
      </c>
      <c r="AM1150" s="75">
        <v>923</v>
      </c>
      <c r="AN1150" t="s">
        <v>65</v>
      </c>
      <c r="AO1150" t="s">
        <v>3808</v>
      </c>
      <c r="AP1150" t="s">
        <v>67</v>
      </c>
      <c r="AQ1150" t="s">
        <v>121</v>
      </c>
      <c r="AR1150" t="s">
        <v>69</v>
      </c>
      <c r="AS1150" s="78"/>
      <c r="AT1150" s="82" t="s">
        <v>4832</v>
      </c>
      <c r="AU1150" s="78">
        <v>2026</v>
      </c>
      <c r="AV1150" s="78">
        <v>4</v>
      </c>
      <c r="AW1150" s="78" t="s">
        <v>347</v>
      </c>
      <c r="AX1150" s="78">
        <v>1</v>
      </c>
      <c r="AY1150" s="78">
        <v>0</v>
      </c>
      <c r="BT1150" s="2" t="s">
        <v>347</v>
      </c>
      <c r="BU1150" s="2">
        <v>1</v>
      </c>
      <c r="BV1150" s="2">
        <v>0</v>
      </c>
    </row>
    <row r="1151" spans="1:74" ht="15" customHeight="1" x14ac:dyDescent="0.25">
      <c r="A1151" s="75">
        <v>5929647</v>
      </c>
      <c r="B1151" t="s">
        <v>5014</v>
      </c>
      <c r="C1151" t="s">
        <v>5015</v>
      </c>
      <c r="D1151" t="s">
        <v>282</v>
      </c>
      <c r="E1151" t="s">
        <v>54</v>
      </c>
      <c r="F1151" s="75">
        <v>147</v>
      </c>
      <c r="G1151" s="75">
        <v>288675</v>
      </c>
      <c r="H1151">
        <v>2628.25</v>
      </c>
      <c r="I1151" t="s">
        <v>114</v>
      </c>
      <c r="J1151" s="75">
        <v>212995</v>
      </c>
      <c r="K1151" t="s">
        <v>3124</v>
      </c>
      <c r="L1151" t="s">
        <v>3125</v>
      </c>
      <c r="M1151" s="81">
        <v>46134.491712962961</v>
      </c>
      <c r="N1151" s="81">
        <v>46136.447048611109</v>
      </c>
      <c r="O1151" t="s">
        <v>58</v>
      </c>
      <c r="P1151" t="s">
        <v>59</v>
      </c>
      <c r="Q1151" t="s">
        <v>77</v>
      </c>
      <c r="R1151" t="s">
        <v>60</v>
      </c>
      <c r="S1151" t="s">
        <v>583</v>
      </c>
      <c r="U1151" s="75">
        <v>237627</v>
      </c>
      <c r="V1151" t="s">
        <v>5016</v>
      </c>
      <c r="X1151" t="s">
        <v>118</v>
      </c>
      <c r="Y1151" t="s">
        <v>2614</v>
      </c>
      <c r="AA1151" t="s">
        <v>64</v>
      </c>
      <c r="AB1151">
        <v>46.866664999999998</v>
      </c>
      <c r="AC1151">
        <v>41.383333</v>
      </c>
      <c r="AD1151">
        <v>5.4833319999999999</v>
      </c>
      <c r="AE1151">
        <v>1.399999</v>
      </c>
      <c r="AF1151">
        <v>0</v>
      </c>
      <c r="AG1151">
        <v>4.0833329999999997</v>
      </c>
      <c r="AH1151">
        <v>4.0833329999999997</v>
      </c>
      <c r="AI1151">
        <v>3.8833329999999999</v>
      </c>
      <c r="AJ1151">
        <v>0.2</v>
      </c>
      <c r="AK1151">
        <v>0</v>
      </c>
      <c r="AL1151" s="76">
        <v>45029.799386574072</v>
      </c>
      <c r="AM1151" s="75">
        <v>1104</v>
      </c>
      <c r="AN1151" t="s">
        <v>65</v>
      </c>
      <c r="AO1151" t="s">
        <v>3127</v>
      </c>
      <c r="AP1151" t="s">
        <v>67</v>
      </c>
      <c r="AQ1151" t="s">
        <v>121</v>
      </c>
      <c r="AR1151" t="s">
        <v>69</v>
      </c>
      <c r="AS1151" s="79"/>
      <c r="AT1151" s="82" t="s">
        <v>4832</v>
      </c>
      <c r="AU1151" s="78">
        <v>2026</v>
      </c>
      <c r="AV1151" s="78">
        <v>4</v>
      </c>
      <c r="AW1151" s="78" t="s">
        <v>347</v>
      </c>
      <c r="AX1151" s="78">
        <v>1</v>
      </c>
      <c r="AY1151" s="78">
        <v>0</v>
      </c>
      <c r="BT1151" s="3" t="s">
        <v>347</v>
      </c>
      <c r="BU1151" s="3">
        <v>1</v>
      </c>
      <c r="BV1151" s="3">
        <v>0</v>
      </c>
    </row>
    <row r="1152" spans="1:74" ht="15" customHeight="1" x14ac:dyDescent="0.25">
      <c r="A1152" s="75">
        <v>5929743</v>
      </c>
      <c r="B1152" t="s">
        <v>5017</v>
      </c>
      <c r="C1152" t="s">
        <v>5018</v>
      </c>
      <c r="D1152" t="s">
        <v>282</v>
      </c>
      <c r="E1152" t="s">
        <v>126</v>
      </c>
      <c r="F1152" s="75">
        <v>4</v>
      </c>
      <c r="G1152" s="75">
        <v>354201</v>
      </c>
      <c r="H1152">
        <v>1000</v>
      </c>
      <c r="I1152" t="s">
        <v>141</v>
      </c>
      <c r="J1152" s="75">
        <v>229887</v>
      </c>
      <c r="K1152" t="s">
        <v>5019</v>
      </c>
      <c r="L1152" t="s">
        <v>5020</v>
      </c>
      <c r="M1152" s="81">
        <v>46134.528113425928</v>
      </c>
      <c r="N1152" s="81">
        <v>46136.464212962957</v>
      </c>
      <c r="O1152" t="s">
        <v>58</v>
      </c>
      <c r="P1152" t="s">
        <v>59</v>
      </c>
      <c r="Q1152" t="s">
        <v>90</v>
      </c>
      <c r="R1152" t="s">
        <v>60</v>
      </c>
      <c r="S1152" t="s">
        <v>583</v>
      </c>
      <c r="U1152" s="75">
        <v>238025</v>
      </c>
      <c r="V1152" t="s">
        <v>5021</v>
      </c>
      <c r="X1152" t="s">
        <v>62</v>
      </c>
      <c r="Y1152" t="s">
        <v>63</v>
      </c>
      <c r="AA1152" t="s">
        <v>64</v>
      </c>
      <c r="AB1152">
        <v>46.416665999999999</v>
      </c>
      <c r="AC1152">
        <v>38.516666000000001</v>
      </c>
      <c r="AD1152">
        <v>7.9</v>
      </c>
      <c r="AE1152">
        <v>1.066667</v>
      </c>
      <c r="AF1152">
        <v>0</v>
      </c>
      <c r="AG1152">
        <v>6.8333329999999997</v>
      </c>
      <c r="AH1152">
        <v>6.8333329999999997</v>
      </c>
      <c r="AI1152">
        <v>6.8166659999999997</v>
      </c>
      <c r="AJ1152">
        <v>1.6667000000000001E-2</v>
      </c>
      <c r="AK1152">
        <v>0</v>
      </c>
      <c r="AL1152" s="76">
        <v>46076.490104166667</v>
      </c>
      <c r="AM1152" s="75">
        <v>58</v>
      </c>
      <c r="AN1152" t="s">
        <v>65</v>
      </c>
      <c r="AO1152" t="s">
        <v>5022</v>
      </c>
      <c r="AP1152" t="s">
        <v>67</v>
      </c>
      <c r="AQ1152" t="s">
        <v>68</v>
      </c>
      <c r="AR1152" t="s">
        <v>69</v>
      </c>
      <c r="AS1152" s="78"/>
      <c r="AT1152" s="82" t="s">
        <v>4832</v>
      </c>
      <c r="AU1152" s="78">
        <v>2026</v>
      </c>
      <c r="AV1152" s="78">
        <v>4</v>
      </c>
      <c r="AW1152" s="78" t="s">
        <v>71</v>
      </c>
      <c r="AX1152" s="78">
        <v>1</v>
      </c>
      <c r="AY1152" s="78">
        <v>0</v>
      </c>
      <c r="BT1152" s="2" t="s">
        <v>71</v>
      </c>
      <c r="BU1152" s="2">
        <v>1</v>
      </c>
      <c r="BV1152" s="2">
        <v>0</v>
      </c>
    </row>
    <row r="1153" spans="1:74" ht="15" customHeight="1" x14ac:dyDescent="0.25">
      <c r="A1153" s="75">
        <v>5927837</v>
      </c>
      <c r="B1153" t="s">
        <v>5023</v>
      </c>
      <c r="C1153" t="s">
        <v>5024</v>
      </c>
      <c r="D1153" t="s">
        <v>282</v>
      </c>
      <c r="E1153" t="s">
        <v>87</v>
      </c>
      <c r="F1153" s="75">
        <v>119</v>
      </c>
      <c r="G1153" s="75">
        <v>302977</v>
      </c>
      <c r="H1153">
        <v>517.82000000000005</v>
      </c>
      <c r="I1153" t="s">
        <v>55</v>
      </c>
      <c r="J1153" s="75">
        <v>203659</v>
      </c>
      <c r="K1153" t="s">
        <v>1090</v>
      </c>
      <c r="L1153" t="s">
        <v>1091</v>
      </c>
      <c r="M1153" s="81">
        <v>46133.167013888888</v>
      </c>
      <c r="N1153" s="81">
        <v>46136.482499999998</v>
      </c>
      <c r="O1153" t="s">
        <v>58</v>
      </c>
      <c r="P1153" t="s">
        <v>59</v>
      </c>
      <c r="Q1153" t="s">
        <v>90</v>
      </c>
      <c r="R1153" t="s">
        <v>60</v>
      </c>
      <c r="S1153" t="s">
        <v>583</v>
      </c>
      <c r="T1153" t="s">
        <v>3090</v>
      </c>
      <c r="U1153" s="75">
        <v>237733</v>
      </c>
      <c r="V1153" t="s">
        <v>5025</v>
      </c>
      <c r="X1153" t="s">
        <v>62</v>
      </c>
      <c r="Y1153" t="s">
        <v>2066</v>
      </c>
      <c r="AA1153" t="s">
        <v>101</v>
      </c>
      <c r="AB1153">
        <v>79.416668000000001</v>
      </c>
      <c r="AC1153">
        <v>40.4</v>
      </c>
      <c r="AD1153">
        <v>39.016668000000003</v>
      </c>
      <c r="AE1153">
        <v>29.533334</v>
      </c>
      <c r="AF1153">
        <v>25.816666999999999</v>
      </c>
      <c r="AG1153">
        <v>9.4833339999999993</v>
      </c>
      <c r="AH1153">
        <v>35.300001000000002</v>
      </c>
      <c r="AI1153">
        <v>6.6</v>
      </c>
      <c r="AJ1153">
        <v>2.8833340000000001</v>
      </c>
      <c r="AK1153">
        <v>0</v>
      </c>
      <c r="AL1153" s="76">
        <v>45422</v>
      </c>
      <c r="AM1153" s="75">
        <v>711</v>
      </c>
      <c r="AN1153" t="s">
        <v>65</v>
      </c>
      <c r="AO1153" t="s">
        <v>5026</v>
      </c>
      <c r="AP1153" t="s">
        <v>67</v>
      </c>
      <c r="AQ1153" t="s">
        <v>68</v>
      </c>
      <c r="AR1153" t="s">
        <v>69</v>
      </c>
      <c r="AS1153" s="79"/>
      <c r="AT1153" s="82" t="s">
        <v>4832</v>
      </c>
      <c r="AU1153" s="78">
        <v>2026</v>
      </c>
      <c r="AV1153" s="78">
        <v>4</v>
      </c>
      <c r="AW1153" s="78" t="s">
        <v>137</v>
      </c>
      <c r="AX1153" s="78">
        <v>0</v>
      </c>
      <c r="AY1153" s="78">
        <v>0</v>
      </c>
      <c r="BT1153" s="3" t="s">
        <v>137</v>
      </c>
      <c r="BU1153" s="3">
        <v>0</v>
      </c>
      <c r="BV1153" s="3">
        <v>0</v>
      </c>
    </row>
    <row r="1154" spans="1:74" ht="15" customHeight="1" x14ac:dyDescent="0.25">
      <c r="A1154" s="75">
        <v>5931563</v>
      </c>
      <c r="B1154" t="s">
        <v>5027</v>
      </c>
      <c r="C1154" t="s">
        <v>5028</v>
      </c>
      <c r="D1154" t="s">
        <v>527</v>
      </c>
      <c r="E1154" t="s">
        <v>126</v>
      </c>
      <c r="F1154" s="75">
        <v>2</v>
      </c>
      <c r="G1154" s="75">
        <v>159367</v>
      </c>
      <c r="H1154">
        <v>40000</v>
      </c>
      <c r="I1154" t="s">
        <v>114</v>
      </c>
      <c r="J1154" s="75">
        <v>41079</v>
      </c>
      <c r="K1154" t="s">
        <v>3262</v>
      </c>
      <c r="L1154" t="s">
        <v>3263</v>
      </c>
      <c r="M1154" s="81">
        <v>46135.597754629627</v>
      </c>
      <c r="N1154" s="81">
        <v>46136.509733796287</v>
      </c>
      <c r="O1154" t="s">
        <v>58</v>
      </c>
      <c r="P1154" t="s">
        <v>59</v>
      </c>
      <c r="Q1154" t="s">
        <v>130</v>
      </c>
      <c r="R1154" t="s">
        <v>60</v>
      </c>
      <c r="S1154" t="s">
        <v>583</v>
      </c>
      <c r="U1154" s="75">
        <v>238835</v>
      </c>
      <c r="V1154" t="s">
        <v>5029</v>
      </c>
      <c r="X1154" t="s">
        <v>118</v>
      </c>
      <c r="Y1154" t="s">
        <v>400</v>
      </c>
      <c r="AA1154" t="s">
        <v>64</v>
      </c>
      <c r="AB1154">
        <v>21.85</v>
      </c>
      <c r="AC1154">
        <v>13.95</v>
      </c>
      <c r="AD1154">
        <v>7.9</v>
      </c>
      <c r="AE1154">
        <v>0.48333300000000001</v>
      </c>
      <c r="AF1154">
        <v>0</v>
      </c>
      <c r="AG1154">
        <v>7.4166670000000003</v>
      </c>
      <c r="AH1154">
        <v>7.4166670000000003</v>
      </c>
      <c r="AI1154">
        <v>7.3</v>
      </c>
      <c r="AJ1154">
        <v>0.11666700000000001</v>
      </c>
      <c r="AK1154">
        <v>0</v>
      </c>
      <c r="AL1154" s="76">
        <v>43829.750405092593</v>
      </c>
      <c r="AM1154" s="75">
        <v>2305</v>
      </c>
      <c r="AN1154" t="s">
        <v>65</v>
      </c>
      <c r="AO1154" t="s">
        <v>3265</v>
      </c>
      <c r="AP1154" t="s">
        <v>67</v>
      </c>
      <c r="AQ1154" t="s">
        <v>121</v>
      </c>
      <c r="AR1154" t="s">
        <v>69</v>
      </c>
      <c r="AS1154" s="78"/>
      <c r="AT1154" s="82" t="s">
        <v>4832</v>
      </c>
      <c r="AU1154" s="78">
        <v>2026</v>
      </c>
      <c r="AV1154" s="78">
        <v>4</v>
      </c>
      <c r="AW1154" s="78" t="s">
        <v>122</v>
      </c>
      <c r="AX1154" s="78">
        <v>1</v>
      </c>
      <c r="AY1154" s="78">
        <v>0</v>
      </c>
      <c r="BT1154" s="2" t="s">
        <v>122</v>
      </c>
      <c r="BU1154" s="2">
        <v>1</v>
      </c>
      <c r="BV1154" s="2">
        <v>0</v>
      </c>
    </row>
    <row r="1155" spans="1:74" ht="15" customHeight="1" x14ac:dyDescent="0.25">
      <c r="A1155" s="75">
        <v>5930285</v>
      </c>
      <c r="B1155" t="s">
        <v>5030</v>
      </c>
      <c r="C1155" t="s">
        <v>5031</v>
      </c>
      <c r="D1155" t="s">
        <v>527</v>
      </c>
      <c r="E1155" t="s">
        <v>126</v>
      </c>
      <c r="F1155" s="75">
        <v>1</v>
      </c>
      <c r="G1155" s="75">
        <v>328747</v>
      </c>
      <c r="H1155">
        <v>5000</v>
      </c>
      <c r="I1155" t="s">
        <v>5032</v>
      </c>
      <c r="J1155" s="75">
        <v>224659</v>
      </c>
      <c r="K1155" t="s">
        <v>5033</v>
      </c>
      <c r="L1155" t="s">
        <v>5034</v>
      </c>
      <c r="M1155" s="81">
        <v>46134.74590277778</v>
      </c>
      <c r="N1155" s="81">
        <v>46136.510717592602</v>
      </c>
      <c r="O1155" t="s">
        <v>58</v>
      </c>
      <c r="P1155" t="s">
        <v>59</v>
      </c>
      <c r="Q1155" t="s">
        <v>130</v>
      </c>
      <c r="R1155" t="s">
        <v>131</v>
      </c>
      <c r="S1155" t="s">
        <v>1273</v>
      </c>
      <c r="U1155" s="75">
        <v>237873</v>
      </c>
      <c r="V1155" t="s">
        <v>5035</v>
      </c>
      <c r="X1155" t="s">
        <v>118</v>
      </c>
      <c r="Y1155" t="s">
        <v>400</v>
      </c>
      <c r="AA1155" t="s">
        <v>416</v>
      </c>
      <c r="AB1155">
        <v>42.283334000000004</v>
      </c>
      <c r="AC1155">
        <v>24.283332999999999</v>
      </c>
      <c r="AD1155">
        <v>18.000001000000001</v>
      </c>
      <c r="AE1155">
        <v>3.0833339999999998</v>
      </c>
      <c r="AF1155">
        <v>0</v>
      </c>
      <c r="AG1155">
        <v>14.916667</v>
      </c>
      <c r="AH1155">
        <v>14.916667</v>
      </c>
      <c r="AI1155">
        <v>14</v>
      </c>
      <c r="AJ1155">
        <v>0.91666700000000001</v>
      </c>
      <c r="AK1155">
        <v>0</v>
      </c>
      <c r="AL1155" s="76">
        <v>45608</v>
      </c>
      <c r="AM1155" s="75">
        <v>526</v>
      </c>
      <c r="AN1155" t="s">
        <v>65</v>
      </c>
      <c r="AO1155" t="s">
        <v>5036</v>
      </c>
      <c r="AP1155" t="s">
        <v>67</v>
      </c>
      <c r="AQ1155" t="s">
        <v>121</v>
      </c>
      <c r="AR1155" t="s">
        <v>69</v>
      </c>
      <c r="AS1155" s="79"/>
      <c r="AT1155" s="82" t="s">
        <v>4832</v>
      </c>
      <c r="AU1155" s="78">
        <v>2026</v>
      </c>
      <c r="AV1155" s="78">
        <v>4</v>
      </c>
      <c r="AW1155" s="78" t="s">
        <v>122</v>
      </c>
      <c r="AX1155" s="78">
        <v>0</v>
      </c>
      <c r="AY1155" s="78">
        <v>0</v>
      </c>
      <c r="BT1155" s="3" t="s">
        <v>122</v>
      </c>
      <c r="BU1155" s="3">
        <v>0</v>
      </c>
      <c r="BV1155" s="3">
        <v>0</v>
      </c>
    </row>
    <row r="1156" spans="1:74" ht="15" customHeight="1" x14ac:dyDescent="0.25">
      <c r="A1156" s="75">
        <v>5930437</v>
      </c>
      <c r="B1156" t="s">
        <v>5037</v>
      </c>
      <c r="C1156" t="s">
        <v>5038</v>
      </c>
      <c r="D1156" t="s">
        <v>282</v>
      </c>
      <c r="E1156" t="s">
        <v>87</v>
      </c>
      <c r="F1156" s="75">
        <v>674</v>
      </c>
      <c r="G1156" s="75">
        <v>253289</v>
      </c>
      <c r="H1156">
        <v>1900</v>
      </c>
      <c r="I1156" t="s">
        <v>114</v>
      </c>
      <c r="J1156" s="75">
        <v>19917</v>
      </c>
      <c r="K1156" t="s">
        <v>1325</v>
      </c>
      <c r="L1156" t="s">
        <v>1326</v>
      </c>
      <c r="M1156" s="81">
        <v>46134.842731481483</v>
      </c>
      <c r="N1156" s="81">
        <v>46136.516736111109</v>
      </c>
      <c r="O1156" t="s">
        <v>58</v>
      </c>
      <c r="P1156" t="s">
        <v>59</v>
      </c>
      <c r="Q1156" t="s">
        <v>130</v>
      </c>
      <c r="R1156" t="s">
        <v>99</v>
      </c>
      <c r="S1156" t="s">
        <v>1244</v>
      </c>
      <c r="U1156" s="75">
        <v>237879</v>
      </c>
      <c r="V1156" t="s">
        <v>5039</v>
      </c>
      <c r="X1156" t="s">
        <v>79</v>
      </c>
      <c r="Y1156" t="s">
        <v>2415</v>
      </c>
      <c r="AA1156" t="s">
        <v>64</v>
      </c>
      <c r="AB1156">
        <v>40.116667</v>
      </c>
      <c r="AC1156">
        <v>32.533332999999999</v>
      </c>
      <c r="AD1156">
        <v>7.5833339999999998</v>
      </c>
      <c r="AE1156">
        <v>0.95</v>
      </c>
      <c r="AF1156">
        <v>0</v>
      </c>
      <c r="AG1156">
        <v>6.6333339999999996</v>
      </c>
      <c r="AH1156">
        <v>6.6333339999999996</v>
      </c>
      <c r="AI1156">
        <v>6.45</v>
      </c>
      <c r="AJ1156">
        <v>0.183334</v>
      </c>
      <c r="AK1156">
        <v>0</v>
      </c>
      <c r="AL1156" s="76">
        <v>44881.712453703702</v>
      </c>
      <c r="AM1156" s="75">
        <v>1253</v>
      </c>
      <c r="AN1156" t="s">
        <v>65</v>
      </c>
      <c r="AO1156" t="s">
        <v>2416</v>
      </c>
      <c r="AP1156" t="s">
        <v>67</v>
      </c>
      <c r="AQ1156" t="s">
        <v>83</v>
      </c>
      <c r="AR1156" t="s">
        <v>69</v>
      </c>
      <c r="AS1156" s="78"/>
      <c r="AT1156" s="82" t="s">
        <v>4832</v>
      </c>
      <c r="AU1156" s="78">
        <v>2026</v>
      </c>
      <c r="AV1156" s="78">
        <v>4</v>
      </c>
      <c r="AW1156" s="78" t="s">
        <v>84</v>
      </c>
      <c r="AX1156" s="78">
        <v>1</v>
      </c>
      <c r="AY1156" s="78">
        <v>0</v>
      </c>
      <c r="BT1156" s="2" t="s">
        <v>84</v>
      </c>
      <c r="BU1156" s="2">
        <v>1</v>
      </c>
      <c r="BV1156" s="2">
        <v>0</v>
      </c>
    </row>
    <row r="1157" spans="1:74" ht="15" customHeight="1" x14ac:dyDescent="0.25">
      <c r="A1157" s="75">
        <v>5932005</v>
      </c>
      <c r="B1157" t="s">
        <v>5040</v>
      </c>
      <c r="C1157" t="s">
        <v>4561</v>
      </c>
      <c r="D1157" t="s">
        <v>2379</v>
      </c>
      <c r="E1157" t="s">
        <v>87</v>
      </c>
      <c r="F1157" s="75">
        <v>621</v>
      </c>
      <c r="G1157" s="75">
        <v>346639</v>
      </c>
      <c r="H1157">
        <v>569.71</v>
      </c>
      <c r="I1157" t="s">
        <v>175</v>
      </c>
      <c r="J1157" s="75">
        <v>216233</v>
      </c>
      <c r="K1157" t="s">
        <v>88</v>
      </c>
      <c r="L1157" t="s">
        <v>89</v>
      </c>
      <c r="M1157" s="81">
        <v>46135.778263888889</v>
      </c>
      <c r="N1157" s="81">
        <v>46136.517407407409</v>
      </c>
      <c r="O1157" t="s">
        <v>58</v>
      </c>
      <c r="P1157" t="s">
        <v>59</v>
      </c>
      <c r="Q1157" t="s">
        <v>90</v>
      </c>
      <c r="R1157" t="s">
        <v>60</v>
      </c>
      <c r="S1157" t="s">
        <v>583</v>
      </c>
      <c r="U1157" s="75">
        <v>238975</v>
      </c>
      <c r="V1157" t="s">
        <v>5041</v>
      </c>
      <c r="W1157" t="s">
        <v>5041</v>
      </c>
      <c r="X1157" t="s">
        <v>62</v>
      </c>
      <c r="Y1157" t="s">
        <v>63</v>
      </c>
      <c r="AA1157" t="s">
        <v>64</v>
      </c>
      <c r="AB1157">
        <v>17.683332</v>
      </c>
      <c r="AC1157">
        <v>13.016666000000001</v>
      </c>
      <c r="AD1157">
        <v>4.6666660000000002</v>
      </c>
      <c r="AE1157">
        <v>0.3</v>
      </c>
      <c r="AF1157">
        <v>0</v>
      </c>
      <c r="AG1157">
        <v>4.3666660000000004</v>
      </c>
      <c r="AH1157">
        <v>4.3666660000000004</v>
      </c>
      <c r="AI1157">
        <v>4.2666659999999998</v>
      </c>
      <c r="AJ1157">
        <v>0.1</v>
      </c>
      <c r="AK1157">
        <v>0</v>
      </c>
      <c r="AL1157" s="76">
        <v>45960</v>
      </c>
      <c r="AM1157" s="75">
        <v>175</v>
      </c>
      <c r="AN1157" t="s">
        <v>65</v>
      </c>
      <c r="AO1157" t="s">
        <v>4564</v>
      </c>
      <c r="AP1157" t="s">
        <v>67</v>
      </c>
      <c r="AQ1157" t="s">
        <v>68</v>
      </c>
      <c r="AR1157" t="s">
        <v>69</v>
      </c>
      <c r="AS1157" s="79"/>
      <c r="AT1157" s="82" t="s">
        <v>4832</v>
      </c>
      <c r="AU1157" s="78">
        <v>2026</v>
      </c>
      <c r="AV1157" s="78">
        <v>4</v>
      </c>
      <c r="AW1157" s="78" t="s">
        <v>71</v>
      </c>
      <c r="AX1157" s="78">
        <v>1</v>
      </c>
      <c r="AY1157" s="78">
        <v>0</v>
      </c>
      <c r="BT1157" s="3" t="s">
        <v>71</v>
      </c>
      <c r="BU1157" s="3">
        <v>1</v>
      </c>
      <c r="BV1157" s="3">
        <v>0</v>
      </c>
    </row>
    <row r="1158" spans="1:74" ht="15" customHeight="1" x14ac:dyDescent="0.25">
      <c r="A1158" s="75">
        <v>5930479</v>
      </c>
      <c r="B1158" t="s">
        <v>5042</v>
      </c>
      <c r="C1158" t="s">
        <v>5043</v>
      </c>
      <c r="D1158" t="s">
        <v>282</v>
      </c>
      <c r="E1158" t="s">
        <v>126</v>
      </c>
      <c r="F1158" s="75">
        <v>1</v>
      </c>
      <c r="G1158" s="75">
        <v>350337</v>
      </c>
      <c r="H1158">
        <v>2200</v>
      </c>
      <c r="I1158" t="s">
        <v>141</v>
      </c>
      <c r="J1158" s="75">
        <v>229669</v>
      </c>
      <c r="K1158" t="s">
        <v>5044</v>
      </c>
      <c r="L1158" t="s">
        <v>5045</v>
      </c>
      <c r="M1158" s="81">
        <v>46134.884097222217</v>
      </c>
      <c r="N1158" s="81">
        <v>46136.519097222219</v>
      </c>
      <c r="O1158" t="s">
        <v>58</v>
      </c>
      <c r="P1158" t="s">
        <v>59</v>
      </c>
      <c r="Q1158" t="s">
        <v>77</v>
      </c>
      <c r="R1158" t="s">
        <v>60</v>
      </c>
      <c r="S1158" t="s">
        <v>583</v>
      </c>
      <c r="U1158" s="75">
        <v>237901</v>
      </c>
      <c r="V1158" t="s">
        <v>5046</v>
      </c>
      <c r="X1158" t="s">
        <v>118</v>
      </c>
      <c r="Y1158" t="s">
        <v>400</v>
      </c>
      <c r="AA1158" t="s">
        <v>101</v>
      </c>
      <c r="AB1158">
        <v>39.183332999999998</v>
      </c>
      <c r="AC1158">
        <v>26.583333</v>
      </c>
      <c r="AD1158">
        <v>12.6</v>
      </c>
      <c r="AE1158">
        <v>3.4</v>
      </c>
      <c r="AF1158">
        <v>0</v>
      </c>
      <c r="AG1158">
        <v>9.1999999999999993</v>
      </c>
      <c r="AH1158">
        <v>9.1999999999999993</v>
      </c>
      <c r="AI1158">
        <v>8.8000000000000007</v>
      </c>
      <c r="AJ1158">
        <v>0.4</v>
      </c>
      <c r="AK1158">
        <v>0</v>
      </c>
      <c r="AL1158" s="76">
        <v>46010</v>
      </c>
      <c r="AM1158" s="75">
        <v>124</v>
      </c>
      <c r="AN1158" t="s">
        <v>65</v>
      </c>
      <c r="AO1158" t="s">
        <v>5047</v>
      </c>
      <c r="AP1158" t="s">
        <v>67</v>
      </c>
      <c r="AQ1158" t="s">
        <v>121</v>
      </c>
      <c r="AR1158" t="s">
        <v>69</v>
      </c>
      <c r="AS1158" s="78"/>
      <c r="AT1158" s="82" t="s">
        <v>4832</v>
      </c>
      <c r="AU1158" s="78">
        <v>2026</v>
      </c>
      <c r="AV1158" s="78">
        <v>4</v>
      </c>
      <c r="AW1158" s="78" t="s">
        <v>122</v>
      </c>
      <c r="AX1158" s="78">
        <v>0</v>
      </c>
      <c r="AY1158" s="78">
        <v>0</v>
      </c>
      <c r="BT1158" s="2" t="s">
        <v>122</v>
      </c>
      <c r="BU1158" s="2">
        <v>0</v>
      </c>
      <c r="BV1158" s="2">
        <v>0</v>
      </c>
    </row>
    <row r="1159" spans="1:74" ht="15" customHeight="1" x14ac:dyDescent="0.25">
      <c r="A1159" s="75">
        <v>5923309</v>
      </c>
      <c r="B1159" t="s">
        <v>5048</v>
      </c>
      <c r="C1159" t="s">
        <v>1893</v>
      </c>
      <c r="D1159" t="s">
        <v>956</v>
      </c>
      <c r="E1159" t="s">
        <v>126</v>
      </c>
      <c r="F1159" s="75">
        <v>7</v>
      </c>
      <c r="G1159" s="75">
        <v>330869</v>
      </c>
      <c r="H1159">
        <v>5000</v>
      </c>
      <c r="I1159" t="s">
        <v>2049</v>
      </c>
      <c r="J1159" s="75">
        <v>219529</v>
      </c>
      <c r="K1159" t="s">
        <v>2050</v>
      </c>
      <c r="L1159" t="s">
        <v>2051</v>
      </c>
      <c r="M1159" s="81">
        <v>46128.903229166674</v>
      </c>
      <c r="N1159" s="81">
        <v>46136.53020833333</v>
      </c>
      <c r="O1159" t="s">
        <v>475</v>
      </c>
      <c r="P1159" t="s">
        <v>59</v>
      </c>
      <c r="Q1159" t="s">
        <v>90</v>
      </c>
      <c r="R1159" t="s">
        <v>476</v>
      </c>
      <c r="S1159" t="s">
        <v>2707</v>
      </c>
      <c r="U1159" s="75">
        <v>238713</v>
      </c>
      <c r="V1159" t="s">
        <v>5049</v>
      </c>
      <c r="X1159" t="s">
        <v>2053</v>
      </c>
      <c r="Y1159" t="s">
        <v>2054</v>
      </c>
      <c r="Z1159" t="s">
        <v>5050</v>
      </c>
      <c r="AA1159" t="s">
        <v>416</v>
      </c>
      <c r="AB1159">
        <v>182.966666</v>
      </c>
      <c r="AC1159">
        <v>0.25</v>
      </c>
      <c r="AD1159">
        <v>182.716666</v>
      </c>
      <c r="AE1159">
        <v>158.88333299999999</v>
      </c>
      <c r="AF1159">
        <v>155.9</v>
      </c>
      <c r="AG1159">
        <v>23.833333</v>
      </c>
      <c r="AH1159">
        <v>179.73333299999999</v>
      </c>
      <c r="AI1159">
        <v>22.9</v>
      </c>
      <c r="AJ1159">
        <v>0.93333299999999997</v>
      </c>
      <c r="AK1159">
        <v>0</v>
      </c>
      <c r="AL1159" s="76">
        <v>45671</v>
      </c>
      <c r="AM1159" s="75">
        <v>457</v>
      </c>
      <c r="AN1159" t="s">
        <v>65</v>
      </c>
      <c r="AO1159" t="s">
        <v>2055</v>
      </c>
      <c r="AP1159" t="s">
        <v>67</v>
      </c>
      <c r="AQ1159" t="s">
        <v>121</v>
      </c>
      <c r="AR1159" t="s">
        <v>69</v>
      </c>
      <c r="AS1159" s="79"/>
      <c r="AT1159" s="82" t="s">
        <v>4832</v>
      </c>
      <c r="AU1159" s="78">
        <v>2026</v>
      </c>
      <c r="AV1159" s="78">
        <v>4</v>
      </c>
      <c r="AW1159" s="78" t="s">
        <v>2056</v>
      </c>
      <c r="AX1159" s="78">
        <v>0</v>
      </c>
      <c r="AY1159" s="78">
        <v>0</v>
      </c>
      <c r="BT1159" s="3" t="s">
        <v>2056</v>
      </c>
      <c r="BU1159" s="3">
        <v>0</v>
      </c>
      <c r="BV1159" s="3">
        <v>0</v>
      </c>
    </row>
    <row r="1160" spans="1:74" ht="15" customHeight="1" x14ac:dyDescent="0.25">
      <c r="A1160" s="75">
        <v>5930685</v>
      </c>
      <c r="B1160" t="s">
        <v>5051</v>
      </c>
      <c r="C1160" t="s">
        <v>5052</v>
      </c>
      <c r="D1160" t="s">
        <v>282</v>
      </c>
      <c r="E1160" t="s">
        <v>105</v>
      </c>
      <c r="F1160" s="75">
        <v>61</v>
      </c>
      <c r="G1160" s="75">
        <v>301107</v>
      </c>
      <c r="H1160">
        <v>109.9</v>
      </c>
      <c r="I1160" t="s">
        <v>195</v>
      </c>
      <c r="J1160" s="75">
        <v>214913</v>
      </c>
      <c r="K1160" t="s">
        <v>1057</v>
      </c>
      <c r="L1160" t="s">
        <v>1058</v>
      </c>
      <c r="M1160" s="81">
        <v>46135.301307870373</v>
      </c>
      <c r="N1160" s="81">
        <v>46136.532627314817</v>
      </c>
      <c r="O1160" t="s">
        <v>58</v>
      </c>
      <c r="P1160" t="s">
        <v>59</v>
      </c>
      <c r="Q1160" t="s">
        <v>130</v>
      </c>
      <c r="R1160" t="s">
        <v>131</v>
      </c>
      <c r="S1160" t="s">
        <v>1316</v>
      </c>
      <c r="U1160" s="75">
        <v>238055</v>
      </c>
      <c r="V1160" t="s">
        <v>5053</v>
      </c>
      <c r="W1160" t="s">
        <v>5053</v>
      </c>
      <c r="X1160" t="s">
        <v>62</v>
      </c>
      <c r="Y1160" t="s">
        <v>287</v>
      </c>
      <c r="AA1160" t="s">
        <v>81</v>
      </c>
      <c r="AB1160">
        <v>29.500001000000001</v>
      </c>
      <c r="AC1160">
        <v>26.133334000000001</v>
      </c>
      <c r="AD1160">
        <v>3.3666670000000001</v>
      </c>
      <c r="AE1160">
        <v>0.35</v>
      </c>
      <c r="AF1160">
        <v>0</v>
      </c>
      <c r="AG1160">
        <v>3.016667</v>
      </c>
      <c r="AH1160">
        <v>3.016667</v>
      </c>
      <c r="AI1160">
        <v>2.766667</v>
      </c>
      <c r="AJ1160">
        <v>0.25</v>
      </c>
      <c r="AK1160">
        <v>0</v>
      </c>
      <c r="AL1160" s="76">
        <v>45454.618576388893</v>
      </c>
      <c r="AM1160" s="75">
        <v>680</v>
      </c>
      <c r="AN1160" t="s">
        <v>65</v>
      </c>
      <c r="AO1160" t="s">
        <v>5054</v>
      </c>
      <c r="AP1160" t="s">
        <v>67</v>
      </c>
      <c r="AQ1160" t="s">
        <v>68</v>
      </c>
      <c r="AR1160" t="s">
        <v>69</v>
      </c>
      <c r="AS1160" s="78"/>
      <c r="AT1160" s="82" t="s">
        <v>4832</v>
      </c>
      <c r="AU1160" s="78">
        <v>2026</v>
      </c>
      <c r="AV1160" s="78">
        <v>4</v>
      </c>
      <c r="AW1160" s="78" t="s">
        <v>137</v>
      </c>
      <c r="AX1160" s="78">
        <v>1</v>
      </c>
      <c r="AY1160" s="78">
        <v>0</v>
      </c>
      <c r="BT1160" s="2" t="s">
        <v>137</v>
      </c>
      <c r="BU1160" s="2">
        <v>1</v>
      </c>
      <c r="BV1160" s="2">
        <v>0</v>
      </c>
    </row>
    <row r="1161" spans="1:74" ht="15" customHeight="1" x14ac:dyDescent="0.25">
      <c r="A1161" s="75">
        <v>5930851</v>
      </c>
      <c r="B1161" t="s">
        <v>5055</v>
      </c>
      <c r="C1161" t="s">
        <v>5056</v>
      </c>
      <c r="D1161" t="s">
        <v>282</v>
      </c>
      <c r="E1161" t="s">
        <v>54</v>
      </c>
      <c r="F1161" s="75">
        <v>2</v>
      </c>
      <c r="G1161" s="75">
        <v>48405</v>
      </c>
      <c r="H1161">
        <v>1092.29</v>
      </c>
      <c r="I1161" t="s">
        <v>114</v>
      </c>
      <c r="J1161" s="75">
        <v>218119</v>
      </c>
      <c r="K1161" t="s">
        <v>5057</v>
      </c>
      <c r="L1161" t="s">
        <v>5058</v>
      </c>
      <c r="M1161" s="81">
        <v>46135.377696759257</v>
      </c>
      <c r="N1161" s="81">
        <v>46136.53665509259</v>
      </c>
      <c r="O1161" t="s">
        <v>58</v>
      </c>
      <c r="P1161" t="s">
        <v>59</v>
      </c>
      <c r="Q1161" t="s">
        <v>77</v>
      </c>
      <c r="R1161" t="s">
        <v>60</v>
      </c>
      <c r="S1161" t="s">
        <v>583</v>
      </c>
      <c r="U1161" s="75">
        <v>238461</v>
      </c>
      <c r="V1161" t="s">
        <v>5059</v>
      </c>
      <c r="W1161" t="s">
        <v>5059</v>
      </c>
      <c r="X1161" t="s">
        <v>79</v>
      </c>
      <c r="Y1161" t="s">
        <v>224</v>
      </c>
      <c r="AA1161" t="s">
        <v>64</v>
      </c>
      <c r="AB1161">
        <v>27.766666000000001</v>
      </c>
      <c r="AC1161">
        <v>23.166667</v>
      </c>
      <c r="AD1161">
        <v>4.5999990000000004</v>
      </c>
      <c r="AE1161">
        <v>0.316666</v>
      </c>
      <c r="AF1161">
        <v>0</v>
      </c>
      <c r="AG1161">
        <v>4.2833329999999998</v>
      </c>
      <c r="AH1161">
        <v>4.2833329999999998</v>
      </c>
      <c r="AI1161">
        <v>4.1500000000000004</v>
      </c>
      <c r="AJ1161">
        <v>0.13333300000000001</v>
      </c>
      <c r="AK1161">
        <v>0</v>
      </c>
      <c r="AL1161" s="76">
        <v>43000.400949074072</v>
      </c>
      <c r="AM1161" s="75">
        <v>3134</v>
      </c>
      <c r="AN1161" t="s">
        <v>65</v>
      </c>
      <c r="AO1161" t="s">
        <v>5060</v>
      </c>
      <c r="AP1161" t="s">
        <v>67</v>
      </c>
      <c r="AQ1161" t="s">
        <v>83</v>
      </c>
      <c r="AR1161" t="s">
        <v>69</v>
      </c>
      <c r="AS1161" s="79"/>
      <c r="AT1161" s="82" t="s">
        <v>4832</v>
      </c>
      <c r="AU1161" s="78">
        <v>2026</v>
      </c>
      <c r="AV1161" s="78">
        <v>4</v>
      </c>
      <c r="AW1161" s="78" t="s">
        <v>226</v>
      </c>
      <c r="AX1161" s="78">
        <v>1</v>
      </c>
      <c r="AY1161" s="78">
        <v>0</v>
      </c>
      <c r="BT1161" s="3" t="s">
        <v>226</v>
      </c>
      <c r="BU1161" s="3">
        <v>1</v>
      </c>
      <c r="BV1161" s="3">
        <v>0</v>
      </c>
    </row>
    <row r="1162" spans="1:74" ht="15" customHeight="1" x14ac:dyDescent="0.25">
      <c r="A1162" s="75">
        <v>5931001</v>
      </c>
      <c r="B1162" t="s">
        <v>5061</v>
      </c>
      <c r="C1162" t="s">
        <v>5062</v>
      </c>
      <c r="D1162" t="s">
        <v>282</v>
      </c>
      <c r="E1162" t="s">
        <v>87</v>
      </c>
      <c r="F1162" s="75">
        <v>12</v>
      </c>
      <c r="G1162" s="75">
        <v>293759</v>
      </c>
      <c r="H1162">
        <v>683.87</v>
      </c>
      <c r="I1162" t="s">
        <v>55</v>
      </c>
      <c r="J1162" s="75">
        <v>216065</v>
      </c>
      <c r="K1162" t="s">
        <v>3470</v>
      </c>
      <c r="L1162" t="s">
        <v>3471</v>
      </c>
      <c r="M1162" s="81">
        <v>46135.410011574073</v>
      </c>
      <c r="N1162" s="81">
        <v>46136.541087962964</v>
      </c>
      <c r="O1162" t="s">
        <v>58</v>
      </c>
      <c r="P1162" t="s">
        <v>59</v>
      </c>
      <c r="Q1162" t="s">
        <v>90</v>
      </c>
      <c r="R1162" t="s">
        <v>131</v>
      </c>
      <c r="S1162" t="s">
        <v>1316</v>
      </c>
      <c r="U1162" s="75">
        <v>238515</v>
      </c>
      <c r="V1162" t="s">
        <v>5063</v>
      </c>
      <c r="X1162" t="s">
        <v>62</v>
      </c>
      <c r="Y1162" t="s">
        <v>63</v>
      </c>
      <c r="AA1162" t="s">
        <v>64</v>
      </c>
      <c r="AB1162">
        <v>27.083334000000001</v>
      </c>
      <c r="AC1162">
        <v>20.466667000000001</v>
      </c>
      <c r="AD1162">
        <v>6.6166669999999996</v>
      </c>
      <c r="AE1162">
        <v>0.56666700000000003</v>
      </c>
      <c r="AF1162">
        <v>0</v>
      </c>
      <c r="AG1162">
        <v>6.05</v>
      </c>
      <c r="AH1162">
        <v>6.05</v>
      </c>
      <c r="AI1162">
        <v>5.9166670000000003</v>
      </c>
      <c r="AJ1162">
        <v>0.13333300000000001</v>
      </c>
      <c r="AK1162">
        <v>0</v>
      </c>
      <c r="AL1162" s="76">
        <v>45191</v>
      </c>
      <c r="AM1162" s="75">
        <v>944</v>
      </c>
      <c r="AN1162" t="s">
        <v>65</v>
      </c>
      <c r="AO1162" t="s">
        <v>3473</v>
      </c>
      <c r="AP1162" t="s">
        <v>67</v>
      </c>
      <c r="AQ1162" t="s">
        <v>68</v>
      </c>
      <c r="AR1162" t="s">
        <v>69</v>
      </c>
      <c r="AS1162" s="78"/>
      <c r="AT1162" s="82" t="s">
        <v>4832</v>
      </c>
      <c r="AU1162" s="78">
        <v>2026</v>
      </c>
      <c r="AV1162" s="78">
        <v>4</v>
      </c>
      <c r="AW1162" s="78" t="s">
        <v>71</v>
      </c>
      <c r="AX1162" s="78">
        <v>1</v>
      </c>
      <c r="AY1162" s="78">
        <v>0</v>
      </c>
      <c r="BT1162" s="2" t="s">
        <v>71</v>
      </c>
      <c r="BU1162" s="2">
        <v>1</v>
      </c>
      <c r="BV1162" s="2">
        <v>0</v>
      </c>
    </row>
    <row r="1163" spans="1:74" ht="15" customHeight="1" x14ac:dyDescent="0.25">
      <c r="A1163" s="75">
        <v>5931085</v>
      </c>
      <c r="B1163" t="s">
        <v>5064</v>
      </c>
      <c r="C1163" t="s">
        <v>5065</v>
      </c>
      <c r="D1163" t="s">
        <v>282</v>
      </c>
      <c r="E1163" t="s">
        <v>54</v>
      </c>
      <c r="F1163" s="75">
        <v>44</v>
      </c>
      <c r="G1163" s="75">
        <v>277743</v>
      </c>
      <c r="H1163">
        <v>367.96</v>
      </c>
      <c r="I1163" t="s">
        <v>242</v>
      </c>
      <c r="J1163" s="75">
        <v>212603</v>
      </c>
      <c r="K1163" t="s">
        <v>538</v>
      </c>
      <c r="L1163" t="s">
        <v>539</v>
      </c>
      <c r="M1163" s="81">
        <v>46135.431215277778</v>
      </c>
      <c r="N1163" s="81">
        <v>46136.545347222222</v>
      </c>
      <c r="O1163" t="s">
        <v>58</v>
      </c>
      <c r="P1163" t="s">
        <v>59</v>
      </c>
      <c r="Q1163" t="s">
        <v>90</v>
      </c>
      <c r="R1163" t="s">
        <v>60</v>
      </c>
      <c r="S1163" t="s">
        <v>583</v>
      </c>
      <c r="U1163" s="75">
        <v>238621</v>
      </c>
      <c r="V1163" t="s">
        <v>5066</v>
      </c>
      <c r="W1163" t="s">
        <v>5066</v>
      </c>
      <c r="X1163" t="s">
        <v>62</v>
      </c>
      <c r="Y1163" t="s">
        <v>63</v>
      </c>
      <c r="AA1163" t="s">
        <v>101</v>
      </c>
      <c r="AB1163">
        <v>26.683333999999999</v>
      </c>
      <c r="AC1163">
        <v>18.183333000000001</v>
      </c>
      <c r="AD1163">
        <v>8.5000009999999993</v>
      </c>
      <c r="AE1163">
        <v>0.2</v>
      </c>
      <c r="AF1163">
        <v>0</v>
      </c>
      <c r="AG1163">
        <v>8.300001</v>
      </c>
      <c r="AH1163">
        <v>8.300001</v>
      </c>
      <c r="AI1163">
        <v>6.783334</v>
      </c>
      <c r="AJ1163">
        <v>1.516667</v>
      </c>
      <c r="AK1163">
        <v>0</v>
      </c>
      <c r="AL1163" s="76">
        <v>43963</v>
      </c>
      <c r="AM1163" s="75">
        <v>2172</v>
      </c>
      <c r="AN1163" t="s">
        <v>65</v>
      </c>
      <c r="AO1163" t="s">
        <v>5067</v>
      </c>
      <c r="AP1163" t="s">
        <v>67</v>
      </c>
      <c r="AQ1163" t="s">
        <v>68</v>
      </c>
      <c r="AR1163" t="s">
        <v>69</v>
      </c>
      <c r="AS1163" s="79"/>
      <c r="AT1163" s="82" t="s">
        <v>4832</v>
      </c>
      <c r="AU1163" s="78">
        <v>2026</v>
      </c>
      <c r="AV1163" s="78">
        <v>4</v>
      </c>
      <c r="AW1163" s="78" t="s">
        <v>71</v>
      </c>
      <c r="AX1163" s="78">
        <v>0</v>
      </c>
      <c r="AY1163" s="78">
        <v>0</v>
      </c>
      <c r="BT1163" s="3" t="s">
        <v>71</v>
      </c>
      <c r="BU1163" s="3">
        <v>0</v>
      </c>
      <c r="BV1163" s="3">
        <v>0</v>
      </c>
    </row>
    <row r="1164" spans="1:74" ht="15" customHeight="1" x14ac:dyDescent="0.25">
      <c r="A1164" s="75">
        <v>5930919</v>
      </c>
      <c r="B1164" t="s">
        <v>5068</v>
      </c>
      <c r="C1164" t="s">
        <v>5069</v>
      </c>
      <c r="D1164" t="s">
        <v>282</v>
      </c>
      <c r="E1164" t="s">
        <v>105</v>
      </c>
      <c r="F1164" s="75">
        <v>1131</v>
      </c>
      <c r="G1164" s="75">
        <v>333539</v>
      </c>
      <c r="H1164">
        <v>456.52</v>
      </c>
      <c r="I1164" t="s">
        <v>175</v>
      </c>
      <c r="J1164" s="75">
        <v>83605</v>
      </c>
      <c r="K1164" t="s">
        <v>844</v>
      </c>
      <c r="L1164" t="s">
        <v>845</v>
      </c>
      <c r="M1164" s="81">
        <v>46135.393194444441</v>
      </c>
      <c r="N1164" s="81">
        <v>46136.54960648148</v>
      </c>
      <c r="O1164" t="s">
        <v>58</v>
      </c>
      <c r="P1164" t="s">
        <v>59</v>
      </c>
      <c r="Q1164" t="s">
        <v>905</v>
      </c>
      <c r="R1164" t="s">
        <v>131</v>
      </c>
      <c r="S1164" t="s">
        <v>1695</v>
      </c>
      <c r="U1164" s="75">
        <v>238889</v>
      </c>
      <c r="V1164" t="s">
        <v>5070</v>
      </c>
      <c r="W1164" t="s">
        <v>5070</v>
      </c>
      <c r="X1164" t="s">
        <v>62</v>
      </c>
      <c r="Y1164" t="s">
        <v>63</v>
      </c>
      <c r="AA1164" t="s">
        <v>64</v>
      </c>
      <c r="AB1164">
        <v>27.7</v>
      </c>
      <c r="AC1164">
        <v>23.3</v>
      </c>
      <c r="AD1164">
        <v>4.4000000000000004</v>
      </c>
      <c r="AE1164">
        <v>8.3333000000000004E-2</v>
      </c>
      <c r="AF1164">
        <v>0</v>
      </c>
      <c r="AG1164">
        <v>4.3166669999999998</v>
      </c>
      <c r="AH1164">
        <v>4.3166669999999998</v>
      </c>
      <c r="AI1164">
        <v>3.5666669999999998</v>
      </c>
      <c r="AJ1164">
        <v>0.75</v>
      </c>
      <c r="AK1164">
        <v>0</v>
      </c>
      <c r="AL1164" s="76">
        <v>45895</v>
      </c>
      <c r="AM1164" s="75">
        <v>240</v>
      </c>
      <c r="AN1164" t="s">
        <v>65</v>
      </c>
      <c r="AO1164" t="s">
        <v>1888</v>
      </c>
      <c r="AP1164" t="s">
        <v>67</v>
      </c>
      <c r="AQ1164" t="s">
        <v>68</v>
      </c>
      <c r="AR1164" t="s">
        <v>69</v>
      </c>
      <c r="AS1164" s="78"/>
      <c r="AT1164" s="82" t="s">
        <v>4832</v>
      </c>
      <c r="AU1164" s="78">
        <v>2026</v>
      </c>
      <c r="AV1164" s="78">
        <v>4</v>
      </c>
      <c r="AW1164" s="78" t="s">
        <v>71</v>
      </c>
      <c r="AX1164" s="78">
        <v>1</v>
      </c>
      <c r="AY1164" s="78">
        <v>0</v>
      </c>
      <c r="BT1164" s="2" t="s">
        <v>71</v>
      </c>
      <c r="BU1164" s="2">
        <v>1</v>
      </c>
      <c r="BV1164" s="2">
        <v>0</v>
      </c>
    </row>
    <row r="1165" spans="1:74" ht="15" customHeight="1" x14ac:dyDescent="0.25">
      <c r="A1165" s="75">
        <v>5931385</v>
      </c>
      <c r="B1165" t="s">
        <v>5071</v>
      </c>
      <c r="C1165" t="s">
        <v>396</v>
      </c>
      <c r="D1165" t="s">
        <v>282</v>
      </c>
      <c r="E1165" t="s">
        <v>54</v>
      </c>
      <c r="F1165" s="75">
        <v>1</v>
      </c>
      <c r="G1165" s="75">
        <v>330947</v>
      </c>
      <c r="H1165">
        <v>800</v>
      </c>
      <c r="I1165" t="s">
        <v>141</v>
      </c>
      <c r="J1165" s="75">
        <v>225005</v>
      </c>
      <c r="K1165" t="s">
        <v>397</v>
      </c>
      <c r="L1165" t="s">
        <v>398</v>
      </c>
      <c r="M1165" s="81">
        <v>46135.500289351847</v>
      </c>
      <c r="N1165" s="81">
        <v>46136.557870370372</v>
      </c>
      <c r="O1165" t="s">
        <v>58</v>
      </c>
      <c r="P1165" t="s">
        <v>59</v>
      </c>
      <c r="Q1165" t="s">
        <v>90</v>
      </c>
      <c r="R1165" t="s">
        <v>60</v>
      </c>
      <c r="S1165" t="s">
        <v>583</v>
      </c>
      <c r="U1165" s="75">
        <v>238645</v>
      </c>
      <c r="V1165" t="s">
        <v>5072</v>
      </c>
      <c r="W1165" t="s">
        <v>5072</v>
      </c>
      <c r="X1165" t="s">
        <v>118</v>
      </c>
      <c r="Y1165" t="s">
        <v>400</v>
      </c>
      <c r="AA1165" t="s">
        <v>101</v>
      </c>
      <c r="AB1165">
        <v>25.333334000000001</v>
      </c>
      <c r="AC1165">
        <v>15.183332999999999</v>
      </c>
      <c r="AD1165">
        <v>10.150001</v>
      </c>
      <c r="AE1165">
        <v>0.53333399999999997</v>
      </c>
      <c r="AF1165">
        <v>0</v>
      </c>
      <c r="AG1165">
        <v>9.6166669999999996</v>
      </c>
      <c r="AH1165">
        <v>9.6166669999999996</v>
      </c>
      <c r="AI1165">
        <v>9.25</v>
      </c>
      <c r="AJ1165">
        <v>0.36666700000000002</v>
      </c>
      <c r="AK1165">
        <v>0</v>
      </c>
      <c r="AL1165" s="76">
        <v>45713</v>
      </c>
      <c r="AM1165" s="75">
        <v>422</v>
      </c>
      <c r="AN1165" t="s">
        <v>65</v>
      </c>
      <c r="AO1165" t="s">
        <v>401</v>
      </c>
      <c r="AP1165" t="s">
        <v>67</v>
      </c>
      <c r="AQ1165" t="s">
        <v>121</v>
      </c>
      <c r="AR1165" t="s">
        <v>69</v>
      </c>
      <c r="AS1165" s="79"/>
      <c r="AT1165" s="82" t="s">
        <v>4832</v>
      </c>
      <c r="AU1165" s="78">
        <v>2026</v>
      </c>
      <c r="AV1165" s="78">
        <v>4</v>
      </c>
      <c r="AW1165" s="78" t="s">
        <v>122</v>
      </c>
      <c r="AX1165" s="78">
        <v>0</v>
      </c>
      <c r="AY1165" s="78">
        <v>0</v>
      </c>
      <c r="BT1165" s="3" t="s">
        <v>122</v>
      </c>
      <c r="BU1165" s="3">
        <v>0</v>
      </c>
      <c r="BV1165" s="3">
        <v>0</v>
      </c>
    </row>
    <row r="1166" spans="1:74" ht="15" customHeight="1" x14ac:dyDescent="0.25">
      <c r="A1166" s="75">
        <v>5931381</v>
      </c>
      <c r="B1166" t="s">
        <v>5073</v>
      </c>
      <c r="C1166" t="s">
        <v>5074</v>
      </c>
      <c r="D1166" t="s">
        <v>282</v>
      </c>
      <c r="E1166" t="s">
        <v>54</v>
      </c>
      <c r="F1166" s="75">
        <v>27</v>
      </c>
      <c r="G1166" s="75">
        <v>122369</v>
      </c>
      <c r="H1166">
        <v>300</v>
      </c>
      <c r="I1166" t="s">
        <v>55</v>
      </c>
      <c r="J1166" s="75">
        <v>13955</v>
      </c>
      <c r="K1166" t="s">
        <v>75</v>
      </c>
      <c r="L1166" t="s">
        <v>76</v>
      </c>
      <c r="M1166" s="81">
        <v>46135.498784722222</v>
      </c>
      <c r="N1166" s="81">
        <v>46136.629305555558</v>
      </c>
      <c r="O1166" t="s">
        <v>58</v>
      </c>
      <c r="P1166" t="s">
        <v>59</v>
      </c>
      <c r="Q1166" t="s">
        <v>77</v>
      </c>
      <c r="R1166" t="s">
        <v>60</v>
      </c>
      <c r="S1166" t="s">
        <v>583</v>
      </c>
      <c r="U1166" s="75">
        <v>238585</v>
      </c>
      <c r="V1166" t="s">
        <v>5075</v>
      </c>
      <c r="X1166" t="s">
        <v>118</v>
      </c>
      <c r="Y1166" t="s">
        <v>119</v>
      </c>
      <c r="AA1166" t="s">
        <v>101</v>
      </c>
      <c r="AB1166">
        <v>27.083333</v>
      </c>
      <c r="AC1166">
        <v>18.55</v>
      </c>
      <c r="AD1166">
        <v>8.5333330000000007</v>
      </c>
      <c r="AE1166">
        <v>0.1</v>
      </c>
      <c r="AF1166">
        <v>0</v>
      </c>
      <c r="AG1166">
        <v>8.4333329999999993</v>
      </c>
      <c r="AH1166">
        <v>8.4333329999999993</v>
      </c>
      <c r="AI1166">
        <v>8.4166659999999993</v>
      </c>
      <c r="AJ1166">
        <v>1.6667000000000001E-2</v>
      </c>
      <c r="AK1166">
        <v>0</v>
      </c>
      <c r="AL1166" s="76">
        <v>43662</v>
      </c>
      <c r="AM1166" s="75">
        <v>2473</v>
      </c>
      <c r="AN1166" t="s">
        <v>65</v>
      </c>
      <c r="AO1166" t="s">
        <v>5076</v>
      </c>
      <c r="AP1166" t="s">
        <v>67</v>
      </c>
      <c r="AQ1166" t="s">
        <v>121</v>
      </c>
      <c r="AR1166" t="s">
        <v>69</v>
      </c>
      <c r="AS1166" s="78"/>
      <c r="AT1166" s="82" t="s">
        <v>4832</v>
      </c>
      <c r="AU1166" s="78">
        <v>2026</v>
      </c>
      <c r="AV1166" s="78">
        <v>4</v>
      </c>
      <c r="AW1166" s="78" t="s">
        <v>122</v>
      </c>
      <c r="AX1166" s="78">
        <v>0</v>
      </c>
      <c r="AY1166" s="78">
        <v>0</v>
      </c>
      <c r="BT1166" s="2" t="s">
        <v>122</v>
      </c>
      <c r="BU1166" s="2">
        <v>0</v>
      </c>
      <c r="BV1166" s="2">
        <v>0</v>
      </c>
    </row>
    <row r="1167" spans="1:74" ht="15" customHeight="1" x14ac:dyDescent="0.25">
      <c r="A1167" s="75">
        <v>5925283</v>
      </c>
      <c r="B1167" t="s">
        <v>5077</v>
      </c>
      <c r="C1167" t="s">
        <v>5078</v>
      </c>
      <c r="D1167" t="s">
        <v>282</v>
      </c>
      <c r="E1167" t="s">
        <v>105</v>
      </c>
      <c r="F1167" s="75">
        <v>23</v>
      </c>
      <c r="G1167" s="75">
        <v>344637</v>
      </c>
      <c r="H1167">
        <v>149.9</v>
      </c>
      <c r="I1167" t="s">
        <v>163</v>
      </c>
      <c r="J1167" s="75">
        <v>104863</v>
      </c>
      <c r="K1167" t="s">
        <v>5079</v>
      </c>
      <c r="L1167" t="s">
        <v>5080</v>
      </c>
      <c r="M1167" s="81">
        <v>46130.462673611109</v>
      </c>
      <c r="N1167" s="81">
        <v>46136.632615740738</v>
      </c>
      <c r="O1167" t="s">
        <v>58</v>
      </c>
      <c r="P1167" t="s">
        <v>59</v>
      </c>
      <c r="Q1167" t="s">
        <v>130</v>
      </c>
      <c r="R1167" t="s">
        <v>156</v>
      </c>
      <c r="S1167" t="s">
        <v>1311</v>
      </c>
      <c r="U1167" s="75">
        <v>238715</v>
      </c>
      <c r="V1167" t="s">
        <v>5081</v>
      </c>
      <c r="W1167" t="s">
        <v>5082</v>
      </c>
      <c r="X1167" t="s">
        <v>62</v>
      </c>
      <c r="Y1167" t="s">
        <v>1186</v>
      </c>
      <c r="AA1167" t="s">
        <v>416</v>
      </c>
      <c r="AB1167">
        <v>147.85000099999999</v>
      </c>
      <c r="AC1167">
        <v>124.966666</v>
      </c>
      <c r="AD1167">
        <v>22.883334999999999</v>
      </c>
      <c r="AE1167">
        <v>2.8333339999999998</v>
      </c>
      <c r="AF1167">
        <v>0</v>
      </c>
      <c r="AG1167">
        <v>20.050001000000002</v>
      </c>
      <c r="AH1167">
        <v>20.050001000000002</v>
      </c>
      <c r="AI1167">
        <v>16.233332999999998</v>
      </c>
      <c r="AJ1167">
        <v>3.8166679999999999</v>
      </c>
      <c r="AK1167">
        <v>0</v>
      </c>
      <c r="AL1167" s="76">
        <v>45919.695694444446</v>
      </c>
      <c r="AM1167" s="75">
        <v>210</v>
      </c>
      <c r="AN1167" t="s">
        <v>65</v>
      </c>
      <c r="AO1167" t="s">
        <v>5083</v>
      </c>
      <c r="AP1167" t="s">
        <v>67</v>
      </c>
      <c r="AQ1167" t="s">
        <v>68</v>
      </c>
      <c r="AR1167" t="s">
        <v>69</v>
      </c>
      <c r="AS1167" s="79"/>
      <c r="AT1167" s="82" t="s">
        <v>4832</v>
      </c>
      <c r="AU1167" s="78">
        <v>2026</v>
      </c>
      <c r="AV1167" s="78">
        <v>4</v>
      </c>
      <c r="AW1167" s="78" t="s">
        <v>137</v>
      </c>
      <c r="AX1167" s="78">
        <v>0</v>
      </c>
      <c r="AY1167" s="78">
        <v>0</v>
      </c>
      <c r="BT1167" s="3" t="s">
        <v>137</v>
      </c>
      <c r="BU1167" s="3">
        <v>0</v>
      </c>
      <c r="BV1167" s="3">
        <v>0</v>
      </c>
    </row>
    <row r="1168" spans="1:74" ht="15" customHeight="1" x14ac:dyDescent="0.25">
      <c r="A1168" s="75">
        <v>5931389</v>
      </c>
      <c r="B1168" t="s">
        <v>5084</v>
      </c>
      <c r="C1168" t="s">
        <v>5085</v>
      </c>
      <c r="D1168" t="s">
        <v>282</v>
      </c>
      <c r="E1168" t="s">
        <v>54</v>
      </c>
      <c r="F1168" s="75">
        <v>81</v>
      </c>
      <c r="G1168" s="75">
        <v>295611</v>
      </c>
      <c r="H1168">
        <v>100</v>
      </c>
      <c r="I1168" t="s">
        <v>195</v>
      </c>
      <c r="J1168" s="75">
        <v>13955</v>
      </c>
      <c r="K1168" t="s">
        <v>75</v>
      </c>
      <c r="L1168" t="s">
        <v>76</v>
      </c>
      <c r="M1168" s="81">
        <v>46135.500451388893</v>
      </c>
      <c r="N1168" s="81">
        <v>46136.634710648148</v>
      </c>
      <c r="O1168" t="s">
        <v>58</v>
      </c>
      <c r="P1168" t="s">
        <v>59</v>
      </c>
      <c r="Q1168" t="s">
        <v>77</v>
      </c>
      <c r="R1168" t="s">
        <v>60</v>
      </c>
      <c r="S1168" t="s">
        <v>583</v>
      </c>
      <c r="U1168" s="75">
        <v>238641</v>
      </c>
      <c r="V1168" t="s">
        <v>5086</v>
      </c>
      <c r="W1168" t="s">
        <v>5086</v>
      </c>
      <c r="X1168" t="s">
        <v>118</v>
      </c>
      <c r="Y1168" t="s">
        <v>119</v>
      </c>
      <c r="AA1168" t="s">
        <v>64</v>
      </c>
      <c r="AB1168">
        <v>27.166665999999999</v>
      </c>
      <c r="AC1168">
        <v>21.1</v>
      </c>
      <c r="AD1168">
        <v>6.0666659999999997</v>
      </c>
      <c r="AE1168">
        <v>0.11666600000000001</v>
      </c>
      <c r="AF1168">
        <v>0</v>
      </c>
      <c r="AG1168">
        <v>5.95</v>
      </c>
      <c r="AH1168">
        <v>5.95</v>
      </c>
      <c r="AI1168">
        <v>5.3</v>
      </c>
      <c r="AJ1168">
        <v>0.65</v>
      </c>
      <c r="AK1168">
        <v>0</v>
      </c>
      <c r="AL1168" s="76">
        <v>45412</v>
      </c>
      <c r="AM1168" s="75">
        <v>723</v>
      </c>
      <c r="AN1168" t="s">
        <v>65</v>
      </c>
      <c r="AO1168" t="s">
        <v>5087</v>
      </c>
      <c r="AP1168" t="s">
        <v>67</v>
      </c>
      <c r="AQ1168" t="s">
        <v>121</v>
      </c>
      <c r="AR1168" t="s">
        <v>69</v>
      </c>
      <c r="AS1168" s="78"/>
      <c r="AT1168" s="82" t="s">
        <v>4832</v>
      </c>
      <c r="AU1168" s="78">
        <v>2026</v>
      </c>
      <c r="AV1168" s="78">
        <v>4</v>
      </c>
      <c r="AW1168" s="78" t="s">
        <v>122</v>
      </c>
      <c r="AX1168" s="78">
        <v>1</v>
      </c>
      <c r="AY1168" s="78">
        <v>0</v>
      </c>
      <c r="BT1168" s="2" t="s">
        <v>122</v>
      </c>
      <c r="BU1168" s="2">
        <v>1</v>
      </c>
      <c r="BV1168" s="2">
        <v>0</v>
      </c>
    </row>
    <row r="1169" spans="1:74" ht="15" customHeight="1" x14ac:dyDescent="0.25">
      <c r="A1169" s="75">
        <v>5930443</v>
      </c>
      <c r="B1169" t="s">
        <v>5088</v>
      </c>
      <c r="C1169" t="s">
        <v>5089</v>
      </c>
      <c r="D1169" t="s">
        <v>2379</v>
      </c>
      <c r="E1169" t="s">
        <v>87</v>
      </c>
      <c r="F1169" s="75">
        <v>1609</v>
      </c>
      <c r="G1169" s="75">
        <v>349691</v>
      </c>
      <c r="H1169">
        <v>334.78</v>
      </c>
      <c r="I1169" t="s">
        <v>141</v>
      </c>
      <c r="J1169" s="75">
        <v>6971</v>
      </c>
      <c r="K1169" t="s">
        <v>369</v>
      </c>
      <c r="L1169" t="s">
        <v>370</v>
      </c>
      <c r="M1169" s="81">
        <v>46134.847743055558</v>
      </c>
      <c r="N1169" s="81">
        <v>46136.665173611109</v>
      </c>
      <c r="O1169" t="s">
        <v>58</v>
      </c>
      <c r="P1169" t="s">
        <v>59</v>
      </c>
      <c r="Q1169" t="s">
        <v>90</v>
      </c>
      <c r="R1169" t="s">
        <v>60</v>
      </c>
      <c r="S1169" t="s">
        <v>583</v>
      </c>
      <c r="U1169" s="75">
        <v>239093</v>
      </c>
      <c r="V1169" t="s">
        <v>5090</v>
      </c>
      <c r="W1169" t="s">
        <v>5091</v>
      </c>
      <c r="X1169" t="s">
        <v>79</v>
      </c>
      <c r="Y1169" t="s">
        <v>224</v>
      </c>
      <c r="AA1169" t="s">
        <v>416</v>
      </c>
      <c r="AB1169">
        <v>43.483331999999997</v>
      </c>
      <c r="AC1169">
        <v>27.449998999999998</v>
      </c>
      <c r="AD1169">
        <v>16.033332999999999</v>
      </c>
      <c r="AE1169">
        <v>0.51666699999999999</v>
      </c>
      <c r="AF1169">
        <v>0</v>
      </c>
      <c r="AG1169">
        <v>15.516666000000001</v>
      </c>
      <c r="AH1169">
        <v>15.516666000000001</v>
      </c>
      <c r="AI1169">
        <v>13.549999</v>
      </c>
      <c r="AJ1169">
        <v>1.9666669999999999</v>
      </c>
      <c r="AK1169">
        <v>0</v>
      </c>
      <c r="AL1169" s="76">
        <v>46149</v>
      </c>
      <c r="AM1169" s="75">
        <v>-14</v>
      </c>
      <c r="AN1169" t="s">
        <v>1436</v>
      </c>
      <c r="AO1169" t="s">
        <v>3972</v>
      </c>
      <c r="AP1169" t="s">
        <v>67</v>
      </c>
      <c r="AQ1169" t="s">
        <v>83</v>
      </c>
      <c r="AR1169" t="s">
        <v>69</v>
      </c>
      <c r="AS1169" s="79"/>
      <c r="AT1169" s="82" t="s">
        <v>4832</v>
      </c>
      <c r="AU1169" s="78">
        <v>2026</v>
      </c>
      <c r="AV1169" s="78">
        <v>4</v>
      </c>
      <c r="AW1169" s="78" t="s">
        <v>226</v>
      </c>
      <c r="AX1169" s="78">
        <v>0</v>
      </c>
      <c r="AY1169" s="78">
        <v>0</v>
      </c>
      <c r="BT1169" s="3" t="s">
        <v>226</v>
      </c>
      <c r="BU1169" s="3">
        <v>0</v>
      </c>
      <c r="BV1169" s="3">
        <v>0</v>
      </c>
    </row>
    <row r="1170" spans="1:74" ht="15" customHeight="1" x14ac:dyDescent="0.25">
      <c r="A1170" s="75">
        <v>5930095</v>
      </c>
      <c r="B1170" t="s">
        <v>5092</v>
      </c>
      <c r="C1170" t="s">
        <v>5093</v>
      </c>
      <c r="D1170" t="s">
        <v>527</v>
      </c>
      <c r="E1170" t="s">
        <v>126</v>
      </c>
      <c r="F1170" s="75">
        <v>2</v>
      </c>
      <c r="G1170" s="75">
        <v>300337</v>
      </c>
      <c r="H1170">
        <v>0.01</v>
      </c>
      <c r="I1170" t="s">
        <v>55</v>
      </c>
      <c r="J1170" s="75">
        <v>206915</v>
      </c>
      <c r="K1170" t="s">
        <v>5094</v>
      </c>
      <c r="L1170" t="s">
        <v>5095</v>
      </c>
      <c r="M1170" s="81">
        <v>46134.667326388888</v>
      </c>
      <c r="N1170" s="81">
        <v>46139.336238425924</v>
      </c>
      <c r="O1170" t="s">
        <v>58</v>
      </c>
      <c r="P1170" t="s">
        <v>59</v>
      </c>
      <c r="Q1170" t="s">
        <v>90</v>
      </c>
      <c r="R1170" t="s">
        <v>144</v>
      </c>
      <c r="S1170" t="s">
        <v>2121</v>
      </c>
      <c r="U1170" s="75">
        <v>238051</v>
      </c>
      <c r="V1170" t="s">
        <v>5096</v>
      </c>
      <c r="X1170" t="s">
        <v>62</v>
      </c>
      <c r="Y1170" t="s">
        <v>448</v>
      </c>
      <c r="AA1170" t="s">
        <v>295</v>
      </c>
      <c r="AB1170">
        <v>111.983333</v>
      </c>
      <c r="AC1170">
        <v>72.983333000000002</v>
      </c>
      <c r="AD1170">
        <v>39</v>
      </c>
      <c r="AE1170">
        <v>2.8833329999999999</v>
      </c>
      <c r="AF1170">
        <v>0</v>
      </c>
      <c r="AG1170">
        <v>36.116667</v>
      </c>
      <c r="AH1170">
        <v>36.116667</v>
      </c>
      <c r="AI1170">
        <v>32.15</v>
      </c>
      <c r="AJ1170">
        <v>3.9666670000000002</v>
      </c>
      <c r="AK1170">
        <v>0</v>
      </c>
      <c r="AL1170" s="76">
        <v>45323.456446759257</v>
      </c>
      <c r="AM1170" s="75">
        <v>811</v>
      </c>
      <c r="AN1170" t="s">
        <v>65</v>
      </c>
      <c r="AO1170" t="s">
        <v>5097</v>
      </c>
      <c r="AP1170" t="s">
        <v>67</v>
      </c>
      <c r="AQ1170" t="s">
        <v>68</v>
      </c>
      <c r="AR1170" t="s">
        <v>69</v>
      </c>
      <c r="AS1170" s="78"/>
      <c r="AT1170" s="82" t="s">
        <v>5098</v>
      </c>
      <c r="AU1170" s="78">
        <v>2026</v>
      </c>
      <c r="AV1170" s="78">
        <v>4</v>
      </c>
      <c r="AW1170" s="78" t="s">
        <v>137</v>
      </c>
      <c r="AX1170" s="78">
        <v>0</v>
      </c>
      <c r="AY1170" s="78">
        <v>1</v>
      </c>
      <c r="BT1170" s="2" t="s">
        <v>137</v>
      </c>
      <c r="BU1170" s="2">
        <v>0</v>
      </c>
      <c r="BV1170" s="2">
        <v>1</v>
      </c>
    </row>
    <row r="1171" spans="1:74" ht="15" customHeight="1" x14ac:dyDescent="0.25">
      <c r="A1171" s="75">
        <v>5935079</v>
      </c>
      <c r="B1171" t="s">
        <v>5099</v>
      </c>
      <c r="C1171" t="s">
        <v>3881</v>
      </c>
      <c r="D1171" t="s">
        <v>150</v>
      </c>
      <c r="E1171" t="s">
        <v>87</v>
      </c>
      <c r="F1171" s="75">
        <v>518</v>
      </c>
      <c r="G1171" s="75">
        <v>293311</v>
      </c>
      <c r="H1171">
        <v>368.16</v>
      </c>
      <c r="I1171" t="s">
        <v>55</v>
      </c>
      <c r="J1171" s="75">
        <v>218791</v>
      </c>
      <c r="K1171" t="s">
        <v>312</v>
      </c>
      <c r="L1171" t="s">
        <v>313</v>
      </c>
      <c r="M1171" s="81">
        <v>46138.722638888888</v>
      </c>
      <c r="N1171" s="81">
        <v>46139.384571759263</v>
      </c>
      <c r="O1171" t="s">
        <v>58</v>
      </c>
      <c r="P1171" t="s">
        <v>59</v>
      </c>
      <c r="Q1171" t="s">
        <v>90</v>
      </c>
      <c r="R1171" t="s">
        <v>99</v>
      </c>
      <c r="S1171" t="s">
        <v>1244</v>
      </c>
      <c r="U1171" s="75">
        <v>240833</v>
      </c>
      <c r="V1171" t="s">
        <v>5100</v>
      </c>
      <c r="X1171" t="s">
        <v>62</v>
      </c>
      <c r="Y1171" t="s">
        <v>63</v>
      </c>
      <c r="AA1171" t="s">
        <v>81</v>
      </c>
      <c r="AB1171">
        <v>15.833333</v>
      </c>
      <c r="AC1171">
        <v>13.783333000000001</v>
      </c>
      <c r="AD1171">
        <v>2.0499999999999998</v>
      </c>
      <c r="AE1171">
        <v>0.35</v>
      </c>
      <c r="AF1171">
        <v>0</v>
      </c>
      <c r="AG1171">
        <v>1.7</v>
      </c>
      <c r="AH1171">
        <v>1.7</v>
      </c>
      <c r="AI1171">
        <v>1.3</v>
      </c>
      <c r="AJ1171">
        <v>0.4</v>
      </c>
      <c r="AK1171">
        <v>0</v>
      </c>
      <c r="AL1171" s="76">
        <v>45131.719583333332</v>
      </c>
      <c r="AM1171" s="75">
        <v>1007</v>
      </c>
      <c r="AN1171" t="s">
        <v>65</v>
      </c>
      <c r="AO1171" t="s">
        <v>3882</v>
      </c>
      <c r="AP1171" t="s">
        <v>67</v>
      </c>
      <c r="AQ1171" t="s">
        <v>68</v>
      </c>
      <c r="AR1171" t="s">
        <v>69</v>
      </c>
      <c r="AS1171" s="79"/>
      <c r="AT1171" s="82" t="s">
        <v>5098</v>
      </c>
      <c r="AU1171" s="78">
        <v>2026</v>
      </c>
      <c r="AV1171" s="78">
        <v>4</v>
      </c>
      <c r="AW1171" s="78" t="s">
        <v>71</v>
      </c>
      <c r="AX1171" s="78">
        <v>1</v>
      </c>
      <c r="AY1171" s="78">
        <v>0</v>
      </c>
      <c r="BT1171" s="3" t="s">
        <v>71</v>
      </c>
      <c r="BU1171" s="3">
        <v>1</v>
      </c>
      <c r="BV1171" s="3">
        <v>0</v>
      </c>
    </row>
    <row r="1172" spans="1:74" ht="15" customHeight="1" x14ac:dyDescent="0.25">
      <c r="A1172" s="75">
        <v>5931787</v>
      </c>
      <c r="B1172" t="s">
        <v>5101</v>
      </c>
      <c r="C1172" t="s">
        <v>5102</v>
      </c>
      <c r="D1172" t="s">
        <v>150</v>
      </c>
      <c r="E1172" t="s">
        <v>87</v>
      </c>
      <c r="F1172" s="75">
        <v>392</v>
      </c>
      <c r="G1172" s="75">
        <v>286889</v>
      </c>
      <c r="H1172">
        <v>398.82</v>
      </c>
      <c r="I1172" t="s">
        <v>55</v>
      </c>
      <c r="J1172" s="75">
        <v>216233</v>
      </c>
      <c r="K1172" t="s">
        <v>88</v>
      </c>
      <c r="L1172" t="s">
        <v>89</v>
      </c>
      <c r="M1172" s="81">
        <v>46135.68105324074</v>
      </c>
      <c r="N1172" s="81">
        <v>46139.402650462973</v>
      </c>
      <c r="O1172" t="s">
        <v>475</v>
      </c>
      <c r="P1172" t="s">
        <v>59</v>
      </c>
      <c r="Q1172" t="s">
        <v>2562</v>
      </c>
      <c r="R1172" t="s">
        <v>131</v>
      </c>
      <c r="S1172" t="s">
        <v>1316</v>
      </c>
      <c r="U1172" s="75">
        <v>239071</v>
      </c>
      <c r="V1172" t="s">
        <v>5103</v>
      </c>
      <c r="W1172" t="s">
        <v>5103</v>
      </c>
      <c r="X1172" t="s">
        <v>62</v>
      </c>
      <c r="Y1172" t="s">
        <v>63</v>
      </c>
      <c r="AA1172" t="s">
        <v>81</v>
      </c>
      <c r="AB1172">
        <v>89.233333000000002</v>
      </c>
      <c r="AC1172">
        <v>83.1</v>
      </c>
      <c r="AD1172">
        <v>6.1333330000000004</v>
      </c>
      <c r="AE1172">
        <v>2.5</v>
      </c>
      <c r="AF1172">
        <v>0</v>
      </c>
      <c r="AG1172">
        <v>3.6333329999999999</v>
      </c>
      <c r="AH1172">
        <v>3.6333329999999999</v>
      </c>
      <c r="AI1172">
        <v>2.1666669999999999</v>
      </c>
      <c r="AJ1172">
        <v>1.466666</v>
      </c>
      <c r="AK1172">
        <v>0</v>
      </c>
      <c r="AL1172" s="76">
        <v>44897</v>
      </c>
      <c r="AM1172" s="75">
        <v>1238</v>
      </c>
      <c r="AN1172" t="s">
        <v>65</v>
      </c>
      <c r="AO1172" t="s">
        <v>5104</v>
      </c>
      <c r="AP1172" t="s">
        <v>67</v>
      </c>
      <c r="AQ1172" t="s">
        <v>68</v>
      </c>
      <c r="AR1172" t="s">
        <v>69</v>
      </c>
      <c r="AS1172" s="78"/>
      <c r="AT1172" s="82" t="s">
        <v>5098</v>
      </c>
      <c r="AU1172" s="78">
        <v>2026</v>
      </c>
      <c r="AV1172" s="78">
        <v>4</v>
      </c>
      <c r="AW1172" s="78" t="s">
        <v>71</v>
      </c>
      <c r="AX1172" s="78">
        <v>1</v>
      </c>
      <c r="AY1172" s="78">
        <v>0</v>
      </c>
      <c r="BT1172" s="2" t="s">
        <v>71</v>
      </c>
      <c r="BU1172" s="2">
        <v>1</v>
      </c>
      <c r="BV1172" s="2">
        <v>0</v>
      </c>
    </row>
    <row r="1173" spans="1:74" ht="15" customHeight="1" x14ac:dyDescent="0.25">
      <c r="A1173" s="75">
        <v>5934865</v>
      </c>
      <c r="B1173" t="s">
        <v>5105</v>
      </c>
      <c r="C1173" t="s">
        <v>5106</v>
      </c>
      <c r="D1173" t="s">
        <v>527</v>
      </c>
      <c r="E1173" t="s">
        <v>54</v>
      </c>
      <c r="F1173" s="75">
        <v>84</v>
      </c>
      <c r="G1173" s="75">
        <v>295627</v>
      </c>
      <c r="H1173">
        <v>100</v>
      </c>
      <c r="I1173" t="s">
        <v>195</v>
      </c>
      <c r="J1173" s="75">
        <v>13955</v>
      </c>
      <c r="K1173" t="s">
        <v>75</v>
      </c>
      <c r="L1173" t="s">
        <v>76</v>
      </c>
      <c r="M1173" s="81">
        <v>46138.357974537037</v>
      </c>
      <c r="N1173" s="81">
        <v>46139.446203703701</v>
      </c>
      <c r="O1173" t="s">
        <v>58</v>
      </c>
      <c r="P1173" t="s">
        <v>59</v>
      </c>
      <c r="Q1173" t="s">
        <v>77</v>
      </c>
      <c r="R1173" t="s">
        <v>60</v>
      </c>
      <c r="S1173" t="s">
        <v>1543</v>
      </c>
      <c r="U1173" s="75">
        <v>240981</v>
      </c>
      <c r="V1173" t="s">
        <v>5107</v>
      </c>
      <c r="W1173" t="s">
        <v>5108</v>
      </c>
      <c r="X1173" t="s">
        <v>79</v>
      </c>
      <c r="Y1173" t="s">
        <v>224</v>
      </c>
      <c r="AA1173" t="s">
        <v>64</v>
      </c>
      <c r="AB1173">
        <v>26.05</v>
      </c>
      <c r="AC1173">
        <v>18.266666000000001</v>
      </c>
      <c r="AD1173">
        <v>7.783334</v>
      </c>
      <c r="AE1173">
        <v>0.31666699999999998</v>
      </c>
      <c r="AF1173">
        <v>0</v>
      </c>
      <c r="AG1173">
        <v>7.4666670000000002</v>
      </c>
      <c r="AH1173">
        <v>7.4666670000000002</v>
      </c>
      <c r="AI1173">
        <v>6.2</v>
      </c>
      <c r="AJ1173">
        <v>1.266667</v>
      </c>
      <c r="AK1173">
        <v>0</v>
      </c>
      <c r="AL1173" s="76">
        <v>45246</v>
      </c>
      <c r="AM1173" s="75">
        <v>892</v>
      </c>
      <c r="AN1173" t="s">
        <v>65</v>
      </c>
      <c r="AO1173" t="s">
        <v>5109</v>
      </c>
      <c r="AP1173" t="s">
        <v>67</v>
      </c>
      <c r="AQ1173" t="s">
        <v>83</v>
      </c>
      <c r="AR1173" t="s">
        <v>69</v>
      </c>
      <c r="AS1173" s="79"/>
      <c r="AT1173" s="82" t="s">
        <v>5098</v>
      </c>
      <c r="AU1173" s="78">
        <v>2026</v>
      </c>
      <c r="AV1173" s="78">
        <v>4</v>
      </c>
      <c r="AW1173" s="78" t="s">
        <v>226</v>
      </c>
      <c r="AX1173" s="78">
        <v>1</v>
      </c>
      <c r="AY1173" s="78">
        <v>0</v>
      </c>
      <c r="BT1173" s="3" t="s">
        <v>226</v>
      </c>
      <c r="BU1173" s="3">
        <v>1</v>
      </c>
      <c r="BV1173" s="3">
        <v>0</v>
      </c>
    </row>
    <row r="1174" spans="1:74" ht="15" customHeight="1" x14ac:dyDescent="0.25">
      <c r="A1174" s="75">
        <v>5929713</v>
      </c>
      <c r="B1174" t="s">
        <v>5110</v>
      </c>
      <c r="C1174" t="s">
        <v>5111</v>
      </c>
      <c r="D1174" t="s">
        <v>1555</v>
      </c>
      <c r="E1174" t="s">
        <v>87</v>
      </c>
      <c r="F1174" s="75">
        <v>203</v>
      </c>
      <c r="G1174" s="75">
        <v>286007</v>
      </c>
      <c r="H1174">
        <v>350</v>
      </c>
      <c r="I1174" t="s">
        <v>55</v>
      </c>
      <c r="J1174" s="75">
        <v>218787</v>
      </c>
      <c r="K1174" t="s">
        <v>96</v>
      </c>
      <c r="L1174" t="s">
        <v>97</v>
      </c>
      <c r="M1174" s="81">
        <v>46134.514502314807</v>
      </c>
      <c r="N1174" s="81">
        <v>46139.513159722221</v>
      </c>
      <c r="O1174" t="s">
        <v>58</v>
      </c>
      <c r="P1174" t="s">
        <v>59</v>
      </c>
      <c r="Q1174" t="s">
        <v>90</v>
      </c>
      <c r="R1174" t="s">
        <v>60</v>
      </c>
      <c r="S1174" t="s">
        <v>583</v>
      </c>
      <c r="U1174" s="75">
        <v>239087</v>
      </c>
      <c r="V1174" t="s">
        <v>5112</v>
      </c>
      <c r="W1174" t="s">
        <v>5113</v>
      </c>
      <c r="X1174" t="s">
        <v>62</v>
      </c>
      <c r="Y1174" t="s">
        <v>63</v>
      </c>
      <c r="AA1174" t="s">
        <v>295</v>
      </c>
      <c r="AB1174">
        <v>119.85</v>
      </c>
      <c r="AC1174">
        <v>94.3</v>
      </c>
      <c r="AD1174">
        <v>25.55</v>
      </c>
      <c r="AE1174">
        <v>1.4166669999999999</v>
      </c>
      <c r="AF1174">
        <v>0</v>
      </c>
      <c r="AG1174">
        <v>24.133333</v>
      </c>
      <c r="AH1174">
        <v>24.133333</v>
      </c>
      <c r="AI1174">
        <v>22.45</v>
      </c>
      <c r="AJ1174">
        <v>1.683333</v>
      </c>
      <c r="AK1174">
        <v>0</v>
      </c>
      <c r="AL1174" s="76">
        <v>44879</v>
      </c>
      <c r="AM1174" s="75">
        <v>1255</v>
      </c>
      <c r="AN1174" t="s">
        <v>65</v>
      </c>
      <c r="AO1174" t="s">
        <v>5114</v>
      </c>
      <c r="AP1174" t="s">
        <v>67</v>
      </c>
      <c r="AQ1174" t="s">
        <v>68</v>
      </c>
      <c r="AR1174" t="s">
        <v>69</v>
      </c>
      <c r="AS1174" s="78"/>
      <c r="AT1174" s="82" t="s">
        <v>5098</v>
      </c>
      <c r="AU1174" s="78">
        <v>2026</v>
      </c>
      <c r="AV1174" s="78">
        <v>4</v>
      </c>
      <c r="AW1174" s="78" t="s">
        <v>71</v>
      </c>
      <c r="AX1174" s="78">
        <v>0</v>
      </c>
      <c r="AY1174" s="78">
        <v>1</v>
      </c>
      <c r="BT1174" s="2" t="s">
        <v>71</v>
      </c>
      <c r="BU1174" s="2">
        <v>0</v>
      </c>
      <c r="BV1174" s="2">
        <v>1</v>
      </c>
    </row>
    <row r="1175" spans="1:74" ht="15" customHeight="1" x14ac:dyDescent="0.25">
      <c r="A1175" s="75">
        <v>5930151</v>
      </c>
      <c r="B1175" t="s">
        <v>5115</v>
      </c>
      <c r="C1175" t="s">
        <v>2712</v>
      </c>
      <c r="D1175" t="s">
        <v>1555</v>
      </c>
      <c r="E1175" t="s">
        <v>87</v>
      </c>
      <c r="F1175" s="75">
        <v>362</v>
      </c>
      <c r="G1175" s="75">
        <v>286763</v>
      </c>
      <c r="H1175">
        <v>364.96</v>
      </c>
      <c r="I1175" t="s">
        <v>55</v>
      </c>
      <c r="J1175" s="75">
        <v>218787</v>
      </c>
      <c r="K1175" t="s">
        <v>96</v>
      </c>
      <c r="L1175" t="s">
        <v>97</v>
      </c>
      <c r="M1175" s="81">
        <v>46134.695011574076</v>
      </c>
      <c r="N1175" s="81">
        <v>46139.514062499999</v>
      </c>
      <c r="O1175" t="s">
        <v>58</v>
      </c>
      <c r="P1175" t="s">
        <v>59</v>
      </c>
      <c r="Q1175" t="s">
        <v>90</v>
      </c>
      <c r="R1175" t="s">
        <v>131</v>
      </c>
      <c r="S1175" t="s">
        <v>1273</v>
      </c>
      <c r="U1175" s="75">
        <v>237963</v>
      </c>
      <c r="V1175" t="s">
        <v>5116</v>
      </c>
      <c r="W1175" t="s">
        <v>5116</v>
      </c>
      <c r="X1175" t="s">
        <v>62</v>
      </c>
      <c r="Y1175" t="s">
        <v>63</v>
      </c>
      <c r="AA1175" t="s">
        <v>416</v>
      </c>
      <c r="AB1175">
        <v>115.599999</v>
      </c>
      <c r="AC1175">
        <v>94.383332999999993</v>
      </c>
      <c r="AD1175">
        <v>21.216666</v>
      </c>
      <c r="AE1175">
        <v>2.5833330000000001</v>
      </c>
      <c r="AF1175">
        <v>0</v>
      </c>
      <c r="AG1175">
        <v>18.633333</v>
      </c>
      <c r="AH1175">
        <v>18.633333</v>
      </c>
      <c r="AI1175">
        <v>17.3</v>
      </c>
      <c r="AJ1175">
        <v>1.3333330000000001</v>
      </c>
      <c r="AK1175">
        <v>0</v>
      </c>
      <c r="AL1175" s="76">
        <v>44890</v>
      </c>
      <c r="AM1175" s="75">
        <v>1244</v>
      </c>
      <c r="AN1175" t="s">
        <v>65</v>
      </c>
      <c r="AO1175" t="s">
        <v>2715</v>
      </c>
      <c r="AP1175" t="s">
        <v>67</v>
      </c>
      <c r="AQ1175" t="s">
        <v>68</v>
      </c>
      <c r="AR1175" t="s">
        <v>69</v>
      </c>
      <c r="AS1175" s="79"/>
      <c r="AT1175" s="82" t="s">
        <v>5098</v>
      </c>
      <c r="AU1175" s="78">
        <v>2026</v>
      </c>
      <c r="AV1175" s="78">
        <v>4</v>
      </c>
      <c r="AW1175" s="78" t="s">
        <v>71</v>
      </c>
      <c r="AX1175" s="78">
        <v>0</v>
      </c>
      <c r="AY1175" s="78">
        <v>0</v>
      </c>
      <c r="BT1175" s="3" t="s">
        <v>71</v>
      </c>
      <c r="BU1175" s="3">
        <v>0</v>
      </c>
      <c r="BV1175" s="3">
        <v>0</v>
      </c>
    </row>
    <row r="1176" spans="1:74" ht="15" customHeight="1" x14ac:dyDescent="0.25">
      <c r="A1176" s="75">
        <v>5930493</v>
      </c>
      <c r="B1176" t="s">
        <v>5117</v>
      </c>
      <c r="C1176" t="s">
        <v>228</v>
      </c>
      <c r="D1176" t="s">
        <v>1555</v>
      </c>
      <c r="E1176" t="s">
        <v>87</v>
      </c>
      <c r="F1176" s="75">
        <v>1</v>
      </c>
      <c r="G1176" s="75">
        <v>250779</v>
      </c>
      <c r="H1176">
        <v>2000</v>
      </c>
      <c r="I1176" t="s">
        <v>114</v>
      </c>
      <c r="J1176" s="75">
        <v>203401</v>
      </c>
      <c r="K1176" t="s">
        <v>229</v>
      </c>
      <c r="L1176" t="s">
        <v>230</v>
      </c>
      <c r="M1176" s="81">
        <v>46134.903090277781</v>
      </c>
      <c r="N1176" s="81">
        <v>46139.514953703707</v>
      </c>
      <c r="O1176" t="s">
        <v>58</v>
      </c>
      <c r="P1176" t="s">
        <v>59</v>
      </c>
      <c r="Q1176" t="s">
        <v>90</v>
      </c>
      <c r="R1176" t="s">
        <v>99</v>
      </c>
      <c r="S1176" t="s">
        <v>1244</v>
      </c>
      <c r="T1176" t="s">
        <v>231</v>
      </c>
      <c r="U1176" s="75">
        <v>238061</v>
      </c>
      <c r="V1176" t="s">
        <v>5118</v>
      </c>
      <c r="X1176" t="s">
        <v>62</v>
      </c>
      <c r="Y1176" t="s">
        <v>233</v>
      </c>
      <c r="AA1176" t="s">
        <v>416</v>
      </c>
      <c r="AB1176">
        <v>110.60000100000001</v>
      </c>
      <c r="AC1176">
        <v>85.15</v>
      </c>
      <c r="AD1176">
        <v>25.450001</v>
      </c>
      <c r="AE1176">
        <v>10.183334</v>
      </c>
      <c r="AF1176">
        <v>0</v>
      </c>
      <c r="AG1176">
        <v>15.266667</v>
      </c>
      <c r="AH1176">
        <v>15.266667</v>
      </c>
      <c r="AI1176">
        <v>14.416667</v>
      </c>
      <c r="AJ1176">
        <v>0.85</v>
      </c>
      <c r="AK1176">
        <v>0</v>
      </c>
      <c r="AL1176" s="76">
        <v>44650</v>
      </c>
      <c r="AM1176" s="75">
        <v>1484</v>
      </c>
      <c r="AN1176" t="s">
        <v>65</v>
      </c>
      <c r="AO1176" t="s">
        <v>234</v>
      </c>
      <c r="AP1176" t="s">
        <v>67</v>
      </c>
      <c r="AQ1176" t="s">
        <v>68</v>
      </c>
      <c r="AR1176" t="s">
        <v>69</v>
      </c>
      <c r="AS1176" s="78"/>
      <c r="AT1176" s="82" t="s">
        <v>5098</v>
      </c>
      <c r="AU1176" s="78">
        <v>2026</v>
      </c>
      <c r="AV1176" s="78">
        <v>4</v>
      </c>
      <c r="AW1176" s="78" t="s">
        <v>137</v>
      </c>
      <c r="AX1176" s="78">
        <v>0</v>
      </c>
      <c r="AY1176" s="78">
        <v>0</v>
      </c>
      <c r="BT1176" s="2" t="s">
        <v>137</v>
      </c>
      <c r="BU1176" s="2">
        <v>0</v>
      </c>
      <c r="BV1176" s="2">
        <v>0</v>
      </c>
    </row>
    <row r="1177" spans="1:74" ht="15" customHeight="1" x14ac:dyDescent="0.25">
      <c r="A1177" s="75">
        <v>5930591</v>
      </c>
      <c r="B1177" t="s">
        <v>5119</v>
      </c>
      <c r="C1177" t="s">
        <v>4009</v>
      </c>
      <c r="D1177" t="s">
        <v>1555</v>
      </c>
      <c r="E1177" t="s">
        <v>87</v>
      </c>
      <c r="F1177" s="75">
        <v>369</v>
      </c>
      <c r="G1177" s="75">
        <v>286779</v>
      </c>
      <c r="H1177">
        <v>364.96</v>
      </c>
      <c r="I1177" t="s">
        <v>55</v>
      </c>
      <c r="J1177" s="75">
        <v>218787</v>
      </c>
      <c r="K1177" t="s">
        <v>96</v>
      </c>
      <c r="L1177" t="s">
        <v>97</v>
      </c>
      <c r="M1177" s="81">
        <v>46135.090995370367</v>
      </c>
      <c r="N1177" s="81">
        <v>46139.516087962962</v>
      </c>
      <c r="O1177" t="s">
        <v>58</v>
      </c>
      <c r="P1177" t="s">
        <v>59</v>
      </c>
      <c r="Q1177" t="s">
        <v>90</v>
      </c>
      <c r="R1177" t="s">
        <v>60</v>
      </c>
      <c r="S1177" t="s">
        <v>1268</v>
      </c>
      <c r="U1177" s="75">
        <v>238735</v>
      </c>
      <c r="V1177" t="s">
        <v>5120</v>
      </c>
      <c r="W1177" t="s">
        <v>5120</v>
      </c>
      <c r="X1177" t="s">
        <v>62</v>
      </c>
      <c r="Y1177" t="s">
        <v>63</v>
      </c>
      <c r="AA1177" t="s">
        <v>101</v>
      </c>
      <c r="AB1177">
        <v>106.099999</v>
      </c>
      <c r="AC1177">
        <v>83.616667000000007</v>
      </c>
      <c r="AD1177">
        <v>22.483332000000001</v>
      </c>
      <c r="AE1177">
        <v>11.3</v>
      </c>
      <c r="AF1177">
        <v>9.9499999999999993</v>
      </c>
      <c r="AG1177">
        <v>11.183332</v>
      </c>
      <c r="AH1177">
        <v>21.133331999999999</v>
      </c>
      <c r="AI1177">
        <v>10.866666</v>
      </c>
      <c r="AJ1177">
        <v>0.316666</v>
      </c>
      <c r="AK1177">
        <v>0</v>
      </c>
      <c r="AL1177" s="76">
        <v>44964</v>
      </c>
      <c r="AM1177" s="75">
        <v>1171</v>
      </c>
      <c r="AN1177" t="s">
        <v>65</v>
      </c>
      <c r="AO1177" t="s">
        <v>4011</v>
      </c>
      <c r="AP1177" t="s">
        <v>67</v>
      </c>
      <c r="AQ1177" t="s">
        <v>68</v>
      </c>
      <c r="AR1177" t="s">
        <v>69</v>
      </c>
      <c r="AS1177" s="79"/>
      <c r="AT1177" s="82" t="s">
        <v>5098</v>
      </c>
      <c r="AU1177" s="78">
        <v>2026</v>
      </c>
      <c r="AV1177" s="78">
        <v>4</v>
      </c>
      <c r="AW1177" s="78" t="s">
        <v>71</v>
      </c>
      <c r="AX1177" s="78">
        <v>0</v>
      </c>
      <c r="AY1177" s="78">
        <v>0</v>
      </c>
      <c r="BT1177" s="3" t="s">
        <v>71</v>
      </c>
      <c r="BU1177" s="3">
        <v>0</v>
      </c>
      <c r="BV1177" s="3">
        <v>0</v>
      </c>
    </row>
    <row r="1178" spans="1:74" ht="15" customHeight="1" x14ac:dyDescent="0.25">
      <c r="A1178" s="75">
        <v>5931135</v>
      </c>
      <c r="B1178" t="s">
        <v>5121</v>
      </c>
      <c r="C1178" t="s">
        <v>1907</v>
      </c>
      <c r="D1178" t="s">
        <v>1555</v>
      </c>
      <c r="E1178" t="s">
        <v>87</v>
      </c>
      <c r="F1178" s="75">
        <v>272</v>
      </c>
      <c r="G1178" s="75">
        <v>286389</v>
      </c>
      <c r="H1178">
        <v>364.96</v>
      </c>
      <c r="I1178" t="s">
        <v>55</v>
      </c>
      <c r="J1178" s="75">
        <v>218787</v>
      </c>
      <c r="K1178" t="s">
        <v>96</v>
      </c>
      <c r="L1178" t="s">
        <v>97</v>
      </c>
      <c r="M1178" s="81">
        <v>46135.445104166669</v>
      </c>
      <c r="N1178" s="81">
        <v>46139.522372685176</v>
      </c>
      <c r="O1178" t="s">
        <v>58</v>
      </c>
      <c r="P1178" t="s">
        <v>59</v>
      </c>
      <c r="Q1178" t="s">
        <v>90</v>
      </c>
      <c r="R1178" t="s">
        <v>60</v>
      </c>
      <c r="S1178" t="s">
        <v>583</v>
      </c>
      <c r="U1178" s="75">
        <v>239095</v>
      </c>
      <c r="V1178" t="s">
        <v>5122</v>
      </c>
      <c r="W1178" t="s">
        <v>5123</v>
      </c>
      <c r="X1178" t="s">
        <v>62</v>
      </c>
      <c r="Y1178" t="s">
        <v>63</v>
      </c>
      <c r="AA1178" t="s">
        <v>416</v>
      </c>
      <c r="AB1178">
        <v>97.766666999999998</v>
      </c>
      <c r="AC1178">
        <v>82.3</v>
      </c>
      <c r="AD1178">
        <v>15.466666999999999</v>
      </c>
      <c r="AE1178">
        <v>0.25</v>
      </c>
      <c r="AF1178">
        <v>0</v>
      </c>
      <c r="AG1178">
        <v>15.216666999999999</v>
      </c>
      <c r="AH1178">
        <v>15.216666999999999</v>
      </c>
      <c r="AI1178">
        <v>13.45</v>
      </c>
      <c r="AJ1178">
        <v>1.766667</v>
      </c>
      <c r="AK1178">
        <v>0</v>
      </c>
      <c r="AL1178" s="76">
        <v>44972</v>
      </c>
      <c r="AM1178" s="75">
        <v>1163</v>
      </c>
      <c r="AN1178" t="s">
        <v>65</v>
      </c>
      <c r="AO1178" t="s">
        <v>1910</v>
      </c>
      <c r="AP1178" t="s">
        <v>67</v>
      </c>
      <c r="AQ1178" t="s">
        <v>68</v>
      </c>
      <c r="AR1178" t="s">
        <v>69</v>
      </c>
      <c r="AS1178" s="78"/>
      <c r="AT1178" s="82" t="s">
        <v>5098</v>
      </c>
      <c r="AU1178" s="78">
        <v>2026</v>
      </c>
      <c r="AV1178" s="78">
        <v>4</v>
      </c>
      <c r="AW1178" s="78" t="s">
        <v>71</v>
      </c>
      <c r="AX1178" s="78">
        <v>0</v>
      </c>
      <c r="AY1178" s="78">
        <v>0</v>
      </c>
      <c r="BT1178" s="2" t="s">
        <v>71</v>
      </c>
      <c r="BU1178" s="2">
        <v>0</v>
      </c>
      <c r="BV1178" s="2">
        <v>0</v>
      </c>
    </row>
    <row r="1179" spans="1:74" ht="15" customHeight="1" x14ac:dyDescent="0.25">
      <c r="A1179" s="75">
        <v>5931273</v>
      </c>
      <c r="B1179" t="s">
        <v>5124</v>
      </c>
      <c r="C1179" t="s">
        <v>2478</v>
      </c>
      <c r="D1179" t="s">
        <v>1555</v>
      </c>
      <c r="E1179" t="s">
        <v>87</v>
      </c>
      <c r="F1179" s="75">
        <v>185</v>
      </c>
      <c r="G1179" s="75">
        <v>285893</v>
      </c>
      <c r="H1179">
        <v>398.82</v>
      </c>
      <c r="I1179" t="s">
        <v>55</v>
      </c>
      <c r="J1179" s="75">
        <v>216233</v>
      </c>
      <c r="K1179" t="s">
        <v>88</v>
      </c>
      <c r="L1179" t="s">
        <v>89</v>
      </c>
      <c r="M1179" s="81">
        <v>46135.473009259258</v>
      </c>
      <c r="N1179" s="81">
        <v>46139.530393518522</v>
      </c>
      <c r="O1179" t="s">
        <v>58</v>
      </c>
      <c r="P1179" t="s">
        <v>59</v>
      </c>
      <c r="Q1179" t="s">
        <v>90</v>
      </c>
      <c r="R1179" t="s">
        <v>60</v>
      </c>
      <c r="S1179" t="s">
        <v>583</v>
      </c>
      <c r="U1179" s="75">
        <v>239101</v>
      </c>
      <c r="V1179" t="s">
        <v>5125</v>
      </c>
      <c r="W1179" t="s">
        <v>5126</v>
      </c>
      <c r="X1179" t="s">
        <v>62</v>
      </c>
      <c r="Y1179" t="s">
        <v>63</v>
      </c>
      <c r="AA1179" t="s">
        <v>416</v>
      </c>
      <c r="AB1179">
        <v>97.316666999999995</v>
      </c>
      <c r="AC1179">
        <v>79.833332999999996</v>
      </c>
      <c r="AD1179">
        <v>17.483333999999999</v>
      </c>
      <c r="AE1179">
        <v>0.38333400000000001</v>
      </c>
      <c r="AF1179">
        <v>0</v>
      </c>
      <c r="AG1179">
        <v>17.100000000000001</v>
      </c>
      <c r="AH1179">
        <v>17.100000000000001</v>
      </c>
      <c r="AI1179">
        <v>15.616667</v>
      </c>
      <c r="AJ1179">
        <v>1.483333</v>
      </c>
      <c r="AK1179">
        <v>0</v>
      </c>
      <c r="AL1179" s="76">
        <v>44879</v>
      </c>
      <c r="AM1179" s="75">
        <v>1256</v>
      </c>
      <c r="AN1179" t="s">
        <v>65</v>
      </c>
      <c r="AO1179" t="s">
        <v>2480</v>
      </c>
      <c r="AP1179" t="s">
        <v>67</v>
      </c>
      <c r="AQ1179" t="s">
        <v>68</v>
      </c>
      <c r="AR1179" t="s">
        <v>69</v>
      </c>
      <c r="AS1179" s="79"/>
      <c r="AT1179" s="82" t="s">
        <v>5098</v>
      </c>
      <c r="AU1179" s="78">
        <v>2026</v>
      </c>
      <c r="AV1179" s="78">
        <v>4</v>
      </c>
      <c r="AW1179" s="78" t="s">
        <v>71</v>
      </c>
      <c r="AX1179" s="78">
        <v>0</v>
      </c>
      <c r="AY1179" s="78">
        <v>0</v>
      </c>
      <c r="BT1179" s="3" t="s">
        <v>71</v>
      </c>
      <c r="BU1179" s="3">
        <v>0</v>
      </c>
      <c r="BV1179" s="3">
        <v>0</v>
      </c>
    </row>
    <row r="1180" spans="1:74" ht="15" customHeight="1" x14ac:dyDescent="0.25">
      <c r="A1180" s="75">
        <v>5933643</v>
      </c>
      <c r="B1180" t="s">
        <v>5127</v>
      </c>
      <c r="C1180" t="s">
        <v>5128</v>
      </c>
      <c r="D1180" t="s">
        <v>1555</v>
      </c>
      <c r="E1180" t="s">
        <v>54</v>
      </c>
      <c r="F1180" s="75">
        <v>16</v>
      </c>
      <c r="G1180" s="75">
        <v>333207</v>
      </c>
      <c r="H1180">
        <v>260</v>
      </c>
      <c r="I1180" t="s">
        <v>163</v>
      </c>
      <c r="J1180" s="75">
        <v>93027</v>
      </c>
      <c r="K1180" t="s">
        <v>3685</v>
      </c>
      <c r="L1180" t="s">
        <v>3686</v>
      </c>
      <c r="M1180" s="81">
        <v>46136.69736111111</v>
      </c>
      <c r="N1180" s="81">
        <v>46139.54246527778</v>
      </c>
      <c r="O1180" t="s">
        <v>58</v>
      </c>
      <c r="P1180" t="s">
        <v>59</v>
      </c>
      <c r="Q1180" t="s">
        <v>130</v>
      </c>
      <c r="R1180" t="s">
        <v>60</v>
      </c>
      <c r="S1180" t="s">
        <v>583</v>
      </c>
      <c r="U1180" s="75">
        <v>240371</v>
      </c>
      <c r="V1180" t="s">
        <v>5129</v>
      </c>
      <c r="W1180" t="s">
        <v>5129</v>
      </c>
      <c r="X1180" t="s">
        <v>62</v>
      </c>
      <c r="Y1180" t="s">
        <v>287</v>
      </c>
      <c r="AA1180" t="s">
        <v>81</v>
      </c>
      <c r="AB1180">
        <v>68.216667000000001</v>
      </c>
      <c r="AC1180">
        <v>56.383333</v>
      </c>
      <c r="AD1180">
        <v>11.833334000000001</v>
      </c>
      <c r="AE1180">
        <v>8.8666669999999996</v>
      </c>
      <c r="AF1180">
        <v>0</v>
      </c>
      <c r="AG1180">
        <v>2.9666670000000002</v>
      </c>
      <c r="AH1180">
        <v>2.9666670000000002</v>
      </c>
      <c r="AI1180">
        <v>2.6833330000000002</v>
      </c>
      <c r="AJ1180">
        <v>0.28333399999999997</v>
      </c>
      <c r="AK1180">
        <v>0</v>
      </c>
      <c r="AL1180" s="76">
        <v>45741.752881944441</v>
      </c>
      <c r="AM1180" s="75">
        <v>394</v>
      </c>
      <c r="AN1180" t="s">
        <v>65</v>
      </c>
      <c r="AO1180" t="s">
        <v>5130</v>
      </c>
      <c r="AP1180" t="s">
        <v>67</v>
      </c>
      <c r="AQ1180" t="s">
        <v>68</v>
      </c>
      <c r="AR1180" t="s">
        <v>69</v>
      </c>
      <c r="AS1180" s="78"/>
      <c r="AT1180" s="82" t="s">
        <v>5098</v>
      </c>
      <c r="AU1180" s="78">
        <v>2026</v>
      </c>
      <c r="AV1180" s="78">
        <v>4</v>
      </c>
      <c r="AW1180" s="78" t="s">
        <v>137</v>
      </c>
      <c r="AX1180" s="78">
        <v>1</v>
      </c>
      <c r="AY1180" s="78">
        <v>0</v>
      </c>
      <c r="BT1180" s="2" t="s">
        <v>137</v>
      </c>
      <c r="BU1180" s="2">
        <v>1</v>
      </c>
      <c r="BV1180" s="2">
        <v>0</v>
      </c>
    </row>
    <row r="1181" spans="1:74" ht="15" customHeight="1" x14ac:dyDescent="0.25">
      <c r="A1181" s="75">
        <v>5931619</v>
      </c>
      <c r="B1181" t="s">
        <v>5131</v>
      </c>
      <c r="C1181" t="s">
        <v>5132</v>
      </c>
      <c r="D1181" t="s">
        <v>1555</v>
      </c>
      <c r="E1181" t="s">
        <v>54</v>
      </c>
      <c r="F1181" s="75">
        <v>11</v>
      </c>
      <c r="G1181" s="75">
        <v>347395</v>
      </c>
      <c r="H1181">
        <v>350</v>
      </c>
      <c r="I1181" t="s">
        <v>141</v>
      </c>
      <c r="J1181" s="75">
        <v>204321</v>
      </c>
      <c r="K1181" t="s">
        <v>376</v>
      </c>
      <c r="L1181" t="s">
        <v>377</v>
      </c>
      <c r="M1181" s="81">
        <v>46135.617337962962</v>
      </c>
      <c r="N1181" s="81">
        <v>46139.568668981483</v>
      </c>
      <c r="O1181" t="s">
        <v>58</v>
      </c>
      <c r="P1181" t="s">
        <v>59</v>
      </c>
      <c r="Q1181" t="s">
        <v>130</v>
      </c>
      <c r="R1181" t="s">
        <v>60</v>
      </c>
      <c r="S1181" t="s">
        <v>583</v>
      </c>
      <c r="U1181" s="75">
        <v>239111</v>
      </c>
      <c r="V1181" t="s">
        <v>5133</v>
      </c>
      <c r="W1181" t="s">
        <v>5134</v>
      </c>
      <c r="X1181" t="s">
        <v>62</v>
      </c>
      <c r="Y1181" t="s">
        <v>63</v>
      </c>
      <c r="AA1181" t="s">
        <v>101</v>
      </c>
      <c r="AB1181">
        <v>94.75</v>
      </c>
      <c r="AC1181">
        <v>84.233333000000002</v>
      </c>
      <c r="AD1181">
        <v>10.516667</v>
      </c>
      <c r="AE1181">
        <v>0.05</v>
      </c>
      <c r="AF1181">
        <v>0</v>
      </c>
      <c r="AG1181">
        <v>10.466666999999999</v>
      </c>
      <c r="AH1181">
        <v>10.466666999999999</v>
      </c>
      <c r="AI1181">
        <v>9.1999999999999993</v>
      </c>
      <c r="AJ1181">
        <v>1.266667</v>
      </c>
      <c r="AK1181">
        <v>0</v>
      </c>
      <c r="AL1181" s="76">
        <v>45954.61917824074</v>
      </c>
      <c r="AM1181" s="75">
        <v>180</v>
      </c>
      <c r="AN1181" t="s">
        <v>65</v>
      </c>
      <c r="AO1181" t="s">
        <v>5135</v>
      </c>
      <c r="AP1181" t="s">
        <v>67</v>
      </c>
      <c r="AQ1181" t="s">
        <v>68</v>
      </c>
      <c r="AR1181" t="s">
        <v>69</v>
      </c>
      <c r="AS1181" s="79"/>
      <c r="AT1181" s="82" t="s">
        <v>5098</v>
      </c>
      <c r="AU1181" s="78">
        <v>2026</v>
      </c>
      <c r="AV1181" s="78">
        <v>4</v>
      </c>
      <c r="AW1181" s="78" t="s">
        <v>71</v>
      </c>
      <c r="AX1181" s="78">
        <v>0</v>
      </c>
      <c r="AY1181" s="78">
        <v>0</v>
      </c>
      <c r="BT1181" s="3" t="s">
        <v>71</v>
      </c>
      <c r="BU1181" s="3">
        <v>0</v>
      </c>
      <c r="BV1181" s="3">
        <v>0</v>
      </c>
    </row>
    <row r="1182" spans="1:74" ht="15" customHeight="1" x14ac:dyDescent="0.25">
      <c r="A1182" s="75">
        <v>5932013</v>
      </c>
      <c r="B1182" t="s">
        <v>5136</v>
      </c>
      <c r="C1182" t="s">
        <v>4296</v>
      </c>
      <c r="D1182" t="s">
        <v>1555</v>
      </c>
      <c r="E1182" t="s">
        <v>87</v>
      </c>
      <c r="F1182" s="75">
        <v>73</v>
      </c>
      <c r="G1182" s="75">
        <v>291117</v>
      </c>
      <c r="H1182">
        <v>623.5</v>
      </c>
      <c r="I1182" t="s">
        <v>55</v>
      </c>
      <c r="J1182" s="75">
        <v>203659</v>
      </c>
      <c r="K1182" t="s">
        <v>1090</v>
      </c>
      <c r="L1182" t="s">
        <v>1091</v>
      </c>
      <c r="M1182" s="81">
        <v>46135.784988425927</v>
      </c>
      <c r="N1182" s="81">
        <v>46139.572118055563</v>
      </c>
      <c r="O1182" t="s">
        <v>58</v>
      </c>
      <c r="P1182" t="s">
        <v>59</v>
      </c>
      <c r="Q1182" t="s">
        <v>90</v>
      </c>
      <c r="R1182" t="s">
        <v>144</v>
      </c>
      <c r="S1182" t="s">
        <v>5137</v>
      </c>
      <c r="U1182" s="75">
        <v>238983</v>
      </c>
      <c r="V1182" t="s">
        <v>5138</v>
      </c>
      <c r="W1182" t="s">
        <v>5138</v>
      </c>
      <c r="X1182" t="s">
        <v>62</v>
      </c>
      <c r="Y1182" t="s">
        <v>134</v>
      </c>
      <c r="AA1182" t="s">
        <v>64</v>
      </c>
      <c r="AB1182">
        <v>90.816665</v>
      </c>
      <c r="AC1182">
        <v>82.333332999999996</v>
      </c>
      <c r="AD1182">
        <v>8.4833320000000008</v>
      </c>
      <c r="AE1182">
        <v>1.3</v>
      </c>
      <c r="AF1182">
        <v>0</v>
      </c>
      <c r="AG1182">
        <v>7.1833320000000001</v>
      </c>
      <c r="AH1182">
        <v>7.1833320000000001</v>
      </c>
      <c r="AI1182">
        <v>5.8666660000000004</v>
      </c>
      <c r="AJ1182">
        <v>1.3166659999999999</v>
      </c>
      <c r="AK1182">
        <v>0</v>
      </c>
      <c r="AL1182" s="76">
        <v>45338</v>
      </c>
      <c r="AM1182" s="75">
        <v>797</v>
      </c>
      <c r="AN1182" t="s">
        <v>65</v>
      </c>
      <c r="AO1182" t="s">
        <v>4298</v>
      </c>
      <c r="AP1182" t="s">
        <v>67</v>
      </c>
      <c r="AQ1182" t="s">
        <v>68</v>
      </c>
      <c r="AR1182" t="s">
        <v>69</v>
      </c>
      <c r="AS1182" s="78"/>
      <c r="AT1182" s="82" t="s">
        <v>5098</v>
      </c>
      <c r="AU1182" s="78">
        <v>2026</v>
      </c>
      <c r="AV1182" s="78">
        <v>4</v>
      </c>
      <c r="AW1182" s="78" t="s">
        <v>137</v>
      </c>
      <c r="AX1182" s="78">
        <v>1</v>
      </c>
      <c r="AY1182" s="78">
        <v>0</v>
      </c>
      <c r="BT1182" s="2" t="s">
        <v>137</v>
      </c>
      <c r="BU1182" s="2">
        <v>1</v>
      </c>
      <c r="BV1182" s="2">
        <v>0</v>
      </c>
    </row>
    <row r="1183" spans="1:74" ht="15" customHeight="1" x14ac:dyDescent="0.25">
      <c r="A1183" s="75">
        <v>5932035</v>
      </c>
      <c r="B1183" t="s">
        <v>5139</v>
      </c>
      <c r="C1183" t="s">
        <v>662</v>
      </c>
      <c r="D1183" t="s">
        <v>1555</v>
      </c>
      <c r="E1183" t="s">
        <v>87</v>
      </c>
      <c r="F1183" s="75">
        <v>296</v>
      </c>
      <c r="G1183" s="75">
        <v>286471</v>
      </c>
      <c r="H1183">
        <v>364.96</v>
      </c>
      <c r="I1183" t="s">
        <v>55</v>
      </c>
      <c r="J1183" s="75">
        <v>218787</v>
      </c>
      <c r="K1183" t="s">
        <v>96</v>
      </c>
      <c r="L1183" t="s">
        <v>97</v>
      </c>
      <c r="M1183" s="81">
        <v>46135.799016203702</v>
      </c>
      <c r="N1183" s="81">
        <v>46139.575254629628</v>
      </c>
      <c r="O1183" t="s">
        <v>58</v>
      </c>
      <c r="P1183" t="s">
        <v>59</v>
      </c>
      <c r="Q1183" t="s">
        <v>90</v>
      </c>
      <c r="R1183" t="s">
        <v>131</v>
      </c>
      <c r="S1183" t="s">
        <v>1273</v>
      </c>
      <c r="U1183" s="75">
        <v>239069</v>
      </c>
      <c r="V1183" t="s">
        <v>5140</v>
      </c>
      <c r="W1183" t="s">
        <v>5140</v>
      </c>
      <c r="X1183" t="s">
        <v>62</v>
      </c>
      <c r="Y1183" t="s">
        <v>63</v>
      </c>
      <c r="AA1183" t="s">
        <v>81</v>
      </c>
      <c r="AB1183">
        <v>90.566666999999995</v>
      </c>
      <c r="AC1183">
        <v>86.216667000000001</v>
      </c>
      <c r="AD1183">
        <v>4.3499999999999996</v>
      </c>
      <c r="AE1183">
        <v>0.45</v>
      </c>
      <c r="AF1183">
        <v>0</v>
      </c>
      <c r="AG1183">
        <v>3.9</v>
      </c>
      <c r="AH1183">
        <v>3.9</v>
      </c>
      <c r="AI1183">
        <v>3.0333329999999998</v>
      </c>
      <c r="AJ1183">
        <v>0.86666699999999997</v>
      </c>
      <c r="AK1183">
        <v>0</v>
      </c>
      <c r="AL1183" s="76">
        <v>44922</v>
      </c>
      <c r="AM1183" s="75">
        <v>1213</v>
      </c>
      <c r="AN1183" t="s">
        <v>65</v>
      </c>
      <c r="AO1183" t="s">
        <v>665</v>
      </c>
      <c r="AP1183" t="s">
        <v>67</v>
      </c>
      <c r="AQ1183" t="s">
        <v>68</v>
      </c>
      <c r="AR1183" t="s">
        <v>69</v>
      </c>
      <c r="AS1183" s="79"/>
      <c r="AT1183" s="82" t="s">
        <v>5098</v>
      </c>
      <c r="AU1183" s="78">
        <v>2026</v>
      </c>
      <c r="AV1183" s="78">
        <v>4</v>
      </c>
      <c r="AW1183" s="78" t="s">
        <v>71</v>
      </c>
      <c r="AX1183" s="78">
        <v>1</v>
      </c>
      <c r="AY1183" s="78">
        <v>0</v>
      </c>
      <c r="BT1183" s="3" t="s">
        <v>71</v>
      </c>
      <c r="BU1183" s="3">
        <v>1</v>
      </c>
      <c r="BV1183" s="3">
        <v>0</v>
      </c>
    </row>
    <row r="1184" spans="1:74" ht="15" customHeight="1" x14ac:dyDescent="0.25">
      <c r="A1184" s="75">
        <v>5932941</v>
      </c>
      <c r="B1184" t="s">
        <v>5141</v>
      </c>
      <c r="C1184" t="s">
        <v>5142</v>
      </c>
      <c r="D1184" t="s">
        <v>527</v>
      </c>
      <c r="E1184" t="s">
        <v>87</v>
      </c>
      <c r="F1184" s="75">
        <v>30</v>
      </c>
      <c r="G1184" s="75">
        <v>295793</v>
      </c>
      <c r="H1184">
        <v>1010</v>
      </c>
      <c r="I1184" t="s">
        <v>853</v>
      </c>
      <c r="J1184" s="75">
        <v>202555</v>
      </c>
      <c r="K1184" t="s">
        <v>2216</v>
      </c>
      <c r="L1184" t="s">
        <v>2217</v>
      </c>
      <c r="M1184" s="81">
        <v>46136.437754629631</v>
      </c>
      <c r="N1184" s="81">
        <v>46139.580474537041</v>
      </c>
      <c r="O1184" t="s">
        <v>58</v>
      </c>
      <c r="P1184" t="s">
        <v>59</v>
      </c>
      <c r="Q1184" t="s">
        <v>90</v>
      </c>
      <c r="R1184" t="s">
        <v>131</v>
      </c>
      <c r="S1184" t="s">
        <v>1316</v>
      </c>
      <c r="U1184" s="75">
        <v>239817</v>
      </c>
      <c r="V1184" t="s">
        <v>5143</v>
      </c>
      <c r="X1184" t="s">
        <v>62</v>
      </c>
      <c r="Y1184" t="s">
        <v>233</v>
      </c>
      <c r="AA1184" t="s">
        <v>81</v>
      </c>
      <c r="AB1184">
        <v>75.366665999999995</v>
      </c>
      <c r="AC1184">
        <v>70.349999999999994</v>
      </c>
      <c r="AD1184">
        <v>5.0166659999999998</v>
      </c>
      <c r="AE1184">
        <v>1.016667</v>
      </c>
      <c r="AF1184">
        <v>0</v>
      </c>
      <c r="AG1184">
        <v>3.9999989999999999</v>
      </c>
      <c r="AH1184">
        <v>3.9999989999999999</v>
      </c>
      <c r="AI1184">
        <v>3.4166660000000002</v>
      </c>
      <c r="AJ1184">
        <v>0.58333299999999999</v>
      </c>
      <c r="AK1184">
        <v>0</v>
      </c>
      <c r="AL1184" s="76">
        <v>45479</v>
      </c>
      <c r="AM1184" s="75">
        <v>657</v>
      </c>
      <c r="AN1184" t="s">
        <v>65</v>
      </c>
      <c r="AO1184" t="s">
        <v>5144</v>
      </c>
      <c r="AP1184" t="s">
        <v>67</v>
      </c>
      <c r="AQ1184" t="s">
        <v>68</v>
      </c>
      <c r="AR1184" t="s">
        <v>69</v>
      </c>
      <c r="AS1184" s="78"/>
      <c r="AT1184" s="82" t="s">
        <v>5098</v>
      </c>
      <c r="AU1184" s="78">
        <v>2026</v>
      </c>
      <c r="AV1184" s="78">
        <v>4</v>
      </c>
      <c r="AW1184" s="78" t="s">
        <v>137</v>
      </c>
      <c r="AX1184" s="78">
        <v>1</v>
      </c>
      <c r="AY1184" s="78">
        <v>0</v>
      </c>
      <c r="BT1184" s="2" t="s">
        <v>137</v>
      </c>
      <c r="BU1184" s="2">
        <v>1</v>
      </c>
      <c r="BV1184" s="2">
        <v>0</v>
      </c>
    </row>
    <row r="1185" spans="1:74" ht="15" customHeight="1" x14ac:dyDescent="0.25">
      <c r="A1185" s="75">
        <v>5934895</v>
      </c>
      <c r="B1185" t="s">
        <v>5145</v>
      </c>
      <c r="C1185" t="s">
        <v>980</v>
      </c>
      <c r="D1185" t="s">
        <v>527</v>
      </c>
      <c r="E1185" t="s">
        <v>87</v>
      </c>
      <c r="F1185" s="75">
        <v>16</v>
      </c>
      <c r="G1185" s="75">
        <v>250813</v>
      </c>
      <c r="H1185">
        <v>2383.33</v>
      </c>
      <c r="I1185" t="s">
        <v>114</v>
      </c>
      <c r="J1185" s="75">
        <v>203391</v>
      </c>
      <c r="K1185" t="s">
        <v>622</v>
      </c>
      <c r="L1185" t="s">
        <v>623</v>
      </c>
      <c r="M1185" s="81">
        <v>46138.430787037039</v>
      </c>
      <c r="N1185" s="81">
        <v>46139.583483796298</v>
      </c>
      <c r="O1185" t="s">
        <v>58</v>
      </c>
      <c r="P1185" t="s">
        <v>59</v>
      </c>
      <c r="Q1185" t="s">
        <v>90</v>
      </c>
      <c r="R1185" t="s">
        <v>99</v>
      </c>
      <c r="S1185" t="s">
        <v>1244</v>
      </c>
      <c r="U1185" s="75">
        <v>241443</v>
      </c>
      <c r="V1185" t="s">
        <v>5146</v>
      </c>
      <c r="X1185" t="s">
        <v>118</v>
      </c>
      <c r="Y1185" t="s">
        <v>119</v>
      </c>
      <c r="AA1185" t="s">
        <v>81</v>
      </c>
      <c r="AB1185">
        <v>27.583333</v>
      </c>
      <c r="AC1185">
        <v>25.016666000000001</v>
      </c>
      <c r="AD1185">
        <v>2.5666669999999998</v>
      </c>
      <c r="AE1185">
        <v>1.433333</v>
      </c>
      <c r="AF1185">
        <v>0</v>
      </c>
      <c r="AG1185">
        <v>1.1333340000000001</v>
      </c>
      <c r="AH1185">
        <v>1.1333340000000001</v>
      </c>
      <c r="AI1185">
        <v>0.61666699999999997</v>
      </c>
      <c r="AJ1185">
        <v>0.51666699999999999</v>
      </c>
      <c r="AK1185">
        <v>0</v>
      </c>
      <c r="AL1185" s="76">
        <v>44624</v>
      </c>
      <c r="AM1185" s="75">
        <v>1514</v>
      </c>
      <c r="AN1185" t="s">
        <v>65</v>
      </c>
      <c r="AO1185" t="s">
        <v>626</v>
      </c>
      <c r="AP1185" t="s">
        <v>67</v>
      </c>
      <c r="AQ1185" t="s">
        <v>121</v>
      </c>
      <c r="AR1185" t="s">
        <v>69</v>
      </c>
      <c r="AS1185" s="79"/>
      <c r="AT1185" s="82" t="s">
        <v>5098</v>
      </c>
      <c r="AU1185" s="78">
        <v>2026</v>
      </c>
      <c r="AV1185" s="78">
        <v>4</v>
      </c>
      <c r="AW1185" s="78" t="s">
        <v>122</v>
      </c>
      <c r="AX1185" s="78">
        <v>1</v>
      </c>
      <c r="AY1185" s="78">
        <v>0</v>
      </c>
      <c r="BT1185" s="3" t="s">
        <v>122</v>
      </c>
      <c r="BU1185" s="3">
        <v>1</v>
      </c>
      <c r="BV1185" s="3">
        <v>0</v>
      </c>
    </row>
    <row r="1186" spans="1:74" ht="15" customHeight="1" x14ac:dyDescent="0.25">
      <c r="A1186" s="75">
        <v>5932955</v>
      </c>
      <c r="B1186" t="s">
        <v>5147</v>
      </c>
      <c r="C1186" t="s">
        <v>5148</v>
      </c>
      <c r="D1186" t="s">
        <v>1555</v>
      </c>
      <c r="E1186" t="s">
        <v>87</v>
      </c>
      <c r="F1186" s="75">
        <v>415</v>
      </c>
      <c r="G1186" s="75">
        <v>289239</v>
      </c>
      <c r="H1186">
        <v>368.16</v>
      </c>
      <c r="I1186" t="s">
        <v>55</v>
      </c>
      <c r="J1186" s="75">
        <v>218791</v>
      </c>
      <c r="K1186" t="s">
        <v>312</v>
      </c>
      <c r="L1186" t="s">
        <v>313</v>
      </c>
      <c r="M1186" s="81">
        <v>46136.438113425917</v>
      </c>
      <c r="N1186" s="81">
        <v>46139.583668981482</v>
      </c>
      <c r="O1186" t="s">
        <v>58</v>
      </c>
      <c r="P1186" t="s">
        <v>59</v>
      </c>
      <c r="Q1186" t="s">
        <v>90</v>
      </c>
      <c r="R1186" t="s">
        <v>131</v>
      </c>
      <c r="S1186" t="s">
        <v>1316</v>
      </c>
      <c r="U1186" s="75">
        <v>239759</v>
      </c>
      <c r="V1186" t="s">
        <v>5149</v>
      </c>
      <c r="W1186" t="s">
        <v>5149</v>
      </c>
      <c r="X1186" t="s">
        <v>62</v>
      </c>
      <c r="Y1186" t="s">
        <v>63</v>
      </c>
      <c r="AA1186" t="s">
        <v>81</v>
      </c>
      <c r="AB1186">
        <v>75.45</v>
      </c>
      <c r="AC1186">
        <v>71.45</v>
      </c>
      <c r="AD1186">
        <v>4</v>
      </c>
      <c r="AE1186">
        <v>0.3</v>
      </c>
      <c r="AF1186">
        <v>0</v>
      </c>
      <c r="AG1186">
        <v>3.7</v>
      </c>
      <c r="AH1186">
        <v>3.7</v>
      </c>
      <c r="AI1186">
        <v>2.0333329999999998</v>
      </c>
      <c r="AJ1186">
        <v>1.6666669999999999</v>
      </c>
      <c r="AK1186">
        <v>0</v>
      </c>
      <c r="AL1186" s="76">
        <v>44993.519386574073</v>
      </c>
      <c r="AM1186" s="75">
        <v>1142</v>
      </c>
      <c r="AN1186" t="s">
        <v>65</v>
      </c>
      <c r="AO1186" t="s">
        <v>4309</v>
      </c>
      <c r="AP1186" t="s">
        <v>67</v>
      </c>
      <c r="AQ1186" t="s">
        <v>68</v>
      </c>
      <c r="AR1186" t="s">
        <v>69</v>
      </c>
      <c r="AS1186" s="78"/>
      <c r="AT1186" s="82" t="s">
        <v>5098</v>
      </c>
      <c r="AU1186" s="78">
        <v>2026</v>
      </c>
      <c r="AV1186" s="78">
        <v>4</v>
      </c>
      <c r="AW1186" s="78" t="s">
        <v>71</v>
      </c>
      <c r="AX1186" s="78">
        <v>1</v>
      </c>
      <c r="AY1186" s="78">
        <v>0</v>
      </c>
      <c r="BT1186" s="2" t="s">
        <v>71</v>
      </c>
      <c r="BU1186" s="2">
        <v>1</v>
      </c>
      <c r="BV1186" s="2">
        <v>0</v>
      </c>
    </row>
    <row r="1187" spans="1:74" ht="15" customHeight="1" x14ac:dyDescent="0.25">
      <c r="A1187" s="75">
        <v>5935591</v>
      </c>
      <c r="B1187" t="s">
        <v>5150</v>
      </c>
      <c r="C1187" t="s">
        <v>5151</v>
      </c>
      <c r="D1187" t="s">
        <v>527</v>
      </c>
      <c r="E1187" t="s">
        <v>54</v>
      </c>
      <c r="F1187" s="75">
        <v>4</v>
      </c>
      <c r="G1187" s="75">
        <v>291103</v>
      </c>
      <c r="H1187">
        <v>906.63</v>
      </c>
      <c r="I1187" t="s">
        <v>141</v>
      </c>
      <c r="J1187" s="75">
        <v>198595</v>
      </c>
      <c r="K1187" t="s">
        <v>5152</v>
      </c>
      <c r="L1187" t="s">
        <v>5153</v>
      </c>
      <c r="M1187" s="81">
        <v>46139.372557870367</v>
      </c>
      <c r="N1187" s="81">
        <v>46139.619120370371</v>
      </c>
      <c r="O1187" t="s">
        <v>58</v>
      </c>
      <c r="P1187" t="s">
        <v>59</v>
      </c>
      <c r="Q1187" t="s">
        <v>130</v>
      </c>
      <c r="R1187" t="s">
        <v>60</v>
      </c>
      <c r="S1187" t="s">
        <v>1268</v>
      </c>
      <c r="T1187" t="s">
        <v>970</v>
      </c>
      <c r="U1187" s="75">
        <v>241351</v>
      </c>
      <c r="V1187" t="s">
        <v>5154</v>
      </c>
      <c r="W1187" t="s">
        <v>5154</v>
      </c>
      <c r="X1187" t="s">
        <v>79</v>
      </c>
      <c r="Y1187" t="s">
        <v>224</v>
      </c>
      <c r="AA1187" t="s">
        <v>81</v>
      </c>
      <c r="AB1187">
        <v>5.8666669999999996</v>
      </c>
      <c r="AC1187">
        <v>1.783334</v>
      </c>
      <c r="AD1187">
        <v>4.0833329999999997</v>
      </c>
      <c r="AE1187">
        <v>0.16666700000000001</v>
      </c>
      <c r="AF1187">
        <v>0</v>
      </c>
      <c r="AG1187">
        <v>3.9166660000000002</v>
      </c>
      <c r="AH1187">
        <v>3.9166660000000002</v>
      </c>
      <c r="AI1187">
        <v>3.7833329999999998</v>
      </c>
      <c r="AJ1187">
        <v>0.13333300000000001</v>
      </c>
      <c r="AK1187">
        <v>0</v>
      </c>
      <c r="AL1187" s="76">
        <v>45065</v>
      </c>
      <c r="AM1187" s="75">
        <v>1074</v>
      </c>
      <c r="AN1187" t="s">
        <v>65</v>
      </c>
      <c r="AO1187" t="s">
        <v>5155</v>
      </c>
      <c r="AP1187" t="s">
        <v>67</v>
      </c>
      <c r="AQ1187" t="s">
        <v>83</v>
      </c>
      <c r="AR1187" t="s">
        <v>69</v>
      </c>
      <c r="AS1187" s="79"/>
      <c r="AT1187" s="82" t="s">
        <v>5098</v>
      </c>
      <c r="AU1187" s="78">
        <v>2026</v>
      </c>
      <c r="AV1187" s="78">
        <v>4</v>
      </c>
      <c r="AW1187" s="78" t="s">
        <v>226</v>
      </c>
      <c r="AX1187" s="78">
        <v>1</v>
      </c>
      <c r="AY1187" s="78">
        <v>0</v>
      </c>
      <c r="BT1187" s="3" t="s">
        <v>226</v>
      </c>
      <c r="BU1187" s="3">
        <v>1</v>
      </c>
      <c r="BV1187" s="3">
        <v>0</v>
      </c>
    </row>
    <row r="1188" spans="1:74" ht="15" customHeight="1" x14ac:dyDescent="0.25">
      <c r="A1188" s="75">
        <v>5935931</v>
      </c>
      <c r="B1188" t="s">
        <v>5156</v>
      </c>
      <c r="C1188" t="s">
        <v>5157</v>
      </c>
      <c r="D1188" t="s">
        <v>2379</v>
      </c>
      <c r="E1188" t="s">
        <v>126</v>
      </c>
      <c r="F1188" s="75">
        <v>46</v>
      </c>
      <c r="G1188" s="75">
        <v>335793</v>
      </c>
      <c r="H1188">
        <v>160</v>
      </c>
      <c r="I1188" t="s">
        <v>1184</v>
      </c>
      <c r="J1188" s="75">
        <v>19489</v>
      </c>
      <c r="K1188" t="s">
        <v>935</v>
      </c>
      <c r="L1188" t="s">
        <v>936</v>
      </c>
      <c r="M1188" s="81">
        <v>46139.455810185187</v>
      </c>
      <c r="N1188" s="81">
        <v>46139.675752314812</v>
      </c>
      <c r="O1188" t="s">
        <v>58</v>
      </c>
      <c r="P1188" t="s">
        <v>59</v>
      </c>
      <c r="Q1188" t="s">
        <v>130</v>
      </c>
      <c r="R1188" t="s">
        <v>60</v>
      </c>
      <c r="S1188" t="s">
        <v>583</v>
      </c>
      <c r="U1188" s="75">
        <v>241589</v>
      </c>
      <c r="V1188" t="s">
        <v>5158</v>
      </c>
      <c r="W1188" t="s">
        <v>5158</v>
      </c>
      <c r="X1188" t="s">
        <v>62</v>
      </c>
      <c r="Y1188" t="s">
        <v>2165</v>
      </c>
      <c r="AA1188" t="s">
        <v>64</v>
      </c>
      <c r="AB1188">
        <v>5.2333340000000002</v>
      </c>
      <c r="AC1188">
        <v>1.1666669999999999</v>
      </c>
      <c r="AD1188">
        <v>4.0666669999999998</v>
      </c>
      <c r="AE1188">
        <v>0.05</v>
      </c>
      <c r="AF1188">
        <v>0</v>
      </c>
      <c r="AG1188">
        <v>4.016667</v>
      </c>
      <c r="AH1188">
        <v>4.016667</v>
      </c>
      <c r="AI1188">
        <v>3.4666670000000002</v>
      </c>
      <c r="AJ1188">
        <v>0.55000000000000004</v>
      </c>
      <c r="AK1188">
        <v>0</v>
      </c>
      <c r="AL1188" s="76"/>
      <c r="AM1188" s="75"/>
      <c r="AN1188" t="s">
        <v>135</v>
      </c>
      <c r="AO1188" t="s">
        <v>5159</v>
      </c>
      <c r="AP1188" t="s">
        <v>67</v>
      </c>
      <c r="AQ1188" t="s">
        <v>68</v>
      </c>
      <c r="AR1188" t="s">
        <v>69</v>
      </c>
      <c r="AS1188" s="78"/>
      <c r="AT1188" s="82" t="s">
        <v>5098</v>
      </c>
      <c r="AU1188" s="78">
        <v>2026</v>
      </c>
      <c r="AV1188" s="78">
        <v>4</v>
      </c>
      <c r="AW1188" s="78" t="s">
        <v>137</v>
      </c>
      <c r="AX1188" s="78">
        <v>1</v>
      </c>
      <c r="AY1188" s="78">
        <v>0</v>
      </c>
      <c r="BT1188" s="2" t="s">
        <v>137</v>
      </c>
      <c r="BU1188" s="2">
        <v>1</v>
      </c>
      <c r="BV1188" s="2">
        <v>0</v>
      </c>
    </row>
    <row r="1189" spans="1:74" ht="15" customHeight="1" x14ac:dyDescent="0.25">
      <c r="A1189" s="75">
        <v>5934129</v>
      </c>
      <c r="B1189" t="s">
        <v>5160</v>
      </c>
      <c r="C1189" t="s">
        <v>5161</v>
      </c>
      <c r="D1189" t="s">
        <v>1052</v>
      </c>
      <c r="E1189" t="s">
        <v>54</v>
      </c>
      <c r="F1189" s="75">
        <v>1</v>
      </c>
      <c r="G1189" s="75">
        <v>329637</v>
      </c>
      <c r="H1189">
        <v>600</v>
      </c>
      <c r="I1189" t="s">
        <v>141</v>
      </c>
      <c r="J1189" s="75">
        <v>225021</v>
      </c>
      <c r="K1189" t="s">
        <v>5162</v>
      </c>
      <c r="L1189" t="s">
        <v>5163</v>
      </c>
      <c r="M1189" s="81">
        <v>46137.436701388891</v>
      </c>
      <c r="N1189" s="81">
        <v>46139.726678240739</v>
      </c>
      <c r="O1189" t="s">
        <v>58</v>
      </c>
      <c r="P1189" t="s">
        <v>59</v>
      </c>
      <c r="Q1189" t="s">
        <v>130</v>
      </c>
      <c r="R1189" t="s">
        <v>60</v>
      </c>
      <c r="S1189" t="s">
        <v>583</v>
      </c>
      <c r="U1189" s="75">
        <v>240977</v>
      </c>
      <c r="V1189" t="s">
        <v>5164</v>
      </c>
      <c r="X1189" t="s">
        <v>62</v>
      </c>
      <c r="Y1189" t="s">
        <v>5165</v>
      </c>
      <c r="AA1189" t="s">
        <v>295</v>
      </c>
      <c r="AB1189">
        <v>54.883333999999998</v>
      </c>
      <c r="AC1189">
        <v>29.416667</v>
      </c>
      <c r="AD1189">
        <v>25.466667000000001</v>
      </c>
      <c r="AE1189">
        <v>6.6667000000000004E-2</v>
      </c>
      <c r="AF1189">
        <v>0</v>
      </c>
      <c r="AG1189">
        <v>25.4</v>
      </c>
      <c r="AH1189">
        <v>25.4</v>
      </c>
      <c r="AI1189">
        <v>25.166667</v>
      </c>
      <c r="AJ1189">
        <v>0.23333300000000001</v>
      </c>
      <c r="AK1189">
        <v>0</v>
      </c>
      <c r="AL1189" s="76">
        <v>45793.606319444443</v>
      </c>
      <c r="AM1189" s="75">
        <v>343</v>
      </c>
      <c r="AN1189" t="s">
        <v>65</v>
      </c>
      <c r="AO1189" t="s">
        <v>5166</v>
      </c>
      <c r="AP1189" t="s">
        <v>67</v>
      </c>
      <c r="AQ1189" t="s">
        <v>68</v>
      </c>
      <c r="AR1189" t="s">
        <v>69</v>
      </c>
      <c r="AS1189" s="79"/>
      <c r="AT1189" s="82" t="s">
        <v>5098</v>
      </c>
      <c r="AU1189" s="78">
        <v>2026</v>
      </c>
      <c r="AV1189" s="78">
        <v>4</v>
      </c>
      <c r="AW1189" s="78" t="s">
        <v>137</v>
      </c>
      <c r="AX1189" s="78">
        <v>0</v>
      </c>
      <c r="AY1189" s="78">
        <v>1</v>
      </c>
      <c r="BT1189" s="3" t="s">
        <v>137</v>
      </c>
      <c r="BU1189" s="3">
        <v>0</v>
      </c>
      <c r="BV1189" s="3">
        <v>1</v>
      </c>
    </row>
    <row r="1190" spans="1:74" ht="15" customHeight="1" x14ac:dyDescent="0.25">
      <c r="A1190" s="75">
        <v>5936359</v>
      </c>
      <c r="B1190" t="s">
        <v>5167</v>
      </c>
      <c r="C1190" t="s">
        <v>459</v>
      </c>
      <c r="D1190" t="s">
        <v>527</v>
      </c>
      <c r="E1190" t="s">
        <v>87</v>
      </c>
      <c r="F1190" s="75">
        <v>299</v>
      </c>
      <c r="G1190" s="75">
        <v>285731</v>
      </c>
      <c r="H1190">
        <v>512.08000000000004</v>
      </c>
      <c r="I1190" t="s">
        <v>266</v>
      </c>
      <c r="J1190" s="75">
        <v>49495</v>
      </c>
      <c r="K1190" t="s">
        <v>460</v>
      </c>
      <c r="L1190" t="s">
        <v>461</v>
      </c>
      <c r="M1190" s="81">
        <v>46139.618321759262</v>
      </c>
      <c r="N1190" s="81">
        <v>46140.339224537027</v>
      </c>
      <c r="P1190" t="s">
        <v>59</v>
      </c>
      <c r="Q1190" t="s">
        <v>90</v>
      </c>
      <c r="R1190" t="s">
        <v>99</v>
      </c>
      <c r="S1190" t="s">
        <v>1244</v>
      </c>
      <c r="U1190" s="75">
        <v>241977</v>
      </c>
      <c r="V1190" t="s">
        <v>5168</v>
      </c>
      <c r="X1190" t="s">
        <v>62</v>
      </c>
      <c r="Y1190" t="s">
        <v>63</v>
      </c>
      <c r="AA1190" t="s">
        <v>81</v>
      </c>
      <c r="AB1190">
        <v>17.25</v>
      </c>
      <c r="AC1190">
        <v>14.766667</v>
      </c>
      <c r="AD1190">
        <v>2.483333</v>
      </c>
      <c r="AE1190">
        <v>0.71666600000000003</v>
      </c>
      <c r="AF1190">
        <v>0</v>
      </c>
      <c r="AG1190">
        <v>1.766667</v>
      </c>
      <c r="AH1190">
        <v>1.766667</v>
      </c>
      <c r="AI1190">
        <v>1.55</v>
      </c>
      <c r="AJ1190">
        <v>0.216667</v>
      </c>
      <c r="AK1190">
        <v>0</v>
      </c>
      <c r="AL1190" s="76">
        <v>44862</v>
      </c>
      <c r="AM1190" s="75">
        <v>1277</v>
      </c>
      <c r="AN1190" t="s">
        <v>65</v>
      </c>
      <c r="AO1190" t="s">
        <v>462</v>
      </c>
      <c r="AP1190" t="s">
        <v>67</v>
      </c>
      <c r="AQ1190" t="s">
        <v>68</v>
      </c>
      <c r="AR1190" t="s">
        <v>69</v>
      </c>
      <c r="AS1190" s="78"/>
      <c r="AT1190" s="82" t="s">
        <v>5098</v>
      </c>
      <c r="AU1190" s="78">
        <v>2026</v>
      </c>
      <c r="AV1190" s="78">
        <v>4</v>
      </c>
      <c r="AW1190" s="78" t="s">
        <v>71</v>
      </c>
      <c r="AX1190" s="78">
        <v>1</v>
      </c>
      <c r="AY1190" s="78">
        <v>0</v>
      </c>
      <c r="BT1190" s="2" t="s">
        <v>71</v>
      </c>
      <c r="BU1190" s="2">
        <v>1</v>
      </c>
      <c r="BV1190" s="2">
        <v>0</v>
      </c>
    </row>
    <row r="1191" spans="1:74" ht="15" customHeight="1" x14ac:dyDescent="0.25">
      <c r="A1191" s="75">
        <v>5935765</v>
      </c>
      <c r="B1191" t="s">
        <v>5169</v>
      </c>
      <c r="C1191" t="s">
        <v>5170</v>
      </c>
      <c r="D1191" t="s">
        <v>527</v>
      </c>
      <c r="E1191" t="s">
        <v>87</v>
      </c>
      <c r="F1191" s="75">
        <v>825</v>
      </c>
      <c r="G1191" s="75">
        <v>345209</v>
      </c>
      <c r="H1191">
        <v>334.78</v>
      </c>
      <c r="I1191" t="s">
        <v>141</v>
      </c>
      <c r="J1191" s="75">
        <v>6971</v>
      </c>
      <c r="K1191" t="s">
        <v>369</v>
      </c>
      <c r="L1191" t="s">
        <v>370</v>
      </c>
      <c r="M1191" s="81">
        <v>46139.403298611112</v>
      </c>
      <c r="N1191" s="81">
        <v>46140.357581018521</v>
      </c>
      <c r="O1191" t="s">
        <v>624</v>
      </c>
      <c r="P1191" t="s">
        <v>59</v>
      </c>
      <c r="Q1191" t="s">
        <v>90</v>
      </c>
      <c r="R1191" t="s">
        <v>99</v>
      </c>
      <c r="S1191" t="s">
        <v>1244</v>
      </c>
      <c r="U1191" s="75">
        <v>242419</v>
      </c>
      <c r="V1191" t="s">
        <v>5171</v>
      </c>
      <c r="X1191" t="s">
        <v>79</v>
      </c>
      <c r="Y1191" t="s">
        <v>224</v>
      </c>
      <c r="AA1191" t="s">
        <v>101</v>
      </c>
      <c r="AB1191">
        <v>22.849999</v>
      </c>
      <c r="AC1191">
        <v>13.05</v>
      </c>
      <c r="AD1191">
        <v>9.7999989999999997</v>
      </c>
      <c r="AE1191">
        <v>0.283333</v>
      </c>
      <c r="AF1191">
        <v>0</v>
      </c>
      <c r="AG1191">
        <v>9.5166660000000007</v>
      </c>
      <c r="AH1191">
        <v>9.5166660000000007</v>
      </c>
      <c r="AI1191">
        <v>8.8333329999999997</v>
      </c>
      <c r="AJ1191">
        <v>0.68333299999999997</v>
      </c>
      <c r="AK1191">
        <v>0</v>
      </c>
      <c r="AL1191" s="76">
        <v>46149</v>
      </c>
      <c r="AM1191" s="75">
        <v>-9</v>
      </c>
      <c r="AN1191" t="s">
        <v>1436</v>
      </c>
      <c r="AO1191" t="s">
        <v>1437</v>
      </c>
      <c r="AP1191" t="s">
        <v>67</v>
      </c>
      <c r="AQ1191" t="s">
        <v>83</v>
      </c>
      <c r="AR1191" t="s">
        <v>69</v>
      </c>
      <c r="AS1191" s="79"/>
      <c r="AT1191" s="82" t="s">
        <v>5098</v>
      </c>
      <c r="AU1191" s="78">
        <v>2026</v>
      </c>
      <c r="AV1191" s="78">
        <v>4</v>
      </c>
      <c r="AW1191" s="78" t="s">
        <v>226</v>
      </c>
      <c r="AX1191" s="78">
        <v>0</v>
      </c>
      <c r="AY1191" s="78">
        <v>0</v>
      </c>
      <c r="BT1191" s="3" t="s">
        <v>226</v>
      </c>
      <c r="BU1191" s="3">
        <v>0</v>
      </c>
      <c r="BV1191" s="3">
        <v>0</v>
      </c>
    </row>
    <row r="1192" spans="1:74" ht="15" customHeight="1" x14ac:dyDescent="0.25">
      <c r="A1192" s="75">
        <v>5927389</v>
      </c>
      <c r="B1192" t="s">
        <v>5172</v>
      </c>
      <c r="C1192" t="s">
        <v>4018</v>
      </c>
      <c r="D1192" t="s">
        <v>527</v>
      </c>
      <c r="E1192" t="s">
        <v>87</v>
      </c>
      <c r="F1192" s="75">
        <v>53</v>
      </c>
      <c r="G1192" s="75">
        <v>280229</v>
      </c>
      <c r="H1192">
        <v>926.83</v>
      </c>
      <c r="I1192" t="s">
        <v>266</v>
      </c>
      <c r="J1192" s="75">
        <v>201809</v>
      </c>
      <c r="K1192" t="s">
        <v>505</v>
      </c>
      <c r="L1192" t="s">
        <v>506</v>
      </c>
      <c r="M1192" s="81">
        <v>46132.646099537043</v>
      </c>
      <c r="N1192" s="81">
        <v>46140.399340277778</v>
      </c>
      <c r="O1192" t="s">
        <v>58</v>
      </c>
      <c r="P1192" t="s">
        <v>59</v>
      </c>
      <c r="Q1192" t="s">
        <v>90</v>
      </c>
      <c r="R1192" t="s">
        <v>60</v>
      </c>
      <c r="S1192" t="s">
        <v>583</v>
      </c>
      <c r="T1192" t="s">
        <v>4019</v>
      </c>
      <c r="U1192" s="75">
        <v>240923</v>
      </c>
      <c r="V1192" t="s">
        <v>5173</v>
      </c>
      <c r="W1192" t="s">
        <v>5174</v>
      </c>
      <c r="X1192" t="s">
        <v>62</v>
      </c>
      <c r="Y1192" t="s">
        <v>4021</v>
      </c>
      <c r="AA1192" t="s">
        <v>295</v>
      </c>
      <c r="AB1192">
        <v>185.89999900000001</v>
      </c>
      <c r="AC1192">
        <v>137.48333299999999</v>
      </c>
      <c r="AD1192">
        <v>48.416665999999999</v>
      </c>
      <c r="AE1192">
        <v>0.26666699999999999</v>
      </c>
      <c r="AF1192">
        <v>0</v>
      </c>
      <c r="AG1192">
        <v>48.149999000000001</v>
      </c>
      <c r="AH1192">
        <v>48.149999000000001</v>
      </c>
      <c r="AI1192">
        <v>19.666667</v>
      </c>
      <c r="AJ1192">
        <v>28.483332000000001</v>
      </c>
      <c r="AK1192">
        <v>0</v>
      </c>
      <c r="AL1192" s="76">
        <v>44399</v>
      </c>
      <c r="AM1192" s="75">
        <v>1733</v>
      </c>
      <c r="AN1192" t="s">
        <v>65</v>
      </c>
      <c r="AO1192" t="s">
        <v>4022</v>
      </c>
      <c r="AP1192" t="s">
        <v>67</v>
      </c>
      <c r="AQ1192" t="s">
        <v>68</v>
      </c>
      <c r="AR1192" t="s">
        <v>69</v>
      </c>
      <c r="AS1192" s="78"/>
      <c r="AT1192" s="82" t="s">
        <v>5098</v>
      </c>
      <c r="AU1192" s="78">
        <v>2026</v>
      </c>
      <c r="AV1192" s="78">
        <v>4</v>
      </c>
      <c r="AW1192" s="78" t="s">
        <v>137</v>
      </c>
      <c r="AX1192" s="78">
        <v>0</v>
      </c>
      <c r="AY1192" s="78">
        <v>1</v>
      </c>
      <c r="BT1192" s="2" t="s">
        <v>137</v>
      </c>
      <c r="BU1192" s="2">
        <v>0</v>
      </c>
      <c r="BV1192" s="2">
        <v>1</v>
      </c>
    </row>
    <row r="1193" spans="1:74" ht="15" customHeight="1" x14ac:dyDescent="0.25">
      <c r="A1193" s="75">
        <v>5934113</v>
      </c>
      <c r="B1193" t="s">
        <v>5175</v>
      </c>
      <c r="C1193" t="s">
        <v>5176</v>
      </c>
      <c r="D1193" t="s">
        <v>1555</v>
      </c>
      <c r="E1193" t="s">
        <v>54</v>
      </c>
      <c r="F1193" s="75">
        <v>1</v>
      </c>
      <c r="G1193" s="75">
        <v>347409</v>
      </c>
      <c r="H1193">
        <v>1799.9</v>
      </c>
      <c r="I1193" t="s">
        <v>203</v>
      </c>
      <c r="J1193" s="75">
        <v>228617</v>
      </c>
      <c r="K1193" t="s">
        <v>4228</v>
      </c>
      <c r="L1193" t="s">
        <v>4229</v>
      </c>
      <c r="M1193" s="81">
        <v>46137.420925925922</v>
      </c>
      <c r="N1193" s="81">
        <v>46140.490069444437</v>
      </c>
      <c r="O1193" t="s">
        <v>58</v>
      </c>
      <c r="P1193" t="s">
        <v>59</v>
      </c>
      <c r="Q1193" t="s">
        <v>130</v>
      </c>
      <c r="R1193" t="s">
        <v>60</v>
      </c>
      <c r="S1193" t="s">
        <v>583</v>
      </c>
      <c r="U1193" s="75">
        <v>240973</v>
      </c>
      <c r="V1193" t="s">
        <v>5177</v>
      </c>
      <c r="W1193" t="s">
        <v>5178</v>
      </c>
      <c r="X1193" t="s">
        <v>62</v>
      </c>
      <c r="Y1193" t="s">
        <v>63</v>
      </c>
      <c r="AA1193" t="s">
        <v>101</v>
      </c>
      <c r="AB1193">
        <v>73.583333999999994</v>
      </c>
      <c r="AC1193">
        <v>61.633333999999998</v>
      </c>
      <c r="AD1193">
        <v>11.95</v>
      </c>
      <c r="AE1193">
        <v>0.05</v>
      </c>
      <c r="AF1193">
        <v>0</v>
      </c>
      <c r="AG1193">
        <v>11.9</v>
      </c>
      <c r="AH1193">
        <v>11.9</v>
      </c>
      <c r="AI1193">
        <v>10.133333</v>
      </c>
      <c r="AJ1193">
        <v>1.766667</v>
      </c>
      <c r="AK1193">
        <v>0</v>
      </c>
      <c r="AL1193" s="76">
        <v>45954.588217592587</v>
      </c>
      <c r="AM1193" s="75">
        <v>182</v>
      </c>
      <c r="AN1193" t="s">
        <v>65</v>
      </c>
      <c r="AO1193" t="s">
        <v>4232</v>
      </c>
      <c r="AP1193" t="s">
        <v>67</v>
      </c>
      <c r="AQ1193" t="s">
        <v>68</v>
      </c>
      <c r="AR1193" t="s">
        <v>69</v>
      </c>
      <c r="AS1193" s="79"/>
      <c r="AT1193" s="82" t="s">
        <v>5098</v>
      </c>
      <c r="AU1193" s="78">
        <v>2026</v>
      </c>
      <c r="AV1193" s="78">
        <v>4</v>
      </c>
      <c r="AW1193" s="78" t="s">
        <v>71</v>
      </c>
      <c r="AX1193" s="78">
        <v>0</v>
      </c>
      <c r="AY1193" s="78">
        <v>0</v>
      </c>
      <c r="BT1193" s="3" t="s">
        <v>71</v>
      </c>
      <c r="BU1193" s="3">
        <v>0</v>
      </c>
      <c r="BV1193" s="3">
        <v>0</v>
      </c>
    </row>
    <row r="1194" spans="1:74" ht="15" customHeight="1" x14ac:dyDescent="0.25">
      <c r="A1194" s="75">
        <v>5927699</v>
      </c>
      <c r="B1194" t="s">
        <v>5179</v>
      </c>
      <c r="C1194" t="s">
        <v>5180</v>
      </c>
      <c r="D1194" t="s">
        <v>1555</v>
      </c>
      <c r="E1194" t="s">
        <v>105</v>
      </c>
      <c r="F1194" s="75">
        <v>131</v>
      </c>
      <c r="G1194" s="75">
        <v>276835</v>
      </c>
      <c r="H1194">
        <v>3562.01</v>
      </c>
      <c r="I1194" t="s">
        <v>266</v>
      </c>
      <c r="J1194" s="75">
        <v>71001</v>
      </c>
      <c r="K1194" t="s">
        <v>1193</v>
      </c>
      <c r="L1194" t="s">
        <v>1194</v>
      </c>
      <c r="M1194" s="81">
        <v>46132.861631944441</v>
      </c>
      <c r="N1194" s="81">
        <v>46140.502696759257</v>
      </c>
      <c r="O1194" t="s">
        <v>58</v>
      </c>
      <c r="P1194" t="s">
        <v>59</v>
      </c>
      <c r="Q1194" t="s">
        <v>90</v>
      </c>
      <c r="R1194" t="s">
        <v>60</v>
      </c>
      <c r="S1194" t="s">
        <v>583</v>
      </c>
      <c r="U1194" s="75">
        <v>240929</v>
      </c>
      <c r="V1194" t="s">
        <v>5181</v>
      </c>
      <c r="X1194" t="s">
        <v>118</v>
      </c>
      <c r="Y1194" t="s">
        <v>5182</v>
      </c>
      <c r="AA1194" t="s">
        <v>295</v>
      </c>
      <c r="AB1194">
        <v>183.13333299999999</v>
      </c>
      <c r="AC1194">
        <v>97.416667000000004</v>
      </c>
      <c r="AD1194">
        <v>85.716666000000004</v>
      </c>
      <c r="AE1194">
        <v>35.383332000000003</v>
      </c>
      <c r="AF1194">
        <v>13.733333</v>
      </c>
      <c r="AG1194">
        <v>50.333334000000001</v>
      </c>
      <c r="AH1194">
        <v>64.066666999999995</v>
      </c>
      <c r="AI1194">
        <v>30.916665999999999</v>
      </c>
      <c r="AJ1194">
        <v>19.416668000000001</v>
      </c>
      <c r="AK1194">
        <v>0</v>
      </c>
      <c r="AL1194" s="76">
        <v>44588</v>
      </c>
      <c r="AM1194" s="75">
        <v>1544</v>
      </c>
      <c r="AN1194" t="s">
        <v>65</v>
      </c>
      <c r="AO1194" t="s">
        <v>5183</v>
      </c>
      <c r="AP1194" t="s">
        <v>67</v>
      </c>
      <c r="AQ1194" t="s">
        <v>121</v>
      </c>
      <c r="AR1194" t="s">
        <v>69</v>
      </c>
      <c r="AS1194" s="78"/>
      <c r="AT1194" s="82" t="s">
        <v>5098</v>
      </c>
      <c r="AU1194" s="78">
        <v>2026</v>
      </c>
      <c r="AV1194" s="78">
        <v>4</v>
      </c>
      <c r="AW1194" s="78" t="s">
        <v>347</v>
      </c>
      <c r="AX1194" s="78">
        <v>0</v>
      </c>
      <c r="AY1194" s="78">
        <v>1</v>
      </c>
      <c r="BT1194" s="2" t="s">
        <v>347</v>
      </c>
      <c r="BU1194" s="2">
        <v>0</v>
      </c>
      <c r="BV1194" s="2">
        <v>1</v>
      </c>
    </row>
    <row r="1195" spans="1:74" ht="15" customHeight="1" x14ac:dyDescent="0.25">
      <c r="A1195" s="75">
        <v>5935493</v>
      </c>
      <c r="B1195" t="s">
        <v>5184</v>
      </c>
      <c r="C1195" t="s">
        <v>5185</v>
      </c>
      <c r="D1195" t="s">
        <v>1555</v>
      </c>
      <c r="E1195" t="s">
        <v>54</v>
      </c>
      <c r="F1195" s="75">
        <v>2</v>
      </c>
      <c r="G1195" s="75">
        <v>266847</v>
      </c>
      <c r="H1195">
        <v>1800</v>
      </c>
      <c r="I1195" t="s">
        <v>114</v>
      </c>
      <c r="J1195" s="75">
        <v>210937</v>
      </c>
      <c r="K1195" t="s">
        <v>5186</v>
      </c>
      <c r="L1195" t="s">
        <v>5187</v>
      </c>
      <c r="M1195" s="81">
        <v>46139.354826388888</v>
      </c>
      <c r="N1195" s="81">
        <v>46140.572152777779</v>
      </c>
      <c r="O1195" t="s">
        <v>58</v>
      </c>
      <c r="P1195" t="s">
        <v>59</v>
      </c>
      <c r="Q1195" t="s">
        <v>90</v>
      </c>
      <c r="R1195" t="s">
        <v>60</v>
      </c>
      <c r="S1195" t="s">
        <v>583</v>
      </c>
      <c r="U1195" s="75">
        <v>241645</v>
      </c>
      <c r="V1195" t="s">
        <v>5188</v>
      </c>
      <c r="W1195" t="s">
        <v>5188</v>
      </c>
      <c r="X1195" t="s">
        <v>79</v>
      </c>
      <c r="Y1195" t="s">
        <v>224</v>
      </c>
      <c r="AA1195" t="s">
        <v>64</v>
      </c>
      <c r="AB1195">
        <v>29.166668000000001</v>
      </c>
      <c r="AC1195">
        <v>22.666667</v>
      </c>
      <c r="AD1195">
        <v>6.5000010000000001</v>
      </c>
      <c r="AE1195">
        <v>0.38333400000000001</v>
      </c>
      <c r="AF1195">
        <v>0</v>
      </c>
      <c r="AG1195">
        <v>6.1166669999999996</v>
      </c>
      <c r="AH1195">
        <v>6.1166669999999996</v>
      </c>
      <c r="AI1195">
        <v>5.6166669999999996</v>
      </c>
      <c r="AJ1195">
        <v>0.5</v>
      </c>
      <c r="AK1195">
        <v>0</v>
      </c>
      <c r="AL1195" s="76">
        <v>36526</v>
      </c>
      <c r="AM1195" s="75">
        <v>9613</v>
      </c>
      <c r="AN1195" t="s">
        <v>65</v>
      </c>
      <c r="AO1195" t="s">
        <v>5189</v>
      </c>
      <c r="AP1195" t="s">
        <v>67</v>
      </c>
      <c r="AQ1195" t="s">
        <v>83</v>
      </c>
      <c r="AR1195" t="s">
        <v>69</v>
      </c>
      <c r="AS1195" s="79"/>
      <c r="AT1195" s="82" t="s">
        <v>5098</v>
      </c>
      <c r="AU1195" s="78">
        <v>2026</v>
      </c>
      <c r="AV1195" s="78">
        <v>4</v>
      </c>
      <c r="AW1195" s="78" t="s">
        <v>226</v>
      </c>
      <c r="AX1195" s="78">
        <v>1</v>
      </c>
      <c r="AY1195" s="78">
        <v>0</v>
      </c>
      <c r="BT1195" s="3" t="s">
        <v>226</v>
      </c>
      <c r="BU1195" s="3">
        <v>1</v>
      </c>
      <c r="BV1195" s="3">
        <v>0</v>
      </c>
    </row>
    <row r="1196" spans="1:74" ht="15" customHeight="1" x14ac:dyDescent="0.25">
      <c r="A1196" s="75">
        <v>5933743</v>
      </c>
      <c r="B1196" t="s">
        <v>5190</v>
      </c>
      <c r="C1196" t="s">
        <v>5191</v>
      </c>
      <c r="D1196" t="s">
        <v>1555</v>
      </c>
      <c r="E1196" t="s">
        <v>54</v>
      </c>
      <c r="F1196" s="75">
        <v>1</v>
      </c>
      <c r="G1196" s="75">
        <v>350631</v>
      </c>
      <c r="H1196">
        <v>1100</v>
      </c>
      <c r="I1196" t="s">
        <v>141</v>
      </c>
      <c r="J1196" s="75">
        <v>229765</v>
      </c>
      <c r="K1196" t="s">
        <v>4004</v>
      </c>
      <c r="L1196" t="s">
        <v>4005</v>
      </c>
      <c r="M1196" s="81">
        <v>46136.74796296296</v>
      </c>
      <c r="N1196" s="81">
        <v>46140.574826388889</v>
      </c>
      <c r="O1196" t="s">
        <v>58</v>
      </c>
      <c r="P1196" t="s">
        <v>59</v>
      </c>
      <c r="Q1196" t="s">
        <v>130</v>
      </c>
      <c r="R1196" t="s">
        <v>60</v>
      </c>
      <c r="S1196" t="s">
        <v>583</v>
      </c>
      <c r="U1196" s="75">
        <v>240969</v>
      </c>
      <c r="V1196" t="s">
        <v>5192</v>
      </c>
      <c r="W1196" t="s">
        <v>5193</v>
      </c>
      <c r="X1196" t="s">
        <v>62</v>
      </c>
      <c r="Y1196" t="s">
        <v>63</v>
      </c>
      <c r="AA1196" t="s">
        <v>416</v>
      </c>
      <c r="AB1196">
        <v>91.733333000000002</v>
      </c>
      <c r="AC1196">
        <v>76.799999</v>
      </c>
      <c r="AD1196">
        <v>14.933334</v>
      </c>
      <c r="AE1196">
        <v>2.6833330000000002</v>
      </c>
      <c r="AF1196">
        <v>0</v>
      </c>
      <c r="AG1196">
        <v>12.250000999999999</v>
      </c>
      <c r="AH1196">
        <v>12.250000999999999</v>
      </c>
      <c r="AI1196">
        <v>11.550001</v>
      </c>
      <c r="AJ1196">
        <v>0.7</v>
      </c>
      <c r="AK1196">
        <v>0</v>
      </c>
      <c r="AL1196" s="76">
        <v>46056.496655092589</v>
      </c>
      <c r="AM1196" s="75">
        <v>80</v>
      </c>
      <c r="AN1196" t="s">
        <v>65</v>
      </c>
      <c r="AO1196" t="s">
        <v>4007</v>
      </c>
      <c r="AP1196" t="s">
        <v>67</v>
      </c>
      <c r="AQ1196" t="s">
        <v>68</v>
      </c>
      <c r="AR1196" t="s">
        <v>69</v>
      </c>
      <c r="AS1196" s="78"/>
      <c r="AT1196" s="82" t="s">
        <v>5098</v>
      </c>
      <c r="AU1196" s="78">
        <v>2026</v>
      </c>
      <c r="AV1196" s="78">
        <v>4</v>
      </c>
      <c r="AW1196" s="78" t="s">
        <v>71</v>
      </c>
      <c r="AX1196" s="78">
        <v>0</v>
      </c>
      <c r="AY1196" s="78">
        <v>0</v>
      </c>
      <c r="BT1196" s="2" t="s">
        <v>71</v>
      </c>
      <c r="BU1196" s="2">
        <v>0</v>
      </c>
      <c r="BV1196" s="2">
        <v>0</v>
      </c>
    </row>
    <row r="1197" spans="1:74" ht="15" customHeight="1" x14ac:dyDescent="0.25">
      <c r="A1197" s="75">
        <v>5937155</v>
      </c>
      <c r="B1197" t="s">
        <v>5194</v>
      </c>
      <c r="C1197" t="s">
        <v>5195</v>
      </c>
      <c r="D1197" t="s">
        <v>282</v>
      </c>
      <c r="E1197" t="s">
        <v>54</v>
      </c>
      <c r="F1197" s="75">
        <v>33</v>
      </c>
      <c r="G1197" s="75">
        <v>351331</v>
      </c>
      <c r="H1197">
        <v>600</v>
      </c>
      <c r="I1197" t="s">
        <v>203</v>
      </c>
      <c r="J1197" s="75">
        <v>205025</v>
      </c>
      <c r="K1197" t="s">
        <v>5196</v>
      </c>
      <c r="L1197" t="s">
        <v>5197</v>
      </c>
      <c r="M1197" s="81">
        <v>46140.349004629628</v>
      </c>
      <c r="N1197" s="81">
        <v>46140.602060185192</v>
      </c>
      <c r="O1197" t="s">
        <v>58</v>
      </c>
      <c r="P1197" t="s">
        <v>59</v>
      </c>
      <c r="Q1197" t="s">
        <v>130</v>
      </c>
      <c r="R1197" t="s">
        <v>99</v>
      </c>
      <c r="S1197" t="s">
        <v>1244</v>
      </c>
      <c r="U1197" s="75">
        <v>242653</v>
      </c>
      <c r="V1197" t="s">
        <v>5198</v>
      </c>
      <c r="X1197" t="s">
        <v>62</v>
      </c>
      <c r="Y1197" t="s">
        <v>271</v>
      </c>
      <c r="AA1197" t="s">
        <v>64</v>
      </c>
      <c r="AB1197">
        <v>6.05</v>
      </c>
      <c r="AC1197">
        <v>6.6667000000000004E-2</v>
      </c>
      <c r="AD1197">
        <v>5.983333</v>
      </c>
      <c r="AE1197">
        <v>0.38333299999999998</v>
      </c>
      <c r="AF1197">
        <v>0</v>
      </c>
      <c r="AG1197">
        <v>5.6</v>
      </c>
      <c r="AH1197">
        <v>5.6</v>
      </c>
      <c r="AI1197">
        <v>5.5</v>
      </c>
      <c r="AJ1197">
        <v>0.1</v>
      </c>
      <c r="AK1197">
        <v>0</v>
      </c>
      <c r="AL1197" s="76">
        <v>46071.356134259258</v>
      </c>
      <c r="AM1197" s="75">
        <v>68</v>
      </c>
      <c r="AN1197" t="s">
        <v>65</v>
      </c>
      <c r="AO1197" t="s">
        <v>5199</v>
      </c>
      <c r="AP1197" t="s">
        <v>67</v>
      </c>
      <c r="AQ1197" t="s">
        <v>68</v>
      </c>
      <c r="AR1197" t="s">
        <v>69</v>
      </c>
      <c r="AS1197" s="79"/>
      <c r="AT1197" s="82" t="s">
        <v>5098</v>
      </c>
      <c r="AU1197" s="78">
        <v>2026</v>
      </c>
      <c r="AV1197" s="78">
        <v>4</v>
      </c>
      <c r="AW1197" s="78" t="s">
        <v>137</v>
      </c>
      <c r="AX1197" s="78">
        <v>1</v>
      </c>
      <c r="AY1197" s="78">
        <v>0</v>
      </c>
      <c r="BT1197" s="3" t="s">
        <v>137</v>
      </c>
      <c r="BU1197" s="3">
        <v>1</v>
      </c>
      <c r="BV1197" s="3">
        <v>0</v>
      </c>
    </row>
    <row r="1198" spans="1:74" x14ac:dyDescent="0.25">
      <c r="A1198" s="75">
        <v>5937061</v>
      </c>
      <c r="B1198" t="s">
        <v>5200</v>
      </c>
      <c r="C1198" t="s">
        <v>4668</v>
      </c>
      <c r="D1198" t="s">
        <v>527</v>
      </c>
      <c r="E1198" t="s">
        <v>87</v>
      </c>
      <c r="F1198" s="75">
        <v>401</v>
      </c>
      <c r="G1198" s="75">
        <v>288379</v>
      </c>
      <c r="H1198">
        <v>382.47</v>
      </c>
      <c r="I1198" t="s">
        <v>55</v>
      </c>
      <c r="J1198" s="75">
        <v>216233</v>
      </c>
      <c r="K1198" t="s">
        <v>88</v>
      </c>
      <c r="L1198" t="s">
        <v>89</v>
      </c>
      <c r="M1198" s="81">
        <v>46140.160127314812</v>
      </c>
      <c r="N1198" s="81">
        <v>46140.630208333343</v>
      </c>
      <c r="O1198" t="s">
        <v>58</v>
      </c>
      <c r="P1198" t="s">
        <v>59</v>
      </c>
      <c r="Q1198" t="s">
        <v>90</v>
      </c>
      <c r="R1198" t="s">
        <v>60</v>
      </c>
      <c r="S1198" t="s">
        <v>583</v>
      </c>
      <c r="U1198" s="75">
        <v>242371</v>
      </c>
      <c r="V1198" t="s">
        <v>5201</v>
      </c>
      <c r="W1198" t="s">
        <v>5201</v>
      </c>
      <c r="X1198" t="s">
        <v>62</v>
      </c>
      <c r="Y1198" t="s">
        <v>63</v>
      </c>
      <c r="AA1198" t="s">
        <v>64</v>
      </c>
      <c r="AB1198">
        <v>11.233333999999999</v>
      </c>
      <c r="AC1198">
        <v>6.8333339999999998</v>
      </c>
      <c r="AD1198">
        <v>4.4000000000000004</v>
      </c>
      <c r="AE1198">
        <v>0.05</v>
      </c>
      <c r="AF1198">
        <v>0</v>
      </c>
      <c r="AG1198">
        <v>4.3499999999999996</v>
      </c>
      <c r="AH1198">
        <v>4.3499999999999996</v>
      </c>
      <c r="AI1198">
        <v>3.7833329999999998</v>
      </c>
      <c r="AJ1198">
        <v>0.56666700000000003</v>
      </c>
      <c r="AK1198">
        <v>0</v>
      </c>
      <c r="AL1198" s="76">
        <v>44950</v>
      </c>
      <c r="AM1198" s="75">
        <v>1190</v>
      </c>
      <c r="AN1198" t="s">
        <v>65</v>
      </c>
      <c r="AO1198" t="s">
        <v>4670</v>
      </c>
      <c r="AP1198" t="s">
        <v>67</v>
      </c>
      <c r="AQ1198" t="s">
        <v>68</v>
      </c>
      <c r="AR1198" t="s">
        <v>69</v>
      </c>
      <c r="AT1198" s="82" t="s">
        <v>5098</v>
      </c>
      <c r="AU1198" s="78">
        <v>2026</v>
      </c>
      <c r="AV1198" s="78">
        <v>4</v>
      </c>
      <c r="AW1198" s="78" t="s">
        <v>71</v>
      </c>
      <c r="AX1198" s="78">
        <v>1</v>
      </c>
      <c r="AY1198" s="78">
        <v>0</v>
      </c>
      <c r="BT1198" t="s">
        <v>71</v>
      </c>
      <c r="BU1198">
        <v>1</v>
      </c>
      <c r="BV1198">
        <v>0</v>
      </c>
    </row>
    <row r="1199" spans="1:74" x14ac:dyDescent="0.25">
      <c r="A1199" s="75">
        <v>5937207</v>
      </c>
      <c r="B1199" t="s">
        <v>5202</v>
      </c>
      <c r="C1199" t="s">
        <v>4606</v>
      </c>
      <c r="D1199" t="s">
        <v>1052</v>
      </c>
      <c r="E1199" t="s">
        <v>87</v>
      </c>
      <c r="F1199" s="75">
        <v>700</v>
      </c>
      <c r="G1199" s="75">
        <v>253429</v>
      </c>
      <c r="H1199">
        <v>1795.25</v>
      </c>
      <c r="I1199" t="s">
        <v>114</v>
      </c>
      <c r="J1199" s="75">
        <v>19921</v>
      </c>
      <c r="K1199" t="s">
        <v>1325</v>
      </c>
      <c r="L1199" t="s">
        <v>2612</v>
      </c>
      <c r="M1199" s="81">
        <v>46140.363391203697</v>
      </c>
      <c r="N1199" s="81">
        <v>46140.870034722233</v>
      </c>
      <c r="O1199" t="s">
        <v>58</v>
      </c>
      <c r="P1199" t="s">
        <v>59</v>
      </c>
      <c r="Q1199" t="s">
        <v>130</v>
      </c>
      <c r="R1199" t="s">
        <v>60</v>
      </c>
      <c r="S1199" t="s">
        <v>583</v>
      </c>
      <c r="U1199" s="75">
        <v>242665</v>
      </c>
      <c r="V1199" t="s">
        <v>5203</v>
      </c>
      <c r="W1199" t="s">
        <v>5203</v>
      </c>
      <c r="X1199" t="s">
        <v>118</v>
      </c>
      <c r="Y1199" t="s">
        <v>119</v>
      </c>
      <c r="AA1199" t="s">
        <v>81</v>
      </c>
      <c r="AB1199">
        <v>12.083333</v>
      </c>
      <c r="AC1199">
        <v>8.35</v>
      </c>
      <c r="AD1199">
        <v>3.733333</v>
      </c>
      <c r="AE1199">
        <v>3.3333000000000002E-2</v>
      </c>
      <c r="AF1199">
        <v>0</v>
      </c>
      <c r="AG1199">
        <v>3.7</v>
      </c>
      <c r="AH1199">
        <v>3.7</v>
      </c>
      <c r="AI1199">
        <v>1.7</v>
      </c>
      <c r="AJ1199">
        <v>2</v>
      </c>
      <c r="AK1199">
        <v>0</v>
      </c>
      <c r="AL1199" s="76">
        <v>44753.59275462963</v>
      </c>
      <c r="AM1199" s="75">
        <v>1386</v>
      </c>
      <c r="AN1199" t="s">
        <v>65</v>
      </c>
      <c r="AO1199" t="s">
        <v>4608</v>
      </c>
      <c r="AP1199" t="s">
        <v>67</v>
      </c>
      <c r="AQ1199" t="s">
        <v>121</v>
      </c>
      <c r="AR1199" t="s">
        <v>69</v>
      </c>
      <c r="AT1199" s="82" t="s">
        <v>5098</v>
      </c>
      <c r="AU1199" s="78">
        <v>2026</v>
      </c>
      <c r="AV1199" s="78">
        <v>4</v>
      </c>
      <c r="AW1199" s="78" t="s">
        <v>122</v>
      </c>
      <c r="AX1199" s="78">
        <v>1</v>
      </c>
      <c r="AY1199" s="78">
        <v>0</v>
      </c>
      <c r="BT1199" t="s">
        <v>122</v>
      </c>
      <c r="BU1199">
        <v>1</v>
      </c>
      <c r="BV1199">
        <v>0</v>
      </c>
    </row>
    <row r="1200" spans="1:74" x14ac:dyDescent="0.25">
      <c r="A1200" s="75">
        <v>5936743</v>
      </c>
      <c r="B1200" t="s">
        <v>5204</v>
      </c>
      <c r="C1200" t="s">
        <v>5205</v>
      </c>
      <c r="D1200" t="s">
        <v>527</v>
      </c>
      <c r="E1200" t="s">
        <v>87</v>
      </c>
      <c r="F1200" s="75">
        <v>6</v>
      </c>
      <c r="G1200" s="75">
        <v>292023</v>
      </c>
      <c r="H1200">
        <v>1639.32</v>
      </c>
      <c r="I1200" t="s">
        <v>114</v>
      </c>
      <c r="J1200" s="75">
        <v>217825</v>
      </c>
      <c r="K1200" t="s">
        <v>2857</v>
      </c>
      <c r="L1200" t="s">
        <v>2858</v>
      </c>
      <c r="M1200" s="81">
        <v>46139.757210648153</v>
      </c>
      <c r="N1200" s="81">
        <v>46141.309351851851</v>
      </c>
      <c r="O1200" t="s">
        <v>58</v>
      </c>
      <c r="P1200" t="s">
        <v>59</v>
      </c>
      <c r="Q1200" t="s">
        <v>90</v>
      </c>
      <c r="R1200" t="s">
        <v>60</v>
      </c>
      <c r="S1200" t="s">
        <v>583</v>
      </c>
      <c r="U1200" s="75">
        <v>242255</v>
      </c>
      <c r="V1200" t="s">
        <v>5206</v>
      </c>
      <c r="W1200" t="s">
        <v>5206</v>
      </c>
      <c r="X1200" t="s">
        <v>62</v>
      </c>
      <c r="Y1200" t="s">
        <v>63</v>
      </c>
      <c r="AA1200" t="s">
        <v>64</v>
      </c>
      <c r="AB1200">
        <v>37.133333</v>
      </c>
      <c r="AC1200">
        <v>23.45</v>
      </c>
      <c r="AD1200">
        <v>13.683332999999999</v>
      </c>
      <c r="AE1200">
        <v>6.35</v>
      </c>
      <c r="AF1200">
        <v>0</v>
      </c>
      <c r="AG1200">
        <v>7.3333329999999997</v>
      </c>
      <c r="AH1200">
        <v>7.3333329999999997</v>
      </c>
      <c r="AI1200">
        <v>6.65</v>
      </c>
      <c r="AJ1200">
        <v>0.68333299999999997</v>
      </c>
      <c r="AK1200">
        <v>0</v>
      </c>
      <c r="AL1200" s="76">
        <v>45110</v>
      </c>
      <c r="AM1200" s="75">
        <v>1029</v>
      </c>
      <c r="AN1200" t="s">
        <v>65</v>
      </c>
      <c r="AO1200" t="s">
        <v>5207</v>
      </c>
      <c r="AP1200" t="s">
        <v>67</v>
      </c>
      <c r="AQ1200" t="s">
        <v>68</v>
      </c>
      <c r="AR1200" t="s">
        <v>69</v>
      </c>
      <c r="AT1200" s="82" t="s">
        <v>5098</v>
      </c>
      <c r="AU1200" s="78">
        <v>2026</v>
      </c>
      <c r="AV1200" s="78">
        <v>4</v>
      </c>
      <c r="AW1200" s="78" t="s">
        <v>71</v>
      </c>
      <c r="AX1200" s="78">
        <v>1</v>
      </c>
      <c r="AY1200" s="78">
        <v>0</v>
      </c>
      <c r="BT1200" t="s">
        <v>71</v>
      </c>
      <c r="BU1200">
        <v>1</v>
      </c>
      <c r="BV1200">
        <v>0</v>
      </c>
    </row>
    <row r="1201" spans="1:74" x14ac:dyDescent="0.25">
      <c r="A1201" s="75">
        <v>5935287</v>
      </c>
      <c r="B1201" t="s">
        <v>5208</v>
      </c>
      <c r="C1201" t="s">
        <v>5209</v>
      </c>
      <c r="D1201" t="s">
        <v>527</v>
      </c>
      <c r="E1201" t="s">
        <v>87</v>
      </c>
      <c r="F1201" s="75">
        <v>12</v>
      </c>
      <c r="G1201" s="75">
        <v>290925</v>
      </c>
      <c r="H1201">
        <v>2914.74</v>
      </c>
      <c r="I1201" t="s">
        <v>114</v>
      </c>
      <c r="J1201" s="75">
        <v>52957</v>
      </c>
      <c r="K1201" t="s">
        <v>575</v>
      </c>
      <c r="L1201" t="s">
        <v>576</v>
      </c>
      <c r="M1201" s="81">
        <v>46139.278229166674</v>
      </c>
      <c r="N1201" s="81">
        <v>46141.357951388891</v>
      </c>
      <c r="O1201" t="s">
        <v>58</v>
      </c>
      <c r="P1201" t="s">
        <v>59</v>
      </c>
      <c r="Q1201" t="s">
        <v>77</v>
      </c>
      <c r="R1201" t="s">
        <v>156</v>
      </c>
      <c r="S1201" t="s">
        <v>1311</v>
      </c>
      <c r="U1201" s="75">
        <v>242411</v>
      </c>
      <c r="V1201" t="s">
        <v>5210</v>
      </c>
      <c r="W1201" t="s">
        <v>5211</v>
      </c>
      <c r="X1201" t="s">
        <v>118</v>
      </c>
      <c r="Y1201" t="s">
        <v>400</v>
      </c>
      <c r="AA1201" t="s">
        <v>101</v>
      </c>
      <c r="AB1201">
        <v>49.816667000000002</v>
      </c>
      <c r="AC1201">
        <v>40.016666999999998</v>
      </c>
      <c r="AD1201">
        <v>9.8000000000000007</v>
      </c>
      <c r="AE1201">
        <v>0.81666700000000003</v>
      </c>
      <c r="AF1201">
        <v>0</v>
      </c>
      <c r="AG1201">
        <v>8.983333</v>
      </c>
      <c r="AH1201">
        <v>8.983333</v>
      </c>
      <c r="AI1201">
        <v>8.8000000000000007</v>
      </c>
      <c r="AJ1201">
        <v>0.183333</v>
      </c>
      <c r="AK1201">
        <v>0</v>
      </c>
      <c r="AL1201" s="76">
        <v>45169</v>
      </c>
      <c r="AM1201" s="75">
        <v>970</v>
      </c>
      <c r="AN1201" t="s">
        <v>65</v>
      </c>
      <c r="AO1201" t="s">
        <v>5212</v>
      </c>
      <c r="AP1201" t="s">
        <v>67</v>
      </c>
      <c r="AQ1201" t="s">
        <v>121</v>
      </c>
      <c r="AR1201" t="s">
        <v>69</v>
      </c>
      <c r="AT1201" s="82" t="s">
        <v>5098</v>
      </c>
      <c r="AU1201" s="78">
        <v>2026</v>
      </c>
      <c r="AV1201" s="78">
        <v>4</v>
      </c>
      <c r="AW1201" s="78" t="s">
        <v>122</v>
      </c>
      <c r="AX1201" s="78">
        <v>0</v>
      </c>
      <c r="AY1201" s="78">
        <v>0</v>
      </c>
      <c r="BT1201" t="s">
        <v>122</v>
      </c>
      <c r="BU1201">
        <v>0</v>
      </c>
      <c r="BV1201">
        <v>0</v>
      </c>
    </row>
    <row r="1202" spans="1:74" x14ac:dyDescent="0.25">
      <c r="A1202" s="75">
        <v>5936191</v>
      </c>
      <c r="B1202" t="s">
        <v>5213</v>
      </c>
      <c r="C1202" t="s">
        <v>5214</v>
      </c>
      <c r="D1202" t="s">
        <v>527</v>
      </c>
      <c r="E1202" t="s">
        <v>87</v>
      </c>
      <c r="F1202" s="75">
        <v>123</v>
      </c>
      <c r="G1202" s="75">
        <v>326467</v>
      </c>
      <c r="H1202">
        <v>621.57000000000005</v>
      </c>
      <c r="I1202" t="s">
        <v>55</v>
      </c>
      <c r="J1202" s="75">
        <v>149307</v>
      </c>
      <c r="K1202" t="s">
        <v>350</v>
      </c>
      <c r="L1202" t="s">
        <v>351</v>
      </c>
      <c r="M1202" s="81">
        <v>46139.562858796293</v>
      </c>
      <c r="N1202" s="81">
        <v>46141.362581018519</v>
      </c>
      <c r="O1202" t="s">
        <v>58</v>
      </c>
      <c r="P1202" t="s">
        <v>59</v>
      </c>
      <c r="Q1202" t="s">
        <v>90</v>
      </c>
      <c r="R1202" t="s">
        <v>60</v>
      </c>
      <c r="S1202" t="s">
        <v>583</v>
      </c>
      <c r="U1202" s="75">
        <v>241779</v>
      </c>
      <c r="V1202" t="s">
        <v>5215</v>
      </c>
      <c r="W1202" t="s">
        <v>5215</v>
      </c>
      <c r="X1202" t="s">
        <v>62</v>
      </c>
      <c r="Y1202" t="s">
        <v>63</v>
      </c>
      <c r="AA1202" t="s">
        <v>64</v>
      </c>
      <c r="AB1202">
        <v>43.1</v>
      </c>
      <c r="AC1202">
        <v>36.1</v>
      </c>
      <c r="AD1202">
        <v>7</v>
      </c>
      <c r="AE1202">
        <v>0.216667</v>
      </c>
      <c r="AF1202">
        <v>0</v>
      </c>
      <c r="AG1202">
        <v>6.7833329999999998</v>
      </c>
      <c r="AH1202">
        <v>6.7833329999999998</v>
      </c>
      <c r="AI1202">
        <v>6.1166660000000004</v>
      </c>
      <c r="AJ1202">
        <v>0.66666700000000001</v>
      </c>
      <c r="AK1202">
        <v>0</v>
      </c>
      <c r="AL1202" s="76">
        <v>45554</v>
      </c>
      <c r="AM1202" s="75">
        <v>585</v>
      </c>
      <c r="AN1202" t="s">
        <v>65</v>
      </c>
      <c r="AO1202" t="s">
        <v>5216</v>
      </c>
      <c r="AP1202" t="s">
        <v>67</v>
      </c>
      <c r="AQ1202" t="s">
        <v>68</v>
      </c>
      <c r="AR1202" t="s">
        <v>69</v>
      </c>
      <c r="AT1202" s="82" t="s">
        <v>5098</v>
      </c>
      <c r="AU1202" s="78">
        <v>2026</v>
      </c>
      <c r="AV1202" s="78">
        <v>4</v>
      </c>
      <c r="AW1202" s="78" t="s">
        <v>71</v>
      </c>
      <c r="AX1202" s="78">
        <v>1</v>
      </c>
      <c r="AY1202" s="78">
        <v>0</v>
      </c>
      <c r="BT1202" t="s">
        <v>71</v>
      </c>
      <c r="BU1202">
        <v>1</v>
      </c>
      <c r="BV1202">
        <v>0</v>
      </c>
    </row>
    <row r="1203" spans="1:74" x14ac:dyDescent="0.25">
      <c r="A1203" s="75">
        <v>5936899</v>
      </c>
      <c r="B1203" t="s">
        <v>5217</v>
      </c>
      <c r="C1203" t="s">
        <v>5218</v>
      </c>
      <c r="D1203" t="s">
        <v>527</v>
      </c>
      <c r="E1203" t="s">
        <v>87</v>
      </c>
      <c r="F1203" s="75">
        <v>3</v>
      </c>
      <c r="G1203" s="75">
        <v>250787</v>
      </c>
      <c r="H1203">
        <v>3750</v>
      </c>
      <c r="I1203" t="s">
        <v>114</v>
      </c>
      <c r="J1203" s="75">
        <v>204303</v>
      </c>
      <c r="K1203" t="s">
        <v>1877</v>
      </c>
      <c r="L1203" t="s">
        <v>1878</v>
      </c>
      <c r="M1203" s="81">
        <v>46139.882187499999</v>
      </c>
      <c r="N1203" s="81">
        <v>46141.364942129629</v>
      </c>
      <c r="O1203" t="s">
        <v>58</v>
      </c>
      <c r="P1203" t="s">
        <v>59</v>
      </c>
      <c r="Q1203" t="s">
        <v>90</v>
      </c>
      <c r="R1203" t="s">
        <v>144</v>
      </c>
      <c r="S1203" t="s">
        <v>2121</v>
      </c>
      <c r="T1203" t="s">
        <v>342</v>
      </c>
      <c r="U1203" s="75">
        <v>242243</v>
      </c>
      <c r="V1203" t="s">
        <v>5219</v>
      </c>
      <c r="X1203" t="s">
        <v>118</v>
      </c>
      <c r="Y1203" t="s">
        <v>1720</v>
      </c>
      <c r="AA1203" t="s">
        <v>101</v>
      </c>
      <c r="AB1203">
        <v>35.516666000000001</v>
      </c>
      <c r="AC1203">
        <v>22.85</v>
      </c>
      <c r="AD1203">
        <v>12.666665999999999</v>
      </c>
      <c r="AE1203">
        <v>2.5</v>
      </c>
      <c r="AF1203">
        <v>0</v>
      </c>
      <c r="AG1203">
        <v>10.166665999999999</v>
      </c>
      <c r="AH1203">
        <v>10.166665999999999</v>
      </c>
      <c r="AI1203">
        <v>9.966666</v>
      </c>
      <c r="AJ1203">
        <v>0.2</v>
      </c>
      <c r="AK1203">
        <v>0</v>
      </c>
      <c r="AL1203" s="76">
        <v>44637.554351851853</v>
      </c>
      <c r="AM1203" s="75">
        <v>1502</v>
      </c>
      <c r="AN1203" t="s">
        <v>65</v>
      </c>
      <c r="AO1203" t="s">
        <v>5220</v>
      </c>
      <c r="AP1203" t="s">
        <v>67</v>
      </c>
      <c r="AQ1203" t="s">
        <v>121</v>
      </c>
      <c r="AR1203" t="s">
        <v>69</v>
      </c>
      <c r="AT1203" s="82" t="s">
        <v>5098</v>
      </c>
      <c r="AU1203" s="78">
        <v>2026</v>
      </c>
      <c r="AV1203" s="78">
        <v>4</v>
      </c>
      <c r="AW1203" s="78" t="s">
        <v>347</v>
      </c>
      <c r="AX1203" s="78">
        <v>0</v>
      </c>
      <c r="AY1203" s="78">
        <v>0</v>
      </c>
      <c r="BT1203" t="s">
        <v>347</v>
      </c>
      <c r="BU1203">
        <v>0</v>
      </c>
      <c r="BV1203">
        <v>0</v>
      </c>
    </row>
    <row r="1204" spans="1:74" x14ac:dyDescent="0.25">
      <c r="A1204" s="75">
        <v>5932025</v>
      </c>
      <c r="B1204" t="s">
        <v>5221</v>
      </c>
      <c r="C1204" t="s">
        <v>5222</v>
      </c>
      <c r="D1204" t="s">
        <v>527</v>
      </c>
      <c r="E1204" t="s">
        <v>54</v>
      </c>
      <c r="F1204" s="75">
        <v>2</v>
      </c>
      <c r="G1204" s="75">
        <v>266847</v>
      </c>
      <c r="H1204">
        <v>1800</v>
      </c>
      <c r="I1204" t="s">
        <v>114</v>
      </c>
      <c r="J1204" s="75">
        <v>210937</v>
      </c>
      <c r="K1204" t="s">
        <v>5186</v>
      </c>
      <c r="L1204" t="s">
        <v>5187</v>
      </c>
      <c r="M1204" s="81">
        <v>46135.792013888888</v>
      </c>
      <c r="N1204" s="81">
        <v>46141.36859953704</v>
      </c>
      <c r="O1204" t="s">
        <v>58</v>
      </c>
      <c r="P1204" t="s">
        <v>59</v>
      </c>
      <c r="Q1204" t="s">
        <v>90</v>
      </c>
      <c r="R1204" t="s">
        <v>156</v>
      </c>
      <c r="S1204" t="s">
        <v>2227</v>
      </c>
      <c r="U1204" s="75">
        <v>241757</v>
      </c>
      <c r="V1204" t="s">
        <v>5223</v>
      </c>
      <c r="W1204" t="s">
        <v>5223</v>
      </c>
      <c r="X1204" t="s">
        <v>79</v>
      </c>
      <c r="Y1204" t="s">
        <v>224</v>
      </c>
      <c r="AA1204" t="s">
        <v>416</v>
      </c>
      <c r="AB1204">
        <v>133.716667</v>
      </c>
      <c r="AC1204">
        <v>114.5</v>
      </c>
      <c r="AD1204">
        <v>19.216667000000001</v>
      </c>
      <c r="AE1204">
        <v>6.3166659999999997</v>
      </c>
      <c r="AF1204">
        <v>0</v>
      </c>
      <c r="AG1204">
        <v>12.900001</v>
      </c>
      <c r="AH1204">
        <v>12.900001</v>
      </c>
      <c r="AI1204">
        <v>11.750000999999999</v>
      </c>
      <c r="AJ1204">
        <v>1.1499999999999999</v>
      </c>
      <c r="AK1204">
        <v>0</v>
      </c>
      <c r="AL1204" s="76">
        <v>36526</v>
      </c>
      <c r="AM1204" s="75">
        <v>9609</v>
      </c>
      <c r="AN1204" t="s">
        <v>65</v>
      </c>
      <c r="AO1204" t="s">
        <v>5189</v>
      </c>
      <c r="AP1204" t="s">
        <v>67</v>
      </c>
      <c r="AQ1204" t="s">
        <v>83</v>
      </c>
      <c r="AR1204" t="s">
        <v>69</v>
      </c>
      <c r="AT1204" s="82" t="s">
        <v>5098</v>
      </c>
      <c r="AU1204" s="78">
        <v>2026</v>
      </c>
      <c r="AV1204" s="78">
        <v>4</v>
      </c>
      <c r="AW1204" s="78" t="s">
        <v>226</v>
      </c>
      <c r="AX1204" s="78">
        <v>0</v>
      </c>
      <c r="AY1204" s="78">
        <v>0</v>
      </c>
      <c r="BT1204" t="s">
        <v>226</v>
      </c>
      <c r="BU1204">
        <v>0</v>
      </c>
      <c r="BV1204">
        <v>0</v>
      </c>
    </row>
    <row r="1205" spans="1:74" x14ac:dyDescent="0.25">
      <c r="A1205" s="75">
        <v>5935107</v>
      </c>
      <c r="B1205" t="s">
        <v>5224</v>
      </c>
      <c r="C1205" t="s">
        <v>5225</v>
      </c>
      <c r="D1205" t="s">
        <v>150</v>
      </c>
      <c r="E1205" t="s">
        <v>87</v>
      </c>
      <c r="F1205" s="75">
        <v>354</v>
      </c>
      <c r="G1205" s="75">
        <v>286735</v>
      </c>
      <c r="H1205">
        <v>364.96</v>
      </c>
      <c r="I1205" t="s">
        <v>55</v>
      </c>
      <c r="J1205" s="75">
        <v>218787</v>
      </c>
      <c r="K1205" t="s">
        <v>96</v>
      </c>
      <c r="L1205" t="s">
        <v>97</v>
      </c>
      <c r="M1205" s="81">
        <v>46138.812835648147</v>
      </c>
      <c r="N1205" s="81">
        <v>46141.385474537034</v>
      </c>
      <c r="O1205" t="s">
        <v>58</v>
      </c>
      <c r="P1205" t="s">
        <v>59</v>
      </c>
      <c r="Q1205" t="s">
        <v>90</v>
      </c>
      <c r="R1205" t="s">
        <v>131</v>
      </c>
      <c r="S1205" t="s">
        <v>1316</v>
      </c>
      <c r="U1205" s="75">
        <v>241793</v>
      </c>
      <c r="V1205" t="s">
        <v>5226</v>
      </c>
      <c r="W1205" t="s">
        <v>5227</v>
      </c>
      <c r="X1205" t="s">
        <v>62</v>
      </c>
      <c r="Y1205" t="s">
        <v>63</v>
      </c>
      <c r="AA1205" t="s">
        <v>416</v>
      </c>
      <c r="AB1205">
        <v>61.666666999999997</v>
      </c>
      <c r="AC1205">
        <v>44.133333</v>
      </c>
      <c r="AD1205">
        <v>17.533334</v>
      </c>
      <c r="AE1205">
        <v>0.48333300000000001</v>
      </c>
      <c r="AF1205">
        <v>0</v>
      </c>
      <c r="AG1205">
        <v>17.050001000000002</v>
      </c>
      <c r="AH1205">
        <v>17.050001000000002</v>
      </c>
      <c r="AI1205">
        <v>16.816668</v>
      </c>
      <c r="AJ1205">
        <v>0.23333300000000001</v>
      </c>
      <c r="AK1205">
        <v>0</v>
      </c>
      <c r="AL1205" s="76">
        <v>44979</v>
      </c>
      <c r="AM1205" s="75">
        <v>1159</v>
      </c>
      <c r="AN1205" t="s">
        <v>65</v>
      </c>
      <c r="AO1205" t="s">
        <v>5228</v>
      </c>
      <c r="AP1205" t="s">
        <v>67</v>
      </c>
      <c r="AQ1205" t="s">
        <v>68</v>
      </c>
      <c r="AR1205" t="s">
        <v>69</v>
      </c>
      <c r="AT1205" s="82" t="s">
        <v>5098</v>
      </c>
      <c r="AU1205" s="78">
        <v>2026</v>
      </c>
      <c r="AV1205" s="78">
        <v>4</v>
      </c>
      <c r="AW1205" s="78" t="s">
        <v>71</v>
      </c>
      <c r="AX1205" s="78">
        <v>0</v>
      </c>
      <c r="AY1205" s="78">
        <v>0</v>
      </c>
      <c r="BT1205" t="s">
        <v>71</v>
      </c>
      <c r="BU1205">
        <v>0</v>
      </c>
      <c r="BV1205">
        <v>0</v>
      </c>
    </row>
    <row r="1206" spans="1:74" x14ac:dyDescent="0.25">
      <c r="A1206" s="75">
        <v>5932977</v>
      </c>
      <c r="B1206" t="s">
        <v>5229</v>
      </c>
      <c r="C1206" t="s">
        <v>5230</v>
      </c>
      <c r="D1206" t="s">
        <v>150</v>
      </c>
      <c r="E1206" t="s">
        <v>87</v>
      </c>
      <c r="F1206" s="75">
        <v>361</v>
      </c>
      <c r="G1206" s="75">
        <v>286761</v>
      </c>
      <c r="H1206">
        <v>364.96</v>
      </c>
      <c r="I1206" t="s">
        <v>55</v>
      </c>
      <c r="J1206" s="75">
        <v>218787</v>
      </c>
      <c r="K1206" t="s">
        <v>96</v>
      </c>
      <c r="L1206" t="s">
        <v>97</v>
      </c>
      <c r="M1206" s="81">
        <v>46136.448460648149</v>
      </c>
      <c r="N1206" s="81">
        <v>46141.385879629634</v>
      </c>
      <c r="O1206" t="s">
        <v>58</v>
      </c>
      <c r="P1206" t="s">
        <v>59</v>
      </c>
      <c r="Q1206" t="s">
        <v>2562</v>
      </c>
      <c r="R1206" t="s">
        <v>131</v>
      </c>
      <c r="S1206" t="s">
        <v>1316</v>
      </c>
      <c r="U1206" s="75">
        <v>240945</v>
      </c>
      <c r="V1206" t="s">
        <v>5231</v>
      </c>
      <c r="W1206" t="s">
        <v>5232</v>
      </c>
      <c r="X1206" t="s">
        <v>62</v>
      </c>
      <c r="Y1206" t="s">
        <v>63</v>
      </c>
      <c r="AA1206" t="s">
        <v>295</v>
      </c>
      <c r="AB1206">
        <v>118.39999899999999</v>
      </c>
      <c r="AC1206">
        <v>90.7</v>
      </c>
      <c r="AD1206">
        <v>27.699998999999998</v>
      </c>
      <c r="AE1206">
        <v>0.38333400000000001</v>
      </c>
      <c r="AF1206">
        <v>0</v>
      </c>
      <c r="AG1206">
        <v>27.316665</v>
      </c>
      <c r="AH1206">
        <v>27.316665</v>
      </c>
      <c r="AI1206">
        <v>24.849999</v>
      </c>
      <c r="AJ1206">
        <v>2.466666</v>
      </c>
      <c r="AK1206">
        <v>0</v>
      </c>
      <c r="AL1206" s="76">
        <v>45012</v>
      </c>
      <c r="AM1206" s="75">
        <v>1124</v>
      </c>
      <c r="AN1206" t="s">
        <v>65</v>
      </c>
      <c r="AO1206" t="s">
        <v>5233</v>
      </c>
      <c r="AP1206" t="s">
        <v>67</v>
      </c>
      <c r="AQ1206" t="s">
        <v>68</v>
      </c>
      <c r="AR1206" t="s">
        <v>69</v>
      </c>
      <c r="AT1206" s="82" t="s">
        <v>5098</v>
      </c>
      <c r="AU1206" s="78">
        <v>2026</v>
      </c>
      <c r="AV1206" s="78">
        <v>4</v>
      </c>
      <c r="AW1206" s="78" t="s">
        <v>71</v>
      </c>
      <c r="AX1206" s="78">
        <v>0</v>
      </c>
      <c r="AY1206" s="78">
        <v>1</v>
      </c>
      <c r="BT1206" t="s">
        <v>71</v>
      </c>
      <c r="BU1206">
        <v>0</v>
      </c>
      <c r="BV1206">
        <v>1</v>
      </c>
    </row>
    <row r="1207" spans="1:74" x14ac:dyDescent="0.25">
      <c r="A1207" s="75">
        <v>5937987</v>
      </c>
      <c r="B1207" t="s">
        <v>5234</v>
      </c>
      <c r="C1207" t="s">
        <v>5235</v>
      </c>
      <c r="D1207" t="s">
        <v>150</v>
      </c>
      <c r="E1207" t="s">
        <v>54</v>
      </c>
      <c r="F1207" s="75">
        <v>1</v>
      </c>
      <c r="G1207" s="75">
        <v>48391</v>
      </c>
      <c r="H1207">
        <v>650</v>
      </c>
      <c r="I1207" t="s">
        <v>114</v>
      </c>
      <c r="J1207" s="75">
        <v>49051</v>
      </c>
      <c r="K1207" t="s">
        <v>4214</v>
      </c>
      <c r="L1207" t="s">
        <v>4215</v>
      </c>
      <c r="M1207" s="81">
        <v>46140.626898148148</v>
      </c>
      <c r="N1207" s="81">
        <v>46141.441805555558</v>
      </c>
      <c r="O1207" t="s">
        <v>58</v>
      </c>
      <c r="P1207" t="s">
        <v>59</v>
      </c>
      <c r="Q1207" t="s">
        <v>77</v>
      </c>
      <c r="R1207" t="s">
        <v>131</v>
      </c>
      <c r="S1207" t="s">
        <v>1316</v>
      </c>
      <c r="U1207" s="75">
        <v>243249</v>
      </c>
      <c r="V1207" t="s">
        <v>5236</v>
      </c>
      <c r="W1207" t="s">
        <v>5236</v>
      </c>
      <c r="X1207" t="s">
        <v>62</v>
      </c>
      <c r="Y1207" t="s">
        <v>63</v>
      </c>
      <c r="AA1207" t="s">
        <v>64</v>
      </c>
      <c r="AB1207">
        <v>19.466664999999999</v>
      </c>
      <c r="AC1207">
        <v>15.066666</v>
      </c>
      <c r="AD1207">
        <v>4.3999990000000002</v>
      </c>
      <c r="AE1207">
        <v>0.26666600000000001</v>
      </c>
      <c r="AF1207">
        <v>0</v>
      </c>
      <c r="AG1207">
        <v>4.1333330000000004</v>
      </c>
      <c r="AH1207">
        <v>4.1333330000000004</v>
      </c>
      <c r="AI1207">
        <v>3.15</v>
      </c>
      <c r="AJ1207">
        <v>0.98333300000000001</v>
      </c>
      <c r="AK1207">
        <v>0</v>
      </c>
      <c r="AL1207" s="76">
        <v>43042</v>
      </c>
      <c r="AM1207" s="75">
        <v>3098</v>
      </c>
      <c r="AN1207" t="s">
        <v>65</v>
      </c>
      <c r="AO1207" t="s">
        <v>4217</v>
      </c>
      <c r="AP1207" t="s">
        <v>67</v>
      </c>
      <c r="AQ1207" t="s">
        <v>68</v>
      </c>
      <c r="AR1207" t="s">
        <v>69</v>
      </c>
      <c r="AT1207" s="82" t="s">
        <v>5098</v>
      </c>
      <c r="AU1207" s="78">
        <v>2026</v>
      </c>
      <c r="AV1207" s="78">
        <v>4</v>
      </c>
      <c r="AW1207" s="78" t="s">
        <v>71</v>
      </c>
      <c r="AX1207" s="78">
        <v>1</v>
      </c>
      <c r="AY1207" s="78">
        <v>0</v>
      </c>
      <c r="BT1207" t="s">
        <v>71</v>
      </c>
      <c r="BU1207">
        <v>1</v>
      </c>
      <c r="BV1207">
        <v>0</v>
      </c>
    </row>
    <row r="1208" spans="1:74" x14ac:dyDescent="0.25">
      <c r="A1208" s="75">
        <v>5935793</v>
      </c>
      <c r="B1208" t="s">
        <v>5237</v>
      </c>
      <c r="C1208" t="s">
        <v>5238</v>
      </c>
      <c r="D1208" t="s">
        <v>527</v>
      </c>
      <c r="E1208" t="s">
        <v>87</v>
      </c>
      <c r="F1208" s="75">
        <v>356</v>
      </c>
      <c r="G1208" s="75">
        <v>286741</v>
      </c>
      <c r="H1208">
        <v>364.96</v>
      </c>
      <c r="I1208" t="s">
        <v>55</v>
      </c>
      <c r="J1208" s="75">
        <v>218787</v>
      </c>
      <c r="K1208" t="s">
        <v>96</v>
      </c>
      <c r="L1208" t="s">
        <v>97</v>
      </c>
      <c r="M1208" s="81">
        <v>46139.414456018523</v>
      </c>
      <c r="N1208" s="81">
        <v>46141.507013888891</v>
      </c>
      <c r="O1208" t="s">
        <v>58</v>
      </c>
      <c r="P1208" t="s">
        <v>59</v>
      </c>
      <c r="Q1208" t="s">
        <v>2562</v>
      </c>
      <c r="R1208" t="s">
        <v>60</v>
      </c>
      <c r="S1208" t="s">
        <v>583</v>
      </c>
      <c r="U1208" s="75">
        <v>241511</v>
      </c>
      <c r="V1208" t="s">
        <v>5239</v>
      </c>
      <c r="W1208" t="s">
        <v>5239</v>
      </c>
      <c r="X1208" t="s">
        <v>62</v>
      </c>
      <c r="Y1208" t="s">
        <v>63</v>
      </c>
      <c r="AA1208" t="s">
        <v>416</v>
      </c>
      <c r="AB1208">
        <v>50.116666000000002</v>
      </c>
      <c r="AC1208">
        <v>26.45</v>
      </c>
      <c r="AD1208">
        <v>23.666665999999999</v>
      </c>
      <c r="AE1208">
        <v>6.6666000000000003E-2</v>
      </c>
      <c r="AF1208">
        <v>0</v>
      </c>
      <c r="AG1208">
        <v>23.6</v>
      </c>
      <c r="AH1208">
        <v>23.6</v>
      </c>
      <c r="AI1208">
        <v>22.733332999999998</v>
      </c>
      <c r="AJ1208">
        <v>0.86666699999999997</v>
      </c>
      <c r="AK1208">
        <v>0</v>
      </c>
      <c r="AL1208" s="76">
        <v>44981</v>
      </c>
      <c r="AM1208" s="75">
        <v>1158</v>
      </c>
      <c r="AN1208" t="s">
        <v>65</v>
      </c>
      <c r="AO1208" t="s">
        <v>3477</v>
      </c>
      <c r="AP1208" t="s">
        <v>67</v>
      </c>
      <c r="AQ1208" t="s">
        <v>68</v>
      </c>
      <c r="AR1208" t="s">
        <v>69</v>
      </c>
      <c r="AT1208" s="82" t="s">
        <v>5098</v>
      </c>
      <c r="AU1208" s="78">
        <v>2026</v>
      </c>
      <c r="AV1208" s="78">
        <v>4</v>
      </c>
      <c r="AW1208" s="78" t="s">
        <v>71</v>
      </c>
      <c r="AX1208" s="78">
        <v>0</v>
      </c>
      <c r="AY1208" s="78">
        <v>0</v>
      </c>
      <c r="BT1208" t="s">
        <v>71</v>
      </c>
      <c r="BU1208">
        <v>0</v>
      </c>
      <c r="BV1208">
        <v>0</v>
      </c>
    </row>
    <row r="1209" spans="1:74" x14ac:dyDescent="0.25">
      <c r="A1209" s="75">
        <v>5936535</v>
      </c>
      <c r="B1209" t="s">
        <v>5240</v>
      </c>
      <c r="C1209" t="s">
        <v>5241</v>
      </c>
      <c r="D1209" t="s">
        <v>1555</v>
      </c>
      <c r="E1209" t="s">
        <v>54</v>
      </c>
      <c r="F1209" s="75">
        <v>779</v>
      </c>
      <c r="G1209" s="75">
        <v>287055</v>
      </c>
      <c r="H1209">
        <v>209.66</v>
      </c>
      <c r="I1209" t="s">
        <v>55</v>
      </c>
      <c r="J1209" s="75">
        <v>41553</v>
      </c>
      <c r="K1209" t="s">
        <v>250</v>
      </c>
      <c r="L1209" t="s">
        <v>251</v>
      </c>
      <c r="M1209" s="81">
        <v>46139.667430555557</v>
      </c>
      <c r="N1209" s="81">
        <v>46141.76085648148</v>
      </c>
      <c r="O1209" t="s">
        <v>58</v>
      </c>
      <c r="P1209" t="s">
        <v>59</v>
      </c>
      <c r="R1209" t="s">
        <v>60</v>
      </c>
      <c r="S1209" t="s">
        <v>1268</v>
      </c>
      <c r="U1209" s="75">
        <v>242381</v>
      </c>
      <c r="V1209" t="s">
        <v>5242</v>
      </c>
      <c r="W1209" t="s">
        <v>5242</v>
      </c>
      <c r="X1209" t="s">
        <v>79</v>
      </c>
      <c r="Y1209" t="s">
        <v>224</v>
      </c>
      <c r="AA1209" t="s">
        <v>81</v>
      </c>
      <c r="AB1209">
        <v>50.166665000000002</v>
      </c>
      <c r="AC1209">
        <v>46.95</v>
      </c>
      <c r="AD1209">
        <v>3.2166649999999999</v>
      </c>
      <c r="AE1209">
        <v>0.61666600000000005</v>
      </c>
      <c r="AF1209">
        <v>0</v>
      </c>
      <c r="AG1209">
        <v>2.5999989999999999</v>
      </c>
      <c r="AH1209">
        <v>2.5999989999999999</v>
      </c>
      <c r="AI1209">
        <v>1.7666660000000001</v>
      </c>
      <c r="AJ1209">
        <v>0.83333299999999999</v>
      </c>
      <c r="AK1209">
        <v>0</v>
      </c>
      <c r="AL1209" s="76">
        <v>44970</v>
      </c>
      <c r="AM1209" s="75">
        <v>1169</v>
      </c>
      <c r="AN1209" t="s">
        <v>65</v>
      </c>
      <c r="AO1209" t="s">
        <v>3860</v>
      </c>
      <c r="AP1209" t="s">
        <v>67</v>
      </c>
      <c r="AQ1209" t="s">
        <v>83</v>
      </c>
      <c r="AR1209" t="s">
        <v>69</v>
      </c>
      <c r="AT1209" s="82" t="s">
        <v>5098</v>
      </c>
      <c r="AU1209" s="78">
        <v>2026</v>
      </c>
      <c r="AV1209" s="78">
        <v>4</v>
      </c>
      <c r="AW1209" s="78" t="s">
        <v>226</v>
      </c>
      <c r="AX1209" s="78">
        <v>1</v>
      </c>
      <c r="AY1209" s="78">
        <v>0</v>
      </c>
      <c r="BT1209" t="s">
        <v>226</v>
      </c>
      <c r="BU1209">
        <v>1</v>
      </c>
      <c r="BV1209">
        <v>0</v>
      </c>
    </row>
    <row r="1210" spans="1:74" x14ac:dyDescent="0.25">
      <c r="A1210" s="75">
        <v>5932407</v>
      </c>
      <c r="B1210" t="s">
        <v>5243</v>
      </c>
      <c r="C1210" t="s">
        <v>5244</v>
      </c>
      <c r="D1210" t="s">
        <v>1052</v>
      </c>
      <c r="E1210" t="s">
        <v>54</v>
      </c>
      <c r="F1210" s="75">
        <v>1</v>
      </c>
      <c r="G1210" s="75">
        <v>266547</v>
      </c>
      <c r="H1210">
        <v>900</v>
      </c>
      <c r="I1210" t="s">
        <v>242</v>
      </c>
      <c r="J1210" s="75">
        <v>209717</v>
      </c>
      <c r="K1210" t="s">
        <v>3297</v>
      </c>
      <c r="L1210" t="s">
        <v>3298</v>
      </c>
      <c r="M1210" s="81">
        <v>46136.307314814818</v>
      </c>
      <c r="N1210" s="81">
        <v>46141.920370370368</v>
      </c>
      <c r="O1210" t="s">
        <v>58</v>
      </c>
      <c r="P1210" t="s">
        <v>59</v>
      </c>
      <c r="Q1210" t="s">
        <v>130</v>
      </c>
      <c r="R1210" t="s">
        <v>99</v>
      </c>
      <c r="S1210" t="s">
        <v>1244</v>
      </c>
      <c r="U1210" s="75">
        <v>239195</v>
      </c>
      <c r="V1210" t="s">
        <v>5245</v>
      </c>
      <c r="X1210" t="s">
        <v>79</v>
      </c>
      <c r="Y1210" t="s">
        <v>3300</v>
      </c>
      <c r="AA1210" t="s">
        <v>295</v>
      </c>
      <c r="AB1210">
        <v>134.6</v>
      </c>
      <c r="AC1210">
        <v>97.05</v>
      </c>
      <c r="AD1210">
        <v>37.549999999999997</v>
      </c>
      <c r="AE1210">
        <v>0.9</v>
      </c>
      <c r="AF1210">
        <v>0</v>
      </c>
      <c r="AG1210">
        <v>36.65</v>
      </c>
      <c r="AH1210">
        <v>36.65</v>
      </c>
      <c r="AI1210">
        <v>35.15</v>
      </c>
      <c r="AJ1210">
        <v>1.5</v>
      </c>
      <c r="AK1210">
        <v>0</v>
      </c>
      <c r="AL1210" s="76">
        <v>36526</v>
      </c>
      <c r="AM1210" s="75">
        <v>9610</v>
      </c>
      <c r="AN1210" t="s">
        <v>65</v>
      </c>
      <c r="AO1210" t="s">
        <v>3301</v>
      </c>
      <c r="AP1210" t="s">
        <v>67</v>
      </c>
      <c r="AQ1210" t="s">
        <v>83</v>
      </c>
      <c r="AR1210" t="s">
        <v>69</v>
      </c>
      <c r="AT1210" s="82" t="s">
        <v>5098</v>
      </c>
      <c r="AU1210" s="78">
        <v>2026</v>
      </c>
      <c r="AV1210" s="78">
        <v>4</v>
      </c>
      <c r="AW1210" s="78" t="s">
        <v>84</v>
      </c>
      <c r="AX1210" s="78">
        <v>0</v>
      </c>
      <c r="AY1210" s="78">
        <v>1</v>
      </c>
      <c r="BT1210" t="s">
        <v>84</v>
      </c>
      <c r="BU1210">
        <v>0</v>
      </c>
      <c r="BV1210">
        <v>1</v>
      </c>
    </row>
    <row r="1211" spans="1:74" x14ac:dyDescent="0.25">
      <c r="A1211" s="75">
        <v>5939835</v>
      </c>
      <c r="B1211" t="s">
        <v>5246</v>
      </c>
      <c r="C1211" t="s">
        <v>5247</v>
      </c>
      <c r="D1211" t="s">
        <v>527</v>
      </c>
      <c r="E1211" t="s">
        <v>126</v>
      </c>
      <c r="F1211" s="75">
        <v>2</v>
      </c>
      <c r="G1211" s="75">
        <v>300337</v>
      </c>
      <c r="H1211">
        <v>0.01</v>
      </c>
      <c r="I1211" t="s">
        <v>55</v>
      </c>
      <c r="J1211" s="75">
        <v>206915</v>
      </c>
      <c r="K1211" t="s">
        <v>5094</v>
      </c>
      <c r="L1211" t="s">
        <v>5095</v>
      </c>
      <c r="M1211" s="81">
        <v>46141.688055555547</v>
      </c>
      <c r="N1211" s="81">
        <v>46142.387881944444</v>
      </c>
      <c r="O1211" t="s">
        <v>391</v>
      </c>
      <c r="P1211" t="s">
        <v>59</v>
      </c>
      <c r="Q1211" t="s">
        <v>90</v>
      </c>
      <c r="R1211" t="s">
        <v>99</v>
      </c>
      <c r="S1211" t="s">
        <v>1244</v>
      </c>
      <c r="U1211" s="75">
        <v>244299</v>
      </c>
      <c r="V1211" t="s">
        <v>5248</v>
      </c>
      <c r="X1211" t="s">
        <v>62</v>
      </c>
      <c r="Y1211" t="s">
        <v>448</v>
      </c>
      <c r="AA1211" t="s">
        <v>81</v>
      </c>
      <c r="AB1211">
        <v>16.75</v>
      </c>
      <c r="AC1211">
        <v>13.75</v>
      </c>
      <c r="AD1211">
        <v>3</v>
      </c>
      <c r="AE1211">
        <v>0.11666700000000001</v>
      </c>
      <c r="AF1211">
        <v>0</v>
      </c>
      <c r="AG1211">
        <v>2.8833329999999999</v>
      </c>
      <c r="AH1211">
        <v>2.8833329999999999</v>
      </c>
      <c r="AI1211">
        <v>2.7</v>
      </c>
      <c r="AJ1211">
        <v>0.183333</v>
      </c>
      <c r="AK1211">
        <v>0</v>
      </c>
      <c r="AL1211" s="76">
        <v>45323.456446759257</v>
      </c>
      <c r="AM1211" s="75">
        <v>818</v>
      </c>
      <c r="AN1211" t="s">
        <v>65</v>
      </c>
      <c r="AO1211" t="s">
        <v>5097</v>
      </c>
      <c r="AP1211" t="s">
        <v>67</v>
      </c>
      <c r="AQ1211" t="s">
        <v>68</v>
      </c>
      <c r="AR1211" t="s">
        <v>69</v>
      </c>
      <c r="AT1211" s="82" t="s">
        <v>5098</v>
      </c>
      <c r="AU1211" s="78">
        <v>2026</v>
      </c>
      <c r="AV1211" s="78">
        <v>4</v>
      </c>
      <c r="AW1211" s="78" t="s">
        <v>137</v>
      </c>
      <c r="AX1211" s="78">
        <v>1</v>
      </c>
      <c r="AY1211" s="78">
        <v>0</v>
      </c>
      <c r="BT1211" t="s">
        <v>137</v>
      </c>
      <c r="BU1211">
        <v>1</v>
      </c>
      <c r="BV1211">
        <v>0</v>
      </c>
    </row>
    <row r="1212" spans="1:74" x14ac:dyDescent="0.25">
      <c r="A1212" s="75">
        <v>5939339</v>
      </c>
      <c r="B1212" t="s">
        <v>5249</v>
      </c>
      <c r="C1212" t="s">
        <v>5250</v>
      </c>
      <c r="D1212" t="s">
        <v>527</v>
      </c>
      <c r="E1212" t="s">
        <v>87</v>
      </c>
      <c r="F1212" s="75">
        <v>863</v>
      </c>
      <c r="G1212" s="75">
        <v>330867</v>
      </c>
      <c r="H1212">
        <v>950</v>
      </c>
      <c r="I1212" t="s">
        <v>141</v>
      </c>
      <c r="J1212" s="75">
        <v>19921</v>
      </c>
      <c r="K1212" t="s">
        <v>1325</v>
      </c>
      <c r="L1212" t="s">
        <v>2612</v>
      </c>
      <c r="M1212" s="81">
        <v>46141.488958333342</v>
      </c>
      <c r="N1212" s="81">
        <v>46142.408402777779</v>
      </c>
      <c r="O1212" t="s">
        <v>58</v>
      </c>
      <c r="P1212" t="s">
        <v>59</v>
      </c>
      <c r="Q1212" t="s">
        <v>130</v>
      </c>
      <c r="R1212" t="s">
        <v>131</v>
      </c>
      <c r="S1212" t="s">
        <v>1273</v>
      </c>
      <c r="U1212" s="75">
        <v>244045</v>
      </c>
      <c r="V1212" t="s">
        <v>5251</v>
      </c>
      <c r="W1212" t="s">
        <v>5251</v>
      </c>
      <c r="X1212" t="s">
        <v>118</v>
      </c>
      <c r="Y1212" t="s">
        <v>119</v>
      </c>
      <c r="AA1212" t="s">
        <v>64</v>
      </c>
      <c r="AB1212">
        <v>22.016667000000002</v>
      </c>
      <c r="AC1212">
        <v>16.983332999999998</v>
      </c>
      <c r="AD1212">
        <v>5.033334</v>
      </c>
      <c r="AE1212">
        <v>0.11666700000000001</v>
      </c>
      <c r="AF1212">
        <v>0</v>
      </c>
      <c r="AG1212">
        <v>4.9166670000000003</v>
      </c>
      <c r="AH1212">
        <v>4.9166670000000003</v>
      </c>
      <c r="AI1212">
        <v>4.8499999999999996</v>
      </c>
      <c r="AJ1212">
        <v>6.6667000000000004E-2</v>
      </c>
      <c r="AK1212">
        <v>0</v>
      </c>
      <c r="AL1212" s="76">
        <v>45681.659918981481</v>
      </c>
      <c r="AM1212" s="75">
        <v>459</v>
      </c>
      <c r="AN1212" t="s">
        <v>65</v>
      </c>
      <c r="AO1212" t="s">
        <v>5252</v>
      </c>
      <c r="AP1212" t="s">
        <v>67</v>
      </c>
      <c r="AQ1212" t="s">
        <v>121</v>
      </c>
      <c r="AR1212" t="s">
        <v>69</v>
      </c>
      <c r="AT1212" s="82" t="s">
        <v>5098</v>
      </c>
      <c r="AU1212" s="78">
        <v>2026</v>
      </c>
      <c r="AV1212" s="78">
        <v>4</v>
      </c>
      <c r="AW1212" s="78" t="s">
        <v>122</v>
      </c>
      <c r="AX1212" s="78">
        <v>1</v>
      </c>
      <c r="AY1212" s="78">
        <v>0</v>
      </c>
      <c r="BT1212" t="s">
        <v>122</v>
      </c>
      <c r="BU1212">
        <v>1</v>
      </c>
      <c r="BV1212">
        <v>0</v>
      </c>
    </row>
    <row r="1213" spans="1:74" x14ac:dyDescent="0.25">
      <c r="A1213" s="75">
        <v>5939127</v>
      </c>
      <c r="B1213" t="s">
        <v>5253</v>
      </c>
      <c r="C1213" t="s">
        <v>5254</v>
      </c>
      <c r="D1213" t="s">
        <v>150</v>
      </c>
      <c r="E1213" t="s">
        <v>87</v>
      </c>
      <c r="F1213" s="75">
        <v>202</v>
      </c>
      <c r="G1213" s="75">
        <v>286003</v>
      </c>
      <c r="H1213">
        <v>398.82</v>
      </c>
      <c r="I1213" t="s">
        <v>55</v>
      </c>
      <c r="J1213" s="75">
        <v>216233</v>
      </c>
      <c r="K1213" t="s">
        <v>88</v>
      </c>
      <c r="L1213" t="s">
        <v>89</v>
      </c>
      <c r="M1213" s="81">
        <v>46141.427094907413</v>
      </c>
      <c r="N1213" s="81">
        <v>46142.410879629628</v>
      </c>
      <c r="O1213" t="s">
        <v>58</v>
      </c>
      <c r="P1213" t="s">
        <v>59</v>
      </c>
      <c r="Q1213" t="s">
        <v>2562</v>
      </c>
      <c r="R1213" t="s">
        <v>131</v>
      </c>
      <c r="S1213" t="s">
        <v>1316</v>
      </c>
      <c r="U1213" s="75">
        <v>243931</v>
      </c>
      <c r="V1213" t="s">
        <v>5255</v>
      </c>
      <c r="W1213" t="s">
        <v>5255</v>
      </c>
      <c r="X1213" t="s">
        <v>62</v>
      </c>
      <c r="Y1213" t="s">
        <v>63</v>
      </c>
      <c r="AA1213" t="s">
        <v>64</v>
      </c>
      <c r="AB1213">
        <v>23.583333</v>
      </c>
      <c r="AC1213">
        <v>15.65</v>
      </c>
      <c r="AD1213">
        <v>7.9333330000000002</v>
      </c>
      <c r="AE1213">
        <v>0.15</v>
      </c>
      <c r="AF1213">
        <v>0</v>
      </c>
      <c r="AG1213">
        <v>7.7833329999999998</v>
      </c>
      <c r="AH1213">
        <v>7.7833329999999998</v>
      </c>
      <c r="AI1213">
        <v>7.75</v>
      </c>
      <c r="AJ1213">
        <v>3.3333000000000002E-2</v>
      </c>
      <c r="AK1213">
        <v>0</v>
      </c>
      <c r="AL1213" s="76">
        <v>44966</v>
      </c>
      <c r="AM1213" s="75">
        <v>1175</v>
      </c>
      <c r="AN1213" t="s">
        <v>65</v>
      </c>
      <c r="AO1213" t="s">
        <v>2484</v>
      </c>
      <c r="AP1213" t="s">
        <v>67</v>
      </c>
      <c r="AQ1213" t="s">
        <v>68</v>
      </c>
      <c r="AR1213" t="s">
        <v>69</v>
      </c>
      <c r="AT1213" s="82" t="s">
        <v>5098</v>
      </c>
      <c r="AU1213" s="78">
        <v>2026</v>
      </c>
      <c r="AV1213" s="78">
        <v>4</v>
      </c>
      <c r="AW1213" s="78" t="s">
        <v>71</v>
      </c>
      <c r="AX1213" s="78">
        <v>1</v>
      </c>
      <c r="AY1213" s="78">
        <v>0</v>
      </c>
      <c r="BT1213" t="s">
        <v>71</v>
      </c>
      <c r="BU1213">
        <v>1</v>
      </c>
      <c r="BV1213">
        <v>0</v>
      </c>
    </row>
    <row r="1214" spans="1:74" x14ac:dyDescent="0.25">
      <c r="A1214" s="75">
        <v>5937297</v>
      </c>
      <c r="B1214" t="s">
        <v>5256</v>
      </c>
      <c r="C1214" t="s">
        <v>4712</v>
      </c>
      <c r="D1214" t="s">
        <v>150</v>
      </c>
      <c r="E1214" t="s">
        <v>87</v>
      </c>
      <c r="F1214" s="75">
        <v>315</v>
      </c>
      <c r="G1214" s="75">
        <v>286577</v>
      </c>
      <c r="H1214">
        <v>364.96</v>
      </c>
      <c r="I1214" t="s">
        <v>55</v>
      </c>
      <c r="J1214" s="75">
        <v>218787</v>
      </c>
      <c r="K1214" t="s">
        <v>96</v>
      </c>
      <c r="L1214" t="s">
        <v>97</v>
      </c>
      <c r="M1214" s="81">
        <v>46140.389293981483</v>
      </c>
      <c r="N1214" s="81">
        <v>46142.411099537043</v>
      </c>
      <c r="O1214" t="s">
        <v>58</v>
      </c>
      <c r="P1214" t="s">
        <v>59</v>
      </c>
      <c r="Q1214" t="s">
        <v>90</v>
      </c>
      <c r="R1214" t="s">
        <v>131</v>
      </c>
      <c r="S1214" t="s">
        <v>1316</v>
      </c>
      <c r="U1214" s="75">
        <v>243967</v>
      </c>
      <c r="V1214" t="s">
        <v>5257</v>
      </c>
      <c r="W1214" t="s">
        <v>5258</v>
      </c>
      <c r="X1214" t="s">
        <v>62</v>
      </c>
      <c r="Y1214" t="s">
        <v>63</v>
      </c>
      <c r="AA1214" t="s">
        <v>101</v>
      </c>
      <c r="AB1214">
        <v>48.45</v>
      </c>
      <c r="AC1214">
        <v>38.6</v>
      </c>
      <c r="AD1214">
        <v>9.85</v>
      </c>
      <c r="AE1214">
        <v>0.15</v>
      </c>
      <c r="AF1214">
        <v>0</v>
      </c>
      <c r="AG1214">
        <v>9.6999999999999993</v>
      </c>
      <c r="AH1214">
        <v>9.6999999999999993</v>
      </c>
      <c r="AI1214">
        <v>9.2166669999999993</v>
      </c>
      <c r="AJ1214">
        <v>0.48333300000000001</v>
      </c>
      <c r="AK1214">
        <v>0</v>
      </c>
      <c r="AL1214" s="76">
        <v>44911</v>
      </c>
      <c r="AM1214" s="75">
        <v>1229</v>
      </c>
      <c r="AN1214" t="s">
        <v>65</v>
      </c>
      <c r="AO1214" t="s">
        <v>1151</v>
      </c>
      <c r="AP1214" t="s">
        <v>67</v>
      </c>
      <c r="AQ1214" t="s">
        <v>68</v>
      </c>
      <c r="AR1214" t="s">
        <v>69</v>
      </c>
      <c r="AT1214" s="82" t="s">
        <v>5098</v>
      </c>
      <c r="AU1214" s="78">
        <v>2026</v>
      </c>
      <c r="AV1214" s="78">
        <v>4</v>
      </c>
      <c r="AW1214" s="78" t="s">
        <v>71</v>
      </c>
      <c r="AX1214" s="78">
        <v>0</v>
      </c>
      <c r="AY1214" s="78">
        <v>0</v>
      </c>
      <c r="BT1214" t="s">
        <v>71</v>
      </c>
      <c r="BU1214">
        <v>0</v>
      </c>
      <c r="BV1214">
        <v>0</v>
      </c>
    </row>
    <row r="1215" spans="1:74" x14ac:dyDescent="0.25">
      <c r="A1215" s="75">
        <v>5937885</v>
      </c>
      <c r="B1215" t="s">
        <v>5259</v>
      </c>
      <c r="C1215" t="s">
        <v>5260</v>
      </c>
      <c r="D1215" t="s">
        <v>150</v>
      </c>
      <c r="E1215" t="s">
        <v>87</v>
      </c>
      <c r="F1215" s="75">
        <v>394</v>
      </c>
      <c r="G1215" s="75">
        <v>286893</v>
      </c>
      <c r="H1215">
        <v>364.96</v>
      </c>
      <c r="I1215" t="s">
        <v>55</v>
      </c>
      <c r="J1215" s="75">
        <v>218787</v>
      </c>
      <c r="K1215" t="s">
        <v>96</v>
      </c>
      <c r="L1215" t="s">
        <v>97</v>
      </c>
      <c r="M1215" s="81">
        <v>46140.597754629627</v>
      </c>
      <c r="N1215" s="81">
        <v>46142.411458333343</v>
      </c>
      <c r="O1215" t="s">
        <v>58</v>
      </c>
      <c r="P1215" t="s">
        <v>59</v>
      </c>
      <c r="Q1215" t="s">
        <v>90</v>
      </c>
      <c r="R1215" t="s">
        <v>131</v>
      </c>
      <c r="S1215" t="s">
        <v>1316</v>
      </c>
      <c r="U1215" s="75">
        <v>243217</v>
      </c>
      <c r="V1215" t="s">
        <v>5261</v>
      </c>
      <c r="W1215" t="s">
        <v>5261</v>
      </c>
      <c r="X1215" t="s">
        <v>62</v>
      </c>
      <c r="Y1215" t="s">
        <v>63</v>
      </c>
      <c r="AA1215" t="s">
        <v>64</v>
      </c>
      <c r="AB1215">
        <v>43.45</v>
      </c>
      <c r="AC1215">
        <v>36.983333000000002</v>
      </c>
      <c r="AD1215">
        <v>6.4666670000000002</v>
      </c>
      <c r="AE1215">
        <v>0.183334</v>
      </c>
      <c r="AF1215">
        <v>0</v>
      </c>
      <c r="AG1215">
        <v>6.2833329999999998</v>
      </c>
      <c r="AH1215">
        <v>6.2833329999999998</v>
      </c>
      <c r="AI1215">
        <v>6.1</v>
      </c>
      <c r="AJ1215">
        <v>0.183333</v>
      </c>
      <c r="AK1215">
        <v>0</v>
      </c>
      <c r="AL1215" s="76">
        <v>45012</v>
      </c>
      <c r="AM1215" s="75">
        <v>1128</v>
      </c>
      <c r="AN1215" t="s">
        <v>65</v>
      </c>
      <c r="AO1215" t="s">
        <v>5262</v>
      </c>
      <c r="AP1215" t="s">
        <v>67</v>
      </c>
      <c r="AQ1215" t="s">
        <v>68</v>
      </c>
      <c r="AR1215" t="s">
        <v>69</v>
      </c>
      <c r="AT1215" s="82" t="s">
        <v>5098</v>
      </c>
      <c r="AU1215" s="78">
        <v>2026</v>
      </c>
      <c r="AV1215" s="78">
        <v>4</v>
      </c>
      <c r="AW1215" s="78" t="s">
        <v>71</v>
      </c>
      <c r="AX1215" s="78">
        <v>1</v>
      </c>
      <c r="AY1215" s="78">
        <v>0</v>
      </c>
      <c r="BT1215" t="s">
        <v>71</v>
      </c>
      <c r="BU1215">
        <v>1</v>
      </c>
      <c r="BV1215">
        <v>0</v>
      </c>
    </row>
    <row r="1216" spans="1:74" x14ac:dyDescent="0.25">
      <c r="A1216" s="75">
        <v>5939475</v>
      </c>
      <c r="B1216" t="s">
        <v>5263</v>
      </c>
      <c r="C1216" t="s">
        <v>2681</v>
      </c>
      <c r="D1216" t="s">
        <v>527</v>
      </c>
      <c r="E1216" t="s">
        <v>87</v>
      </c>
      <c r="F1216" s="75">
        <v>188</v>
      </c>
      <c r="G1216" s="75">
        <v>285909</v>
      </c>
      <c r="H1216">
        <v>364.95</v>
      </c>
      <c r="I1216" t="s">
        <v>55</v>
      </c>
      <c r="J1216" s="75">
        <v>218787</v>
      </c>
      <c r="K1216" t="s">
        <v>96</v>
      </c>
      <c r="L1216" t="s">
        <v>97</v>
      </c>
      <c r="M1216" s="81">
        <v>46141.54241898148</v>
      </c>
      <c r="N1216" s="81">
        <v>46142.457291666673</v>
      </c>
      <c r="O1216" t="s">
        <v>58</v>
      </c>
      <c r="P1216" t="s">
        <v>59</v>
      </c>
      <c r="Q1216" t="s">
        <v>90</v>
      </c>
      <c r="R1216" t="s">
        <v>131</v>
      </c>
      <c r="S1216" t="s">
        <v>1273</v>
      </c>
      <c r="U1216" s="75">
        <v>244569</v>
      </c>
      <c r="V1216" t="s">
        <v>5264</v>
      </c>
      <c r="W1216" t="s">
        <v>5265</v>
      </c>
      <c r="X1216" t="s">
        <v>62</v>
      </c>
      <c r="Y1216" t="s">
        <v>63</v>
      </c>
      <c r="AA1216" t="s">
        <v>64</v>
      </c>
      <c r="AB1216">
        <v>21.883333</v>
      </c>
      <c r="AC1216">
        <v>14</v>
      </c>
      <c r="AD1216">
        <v>7.8833330000000004</v>
      </c>
      <c r="AE1216">
        <v>0.1</v>
      </c>
      <c r="AF1216">
        <v>0</v>
      </c>
      <c r="AG1216">
        <v>7.7833329999999998</v>
      </c>
      <c r="AH1216">
        <v>7.7833329999999998</v>
      </c>
      <c r="AI1216">
        <v>7.4166660000000002</v>
      </c>
      <c r="AJ1216">
        <v>0.36666700000000002</v>
      </c>
      <c r="AK1216">
        <v>0</v>
      </c>
      <c r="AL1216" s="76">
        <v>44918</v>
      </c>
      <c r="AM1216" s="75">
        <v>1223</v>
      </c>
      <c r="AN1216" t="s">
        <v>65</v>
      </c>
      <c r="AO1216" t="s">
        <v>2684</v>
      </c>
      <c r="AP1216" t="s">
        <v>67</v>
      </c>
      <c r="AQ1216" t="s">
        <v>68</v>
      </c>
      <c r="AR1216" t="s">
        <v>69</v>
      </c>
      <c r="AT1216" s="82" t="s">
        <v>5098</v>
      </c>
      <c r="AU1216" s="78">
        <v>2026</v>
      </c>
      <c r="AV1216" s="78">
        <v>4</v>
      </c>
      <c r="AW1216" s="78" t="s">
        <v>71</v>
      </c>
      <c r="AX1216" s="78">
        <v>1</v>
      </c>
      <c r="AY1216" s="78">
        <v>0</v>
      </c>
      <c r="BT1216" t="s">
        <v>71</v>
      </c>
      <c r="BU1216">
        <v>1</v>
      </c>
      <c r="BV1216">
        <v>0</v>
      </c>
    </row>
    <row r="1217" spans="1:74" x14ac:dyDescent="0.25">
      <c r="A1217" s="75">
        <v>5939171</v>
      </c>
      <c r="B1217" t="s">
        <v>5266</v>
      </c>
      <c r="C1217" t="s">
        <v>5267</v>
      </c>
      <c r="D1217" t="s">
        <v>1567</v>
      </c>
      <c r="E1217" t="s">
        <v>54</v>
      </c>
      <c r="F1217" s="75">
        <v>16</v>
      </c>
      <c r="G1217" s="75">
        <v>50431</v>
      </c>
      <c r="H1217">
        <v>300</v>
      </c>
      <c r="I1217" t="s">
        <v>55</v>
      </c>
      <c r="J1217" s="75">
        <v>13955</v>
      </c>
      <c r="K1217" t="s">
        <v>75</v>
      </c>
      <c r="L1217" t="s">
        <v>76</v>
      </c>
      <c r="M1217" s="81">
        <v>46141.436678240738</v>
      </c>
      <c r="N1217" s="81">
        <v>46142.475763888891</v>
      </c>
      <c r="P1217" t="s">
        <v>59</v>
      </c>
      <c r="Q1217" t="s">
        <v>77</v>
      </c>
      <c r="R1217" t="s">
        <v>60</v>
      </c>
      <c r="S1217" t="s">
        <v>583</v>
      </c>
      <c r="U1217" s="75">
        <v>243939</v>
      </c>
      <c r="V1217" t="s">
        <v>5268</v>
      </c>
      <c r="W1217" t="s">
        <v>5268</v>
      </c>
      <c r="X1217" t="s">
        <v>62</v>
      </c>
      <c r="Y1217" t="s">
        <v>63</v>
      </c>
      <c r="AA1217" t="s">
        <v>64</v>
      </c>
      <c r="AB1217">
        <v>24.9</v>
      </c>
      <c r="AC1217">
        <v>16.883333</v>
      </c>
      <c r="AD1217">
        <v>8.016667</v>
      </c>
      <c r="AE1217">
        <v>8.3334000000000005E-2</v>
      </c>
      <c r="AF1217">
        <v>0</v>
      </c>
      <c r="AG1217">
        <v>7.9333330000000002</v>
      </c>
      <c r="AH1217">
        <v>7.9333330000000002</v>
      </c>
      <c r="AI1217">
        <v>7.8833330000000004</v>
      </c>
      <c r="AJ1217">
        <v>0.05</v>
      </c>
      <c r="AK1217">
        <v>0</v>
      </c>
      <c r="AL1217" s="76">
        <v>42332</v>
      </c>
      <c r="AM1217" s="75">
        <v>3809</v>
      </c>
      <c r="AN1217" t="s">
        <v>65</v>
      </c>
      <c r="AO1217" t="s">
        <v>333</v>
      </c>
      <c r="AP1217" t="s">
        <v>67</v>
      </c>
      <c r="AQ1217" t="s">
        <v>68</v>
      </c>
      <c r="AR1217" t="s">
        <v>69</v>
      </c>
      <c r="AT1217" s="82" t="s">
        <v>5098</v>
      </c>
      <c r="AU1217" s="78">
        <v>2026</v>
      </c>
      <c r="AV1217" s="78">
        <v>4</v>
      </c>
      <c r="AW1217" s="78" t="s">
        <v>71</v>
      </c>
      <c r="AX1217" s="78">
        <v>1</v>
      </c>
      <c r="AY1217" s="78">
        <v>0</v>
      </c>
      <c r="BT1217" t="s">
        <v>71</v>
      </c>
      <c r="BU1217">
        <v>1</v>
      </c>
      <c r="BV1217">
        <v>0</v>
      </c>
    </row>
    <row r="1218" spans="1:74" x14ac:dyDescent="0.25">
      <c r="A1218" s="75">
        <v>5938709</v>
      </c>
      <c r="B1218" t="s">
        <v>5269</v>
      </c>
      <c r="C1218" t="s">
        <v>5270</v>
      </c>
      <c r="D1218" t="s">
        <v>1555</v>
      </c>
      <c r="E1218" t="s">
        <v>87</v>
      </c>
      <c r="F1218" s="75">
        <v>78</v>
      </c>
      <c r="G1218" s="75">
        <v>279787</v>
      </c>
      <c r="H1218">
        <v>1264.2</v>
      </c>
      <c r="I1218" t="s">
        <v>266</v>
      </c>
      <c r="J1218" s="75">
        <v>149307</v>
      </c>
      <c r="K1218" t="s">
        <v>350</v>
      </c>
      <c r="L1218" t="s">
        <v>351</v>
      </c>
      <c r="M1218" s="81">
        <v>46141.236377314817</v>
      </c>
      <c r="N1218" s="81">
        <v>46142.476331018523</v>
      </c>
      <c r="O1218" t="s">
        <v>58</v>
      </c>
      <c r="P1218" t="s">
        <v>59</v>
      </c>
      <c r="Q1218" t="s">
        <v>90</v>
      </c>
      <c r="R1218" t="s">
        <v>99</v>
      </c>
      <c r="S1218" t="s">
        <v>1244</v>
      </c>
      <c r="U1218" s="75">
        <v>243537</v>
      </c>
      <c r="V1218" t="s">
        <v>5271</v>
      </c>
      <c r="W1218" t="s">
        <v>5271</v>
      </c>
      <c r="X1218" t="s">
        <v>62</v>
      </c>
      <c r="Y1218" t="s">
        <v>287</v>
      </c>
      <c r="AA1218" t="s">
        <v>81</v>
      </c>
      <c r="AB1218">
        <v>29.7</v>
      </c>
      <c r="AC1218">
        <v>28.033332999999999</v>
      </c>
      <c r="AD1218">
        <v>1.6666669999999999</v>
      </c>
      <c r="AE1218">
        <v>1.4166669999999999</v>
      </c>
      <c r="AF1218">
        <v>0</v>
      </c>
      <c r="AG1218">
        <v>0.25</v>
      </c>
      <c r="AH1218">
        <v>0.25</v>
      </c>
      <c r="AI1218">
        <v>0</v>
      </c>
      <c r="AJ1218">
        <v>0.25</v>
      </c>
      <c r="AK1218">
        <v>0</v>
      </c>
      <c r="AL1218" s="76">
        <v>44664</v>
      </c>
      <c r="AM1218" s="75">
        <v>1477</v>
      </c>
      <c r="AN1218" t="s">
        <v>65</v>
      </c>
      <c r="AO1218" t="s">
        <v>5272</v>
      </c>
      <c r="AP1218" t="s">
        <v>67</v>
      </c>
      <c r="AQ1218" t="s">
        <v>68</v>
      </c>
      <c r="AR1218" t="s">
        <v>69</v>
      </c>
      <c r="AT1218" s="82" t="s">
        <v>5098</v>
      </c>
      <c r="AU1218" s="78">
        <v>2026</v>
      </c>
      <c r="AV1218" s="78">
        <v>4</v>
      </c>
      <c r="AW1218" s="78" t="s">
        <v>137</v>
      </c>
      <c r="AX1218" s="78">
        <v>1</v>
      </c>
      <c r="AY1218" s="78">
        <v>0</v>
      </c>
      <c r="BT1218" t="s">
        <v>137</v>
      </c>
      <c r="BU1218">
        <v>1</v>
      </c>
      <c r="BV1218">
        <v>0</v>
      </c>
    </row>
    <row r="1219" spans="1:74" x14ac:dyDescent="0.25">
      <c r="A1219" s="75">
        <v>5938919</v>
      </c>
      <c r="B1219" t="s">
        <v>5273</v>
      </c>
      <c r="C1219" t="s">
        <v>5274</v>
      </c>
      <c r="D1219" t="s">
        <v>1555</v>
      </c>
      <c r="E1219" t="s">
        <v>87</v>
      </c>
      <c r="F1219" s="75">
        <v>57</v>
      </c>
      <c r="G1219" s="75">
        <v>279745</v>
      </c>
      <c r="H1219">
        <v>516.21</v>
      </c>
      <c r="I1219" t="s">
        <v>266</v>
      </c>
      <c r="J1219" s="75">
        <v>149307</v>
      </c>
      <c r="K1219" t="s">
        <v>350</v>
      </c>
      <c r="L1219" t="s">
        <v>351</v>
      </c>
      <c r="M1219" s="81">
        <v>46141.361562500002</v>
      </c>
      <c r="N1219" s="81">
        <v>46142.477592592593</v>
      </c>
      <c r="O1219" t="s">
        <v>58</v>
      </c>
      <c r="P1219" t="s">
        <v>59</v>
      </c>
      <c r="Q1219" t="s">
        <v>90</v>
      </c>
      <c r="R1219" t="s">
        <v>99</v>
      </c>
      <c r="S1219" t="s">
        <v>1244</v>
      </c>
      <c r="U1219" s="75">
        <v>243941</v>
      </c>
      <c r="V1219" t="s">
        <v>5275</v>
      </c>
      <c r="X1219" t="s">
        <v>62</v>
      </c>
      <c r="Y1219" t="s">
        <v>287</v>
      </c>
      <c r="AA1219" t="s">
        <v>101</v>
      </c>
      <c r="AB1219">
        <v>26.7</v>
      </c>
      <c r="AC1219">
        <v>16.933333000000001</v>
      </c>
      <c r="AD1219">
        <v>9.766667</v>
      </c>
      <c r="AE1219">
        <v>0.73333300000000001</v>
      </c>
      <c r="AF1219">
        <v>0</v>
      </c>
      <c r="AG1219">
        <v>9.033334</v>
      </c>
      <c r="AH1219">
        <v>9.033334</v>
      </c>
      <c r="AI1219">
        <v>8.8833339999999996</v>
      </c>
      <c r="AJ1219">
        <v>0.15</v>
      </c>
      <c r="AK1219">
        <v>0</v>
      </c>
      <c r="AL1219" s="76">
        <v>44804</v>
      </c>
      <c r="AM1219" s="75">
        <v>1337</v>
      </c>
      <c r="AN1219" t="s">
        <v>65</v>
      </c>
      <c r="AO1219" t="s">
        <v>5276</v>
      </c>
      <c r="AP1219" t="s">
        <v>67</v>
      </c>
      <c r="AQ1219" t="s">
        <v>68</v>
      </c>
      <c r="AR1219" t="s">
        <v>69</v>
      </c>
      <c r="AT1219" s="82" t="s">
        <v>5098</v>
      </c>
      <c r="AU1219" s="78">
        <v>2026</v>
      </c>
      <c r="AV1219" s="78">
        <v>4</v>
      </c>
      <c r="AW1219" s="78" t="s">
        <v>137</v>
      </c>
      <c r="AX1219" s="78">
        <v>0</v>
      </c>
      <c r="AY1219" s="78">
        <v>0</v>
      </c>
      <c r="BT1219" t="s">
        <v>137</v>
      </c>
      <c r="BU1219">
        <v>0</v>
      </c>
      <c r="BV1219">
        <v>0</v>
      </c>
    </row>
    <row r="1220" spans="1:74" x14ac:dyDescent="0.25">
      <c r="A1220" s="75">
        <v>5939045</v>
      </c>
      <c r="B1220" t="s">
        <v>5277</v>
      </c>
      <c r="C1220" t="s">
        <v>5278</v>
      </c>
      <c r="D1220" t="s">
        <v>527</v>
      </c>
      <c r="E1220" t="s">
        <v>54</v>
      </c>
      <c r="F1220" s="75">
        <v>25</v>
      </c>
      <c r="G1220" s="75">
        <v>335859</v>
      </c>
      <c r="H1220">
        <v>99.9</v>
      </c>
      <c r="I1220" t="s">
        <v>163</v>
      </c>
      <c r="J1220" s="75">
        <v>88921</v>
      </c>
      <c r="K1220" t="s">
        <v>1177</v>
      </c>
      <c r="L1220" t="s">
        <v>1178</v>
      </c>
      <c r="M1220" s="81">
        <v>46141.393680555557</v>
      </c>
      <c r="N1220" s="81">
        <v>46142.629618055558</v>
      </c>
      <c r="O1220" t="s">
        <v>58</v>
      </c>
      <c r="P1220" t="s">
        <v>59</v>
      </c>
      <c r="Q1220" t="s">
        <v>130</v>
      </c>
      <c r="R1220" t="s">
        <v>99</v>
      </c>
      <c r="S1220" t="s">
        <v>1244</v>
      </c>
      <c r="U1220" s="75">
        <v>244035</v>
      </c>
      <c r="V1220" t="s">
        <v>5279</v>
      </c>
      <c r="W1220" t="s">
        <v>5280</v>
      </c>
      <c r="X1220" t="s">
        <v>62</v>
      </c>
      <c r="Y1220" t="s">
        <v>2598</v>
      </c>
      <c r="AA1220" t="s">
        <v>101</v>
      </c>
      <c r="AB1220">
        <v>29.566666999999999</v>
      </c>
      <c r="AC1220">
        <v>20.333334000000001</v>
      </c>
      <c r="AD1220">
        <v>9.233333</v>
      </c>
      <c r="AE1220">
        <v>0.66666599999999998</v>
      </c>
      <c r="AF1220">
        <v>0</v>
      </c>
      <c r="AG1220">
        <v>8.5666670000000007</v>
      </c>
      <c r="AH1220">
        <v>8.5666670000000007</v>
      </c>
      <c r="AI1220">
        <v>6.9</v>
      </c>
      <c r="AJ1220">
        <v>1.6666669999999999</v>
      </c>
      <c r="AK1220">
        <v>0</v>
      </c>
      <c r="AL1220" s="76"/>
      <c r="AM1220" s="75"/>
      <c r="AN1220" t="s">
        <v>135</v>
      </c>
      <c r="AO1220" t="s">
        <v>2599</v>
      </c>
      <c r="AP1220" t="s">
        <v>67</v>
      </c>
      <c r="AQ1220" t="s">
        <v>68</v>
      </c>
      <c r="AR1220" t="s">
        <v>69</v>
      </c>
      <c r="AT1220" s="82" t="s">
        <v>5098</v>
      </c>
      <c r="AU1220" s="78">
        <v>2026</v>
      </c>
      <c r="AV1220" s="78">
        <v>4</v>
      </c>
      <c r="AW1220" s="78" t="s">
        <v>137</v>
      </c>
      <c r="AX1220" s="78">
        <v>0</v>
      </c>
      <c r="AY1220" s="78">
        <v>0</v>
      </c>
      <c r="BT1220" t="s">
        <v>137</v>
      </c>
      <c r="BU1220">
        <v>0</v>
      </c>
      <c r="BV1220">
        <v>0</v>
      </c>
    </row>
    <row r="1221" spans="1:74" x14ac:dyDescent="0.25">
      <c r="A1221" s="75">
        <v>5941055</v>
      </c>
      <c r="B1221" t="s">
        <v>5281</v>
      </c>
      <c r="C1221" t="s">
        <v>4789</v>
      </c>
      <c r="D1221" t="s">
        <v>1555</v>
      </c>
      <c r="E1221" t="s">
        <v>87</v>
      </c>
      <c r="F1221" s="75">
        <v>621</v>
      </c>
      <c r="G1221" s="75">
        <v>346639</v>
      </c>
      <c r="H1221">
        <v>569.71</v>
      </c>
      <c r="I1221" t="s">
        <v>175</v>
      </c>
      <c r="J1221" s="75">
        <v>216233</v>
      </c>
      <c r="K1221" t="s">
        <v>88</v>
      </c>
      <c r="L1221" t="s">
        <v>89</v>
      </c>
      <c r="M1221" s="81">
        <v>46142.521249999998</v>
      </c>
      <c r="N1221" s="81">
        <v>46142.682453703703</v>
      </c>
      <c r="O1221" t="s">
        <v>58</v>
      </c>
      <c r="P1221" t="s">
        <v>59</v>
      </c>
      <c r="Q1221" t="s">
        <v>90</v>
      </c>
      <c r="R1221" t="s">
        <v>131</v>
      </c>
      <c r="S1221" t="s">
        <v>1273</v>
      </c>
      <c r="U1221" s="75">
        <v>245207</v>
      </c>
      <c r="V1221" t="s">
        <v>5282</v>
      </c>
      <c r="W1221" t="s">
        <v>5282</v>
      </c>
      <c r="X1221" t="s">
        <v>62</v>
      </c>
      <c r="Y1221" t="s">
        <v>63</v>
      </c>
      <c r="AA1221" t="s">
        <v>81</v>
      </c>
      <c r="AB1221">
        <v>3.8166669999999998</v>
      </c>
      <c r="AC1221">
        <v>1.233333</v>
      </c>
      <c r="AD1221">
        <v>2.5833339999999998</v>
      </c>
      <c r="AE1221">
        <v>0.216667</v>
      </c>
      <c r="AF1221">
        <v>0</v>
      </c>
      <c r="AG1221">
        <v>2.3666670000000001</v>
      </c>
      <c r="AH1221">
        <v>2.3666670000000001</v>
      </c>
      <c r="AI1221">
        <v>2.35</v>
      </c>
      <c r="AJ1221">
        <v>1.6667000000000001E-2</v>
      </c>
      <c r="AK1221">
        <v>0</v>
      </c>
      <c r="AL1221" s="76">
        <v>45960</v>
      </c>
      <c r="AM1221" s="75">
        <v>182</v>
      </c>
      <c r="AN1221" t="s">
        <v>65</v>
      </c>
      <c r="AO1221" t="s">
        <v>4564</v>
      </c>
      <c r="AP1221" t="s">
        <v>67</v>
      </c>
      <c r="AQ1221" t="s">
        <v>68</v>
      </c>
      <c r="AR1221" t="s">
        <v>69</v>
      </c>
      <c r="AT1221" s="82" t="s">
        <v>5098</v>
      </c>
      <c r="AU1221" s="78">
        <v>2026</v>
      </c>
      <c r="AV1221" s="78">
        <v>4</v>
      </c>
      <c r="AW1221" s="78" t="s">
        <v>71</v>
      </c>
      <c r="AX1221" s="78">
        <v>1</v>
      </c>
      <c r="AY1221" s="78">
        <v>0</v>
      </c>
      <c r="BT1221" t="s">
        <v>71</v>
      </c>
      <c r="BU1221">
        <v>1</v>
      </c>
      <c r="BV1221">
        <v>0</v>
      </c>
    </row>
    <row r="1222" spans="1:74" x14ac:dyDescent="0.25">
      <c r="A1222" s="75">
        <v>5940803</v>
      </c>
      <c r="B1222" t="s">
        <v>5283</v>
      </c>
      <c r="C1222" t="s">
        <v>5284</v>
      </c>
      <c r="D1222" t="s">
        <v>1555</v>
      </c>
      <c r="E1222" t="s">
        <v>54</v>
      </c>
      <c r="F1222" s="75">
        <v>2</v>
      </c>
      <c r="G1222" s="75">
        <v>322627</v>
      </c>
      <c r="H1222">
        <v>1299</v>
      </c>
      <c r="I1222" t="s">
        <v>114</v>
      </c>
      <c r="J1222" s="75">
        <v>223441</v>
      </c>
      <c r="K1222" t="s">
        <v>5285</v>
      </c>
      <c r="L1222" t="s">
        <v>5286</v>
      </c>
      <c r="M1222" s="81">
        <v>46142.419594907413</v>
      </c>
      <c r="N1222" s="81">
        <v>46142.696608796286</v>
      </c>
      <c r="O1222" t="s">
        <v>58</v>
      </c>
      <c r="P1222" t="s">
        <v>59</v>
      </c>
      <c r="Q1222" t="s">
        <v>77</v>
      </c>
      <c r="R1222" t="s">
        <v>60</v>
      </c>
      <c r="S1222" t="s">
        <v>583</v>
      </c>
      <c r="U1222" s="75">
        <v>245035</v>
      </c>
      <c r="V1222" t="s">
        <v>5287</v>
      </c>
      <c r="X1222" t="s">
        <v>118</v>
      </c>
      <c r="Y1222" t="s">
        <v>484</v>
      </c>
      <c r="AA1222" t="s">
        <v>81</v>
      </c>
      <c r="AB1222">
        <v>6.6000009999999998</v>
      </c>
      <c r="AC1222">
        <v>2.4500000000000002</v>
      </c>
      <c r="AD1222">
        <v>4.1500009999999996</v>
      </c>
      <c r="AE1222">
        <v>0.31666699999999998</v>
      </c>
      <c r="AF1222">
        <v>0</v>
      </c>
      <c r="AG1222">
        <v>3.8333339999999998</v>
      </c>
      <c r="AH1222">
        <v>3.8333339999999998</v>
      </c>
      <c r="AI1222">
        <v>3.8166669999999998</v>
      </c>
      <c r="AJ1222">
        <v>1.6667000000000001E-2</v>
      </c>
      <c r="AK1222">
        <v>0</v>
      </c>
      <c r="AL1222" s="76">
        <v>45533</v>
      </c>
      <c r="AM1222" s="75">
        <v>609</v>
      </c>
      <c r="AN1222" t="s">
        <v>65</v>
      </c>
      <c r="AO1222" t="s">
        <v>5288</v>
      </c>
      <c r="AP1222" t="s">
        <v>67</v>
      </c>
      <c r="AQ1222" t="s">
        <v>121</v>
      </c>
      <c r="AR1222" t="s">
        <v>69</v>
      </c>
      <c r="AT1222" s="82" t="s">
        <v>5098</v>
      </c>
      <c r="AU1222" s="78">
        <v>2026</v>
      </c>
      <c r="AV1222" s="78">
        <v>4</v>
      </c>
      <c r="AW1222" s="78" t="s">
        <v>347</v>
      </c>
      <c r="AX1222" s="78">
        <v>1</v>
      </c>
      <c r="AY1222" s="78">
        <v>0</v>
      </c>
      <c r="BT1222" t="s">
        <v>347</v>
      </c>
      <c r="BU1222">
        <v>1</v>
      </c>
      <c r="BV1222">
        <v>0</v>
      </c>
    </row>
    <row r="1223" spans="1:74" x14ac:dyDescent="0.25">
      <c r="A1223" s="75">
        <v>5940745</v>
      </c>
      <c r="B1223" t="s">
        <v>5289</v>
      </c>
      <c r="C1223" t="s">
        <v>1133</v>
      </c>
      <c r="D1223" t="s">
        <v>1555</v>
      </c>
      <c r="E1223" t="s">
        <v>54</v>
      </c>
      <c r="F1223" s="75">
        <v>9</v>
      </c>
      <c r="G1223" s="75">
        <v>295423</v>
      </c>
      <c r="H1223">
        <v>200</v>
      </c>
      <c r="I1223" t="s">
        <v>55</v>
      </c>
      <c r="J1223" s="75">
        <v>218297</v>
      </c>
      <c r="K1223" t="s">
        <v>258</v>
      </c>
      <c r="L1223" t="s">
        <v>259</v>
      </c>
      <c r="M1223" s="81">
        <v>46142.397858796299</v>
      </c>
      <c r="N1223" s="81">
        <v>46142.71429398148</v>
      </c>
      <c r="O1223" t="s">
        <v>58</v>
      </c>
      <c r="P1223" t="s">
        <v>59</v>
      </c>
      <c r="Q1223" t="s">
        <v>77</v>
      </c>
      <c r="R1223" t="s">
        <v>60</v>
      </c>
      <c r="S1223" t="s">
        <v>583</v>
      </c>
      <c r="U1223" s="75">
        <v>244999</v>
      </c>
      <c r="V1223" t="s">
        <v>5290</v>
      </c>
      <c r="W1223" t="s">
        <v>5290</v>
      </c>
      <c r="X1223" t="s">
        <v>62</v>
      </c>
      <c r="Y1223" t="s">
        <v>63</v>
      </c>
      <c r="AA1223" t="s">
        <v>81</v>
      </c>
      <c r="AB1223">
        <v>7.550001</v>
      </c>
      <c r="AC1223">
        <v>4.3</v>
      </c>
      <c r="AD1223">
        <v>3.2500010000000001</v>
      </c>
      <c r="AE1223">
        <v>0.183334</v>
      </c>
      <c r="AF1223">
        <v>0</v>
      </c>
      <c r="AG1223">
        <v>3.0666669999999998</v>
      </c>
      <c r="AH1223">
        <v>3.0666669999999998</v>
      </c>
      <c r="AI1223">
        <v>2.85</v>
      </c>
      <c r="AJ1223">
        <v>0.216667</v>
      </c>
      <c r="AK1223">
        <v>0</v>
      </c>
      <c r="AL1223" s="76">
        <v>45293.489282407398</v>
      </c>
      <c r="AM1223" s="75">
        <v>848</v>
      </c>
      <c r="AN1223" t="s">
        <v>65</v>
      </c>
      <c r="AO1223" t="s">
        <v>336</v>
      </c>
      <c r="AP1223" t="s">
        <v>67</v>
      </c>
      <c r="AQ1223" t="s">
        <v>68</v>
      </c>
      <c r="AR1223" t="s">
        <v>69</v>
      </c>
      <c r="AT1223" s="82" t="s">
        <v>5098</v>
      </c>
      <c r="AU1223" s="78">
        <v>2026</v>
      </c>
      <c r="AV1223" s="78">
        <v>4</v>
      </c>
      <c r="AW1223" s="78" t="s">
        <v>71</v>
      </c>
      <c r="AX1223" s="78">
        <v>1</v>
      </c>
      <c r="AY1223" s="78">
        <v>0</v>
      </c>
      <c r="BT1223" t="s">
        <v>71</v>
      </c>
      <c r="BU1223">
        <v>1</v>
      </c>
      <c r="BV1223">
        <v>0</v>
      </c>
    </row>
    <row r="1224" spans="1:74" x14ac:dyDescent="0.25">
      <c r="A1224" s="75">
        <v>5940179</v>
      </c>
      <c r="B1224" t="s">
        <v>5291</v>
      </c>
      <c r="C1224" t="s">
        <v>470</v>
      </c>
      <c r="D1224" t="s">
        <v>1555</v>
      </c>
      <c r="E1224" t="s">
        <v>87</v>
      </c>
      <c r="F1224" s="75">
        <v>189</v>
      </c>
      <c r="G1224" s="75">
        <v>285915</v>
      </c>
      <c r="H1224">
        <v>364.95</v>
      </c>
      <c r="I1224" t="s">
        <v>55</v>
      </c>
      <c r="J1224" s="75">
        <v>218787</v>
      </c>
      <c r="K1224" t="s">
        <v>96</v>
      </c>
      <c r="L1224" t="s">
        <v>97</v>
      </c>
      <c r="M1224" s="81">
        <v>46141.799143518518</v>
      </c>
      <c r="N1224" s="81">
        <v>46142.718124999999</v>
      </c>
      <c r="O1224" t="s">
        <v>58</v>
      </c>
      <c r="P1224" t="s">
        <v>59</v>
      </c>
      <c r="Q1224" t="s">
        <v>90</v>
      </c>
      <c r="R1224" t="s">
        <v>60</v>
      </c>
      <c r="S1224" t="s">
        <v>583</v>
      </c>
      <c r="U1224" s="75">
        <v>244401</v>
      </c>
      <c r="V1224" t="s">
        <v>5292</v>
      </c>
      <c r="W1224" t="s">
        <v>5292</v>
      </c>
      <c r="X1224" t="s">
        <v>62</v>
      </c>
      <c r="Y1224" t="s">
        <v>63</v>
      </c>
      <c r="AA1224" t="s">
        <v>81</v>
      </c>
      <c r="AB1224">
        <v>21.966666</v>
      </c>
      <c r="AC1224">
        <v>17.233332999999998</v>
      </c>
      <c r="AD1224">
        <v>4.733333</v>
      </c>
      <c r="AE1224">
        <v>0.8</v>
      </c>
      <c r="AF1224">
        <v>0</v>
      </c>
      <c r="AG1224">
        <v>3.9333330000000002</v>
      </c>
      <c r="AH1224">
        <v>3.9333330000000002</v>
      </c>
      <c r="AI1224">
        <v>3.2666659999999998</v>
      </c>
      <c r="AJ1224">
        <v>0.66666700000000001</v>
      </c>
      <c r="AK1224">
        <v>0</v>
      </c>
      <c r="AL1224" s="76">
        <v>44918</v>
      </c>
      <c r="AM1224" s="75">
        <v>1223</v>
      </c>
      <c r="AN1224" t="s">
        <v>65</v>
      </c>
      <c r="AO1224" t="s">
        <v>472</v>
      </c>
      <c r="AP1224" t="s">
        <v>67</v>
      </c>
      <c r="AQ1224" t="s">
        <v>68</v>
      </c>
      <c r="AR1224" t="s">
        <v>69</v>
      </c>
      <c r="AT1224" s="82" t="s">
        <v>5098</v>
      </c>
      <c r="AU1224" s="78">
        <v>2026</v>
      </c>
      <c r="AV1224" s="78">
        <v>4</v>
      </c>
      <c r="AW1224" s="78" t="s">
        <v>71</v>
      </c>
      <c r="AX1224" s="78">
        <v>1</v>
      </c>
      <c r="AY1224" s="78">
        <v>0</v>
      </c>
      <c r="BT1224" t="s">
        <v>71</v>
      </c>
      <c r="BU1224">
        <v>1</v>
      </c>
      <c r="BV1224">
        <v>0</v>
      </c>
    </row>
    <row r="1225" spans="1:74" x14ac:dyDescent="0.25">
      <c r="A1225" s="75">
        <v>5939109</v>
      </c>
      <c r="B1225" t="s">
        <v>5293</v>
      </c>
      <c r="C1225" t="s">
        <v>5294</v>
      </c>
      <c r="D1225" t="s">
        <v>1555</v>
      </c>
      <c r="E1225" t="s">
        <v>87</v>
      </c>
      <c r="F1225" s="75">
        <v>6</v>
      </c>
      <c r="G1225" s="75">
        <v>275199</v>
      </c>
      <c r="H1225">
        <v>569.71</v>
      </c>
      <c r="I1225" t="s">
        <v>55</v>
      </c>
      <c r="J1225" s="75">
        <v>216233</v>
      </c>
      <c r="K1225" t="s">
        <v>88</v>
      </c>
      <c r="L1225" t="s">
        <v>89</v>
      </c>
      <c r="M1225" s="81">
        <v>46141.41746527778</v>
      </c>
      <c r="N1225" s="81">
        <v>46142.720462962963</v>
      </c>
      <c r="O1225" t="s">
        <v>58</v>
      </c>
      <c r="P1225" t="s">
        <v>59</v>
      </c>
      <c r="Q1225" t="s">
        <v>90</v>
      </c>
      <c r="R1225" t="s">
        <v>131</v>
      </c>
      <c r="S1225" t="s">
        <v>1273</v>
      </c>
      <c r="U1225" s="75">
        <v>243935</v>
      </c>
      <c r="V1225" t="s">
        <v>5295</v>
      </c>
      <c r="W1225" t="s">
        <v>5295</v>
      </c>
      <c r="X1225" t="s">
        <v>62</v>
      </c>
      <c r="Y1225" t="s">
        <v>63</v>
      </c>
      <c r="AA1225" t="s">
        <v>416</v>
      </c>
      <c r="AB1225">
        <v>31.199998999999998</v>
      </c>
      <c r="AC1225">
        <v>15.65</v>
      </c>
      <c r="AD1225">
        <v>15.549999</v>
      </c>
      <c r="AE1225">
        <v>0.46666600000000003</v>
      </c>
      <c r="AF1225">
        <v>0</v>
      </c>
      <c r="AG1225">
        <v>15.083333</v>
      </c>
      <c r="AH1225">
        <v>15.083333</v>
      </c>
      <c r="AI1225">
        <v>14.816666</v>
      </c>
      <c r="AJ1225">
        <v>0.26666699999999999</v>
      </c>
      <c r="AK1225">
        <v>0</v>
      </c>
      <c r="AL1225" s="76">
        <v>44854</v>
      </c>
      <c r="AM1225" s="75">
        <v>1287</v>
      </c>
      <c r="AN1225" t="s">
        <v>65</v>
      </c>
      <c r="AO1225" t="s">
        <v>5296</v>
      </c>
      <c r="AP1225" t="s">
        <v>67</v>
      </c>
      <c r="AQ1225" t="s">
        <v>68</v>
      </c>
      <c r="AR1225" t="s">
        <v>69</v>
      </c>
      <c r="AT1225" s="82" t="s">
        <v>5098</v>
      </c>
      <c r="AU1225" s="78">
        <v>2026</v>
      </c>
      <c r="AV1225" s="78">
        <v>4</v>
      </c>
      <c r="AW1225" s="78" t="s">
        <v>71</v>
      </c>
      <c r="AX1225" s="78">
        <v>0</v>
      </c>
      <c r="AY1225" s="78">
        <v>0</v>
      </c>
      <c r="BT1225" t="s">
        <v>71</v>
      </c>
      <c r="BU1225">
        <v>0</v>
      </c>
      <c r="BV1225">
        <v>0</v>
      </c>
    </row>
    <row r="1226" spans="1:74" x14ac:dyDescent="0.25">
      <c r="A1226" s="75">
        <v>5940483</v>
      </c>
      <c r="B1226" t="s">
        <v>5297</v>
      </c>
      <c r="C1226" t="s">
        <v>5298</v>
      </c>
      <c r="D1226" t="s">
        <v>1555</v>
      </c>
      <c r="E1226" t="s">
        <v>54</v>
      </c>
      <c r="F1226" s="75">
        <v>5</v>
      </c>
      <c r="G1226" s="75">
        <v>252143</v>
      </c>
      <c r="H1226">
        <v>1250</v>
      </c>
      <c r="I1226" t="s">
        <v>55</v>
      </c>
      <c r="J1226" s="75">
        <v>203737</v>
      </c>
      <c r="K1226" t="s">
        <v>1730</v>
      </c>
      <c r="L1226" t="s">
        <v>1731</v>
      </c>
      <c r="M1226" s="81">
        <v>46142.313923611109</v>
      </c>
      <c r="N1226" s="81">
        <v>46142.724652777782</v>
      </c>
      <c r="O1226" t="s">
        <v>58</v>
      </c>
      <c r="P1226" t="s">
        <v>59</v>
      </c>
      <c r="Q1226" t="s">
        <v>130</v>
      </c>
      <c r="R1226" t="s">
        <v>60</v>
      </c>
      <c r="S1226" t="s">
        <v>1543</v>
      </c>
      <c r="U1226" s="75">
        <v>244885</v>
      </c>
      <c r="V1226" t="s">
        <v>5299</v>
      </c>
      <c r="W1226" t="s">
        <v>5299</v>
      </c>
      <c r="X1226" t="s">
        <v>79</v>
      </c>
      <c r="Y1226" t="s">
        <v>224</v>
      </c>
      <c r="AA1226" t="s">
        <v>81</v>
      </c>
      <c r="AB1226">
        <v>9.8000000000000007</v>
      </c>
      <c r="AC1226">
        <v>5.5666669999999998</v>
      </c>
      <c r="AD1226">
        <v>4.233333</v>
      </c>
      <c r="AE1226">
        <v>0.36666700000000002</v>
      </c>
      <c r="AF1226">
        <v>0</v>
      </c>
      <c r="AG1226">
        <v>3.8666659999999999</v>
      </c>
      <c r="AH1226">
        <v>3.8666659999999999</v>
      </c>
      <c r="AI1226">
        <v>2.8833329999999999</v>
      </c>
      <c r="AJ1226">
        <v>0.98333300000000001</v>
      </c>
      <c r="AK1226">
        <v>0</v>
      </c>
      <c r="AL1226" s="76">
        <v>44725.699328703697</v>
      </c>
      <c r="AM1226" s="75">
        <v>1416</v>
      </c>
      <c r="AN1226" t="s">
        <v>65</v>
      </c>
      <c r="AO1226" t="s">
        <v>5300</v>
      </c>
      <c r="AP1226" t="s">
        <v>67</v>
      </c>
      <c r="AQ1226" t="s">
        <v>83</v>
      </c>
      <c r="AR1226" t="s">
        <v>69</v>
      </c>
      <c r="AT1226" s="82" t="s">
        <v>5098</v>
      </c>
      <c r="AU1226" s="78">
        <v>2026</v>
      </c>
      <c r="AV1226" s="78">
        <v>4</v>
      </c>
      <c r="AW1226" s="78" t="s">
        <v>226</v>
      </c>
      <c r="AX1226" s="78">
        <v>1</v>
      </c>
      <c r="AY1226" s="78">
        <v>0</v>
      </c>
      <c r="BT1226" t="s">
        <v>226</v>
      </c>
      <c r="BU1226">
        <v>1</v>
      </c>
      <c r="BV1226">
        <v>0</v>
      </c>
    </row>
    <row r="1227" spans="1:74" x14ac:dyDescent="0.25">
      <c r="A1227" s="75">
        <v>5939165</v>
      </c>
      <c r="B1227" t="s">
        <v>5301</v>
      </c>
      <c r="C1227" t="s">
        <v>5302</v>
      </c>
      <c r="D1227" t="s">
        <v>1555</v>
      </c>
      <c r="E1227" t="s">
        <v>54</v>
      </c>
      <c r="F1227" s="75">
        <v>63</v>
      </c>
      <c r="G1227" s="75">
        <v>248301</v>
      </c>
      <c r="H1227">
        <v>300</v>
      </c>
      <c r="I1227" t="s">
        <v>55</v>
      </c>
      <c r="J1227" s="75">
        <v>13955</v>
      </c>
      <c r="K1227" t="s">
        <v>75</v>
      </c>
      <c r="L1227" t="s">
        <v>76</v>
      </c>
      <c r="M1227" s="81">
        <v>46141.435393518521</v>
      </c>
      <c r="N1227" s="81">
        <v>46142.726898148147</v>
      </c>
      <c r="O1227" t="s">
        <v>58</v>
      </c>
      <c r="P1227" t="s">
        <v>59</v>
      </c>
      <c r="Q1227" t="s">
        <v>77</v>
      </c>
      <c r="R1227" t="s">
        <v>156</v>
      </c>
      <c r="S1227" t="s">
        <v>1320</v>
      </c>
      <c r="U1227" s="75">
        <v>244115</v>
      </c>
      <c r="V1227" t="s">
        <v>5303</v>
      </c>
      <c r="W1227" t="s">
        <v>5303</v>
      </c>
      <c r="X1227" t="s">
        <v>62</v>
      </c>
      <c r="Y1227" t="s">
        <v>63</v>
      </c>
      <c r="AA1227" t="s">
        <v>101</v>
      </c>
      <c r="AB1227">
        <v>30.883333</v>
      </c>
      <c r="AC1227">
        <v>20.400001</v>
      </c>
      <c r="AD1227">
        <v>10.483332000000001</v>
      </c>
      <c r="AE1227">
        <v>1.0666659999999999</v>
      </c>
      <c r="AF1227">
        <v>0</v>
      </c>
      <c r="AG1227">
        <v>9.4166659999999993</v>
      </c>
      <c r="AH1227">
        <v>9.4166659999999993</v>
      </c>
      <c r="AI1227">
        <v>9.1666659999999993</v>
      </c>
      <c r="AJ1227">
        <v>0.25</v>
      </c>
      <c r="AK1227">
        <v>0</v>
      </c>
      <c r="AL1227" s="76">
        <v>44545</v>
      </c>
      <c r="AM1227" s="75">
        <v>1596</v>
      </c>
      <c r="AN1227" t="s">
        <v>65</v>
      </c>
      <c r="AO1227" t="s">
        <v>5304</v>
      </c>
      <c r="AP1227" t="s">
        <v>67</v>
      </c>
      <c r="AQ1227" t="s">
        <v>68</v>
      </c>
      <c r="AR1227" t="s">
        <v>69</v>
      </c>
      <c r="AT1227" s="82" t="s">
        <v>5098</v>
      </c>
      <c r="AU1227" s="78">
        <v>2026</v>
      </c>
      <c r="AV1227" s="78">
        <v>4</v>
      </c>
      <c r="AW1227" s="78" t="s">
        <v>71</v>
      </c>
      <c r="AX1227" s="78">
        <v>0</v>
      </c>
      <c r="AY1227" s="78">
        <v>0</v>
      </c>
      <c r="BT1227" t="s">
        <v>71</v>
      </c>
      <c r="BU1227">
        <v>0</v>
      </c>
      <c r="BV1227">
        <v>0</v>
      </c>
    </row>
    <row r="1228" spans="1:74" x14ac:dyDescent="0.25">
      <c r="A1228" s="75">
        <v>5940869</v>
      </c>
      <c r="B1228" t="s">
        <v>5305</v>
      </c>
      <c r="C1228" t="s">
        <v>5306</v>
      </c>
      <c r="D1228" t="s">
        <v>527</v>
      </c>
      <c r="E1228" t="s">
        <v>87</v>
      </c>
      <c r="F1228" s="75">
        <v>1</v>
      </c>
      <c r="G1228" s="75">
        <v>327539</v>
      </c>
      <c r="H1228">
        <v>4000</v>
      </c>
      <c r="I1228" t="s">
        <v>141</v>
      </c>
      <c r="J1228" s="75">
        <v>224599</v>
      </c>
      <c r="K1228" t="s">
        <v>5307</v>
      </c>
      <c r="L1228" t="s">
        <v>5308</v>
      </c>
      <c r="M1228" s="81">
        <v>46142.440868055557</v>
      </c>
      <c r="N1228" s="81">
        <v>46143.342534722222</v>
      </c>
      <c r="O1228" t="s">
        <v>58</v>
      </c>
      <c r="P1228" t="s">
        <v>59</v>
      </c>
      <c r="Q1228" t="s">
        <v>130</v>
      </c>
      <c r="R1228" t="s">
        <v>99</v>
      </c>
      <c r="S1228" t="s">
        <v>1244</v>
      </c>
      <c r="U1228" s="75">
        <v>245197</v>
      </c>
      <c r="V1228" t="s">
        <v>5309</v>
      </c>
      <c r="X1228" t="s">
        <v>62</v>
      </c>
      <c r="Y1228" t="s">
        <v>63</v>
      </c>
      <c r="AA1228" t="s">
        <v>64</v>
      </c>
      <c r="AB1228">
        <v>21.6</v>
      </c>
      <c r="AC1228">
        <v>15.433332999999999</v>
      </c>
      <c r="AD1228">
        <v>6.1666670000000003</v>
      </c>
      <c r="AE1228">
        <v>3.3333000000000002E-2</v>
      </c>
      <c r="AF1228">
        <v>0</v>
      </c>
      <c r="AG1228">
        <v>6.1333339999999996</v>
      </c>
      <c r="AH1228">
        <v>6.1333339999999996</v>
      </c>
      <c r="AI1228">
        <v>4.8666669999999996</v>
      </c>
      <c r="AJ1228">
        <v>1.266667</v>
      </c>
      <c r="AK1228">
        <v>0</v>
      </c>
      <c r="AL1228" s="76">
        <v>45582</v>
      </c>
      <c r="AM1228" s="75">
        <v>560</v>
      </c>
      <c r="AN1228" t="s">
        <v>65</v>
      </c>
      <c r="AO1228" t="s">
        <v>5310</v>
      </c>
      <c r="AP1228" t="s">
        <v>67</v>
      </c>
      <c r="AQ1228" t="s">
        <v>68</v>
      </c>
      <c r="AR1228" t="s">
        <v>69</v>
      </c>
      <c r="AT1228" s="82" t="s">
        <v>5098</v>
      </c>
      <c r="AU1228" s="78">
        <v>2026</v>
      </c>
      <c r="AV1228" s="78">
        <v>5</v>
      </c>
      <c r="AW1228" s="78" t="s">
        <v>71</v>
      </c>
      <c r="AX1228" s="78">
        <v>1</v>
      </c>
      <c r="AY1228" s="78">
        <v>0</v>
      </c>
      <c r="BT1228" t="s">
        <v>71</v>
      </c>
      <c r="BU1228">
        <v>1</v>
      </c>
      <c r="BV1228">
        <v>0</v>
      </c>
    </row>
    <row r="1229" spans="1:74" x14ac:dyDescent="0.25">
      <c r="A1229" s="75">
        <v>5934705</v>
      </c>
      <c r="B1229" t="s">
        <v>5311</v>
      </c>
      <c r="C1229" t="s">
        <v>5312</v>
      </c>
      <c r="D1229" t="s">
        <v>1052</v>
      </c>
      <c r="E1229" t="s">
        <v>126</v>
      </c>
      <c r="F1229" s="75">
        <v>1</v>
      </c>
      <c r="G1229" s="75">
        <v>331131</v>
      </c>
      <c r="H1229">
        <v>10000</v>
      </c>
      <c r="I1229" t="s">
        <v>141</v>
      </c>
      <c r="J1229" s="75">
        <v>225725</v>
      </c>
      <c r="K1229" t="s">
        <v>5313</v>
      </c>
      <c r="L1229" t="s">
        <v>5314</v>
      </c>
      <c r="M1229" s="81">
        <v>46137.8440625</v>
      </c>
      <c r="N1229" s="81">
        <v>46143.735277777778</v>
      </c>
      <c r="O1229" t="s">
        <v>475</v>
      </c>
      <c r="P1229" t="s">
        <v>59</v>
      </c>
      <c r="Q1229" t="s">
        <v>130</v>
      </c>
      <c r="R1229" t="s">
        <v>60</v>
      </c>
      <c r="S1229" t="s">
        <v>583</v>
      </c>
      <c r="U1229" s="75">
        <v>241857</v>
      </c>
      <c r="V1229" t="s">
        <v>5315</v>
      </c>
      <c r="X1229" t="s">
        <v>118</v>
      </c>
      <c r="Y1229" t="s">
        <v>2376</v>
      </c>
      <c r="AA1229" t="s">
        <v>295</v>
      </c>
      <c r="AB1229">
        <v>141.29999900000001</v>
      </c>
      <c r="AC1229">
        <v>88.249999000000003</v>
      </c>
      <c r="AD1229">
        <v>53.05</v>
      </c>
      <c r="AE1229">
        <v>0.53333299999999995</v>
      </c>
      <c r="AF1229">
        <v>0</v>
      </c>
      <c r="AG1229">
        <v>52.516666999999998</v>
      </c>
      <c r="AH1229">
        <v>52.516666999999998</v>
      </c>
      <c r="AI1229">
        <v>50.6</v>
      </c>
      <c r="AJ1229">
        <v>1.9166669999999999</v>
      </c>
      <c r="AK1229">
        <v>0</v>
      </c>
      <c r="AL1229" s="76">
        <v>45666.700787037043</v>
      </c>
      <c r="AM1229" s="75">
        <v>471</v>
      </c>
      <c r="AN1229" t="s">
        <v>65</v>
      </c>
      <c r="AO1229" t="s">
        <v>5316</v>
      </c>
      <c r="AP1229" t="s">
        <v>67</v>
      </c>
      <c r="AQ1229" t="s">
        <v>121</v>
      </c>
      <c r="AR1229" t="s">
        <v>69</v>
      </c>
      <c r="AT1229" s="82" t="s">
        <v>5098</v>
      </c>
      <c r="AU1229" s="78">
        <v>2026</v>
      </c>
      <c r="AV1229" s="78">
        <v>5</v>
      </c>
      <c r="AW1229" s="78" t="s">
        <v>347</v>
      </c>
      <c r="AX1229" s="78">
        <v>0</v>
      </c>
      <c r="AY1229" s="78">
        <v>1</v>
      </c>
      <c r="BT1229" t="s">
        <v>347</v>
      </c>
      <c r="BU1229">
        <v>0</v>
      </c>
      <c r="BV1229">
        <v>1</v>
      </c>
    </row>
    <row r="1230" spans="1:74" x14ac:dyDescent="0.25">
      <c r="A1230" s="75">
        <v>5942119</v>
      </c>
      <c r="B1230" t="s">
        <v>5317</v>
      </c>
      <c r="C1230" t="s">
        <v>5318</v>
      </c>
      <c r="D1230" t="s">
        <v>1052</v>
      </c>
      <c r="E1230" t="s">
        <v>105</v>
      </c>
      <c r="F1230" s="75">
        <v>860</v>
      </c>
      <c r="G1230" s="75">
        <v>326509</v>
      </c>
      <c r="H1230">
        <v>1050.01</v>
      </c>
      <c r="I1230" t="s">
        <v>55</v>
      </c>
      <c r="J1230" s="75">
        <v>82709</v>
      </c>
      <c r="K1230" t="s">
        <v>683</v>
      </c>
      <c r="L1230" t="s">
        <v>684</v>
      </c>
      <c r="M1230" s="81">
        <v>46143.431284722217</v>
      </c>
      <c r="N1230" s="81">
        <v>46143.933703703697</v>
      </c>
      <c r="O1230" t="s">
        <v>58</v>
      </c>
      <c r="P1230" t="s">
        <v>59</v>
      </c>
      <c r="Q1230" t="s">
        <v>90</v>
      </c>
      <c r="R1230" t="s">
        <v>60</v>
      </c>
      <c r="S1230" t="s">
        <v>583</v>
      </c>
      <c r="U1230" s="75">
        <v>245733</v>
      </c>
      <c r="V1230" t="s">
        <v>5319</v>
      </c>
      <c r="W1230" t="s">
        <v>5319</v>
      </c>
      <c r="X1230" t="s">
        <v>79</v>
      </c>
      <c r="Y1230" t="s">
        <v>110</v>
      </c>
      <c r="AA1230" t="s">
        <v>101</v>
      </c>
      <c r="AB1230">
        <v>12.000000999999999</v>
      </c>
      <c r="AC1230">
        <v>0.91666700000000001</v>
      </c>
      <c r="AD1230">
        <v>11.083334000000001</v>
      </c>
      <c r="AE1230">
        <v>0.36666700000000002</v>
      </c>
      <c r="AF1230">
        <v>0</v>
      </c>
      <c r="AG1230">
        <v>10.716666999999999</v>
      </c>
      <c r="AH1230">
        <v>10.716666999999999</v>
      </c>
      <c r="AI1230">
        <v>10.65</v>
      </c>
      <c r="AJ1230">
        <v>6.6667000000000004E-2</v>
      </c>
      <c r="AK1230">
        <v>0</v>
      </c>
      <c r="AL1230" s="76">
        <v>45626.000011574077</v>
      </c>
      <c r="AM1230" s="75">
        <v>517</v>
      </c>
      <c r="AN1230" t="s">
        <v>65</v>
      </c>
      <c r="AO1230" t="s">
        <v>686</v>
      </c>
      <c r="AP1230" t="s">
        <v>67</v>
      </c>
      <c r="AQ1230" t="s">
        <v>83</v>
      </c>
      <c r="AR1230" t="s">
        <v>69</v>
      </c>
      <c r="AT1230" s="82" t="s">
        <v>5098</v>
      </c>
      <c r="AU1230" s="78">
        <v>2026</v>
      </c>
      <c r="AV1230" s="78">
        <v>5</v>
      </c>
      <c r="AW1230" s="78" t="s">
        <v>84</v>
      </c>
      <c r="AX1230" s="78">
        <v>0</v>
      </c>
      <c r="AY1230" s="78">
        <v>0</v>
      </c>
      <c r="BT1230" t="s">
        <v>84</v>
      </c>
      <c r="BU1230">
        <v>0</v>
      </c>
      <c r="BV1230">
        <v>0</v>
      </c>
    </row>
    <row r="1231" spans="1:74" x14ac:dyDescent="0.25">
      <c r="A1231" s="75">
        <v>5939643</v>
      </c>
      <c r="B1231" t="s">
        <v>5320</v>
      </c>
      <c r="C1231" t="s">
        <v>264</v>
      </c>
      <c r="D1231" t="s">
        <v>527</v>
      </c>
      <c r="E1231" t="s">
        <v>126</v>
      </c>
      <c r="F1231" s="75">
        <v>1</v>
      </c>
      <c r="G1231" s="75">
        <v>269199</v>
      </c>
      <c r="H1231">
        <v>51000</v>
      </c>
      <c r="I1231" t="s">
        <v>266</v>
      </c>
      <c r="J1231" s="75">
        <v>213423</v>
      </c>
      <c r="K1231" t="s">
        <v>4980</v>
      </c>
      <c r="L1231" t="s">
        <v>4981</v>
      </c>
      <c r="M1231" s="81">
        <v>46141.63486111111</v>
      </c>
      <c r="N1231" s="81">
        <v>46144.624247685177</v>
      </c>
      <c r="O1231" t="s">
        <v>554</v>
      </c>
      <c r="P1231" t="s">
        <v>59</v>
      </c>
      <c r="Q1231" t="s">
        <v>130</v>
      </c>
      <c r="R1231" t="s">
        <v>131</v>
      </c>
      <c r="S1231" t="s">
        <v>1695</v>
      </c>
      <c r="U1231" s="75">
        <v>245679</v>
      </c>
      <c r="V1231" t="s">
        <v>5321</v>
      </c>
      <c r="X1231" t="s">
        <v>62</v>
      </c>
      <c r="Y1231" t="s">
        <v>271</v>
      </c>
      <c r="AA1231" t="s">
        <v>295</v>
      </c>
      <c r="AB1231">
        <v>71.549999</v>
      </c>
      <c r="AC1231">
        <v>41.066665999999998</v>
      </c>
      <c r="AD1231">
        <v>30.483332999999998</v>
      </c>
      <c r="AE1231">
        <v>2.8666670000000001</v>
      </c>
      <c r="AF1231">
        <v>0</v>
      </c>
      <c r="AG1231">
        <v>27.616665999999999</v>
      </c>
      <c r="AH1231">
        <v>27.616665999999999</v>
      </c>
      <c r="AI1231">
        <v>20.633333</v>
      </c>
      <c r="AJ1231">
        <v>6.983333</v>
      </c>
      <c r="AK1231">
        <v>5.25</v>
      </c>
      <c r="AL1231" s="76">
        <v>36526</v>
      </c>
      <c r="AM1231" s="75">
        <v>9615</v>
      </c>
      <c r="AN1231" t="s">
        <v>65</v>
      </c>
      <c r="AO1231" t="s">
        <v>4983</v>
      </c>
      <c r="AP1231" t="s">
        <v>67</v>
      </c>
      <c r="AQ1231" t="s">
        <v>68</v>
      </c>
      <c r="AR1231" t="s">
        <v>69</v>
      </c>
      <c r="AT1231" s="82" t="s">
        <v>5098</v>
      </c>
      <c r="AU1231" s="78">
        <v>2026</v>
      </c>
      <c r="AV1231" s="78">
        <v>5</v>
      </c>
      <c r="AW1231" s="78" t="s">
        <v>137</v>
      </c>
      <c r="AX1231" s="78">
        <v>0</v>
      </c>
      <c r="AY1231" s="78">
        <v>1</v>
      </c>
      <c r="BT1231" t="s">
        <v>137</v>
      </c>
      <c r="BU1231">
        <v>0</v>
      </c>
      <c r="BV1231">
        <v>1</v>
      </c>
    </row>
    <row r="1232" spans="1:74" x14ac:dyDescent="0.25">
      <c r="A1232" s="75">
        <v>5941381</v>
      </c>
      <c r="B1232" t="s">
        <v>5322</v>
      </c>
      <c r="C1232" t="s">
        <v>5323</v>
      </c>
      <c r="D1232" t="s">
        <v>527</v>
      </c>
      <c r="E1232" t="s">
        <v>126</v>
      </c>
      <c r="F1232" s="75">
        <v>2</v>
      </c>
      <c r="G1232" s="75">
        <v>271705</v>
      </c>
      <c r="H1232">
        <v>630.78</v>
      </c>
      <c r="I1232" t="s">
        <v>266</v>
      </c>
      <c r="J1232" s="75">
        <v>42451</v>
      </c>
      <c r="K1232" t="s">
        <v>4864</v>
      </c>
      <c r="L1232" t="s">
        <v>4865</v>
      </c>
      <c r="M1232" s="81">
        <v>46142.622129629628</v>
      </c>
      <c r="N1232" s="81">
        <v>46146.325150462973</v>
      </c>
      <c r="O1232" t="s">
        <v>58</v>
      </c>
      <c r="P1232" t="s">
        <v>59</v>
      </c>
      <c r="Q1232" t="s">
        <v>130</v>
      </c>
      <c r="R1232" t="s">
        <v>99</v>
      </c>
      <c r="S1232" t="s">
        <v>1244</v>
      </c>
      <c r="T1232" t="s">
        <v>342</v>
      </c>
      <c r="U1232" s="75">
        <v>245345</v>
      </c>
      <c r="V1232" t="s">
        <v>5324</v>
      </c>
      <c r="X1232" t="s">
        <v>118</v>
      </c>
      <c r="Y1232" t="s">
        <v>1720</v>
      </c>
      <c r="AA1232" t="s">
        <v>295</v>
      </c>
      <c r="AB1232">
        <v>88.799999</v>
      </c>
      <c r="AC1232">
        <v>47.216667000000001</v>
      </c>
      <c r="AD1232">
        <v>41.583331999999999</v>
      </c>
      <c r="AE1232">
        <v>6.6667000000000004E-2</v>
      </c>
      <c r="AF1232">
        <v>0</v>
      </c>
      <c r="AG1232">
        <v>41.516665000000003</v>
      </c>
      <c r="AH1232">
        <v>41.516665000000003</v>
      </c>
      <c r="AI1232">
        <v>41.349998999999997</v>
      </c>
      <c r="AJ1232">
        <v>0.16666600000000001</v>
      </c>
      <c r="AK1232">
        <v>0</v>
      </c>
      <c r="AL1232" s="76">
        <v>36526</v>
      </c>
      <c r="AM1232" s="75">
        <v>9616</v>
      </c>
      <c r="AN1232" t="s">
        <v>65</v>
      </c>
      <c r="AO1232" t="s">
        <v>5325</v>
      </c>
      <c r="AP1232" t="s">
        <v>67</v>
      </c>
      <c r="AQ1232" t="s">
        <v>121</v>
      </c>
      <c r="AR1232" t="s">
        <v>69</v>
      </c>
      <c r="AT1232" s="82" t="s">
        <v>5326</v>
      </c>
      <c r="AU1232" s="78">
        <v>2026</v>
      </c>
      <c r="AV1232" s="78">
        <v>5</v>
      </c>
      <c r="AW1232" s="78" t="s">
        <v>347</v>
      </c>
      <c r="AX1232" s="78">
        <v>0</v>
      </c>
      <c r="AY1232" s="78">
        <v>1</v>
      </c>
      <c r="BT1232" t="s">
        <v>347</v>
      </c>
      <c r="BU1232">
        <v>0</v>
      </c>
      <c r="BV1232">
        <v>1</v>
      </c>
    </row>
    <row r="1233" spans="1:74" x14ac:dyDescent="0.25">
      <c r="A1233" s="75">
        <v>5942071</v>
      </c>
      <c r="B1233" t="s">
        <v>5327</v>
      </c>
      <c r="C1233" t="s">
        <v>5328</v>
      </c>
      <c r="D1233" t="s">
        <v>527</v>
      </c>
      <c r="E1233" t="s">
        <v>105</v>
      </c>
      <c r="F1233" s="75">
        <v>122</v>
      </c>
      <c r="G1233" s="75">
        <v>324995</v>
      </c>
      <c r="H1233">
        <v>650</v>
      </c>
      <c r="I1233" t="s">
        <v>55</v>
      </c>
      <c r="J1233" s="75">
        <v>225215</v>
      </c>
      <c r="K1233" t="s">
        <v>106</v>
      </c>
      <c r="L1233" t="s">
        <v>107</v>
      </c>
      <c r="M1233" s="81">
        <v>46143.403090277781</v>
      </c>
      <c r="N1233" s="81">
        <v>46146.327476851853</v>
      </c>
      <c r="O1233" t="s">
        <v>58</v>
      </c>
      <c r="P1233" t="s">
        <v>59</v>
      </c>
      <c r="Q1233" t="s">
        <v>90</v>
      </c>
      <c r="R1233" t="s">
        <v>60</v>
      </c>
      <c r="S1233" t="s">
        <v>583</v>
      </c>
      <c r="U1233" s="75">
        <v>245725</v>
      </c>
      <c r="V1233" t="s">
        <v>5329</v>
      </c>
      <c r="W1233" t="s">
        <v>5329</v>
      </c>
      <c r="X1233" t="s">
        <v>79</v>
      </c>
      <c r="Y1233" t="s">
        <v>110</v>
      </c>
      <c r="AA1233" t="s">
        <v>101</v>
      </c>
      <c r="AB1233">
        <v>70.133332999999993</v>
      </c>
      <c r="AC1233">
        <v>58.683332999999998</v>
      </c>
      <c r="AD1233">
        <v>11.45</v>
      </c>
      <c r="AE1233">
        <v>0.216667</v>
      </c>
      <c r="AF1233">
        <v>0</v>
      </c>
      <c r="AG1233">
        <v>11.233333</v>
      </c>
      <c r="AH1233">
        <v>11.233333</v>
      </c>
      <c r="AI1233">
        <v>11.216666</v>
      </c>
      <c r="AJ1233">
        <v>1.6667000000000001E-2</v>
      </c>
      <c r="AK1233">
        <v>0</v>
      </c>
      <c r="AL1233" s="76">
        <v>45573.576226851852</v>
      </c>
      <c r="AM1233" s="75">
        <v>569</v>
      </c>
      <c r="AN1233" t="s">
        <v>65</v>
      </c>
      <c r="AO1233" t="s">
        <v>111</v>
      </c>
      <c r="AP1233" t="s">
        <v>67</v>
      </c>
      <c r="AQ1233" t="s">
        <v>83</v>
      </c>
      <c r="AR1233" t="s">
        <v>69</v>
      </c>
      <c r="AT1233" s="82" t="s">
        <v>5326</v>
      </c>
      <c r="AU1233" s="78">
        <v>2026</v>
      </c>
      <c r="AV1233" s="78">
        <v>5</v>
      </c>
      <c r="AW1233" s="78" t="s">
        <v>84</v>
      </c>
      <c r="AX1233" s="78">
        <v>0</v>
      </c>
      <c r="AY1233" s="78">
        <v>0</v>
      </c>
      <c r="BT1233" t="s">
        <v>84</v>
      </c>
      <c r="BU1233">
        <v>0</v>
      </c>
      <c r="BV1233">
        <v>0</v>
      </c>
    </row>
    <row r="1234" spans="1:74" x14ac:dyDescent="0.25">
      <c r="A1234" s="75">
        <v>5943149</v>
      </c>
      <c r="B1234" t="s">
        <v>5330</v>
      </c>
      <c r="C1234" t="s">
        <v>4018</v>
      </c>
      <c r="D1234" t="s">
        <v>150</v>
      </c>
      <c r="E1234" t="s">
        <v>87</v>
      </c>
      <c r="F1234" s="75">
        <v>53</v>
      </c>
      <c r="G1234" s="75">
        <v>280229</v>
      </c>
      <c r="H1234">
        <v>926.83</v>
      </c>
      <c r="I1234" t="s">
        <v>266</v>
      </c>
      <c r="J1234" s="75">
        <v>201809</v>
      </c>
      <c r="K1234" t="s">
        <v>505</v>
      </c>
      <c r="L1234" t="s">
        <v>506</v>
      </c>
      <c r="M1234" s="81">
        <v>46145.430937500001</v>
      </c>
      <c r="N1234" s="81">
        <v>46146.605995370373</v>
      </c>
      <c r="O1234" t="s">
        <v>58</v>
      </c>
      <c r="P1234" t="s">
        <v>59</v>
      </c>
      <c r="Q1234" t="s">
        <v>90</v>
      </c>
      <c r="R1234" t="s">
        <v>99</v>
      </c>
      <c r="S1234" t="s">
        <v>1375</v>
      </c>
      <c r="T1234" t="s">
        <v>4019</v>
      </c>
      <c r="U1234" s="75">
        <v>246343</v>
      </c>
      <c r="V1234" t="s">
        <v>5331</v>
      </c>
      <c r="W1234" t="s">
        <v>5331</v>
      </c>
      <c r="X1234" t="s">
        <v>62</v>
      </c>
      <c r="Y1234" t="s">
        <v>4021</v>
      </c>
      <c r="AA1234" t="s">
        <v>64</v>
      </c>
      <c r="AB1234">
        <v>28.116667</v>
      </c>
      <c r="AC1234">
        <v>22.533332999999999</v>
      </c>
      <c r="AD1234">
        <v>5.5833339999999998</v>
      </c>
      <c r="AE1234">
        <v>0.93333299999999997</v>
      </c>
      <c r="AF1234">
        <v>0</v>
      </c>
      <c r="AG1234">
        <v>4.6500009999999996</v>
      </c>
      <c r="AH1234">
        <v>4.6500009999999996</v>
      </c>
      <c r="AI1234">
        <v>4.533334</v>
      </c>
      <c r="AJ1234">
        <v>0.11666700000000001</v>
      </c>
      <c r="AK1234">
        <v>0</v>
      </c>
      <c r="AL1234" s="76">
        <v>44399</v>
      </c>
      <c r="AM1234" s="75">
        <v>1746</v>
      </c>
      <c r="AN1234" t="s">
        <v>65</v>
      </c>
      <c r="AO1234" t="s">
        <v>4022</v>
      </c>
      <c r="AP1234" t="s">
        <v>67</v>
      </c>
      <c r="AQ1234" t="s">
        <v>68</v>
      </c>
      <c r="AR1234" t="s">
        <v>69</v>
      </c>
      <c r="AT1234" s="82" t="s">
        <v>5326</v>
      </c>
      <c r="AU1234" s="78">
        <v>2026</v>
      </c>
      <c r="AV1234" s="78">
        <v>5</v>
      </c>
      <c r="AW1234" s="78" t="s">
        <v>137</v>
      </c>
      <c r="AX1234" s="78">
        <v>1</v>
      </c>
      <c r="AY1234" s="78">
        <v>0</v>
      </c>
      <c r="BT1234" t="s">
        <v>137</v>
      </c>
      <c r="BU1234">
        <v>1</v>
      </c>
      <c r="BV1234">
        <v>0</v>
      </c>
    </row>
    <row r="1235" spans="1:74" x14ac:dyDescent="0.25">
      <c r="A1235" s="75">
        <v>5942501</v>
      </c>
      <c r="B1235" t="s">
        <v>5332</v>
      </c>
      <c r="C1235" t="s">
        <v>5333</v>
      </c>
      <c r="D1235" t="s">
        <v>809</v>
      </c>
      <c r="E1235" t="s">
        <v>126</v>
      </c>
      <c r="F1235" s="75">
        <v>3</v>
      </c>
      <c r="G1235" s="75">
        <v>336027</v>
      </c>
      <c r="H1235">
        <v>5000</v>
      </c>
      <c r="I1235" t="s">
        <v>175</v>
      </c>
      <c r="J1235" s="75">
        <v>226775</v>
      </c>
      <c r="K1235" t="s">
        <v>4874</v>
      </c>
      <c r="L1235" t="s">
        <v>4875</v>
      </c>
      <c r="M1235" s="81">
        <v>46143.729629629634</v>
      </c>
      <c r="N1235" s="81">
        <v>46146.640196759261</v>
      </c>
      <c r="O1235" t="s">
        <v>475</v>
      </c>
      <c r="P1235" t="s">
        <v>59</v>
      </c>
      <c r="Q1235" t="s">
        <v>130</v>
      </c>
      <c r="R1235" t="s">
        <v>99</v>
      </c>
      <c r="S1235" t="s">
        <v>1244</v>
      </c>
      <c r="U1235" s="75">
        <v>245873</v>
      </c>
      <c r="V1235" t="s">
        <v>5334</v>
      </c>
      <c r="X1235" t="s">
        <v>118</v>
      </c>
      <c r="Y1235" t="s">
        <v>484</v>
      </c>
      <c r="AA1235" t="s">
        <v>81</v>
      </c>
      <c r="AB1235">
        <v>69.783334999999994</v>
      </c>
      <c r="AC1235">
        <v>68.600001000000006</v>
      </c>
      <c r="AD1235">
        <v>1.1833340000000001</v>
      </c>
      <c r="AE1235">
        <v>0.1</v>
      </c>
      <c r="AF1235">
        <v>0</v>
      </c>
      <c r="AG1235">
        <v>1.083334</v>
      </c>
      <c r="AH1235">
        <v>1.083334</v>
      </c>
      <c r="AI1235">
        <v>0.8</v>
      </c>
      <c r="AJ1235">
        <v>0.28333399999999997</v>
      </c>
      <c r="AK1235">
        <v>0</v>
      </c>
      <c r="AL1235" s="76">
        <v>45777.601921296293</v>
      </c>
      <c r="AM1235" s="75">
        <v>366</v>
      </c>
      <c r="AN1235" t="s">
        <v>65</v>
      </c>
      <c r="AO1235" t="s">
        <v>4877</v>
      </c>
      <c r="AP1235" t="s">
        <v>67</v>
      </c>
      <c r="AQ1235" t="s">
        <v>121</v>
      </c>
      <c r="AR1235" t="s">
        <v>69</v>
      </c>
      <c r="AT1235" s="82" t="s">
        <v>5326</v>
      </c>
      <c r="AU1235" s="78">
        <v>2026</v>
      </c>
      <c r="AV1235" s="78">
        <v>5</v>
      </c>
      <c r="AW1235" s="78" t="s">
        <v>347</v>
      </c>
      <c r="AX1235" s="78">
        <v>1</v>
      </c>
      <c r="AY1235" s="78">
        <v>0</v>
      </c>
      <c r="BT1235" t="s">
        <v>347</v>
      </c>
      <c r="BU1235">
        <v>1</v>
      </c>
      <c r="BV1235">
        <v>0</v>
      </c>
    </row>
    <row r="1236" spans="1:74" x14ac:dyDescent="0.25">
      <c r="A1236" s="75">
        <v>5945077</v>
      </c>
      <c r="B1236" t="s">
        <v>5335</v>
      </c>
      <c r="C1236" t="s">
        <v>459</v>
      </c>
      <c r="D1236" t="s">
        <v>3560</v>
      </c>
      <c r="E1236" t="s">
        <v>87</v>
      </c>
      <c r="F1236" s="75">
        <v>299</v>
      </c>
      <c r="G1236" s="75">
        <v>285731</v>
      </c>
      <c r="H1236">
        <v>512.08000000000004</v>
      </c>
      <c r="I1236" t="s">
        <v>266</v>
      </c>
      <c r="J1236" s="75">
        <v>49495</v>
      </c>
      <c r="K1236" t="s">
        <v>460</v>
      </c>
      <c r="L1236" t="s">
        <v>461</v>
      </c>
      <c r="M1236" s="81">
        <v>46146.611481481479</v>
      </c>
      <c r="N1236" s="81">
        <v>46146.731377314813</v>
      </c>
      <c r="O1236" t="s">
        <v>277</v>
      </c>
      <c r="P1236" t="s">
        <v>59</v>
      </c>
      <c r="Q1236" t="s">
        <v>90</v>
      </c>
      <c r="R1236" t="s">
        <v>99</v>
      </c>
      <c r="S1236" t="s">
        <v>1244</v>
      </c>
      <c r="U1236" s="75">
        <v>247099</v>
      </c>
      <c r="V1236" t="s">
        <v>5336</v>
      </c>
      <c r="X1236" t="s">
        <v>62</v>
      </c>
      <c r="Y1236" t="s">
        <v>63</v>
      </c>
      <c r="AA1236" t="s">
        <v>81</v>
      </c>
      <c r="AB1236">
        <v>2.85</v>
      </c>
      <c r="AC1236">
        <v>0</v>
      </c>
      <c r="AD1236">
        <v>2.85</v>
      </c>
      <c r="AE1236">
        <v>0.183334</v>
      </c>
      <c r="AF1236">
        <v>0</v>
      </c>
      <c r="AG1236">
        <v>2.6666660000000002</v>
      </c>
      <c r="AI1236">
        <v>2.6333329999999999</v>
      </c>
      <c r="AJ1236">
        <v>3.3333000000000002E-2</v>
      </c>
      <c r="AK1236">
        <v>0</v>
      </c>
      <c r="AL1236" s="76">
        <v>44862</v>
      </c>
      <c r="AM1236" s="75">
        <v>1284</v>
      </c>
      <c r="AN1236" t="s">
        <v>65</v>
      </c>
      <c r="AO1236" t="s">
        <v>462</v>
      </c>
      <c r="AP1236" t="s">
        <v>67</v>
      </c>
      <c r="AQ1236" t="s">
        <v>68</v>
      </c>
      <c r="AR1236" t="s">
        <v>69</v>
      </c>
      <c r="AT1236" s="82" t="s">
        <v>5326</v>
      </c>
      <c r="AU1236" s="78">
        <v>2026</v>
      </c>
      <c r="AV1236" s="78">
        <v>5</v>
      </c>
      <c r="AW1236" s="78" t="s">
        <v>71</v>
      </c>
      <c r="AX1236" s="78">
        <v>1</v>
      </c>
      <c r="AY1236" s="78">
        <v>0</v>
      </c>
      <c r="BT1236" t="s">
        <v>71</v>
      </c>
      <c r="BU1236">
        <v>1</v>
      </c>
      <c r="BV1236">
        <v>0</v>
      </c>
    </row>
    <row r="1237" spans="1:74" x14ac:dyDescent="0.25">
      <c r="A1237" s="75">
        <v>5943673</v>
      </c>
      <c r="B1237" t="s">
        <v>5337</v>
      </c>
      <c r="C1237" t="s">
        <v>5338</v>
      </c>
      <c r="D1237" t="s">
        <v>1052</v>
      </c>
      <c r="E1237" t="s">
        <v>126</v>
      </c>
      <c r="F1237" s="75">
        <v>1</v>
      </c>
      <c r="G1237" s="75">
        <v>286897</v>
      </c>
      <c r="H1237">
        <v>0.01</v>
      </c>
      <c r="I1237" t="s">
        <v>1405</v>
      </c>
      <c r="J1237" s="75">
        <v>211847</v>
      </c>
      <c r="K1237" t="s">
        <v>5339</v>
      </c>
      <c r="L1237" t="s">
        <v>5340</v>
      </c>
      <c r="M1237" s="81">
        <v>46146.357789351852</v>
      </c>
      <c r="N1237" s="81">
        <v>46146.861226851863</v>
      </c>
      <c r="O1237" t="s">
        <v>58</v>
      </c>
      <c r="P1237" t="s">
        <v>59</v>
      </c>
      <c r="Q1237" t="s">
        <v>130</v>
      </c>
      <c r="R1237" t="s">
        <v>99</v>
      </c>
      <c r="S1237" t="s">
        <v>1375</v>
      </c>
      <c r="U1237" s="75">
        <v>246595</v>
      </c>
      <c r="V1237" t="s">
        <v>5341</v>
      </c>
      <c r="X1237" t="s">
        <v>118</v>
      </c>
      <c r="Y1237" t="s">
        <v>484</v>
      </c>
      <c r="AA1237" t="s">
        <v>101</v>
      </c>
      <c r="AB1237">
        <v>12.016667</v>
      </c>
      <c r="AC1237">
        <v>0.466667</v>
      </c>
      <c r="AD1237">
        <v>11.55</v>
      </c>
      <c r="AE1237">
        <v>0.05</v>
      </c>
      <c r="AF1237">
        <v>0</v>
      </c>
      <c r="AG1237">
        <v>11.5</v>
      </c>
      <c r="AH1237">
        <v>11.5</v>
      </c>
      <c r="AI1237">
        <v>11.416667</v>
      </c>
      <c r="AJ1237">
        <v>8.3333000000000004E-2</v>
      </c>
      <c r="AK1237">
        <v>0</v>
      </c>
      <c r="AL1237" s="76">
        <v>44998.707743055558</v>
      </c>
      <c r="AM1237" s="75">
        <v>1147</v>
      </c>
      <c r="AN1237" t="s">
        <v>65</v>
      </c>
      <c r="AO1237" t="s">
        <v>5342</v>
      </c>
      <c r="AP1237" t="s">
        <v>67</v>
      </c>
      <c r="AQ1237" t="s">
        <v>121</v>
      </c>
      <c r="AR1237" t="s">
        <v>69</v>
      </c>
      <c r="AT1237" s="82" t="s">
        <v>5326</v>
      </c>
      <c r="AU1237" s="78">
        <v>2026</v>
      </c>
      <c r="AV1237" s="78">
        <v>5</v>
      </c>
      <c r="AW1237" s="78" t="s">
        <v>347</v>
      </c>
      <c r="AX1237" s="78">
        <v>0</v>
      </c>
      <c r="AY1237" s="78">
        <v>0</v>
      </c>
      <c r="BT1237" t="s">
        <v>347</v>
      </c>
      <c r="BU1237">
        <v>0</v>
      </c>
      <c r="BV1237">
        <v>0</v>
      </c>
    </row>
    <row r="1238" spans="1:74" x14ac:dyDescent="0.25">
      <c r="A1238" s="75">
        <v>5943559</v>
      </c>
      <c r="B1238" t="s">
        <v>5343</v>
      </c>
      <c r="C1238" t="s">
        <v>5344</v>
      </c>
      <c r="D1238" t="s">
        <v>150</v>
      </c>
      <c r="E1238" t="s">
        <v>87</v>
      </c>
      <c r="F1238" s="75">
        <v>1608</v>
      </c>
      <c r="G1238" s="75">
        <v>349687</v>
      </c>
      <c r="H1238">
        <v>334.78</v>
      </c>
      <c r="I1238" t="s">
        <v>203</v>
      </c>
      <c r="J1238" s="75">
        <v>6971</v>
      </c>
      <c r="K1238" t="s">
        <v>369</v>
      </c>
      <c r="L1238" t="s">
        <v>370</v>
      </c>
      <c r="M1238" s="81">
        <v>46146.320023148153</v>
      </c>
      <c r="N1238" s="81">
        <v>46147.384722222218</v>
      </c>
      <c r="O1238" t="s">
        <v>58</v>
      </c>
      <c r="P1238" t="s">
        <v>59</v>
      </c>
      <c r="Q1238" t="s">
        <v>90</v>
      </c>
      <c r="R1238" t="s">
        <v>131</v>
      </c>
      <c r="S1238" t="s">
        <v>1316</v>
      </c>
      <c r="U1238" s="75">
        <v>246417</v>
      </c>
      <c r="V1238" t="s">
        <v>5345</v>
      </c>
      <c r="W1238" t="s">
        <v>5345</v>
      </c>
      <c r="X1238" t="s">
        <v>79</v>
      </c>
      <c r="Y1238" t="s">
        <v>224</v>
      </c>
      <c r="AA1238" t="s">
        <v>81</v>
      </c>
      <c r="AB1238">
        <v>25.5</v>
      </c>
      <c r="AC1238">
        <v>24.616667</v>
      </c>
      <c r="AD1238">
        <v>0.88333300000000003</v>
      </c>
      <c r="AE1238">
        <v>0.23333300000000001</v>
      </c>
      <c r="AF1238">
        <v>0</v>
      </c>
      <c r="AG1238">
        <v>0.65</v>
      </c>
      <c r="AH1238">
        <v>0.65</v>
      </c>
      <c r="AI1238">
        <v>0.3</v>
      </c>
      <c r="AJ1238">
        <v>0.35</v>
      </c>
      <c r="AK1238">
        <v>0</v>
      </c>
      <c r="AL1238" s="76">
        <v>46149</v>
      </c>
      <c r="AM1238" s="75">
        <v>-2</v>
      </c>
      <c r="AN1238" t="s">
        <v>1436</v>
      </c>
      <c r="AO1238" t="s">
        <v>2924</v>
      </c>
      <c r="AP1238" t="s">
        <v>67</v>
      </c>
      <c r="AQ1238" t="s">
        <v>83</v>
      </c>
      <c r="AR1238" t="s">
        <v>69</v>
      </c>
      <c r="AT1238" s="82" t="s">
        <v>5326</v>
      </c>
      <c r="AU1238" s="78">
        <v>2026</v>
      </c>
      <c r="AV1238" s="78">
        <v>5</v>
      </c>
      <c r="AW1238" s="78" t="s">
        <v>226</v>
      </c>
      <c r="AX1238" s="78">
        <v>1</v>
      </c>
      <c r="AY1238" s="78">
        <v>0</v>
      </c>
      <c r="BT1238" t="s">
        <v>226</v>
      </c>
      <c r="BU1238">
        <v>1</v>
      </c>
      <c r="BV1238">
        <v>0</v>
      </c>
    </row>
    <row r="1239" spans="1:74" x14ac:dyDescent="0.25">
      <c r="A1239" s="75">
        <v>5944615</v>
      </c>
      <c r="B1239" t="s">
        <v>5346</v>
      </c>
      <c r="C1239" t="s">
        <v>5347</v>
      </c>
      <c r="D1239" t="s">
        <v>527</v>
      </c>
      <c r="E1239" t="s">
        <v>54</v>
      </c>
      <c r="F1239" s="75">
        <v>96</v>
      </c>
      <c r="G1239" s="75">
        <v>347079</v>
      </c>
      <c r="H1239">
        <v>299.89999999999998</v>
      </c>
      <c r="I1239" t="s">
        <v>203</v>
      </c>
      <c r="J1239" s="75">
        <v>130651</v>
      </c>
      <c r="K1239" t="s">
        <v>3942</v>
      </c>
      <c r="L1239" t="s">
        <v>3943</v>
      </c>
      <c r="M1239" s="81">
        <v>46146.514502314807</v>
      </c>
      <c r="N1239" s="81">
        <v>46147.395324074067</v>
      </c>
      <c r="O1239" t="s">
        <v>58</v>
      </c>
      <c r="P1239" t="s">
        <v>59</v>
      </c>
      <c r="Q1239" t="s">
        <v>90</v>
      </c>
      <c r="R1239" t="s">
        <v>60</v>
      </c>
      <c r="S1239" t="s">
        <v>583</v>
      </c>
      <c r="U1239" s="75">
        <v>246957</v>
      </c>
      <c r="V1239" t="s">
        <v>5348</v>
      </c>
      <c r="W1239" t="s">
        <v>5348</v>
      </c>
      <c r="X1239" t="s">
        <v>62</v>
      </c>
      <c r="Y1239" t="s">
        <v>63</v>
      </c>
      <c r="AA1239" t="s">
        <v>101</v>
      </c>
      <c r="AB1239">
        <v>21.099999</v>
      </c>
      <c r="AC1239">
        <v>12.133333</v>
      </c>
      <c r="AD1239">
        <v>8.966666</v>
      </c>
      <c r="AE1239">
        <v>0.53333299999999995</v>
      </c>
      <c r="AF1239">
        <v>0</v>
      </c>
      <c r="AG1239">
        <v>8.4333329999999993</v>
      </c>
      <c r="AH1239">
        <v>8.4333329999999993</v>
      </c>
      <c r="AI1239">
        <v>7.733333</v>
      </c>
      <c r="AJ1239">
        <v>0.7</v>
      </c>
      <c r="AK1239">
        <v>0</v>
      </c>
      <c r="AL1239" s="76">
        <v>45975.578217592592</v>
      </c>
      <c r="AM1239" s="75">
        <v>170</v>
      </c>
      <c r="AN1239" t="s">
        <v>65</v>
      </c>
      <c r="AO1239" t="s">
        <v>3944</v>
      </c>
      <c r="AP1239" t="s">
        <v>67</v>
      </c>
      <c r="AQ1239" t="s">
        <v>68</v>
      </c>
      <c r="AR1239" t="s">
        <v>69</v>
      </c>
      <c r="AT1239" s="82" t="s">
        <v>5326</v>
      </c>
      <c r="AU1239" s="78">
        <v>2026</v>
      </c>
      <c r="AV1239" s="78">
        <v>5</v>
      </c>
      <c r="AW1239" s="78" t="s">
        <v>71</v>
      </c>
      <c r="AX1239" s="78">
        <v>0</v>
      </c>
      <c r="AY1239" s="78">
        <v>0</v>
      </c>
      <c r="BT1239" t="s">
        <v>71</v>
      </c>
      <c r="BU1239">
        <v>0</v>
      </c>
      <c r="BV1239">
        <v>0</v>
      </c>
    </row>
    <row r="1240" spans="1:74" x14ac:dyDescent="0.25">
      <c r="A1240" s="75">
        <v>5942873</v>
      </c>
      <c r="B1240" t="s">
        <v>5349</v>
      </c>
      <c r="C1240" t="s">
        <v>5350</v>
      </c>
      <c r="D1240" t="s">
        <v>527</v>
      </c>
      <c r="E1240" t="s">
        <v>126</v>
      </c>
      <c r="F1240" s="75">
        <v>17</v>
      </c>
      <c r="G1240" s="75">
        <v>321289</v>
      </c>
      <c r="H1240">
        <v>4244</v>
      </c>
      <c r="I1240" t="s">
        <v>55</v>
      </c>
      <c r="J1240" s="75">
        <v>19489</v>
      </c>
      <c r="K1240" t="s">
        <v>935</v>
      </c>
      <c r="L1240" t="s">
        <v>936</v>
      </c>
      <c r="M1240" s="81">
        <v>46144.669583333343</v>
      </c>
      <c r="N1240" s="81">
        <v>46147.412037037036</v>
      </c>
      <c r="O1240" t="s">
        <v>58</v>
      </c>
      <c r="P1240" t="s">
        <v>59</v>
      </c>
      <c r="R1240" t="s">
        <v>60</v>
      </c>
      <c r="S1240" t="s">
        <v>583</v>
      </c>
      <c r="U1240" s="75">
        <v>246235</v>
      </c>
      <c r="V1240" t="s">
        <v>5351</v>
      </c>
      <c r="W1240" t="s">
        <v>5351</v>
      </c>
      <c r="X1240" t="s">
        <v>62</v>
      </c>
      <c r="Y1240" t="s">
        <v>63</v>
      </c>
      <c r="AA1240" t="s">
        <v>101</v>
      </c>
      <c r="AB1240">
        <v>65.716666000000004</v>
      </c>
      <c r="AC1240">
        <v>29.966666</v>
      </c>
      <c r="AD1240">
        <v>35.75</v>
      </c>
      <c r="AE1240">
        <v>25.583333</v>
      </c>
      <c r="AF1240">
        <v>0</v>
      </c>
      <c r="AG1240">
        <v>10.166667</v>
      </c>
      <c r="AH1240">
        <v>10.166667</v>
      </c>
      <c r="AI1240">
        <v>9.3166670000000007</v>
      </c>
      <c r="AJ1240">
        <v>0.85</v>
      </c>
      <c r="AK1240">
        <v>0</v>
      </c>
      <c r="AL1240" s="76">
        <v>45687</v>
      </c>
      <c r="AM1240" s="75">
        <v>457</v>
      </c>
      <c r="AN1240" t="s">
        <v>65</v>
      </c>
      <c r="AO1240" t="s">
        <v>5352</v>
      </c>
      <c r="AP1240" t="s">
        <v>67</v>
      </c>
      <c r="AQ1240" t="s">
        <v>68</v>
      </c>
      <c r="AR1240" t="s">
        <v>69</v>
      </c>
      <c r="AT1240" s="82" t="s">
        <v>5326</v>
      </c>
      <c r="AU1240" s="78">
        <v>2026</v>
      </c>
      <c r="AV1240" s="78">
        <v>5</v>
      </c>
      <c r="AW1240" s="78" t="s">
        <v>71</v>
      </c>
      <c r="AX1240" s="78">
        <v>0</v>
      </c>
      <c r="AY1240" s="78">
        <v>0</v>
      </c>
      <c r="BT1240" t="s">
        <v>71</v>
      </c>
      <c r="BU1240">
        <v>0</v>
      </c>
      <c r="BV1240">
        <v>0</v>
      </c>
    </row>
    <row r="1241" spans="1:74" x14ac:dyDescent="0.25">
      <c r="A1241" s="75">
        <v>5939697</v>
      </c>
      <c r="B1241" t="s">
        <v>5353</v>
      </c>
      <c r="C1241" t="s">
        <v>5354</v>
      </c>
      <c r="D1241" t="s">
        <v>527</v>
      </c>
      <c r="E1241" t="s">
        <v>105</v>
      </c>
      <c r="F1241" s="75">
        <v>9</v>
      </c>
      <c r="G1241" s="75">
        <v>328421</v>
      </c>
      <c r="H1241">
        <v>135</v>
      </c>
      <c r="I1241" t="s">
        <v>163</v>
      </c>
      <c r="J1241" s="75">
        <v>93973</v>
      </c>
      <c r="K1241" t="s">
        <v>5355</v>
      </c>
      <c r="L1241" t="s">
        <v>5356</v>
      </c>
      <c r="M1241" s="81">
        <v>46141.65053240741</v>
      </c>
      <c r="N1241" s="81">
        <v>46147.453240740739</v>
      </c>
      <c r="O1241" t="s">
        <v>58</v>
      </c>
      <c r="P1241" t="s">
        <v>59</v>
      </c>
      <c r="Q1241" t="s">
        <v>130</v>
      </c>
      <c r="R1241" t="s">
        <v>60</v>
      </c>
      <c r="S1241" t="s">
        <v>583</v>
      </c>
      <c r="U1241" s="75">
        <v>246309</v>
      </c>
      <c r="V1241" t="s">
        <v>5357</v>
      </c>
      <c r="W1241" t="s">
        <v>5358</v>
      </c>
      <c r="X1241" t="s">
        <v>79</v>
      </c>
      <c r="Y1241" t="s">
        <v>224</v>
      </c>
      <c r="AA1241" t="s">
        <v>101</v>
      </c>
      <c r="AB1241">
        <v>139.13333299999999</v>
      </c>
      <c r="AC1241">
        <v>128.58333300000001</v>
      </c>
      <c r="AD1241">
        <v>10.55</v>
      </c>
      <c r="AE1241">
        <v>0.11666700000000001</v>
      </c>
      <c r="AF1241">
        <v>0</v>
      </c>
      <c r="AG1241">
        <v>10.433332999999999</v>
      </c>
      <c r="AH1241">
        <v>10.433332999999999</v>
      </c>
      <c r="AI1241">
        <v>9.483333</v>
      </c>
      <c r="AJ1241">
        <v>0.95</v>
      </c>
      <c r="AK1241">
        <v>0</v>
      </c>
      <c r="AL1241" s="76">
        <v>45613</v>
      </c>
      <c r="AM1241" s="75">
        <v>528</v>
      </c>
      <c r="AN1241" t="s">
        <v>65</v>
      </c>
      <c r="AO1241" t="s">
        <v>5359</v>
      </c>
      <c r="AP1241" t="s">
        <v>67</v>
      </c>
      <c r="AQ1241" t="s">
        <v>83</v>
      </c>
      <c r="AR1241" t="s">
        <v>69</v>
      </c>
      <c r="AT1241" s="82" t="s">
        <v>5326</v>
      </c>
      <c r="AU1241" s="78">
        <v>2026</v>
      </c>
      <c r="AV1241" s="78">
        <v>5</v>
      </c>
      <c r="AW1241" s="78" t="s">
        <v>226</v>
      </c>
      <c r="AX1241" s="78">
        <v>0</v>
      </c>
      <c r="AY1241" s="78">
        <v>0</v>
      </c>
      <c r="BT1241" t="s">
        <v>226</v>
      </c>
      <c r="BU1241">
        <v>0</v>
      </c>
      <c r="BV1241">
        <v>0</v>
      </c>
    </row>
    <row r="1242" spans="1:74" x14ac:dyDescent="0.25">
      <c r="A1242" s="75">
        <v>5943411</v>
      </c>
      <c r="B1242" t="s">
        <v>5360</v>
      </c>
      <c r="C1242" t="s">
        <v>5361</v>
      </c>
      <c r="D1242" t="s">
        <v>527</v>
      </c>
      <c r="E1242" t="s">
        <v>87</v>
      </c>
      <c r="F1242" s="75">
        <v>122</v>
      </c>
      <c r="G1242" s="75">
        <v>326465</v>
      </c>
      <c r="H1242">
        <v>1264.2</v>
      </c>
      <c r="I1242" t="s">
        <v>55</v>
      </c>
      <c r="J1242" s="75">
        <v>149307</v>
      </c>
      <c r="K1242" t="s">
        <v>350</v>
      </c>
      <c r="L1242" t="s">
        <v>351</v>
      </c>
      <c r="M1242" s="81">
        <v>46146.007280092592</v>
      </c>
      <c r="N1242" s="81">
        <v>46147.529444444437</v>
      </c>
      <c r="O1242" t="s">
        <v>58</v>
      </c>
      <c r="P1242" t="s">
        <v>59</v>
      </c>
      <c r="Q1242" t="s">
        <v>90</v>
      </c>
      <c r="R1242" t="s">
        <v>60</v>
      </c>
      <c r="S1242" t="s">
        <v>583</v>
      </c>
      <c r="U1242" s="75">
        <v>246241</v>
      </c>
      <c r="V1242" t="s">
        <v>5362</v>
      </c>
      <c r="W1242" t="s">
        <v>5362</v>
      </c>
      <c r="X1242" t="s">
        <v>62</v>
      </c>
      <c r="Y1242" t="s">
        <v>63</v>
      </c>
      <c r="AA1242" t="s">
        <v>81</v>
      </c>
      <c r="AB1242">
        <v>36.466665999999996</v>
      </c>
      <c r="AC1242">
        <v>34.5</v>
      </c>
      <c r="AD1242">
        <v>1.966666</v>
      </c>
      <c r="AE1242">
        <v>0.15</v>
      </c>
      <c r="AF1242">
        <v>0</v>
      </c>
      <c r="AG1242">
        <v>1.8166659999999999</v>
      </c>
      <c r="AH1242">
        <v>1.8166659999999999</v>
      </c>
      <c r="AI1242">
        <v>1.233333</v>
      </c>
      <c r="AJ1242">
        <v>0.58333299999999999</v>
      </c>
      <c r="AK1242">
        <v>0</v>
      </c>
      <c r="AL1242" s="76">
        <v>45583</v>
      </c>
      <c r="AM1242" s="75">
        <v>563</v>
      </c>
      <c r="AN1242" t="s">
        <v>65</v>
      </c>
      <c r="AO1242" t="s">
        <v>5363</v>
      </c>
      <c r="AP1242" t="s">
        <v>67</v>
      </c>
      <c r="AQ1242" t="s">
        <v>68</v>
      </c>
      <c r="AR1242" t="s">
        <v>69</v>
      </c>
      <c r="AT1242" s="82" t="s">
        <v>5326</v>
      </c>
      <c r="AU1242" s="78">
        <v>2026</v>
      </c>
      <c r="AV1242" s="78">
        <v>5</v>
      </c>
      <c r="AW1242" s="78" t="s">
        <v>71</v>
      </c>
      <c r="AX1242" s="78">
        <v>1</v>
      </c>
      <c r="AY1242" s="78">
        <v>0</v>
      </c>
      <c r="BT1242" t="s">
        <v>71</v>
      </c>
      <c r="BU1242">
        <v>1</v>
      </c>
      <c r="BV1242">
        <v>0</v>
      </c>
    </row>
    <row r="1243" spans="1:74" x14ac:dyDescent="0.25">
      <c r="A1243" s="75">
        <v>5943551</v>
      </c>
      <c r="B1243" t="s">
        <v>5364</v>
      </c>
      <c r="C1243" t="s">
        <v>5365</v>
      </c>
      <c r="D1243" t="s">
        <v>2379</v>
      </c>
      <c r="E1243" t="s">
        <v>54</v>
      </c>
      <c r="F1243" s="75">
        <v>1</v>
      </c>
      <c r="G1243" s="75">
        <v>270587</v>
      </c>
      <c r="H1243">
        <v>2051.71</v>
      </c>
      <c r="I1243" t="s">
        <v>55</v>
      </c>
      <c r="J1243" s="75">
        <v>216023</v>
      </c>
      <c r="K1243" t="s">
        <v>2955</v>
      </c>
      <c r="L1243" t="s">
        <v>5366</v>
      </c>
      <c r="M1243" s="81">
        <v>46146.319062499999</v>
      </c>
      <c r="N1243" s="81">
        <v>46147.565138888887</v>
      </c>
      <c r="O1243" t="s">
        <v>58</v>
      </c>
      <c r="P1243" t="s">
        <v>59</v>
      </c>
      <c r="Q1243" t="s">
        <v>77</v>
      </c>
      <c r="R1243" t="s">
        <v>60</v>
      </c>
      <c r="S1243" t="s">
        <v>583</v>
      </c>
      <c r="T1243" t="s">
        <v>4896</v>
      </c>
      <c r="U1243" s="75">
        <v>246671</v>
      </c>
      <c r="V1243" t="s">
        <v>5367</v>
      </c>
      <c r="W1243" t="s">
        <v>5367</v>
      </c>
      <c r="X1243" t="s">
        <v>118</v>
      </c>
      <c r="Y1243" t="s">
        <v>4897</v>
      </c>
      <c r="AA1243" t="s">
        <v>64</v>
      </c>
      <c r="AB1243">
        <v>29.85</v>
      </c>
      <c r="AC1243">
        <v>23.666667</v>
      </c>
      <c r="AD1243">
        <v>6.1833330000000002</v>
      </c>
      <c r="AE1243">
        <v>0.316666</v>
      </c>
      <c r="AF1243">
        <v>0</v>
      </c>
      <c r="AG1243">
        <v>5.8666669999999996</v>
      </c>
      <c r="AH1243">
        <v>5.8666669999999996</v>
      </c>
      <c r="AI1243">
        <v>5.766667</v>
      </c>
      <c r="AJ1243">
        <v>0.1</v>
      </c>
      <c r="AK1243">
        <v>0</v>
      </c>
      <c r="AL1243" s="76">
        <v>36526</v>
      </c>
      <c r="AM1243" s="75">
        <v>9620</v>
      </c>
      <c r="AN1243" t="s">
        <v>65</v>
      </c>
      <c r="AO1243" t="s">
        <v>5368</v>
      </c>
      <c r="AP1243" t="s">
        <v>67</v>
      </c>
      <c r="AQ1243" t="s">
        <v>121</v>
      </c>
      <c r="AR1243" t="s">
        <v>69</v>
      </c>
      <c r="AT1243" s="82" t="s">
        <v>5326</v>
      </c>
      <c r="AU1243" s="78">
        <v>2026</v>
      </c>
      <c r="AV1243" s="78">
        <v>5</v>
      </c>
      <c r="AW1243" s="78" t="s">
        <v>347</v>
      </c>
      <c r="AX1243" s="78">
        <v>1</v>
      </c>
      <c r="AY1243" s="78">
        <v>0</v>
      </c>
      <c r="BT1243" t="s">
        <v>347</v>
      </c>
      <c r="BU1243">
        <v>1</v>
      </c>
      <c r="BV1243">
        <v>0</v>
      </c>
    </row>
    <row r="1244" spans="1:74" x14ac:dyDescent="0.25">
      <c r="A1244" s="75">
        <v>5943189</v>
      </c>
      <c r="B1244" t="s">
        <v>5369</v>
      </c>
      <c r="C1244" t="s">
        <v>5370</v>
      </c>
      <c r="D1244" t="s">
        <v>2379</v>
      </c>
      <c r="E1244" t="s">
        <v>87</v>
      </c>
      <c r="F1244" s="75">
        <v>638</v>
      </c>
      <c r="G1244" s="75">
        <v>360145</v>
      </c>
      <c r="H1244">
        <v>398.82</v>
      </c>
      <c r="I1244" t="s">
        <v>818</v>
      </c>
      <c r="J1244" s="75">
        <v>216233</v>
      </c>
      <c r="K1244" t="s">
        <v>88</v>
      </c>
      <c r="L1244" t="s">
        <v>89</v>
      </c>
      <c r="M1244" s="81">
        <v>46145.486585648148</v>
      </c>
      <c r="N1244" s="81">
        <v>46147.639733796299</v>
      </c>
      <c r="O1244" t="s">
        <v>58</v>
      </c>
      <c r="P1244" t="s">
        <v>59</v>
      </c>
      <c r="Q1244" t="s">
        <v>90</v>
      </c>
      <c r="R1244" t="s">
        <v>60</v>
      </c>
      <c r="S1244" t="s">
        <v>583</v>
      </c>
      <c r="U1244" s="75">
        <v>246345</v>
      </c>
      <c r="V1244" t="s">
        <v>5371</v>
      </c>
      <c r="W1244" t="s">
        <v>5371</v>
      </c>
      <c r="X1244" t="s">
        <v>62</v>
      </c>
      <c r="Y1244" t="s">
        <v>63</v>
      </c>
      <c r="AA1244" t="s">
        <v>101</v>
      </c>
      <c r="AB1244">
        <v>51.616667</v>
      </c>
      <c r="AC1244">
        <v>38.433332999999998</v>
      </c>
      <c r="AD1244">
        <v>13.183334</v>
      </c>
      <c r="AE1244">
        <v>1.233333</v>
      </c>
      <c r="AF1244">
        <v>0</v>
      </c>
      <c r="AG1244">
        <v>11.950001</v>
      </c>
      <c r="AH1244">
        <v>11.950001</v>
      </c>
      <c r="AI1244">
        <v>11.283334</v>
      </c>
      <c r="AJ1244">
        <v>0.66666700000000001</v>
      </c>
      <c r="AK1244">
        <v>0</v>
      </c>
      <c r="AL1244" s="76">
        <v>46142.602233796293</v>
      </c>
      <c r="AM1244" s="75">
        <v>2</v>
      </c>
      <c r="AN1244" t="s">
        <v>1220</v>
      </c>
      <c r="AO1244" t="s">
        <v>5372</v>
      </c>
      <c r="AP1244" t="s">
        <v>67</v>
      </c>
      <c r="AQ1244" t="s">
        <v>68</v>
      </c>
      <c r="AR1244" t="s">
        <v>69</v>
      </c>
      <c r="AT1244" s="82" t="s">
        <v>5326</v>
      </c>
      <c r="AU1244" s="78">
        <v>2026</v>
      </c>
      <c r="AV1244" s="78">
        <v>5</v>
      </c>
      <c r="AW1244" s="78" t="s">
        <v>71</v>
      </c>
      <c r="AX1244" s="78">
        <v>0</v>
      </c>
      <c r="AY1244" s="78">
        <v>0</v>
      </c>
      <c r="BT1244" t="s">
        <v>71</v>
      </c>
      <c r="BU1244">
        <v>0</v>
      </c>
      <c r="BV1244">
        <v>0</v>
      </c>
    </row>
    <row r="1245" spans="1:74" x14ac:dyDescent="0.25">
      <c r="A1245" s="75">
        <v>5945771</v>
      </c>
      <c r="B1245" t="s">
        <v>5373</v>
      </c>
      <c r="C1245" t="s">
        <v>5374</v>
      </c>
      <c r="D1245" t="s">
        <v>2379</v>
      </c>
      <c r="E1245" t="s">
        <v>87</v>
      </c>
      <c r="F1245" s="75">
        <v>391</v>
      </c>
      <c r="G1245" s="75">
        <v>286861</v>
      </c>
      <c r="H1245">
        <v>364.96</v>
      </c>
      <c r="I1245" t="s">
        <v>55</v>
      </c>
      <c r="J1245" s="75">
        <v>218787</v>
      </c>
      <c r="K1245" t="s">
        <v>96</v>
      </c>
      <c r="L1245" t="s">
        <v>97</v>
      </c>
      <c r="M1245" s="81">
        <v>46146.917129629634</v>
      </c>
      <c r="N1245" s="81">
        <v>46147.641469907408</v>
      </c>
      <c r="O1245" t="s">
        <v>58</v>
      </c>
      <c r="P1245" t="s">
        <v>59</v>
      </c>
      <c r="Q1245" t="s">
        <v>90</v>
      </c>
      <c r="R1245" t="s">
        <v>60</v>
      </c>
      <c r="S1245" t="s">
        <v>583</v>
      </c>
      <c r="U1245" s="75">
        <v>247309</v>
      </c>
      <c r="V1245" t="s">
        <v>5375</v>
      </c>
      <c r="W1245" t="s">
        <v>5375</v>
      </c>
      <c r="X1245" t="s">
        <v>62</v>
      </c>
      <c r="Y1245" t="s">
        <v>63</v>
      </c>
      <c r="AA1245" t="s">
        <v>81</v>
      </c>
      <c r="AB1245">
        <v>17.333333</v>
      </c>
      <c r="AC1245">
        <v>11.416667</v>
      </c>
      <c r="AD1245">
        <v>5.9166660000000002</v>
      </c>
      <c r="AE1245">
        <v>2.4333330000000002</v>
      </c>
      <c r="AF1245">
        <v>0</v>
      </c>
      <c r="AG1245">
        <v>3.483333</v>
      </c>
      <c r="AH1245">
        <v>3.483333</v>
      </c>
      <c r="AI1245">
        <v>2.95</v>
      </c>
      <c r="AJ1245">
        <v>0.53333299999999995</v>
      </c>
      <c r="AK1245">
        <v>0</v>
      </c>
      <c r="AL1245" s="76">
        <v>44971</v>
      </c>
      <c r="AM1245" s="75">
        <v>1175</v>
      </c>
      <c r="AN1245" t="s">
        <v>65</v>
      </c>
      <c r="AO1245" t="s">
        <v>5376</v>
      </c>
      <c r="AP1245" t="s">
        <v>67</v>
      </c>
      <c r="AQ1245" t="s">
        <v>68</v>
      </c>
      <c r="AR1245" t="s">
        <v>69</v>
      </c>
      <c r="AT1245" s="82" t="s">
        <v>5326</v>
      </c>
      <c r="AU1245" s="78">
        <v>2026</v>
      </c>
      <c r="AV1245" s="78">
        <v>5</v>
      </c>
      <c r="AW1245" s="78" t="s">
        <v>71</v>
      </c>
      <c r="AX1245" s="78">
        <v>1</v>
      </c>
      <c r="AY1245" s="78">
        <v>0</v>
      </c>
      <c r="BT1245" t="s">
        <v>71</v>
      </c>
      <c r="BU1245">
        <v>1</v>
      </c>
      <c r="BV1245">
        <v>0</v>
      </c>
    </row>
    <row r="1246" spans="1:74" x14ac:dyDescent="0.25">
      <c r="A1246" s="75">
        <v>5943481</v>
      </c>
      <c r="B1246" t="s">
        <v>5377</v>
      </c>
      <c r="C1246" t="s">
        <v>4078</v>
      </c>
      <c r="D1246" t="s">
        <v>2379</v>
      </c>
      <c r="E1246" t="s">
        <v>87</v>
      </c>
      <c r="F1246" s="75">
        <v>186</v>
      </c>
      <c r="G1246" s="75">
        <v>285895</v>
      </c>
      <c r="H1246">
        <v>398.82</v>
      </c>
      <c r="I1246" t="s">
        <v>55</v>
      </c>
      <c r="J1246" s="75">
        <v>216233</v>
      </c>
      <c r="K1246" t="s">
        <v>88</v>
      </c>
      <c r="L1246" t="s">
        <v>89</v>
      </c>
      <c r="M1246" s="81">
        <v>46146.17392361111</v>
      </c>
      <c r="N1246" s="81">
        <v>46147.642708333333</v>
      </c>
      <c r="O1246" t="s">
        <v>58</v>
      </c>
      <c r="P1246" t="s">
        <v>59</v>
      </c>
      <c r="Q1246" t="s">
        <v>90</v>
      </c>
      <c r="R1246" t="s">
        <v>60</v>
      </c>
      <c r="S1246" t="s">
        <v>583</v>
      </c>
      <c r="U1246" s="75">
        <v>246277</v>
      </c>
      <c r="V1246" t="s">
        <v>5378</v>
      </c>
      <c r="W1246" t="s">
        <v>5378</v>
      </c>
      <c r="X1246" t="s">
        <v>62</v>
      </c>
      <c r="Y1246" t="s">
        <v>63</v>
      </c>
      <c r="AA1246" t="s">
        <v>101</v>
      </c>
      <c r="AB1246">
        <v>35.200000000000003</v>
      </c>
      <c r="AC1246">
        <v>25.033334</v>
      </c>
      <c r="AD1246">
        <v>10.166665999999999</v>
      </c>
      <c r="AE1246">
        <v>8.3333000000000004E-2</v>
      </c>
      <c r="AF1246">
        <v>0</v>
      </c>
      <c r="AG1246">
        <v>10.083333</v>
      </c>
      <c r="AH1246">
        <v>10.083333</v>
      </c>
      <c r="AI1246">
        <v>8.733333</v>
      </c>
      <c r="AJ1246">
        <v>1.35</v>
      </c>
      <c r="AK1246">
        <v>0</v>
      </c>
      <c r="AL1246" s="76">
        <v>44870</v>
      </c>
      <c r="AM1246" s="75">
        <v>1276</v>
      </c>
      <c r="AN1246" t="s">
        <v>65</v>
      </c>
      <c r="AO1246" t="s">
        <v>4079</v>
      </c>
      <c r="AP1246" t="s">
        <v>67</v>
      </c>
      <c r="AQ1246" t="s">
        <v>68</v>
      </c>
      <c r="AR1246" t="s">
        <v>69</v>
      </c>
      <c r="AT1246" s="82" t="s">
        <v>5326</v>
      </c>
      <c r="AU1246" s="78">
        <v>2026</v>
      </c>
      <c r="AV1246" s="78">
        <v>5</v>
      </c>
      <c r="AW1246" s="78" t="s">
        <v>71</v>
      </c>
      <c r="AX1246" s="78">
        <v>0</v>
      </c>
      <c r="AY1246" s="78">
        <v>0</v>
      </c>
      <c r="BT1246" t="s">
        <v>71</v>
      </c>
      <c r="BU1246">
        <v>0</v>
      </c>
      <c r="BV1246">
        <v>0</v>
      </c>
    </row>
    <row r="1247" spans="1:74" x14ac:dyDescent="0.25">
      <c r="A1247" s="75">
        <v>5944931</v>
      </c>
      <c r="B1247" t="s">
        <v>5379</v>
      </c>
      <c r="C1247" t="s">
        <v>4936</v>
      </c>
      <c r="D1247" t="s">
        <v>2379</v>
      </c>
      <c r="E1247" t="s">
        <v>87</v>
      </c>
      <c r="F1247" s="75">
        <v>252</v>
      </c>
      <c r="G1247" s="75">
        <v>286345</v>
      </c>
      <c r="H1247">
        <v>364.96</v>
      </c>
      <c r="I1247" t="s">
        <v>55</v>
      </c>
      <c r="J1247" s="75">
        <v>218787</v>
      </c>
      <c r="K1247" t="s">
        <v>96</v>
      </c>
      <c r="L1247" t="s">
        <v>97</v>
      </c>
      <c r="M1247" s="81">
        <v>46146.576909722222</v>
      </c>
      <c r="N1247" s="81">
        <v>46147.643865740742</v>
      </c>
      <c r="O1247" t="s">
        <v>58</v>
      </c>
      <c r="P1247" t="s">
        <v>59</v>
      </c>
      <c r="Q1247" t="s">
        <v>90</v>
      </c>
      <c r="R1247" t="s">
        <v>60</v>
      </c>
      <c r="S1247" t="s">
        <v>583</v>
      </c>
      <c r="U1247" s="75">
        <v>247075</v>
      </c>
      <c r="V1247" t="s">
        <v>5380</v>
      </c>
      <c r="W1247" t="s">
        <v>5381</v>
      </c>
      <c r="X1247" t="s">
        <v>62</v>
      </c>
      <c r="Y1247" t="s">
        <v>63</v>
      </c>
      <c r="AA1247" t="s">
        <v>81</v>
      </c>
      <c r="AB1247">
        <v>25.549999</v>
      </c>
      <c r="AC1247">
        <v>21.933333000000001</v>
      </c>
      <c r="AD1247">
        <v>3.6166659999999999</v>
      </c>
      <c r="AE1247">
        <v>0.53333299999999995</v>
      </c>
      <c r="AF1247">
        <v>0</v>
      </c>
      <c r="AG1247">
        <v>3.0833330000000001</v>
      </c>
      <c r="AH1247">
        <v>3.0833330000000001</v>
      </c>
      <c r="AI1247">
        <v>3.0333329999999998</v>
      </c>
      <c r="AJ1247">
        <v>0.05</v>
      </c>
      <c r="AK1247">
        <v>0</v>
      </c>
      <c r="AL1247" s="76">
        <v>44888</v>
      </c>
      <c r="AM1247" s="75">
        <v>1258</v>
      </c>
      <c r="AN1247" t="s">
        <v>65</v>
      </c>
      <c r="AO1247" t="s">
        <v>4939</v>
      </c>
      <c r="AP1247" t="s">
        <v>67</v>
      </c>
      <c r="AQ1247" t="s">
        <v>68</v>
      </c>
      <c r="AR1247" t="s">
        <v>69</v>
      </c>
      <c r="AT1247" s="82" t="s">
        <v>5326</v>
      </c>
      <c r="AU1247" s="78">
        <v>2026</v>
      </c>
      <c r="AV1247" s="78">
        <v>5</v>
      </c>
      <c r="AW1247" s="78" t="s">
        <v>71</v>
      </c>
      <c r="AX1247" s="78">
        <v>1</v>
      </c>
      <c r="AY1247" s="78">
        <v>0</v>
      </c>
      <c r="BT1247" t="s">
        <v>71</v>
      </c>
      <c r="BU1247">
        <v>1</v>
      </c>
      <c r="BV1247">
        <v>0</v>
      </c>
    </row>
    <row r="1248" spans="1:74" x14ac:dyDescent="0.25">
      <c r="A1248" s="75">
        <v>5944187</v>
      </c>
      <c r="B1248" t="s">
        <v>5382</v>
      </c>
      <c r="C1248" t="s">
        <v>5383</v>
      </c>
      <c r="D1248" t="s">
        <v>53</v>
      </c>
      <c r="E1248" t="s">
        <v>105</v>
      </c>
      <c r="F1248" s="75">
        <v>31</v>
      </c>
      <c r="G1248" s="75">
        <v>256239</v>
      </c>
      <c r="H1248">
        <v>1439.05</v>
      </c>
      <c r="I1248" t="s">
        <v>55</v>
      </c>
      <c r="J1248" s="75">
        <v>71001</v>
      </c>
      <c r="K1248" t="s">
        <v>1193</v>
      </c>
      <c r="L1248" t="s">
        <v>1194</v>
      </c>
      <c r="M1248" s="81">
        <v>46146.460833333331</v>
      </c>
      <c r="N1248" s="81">
        <v>46147.792951388888</v>
      </c>
      <c r="O1248" t="s">
        <v>391</v>
      </c>
      <c r="P1248" t="s">
        <v>59</v>
      </c>
      <c r="Q1248" t="s">
        <v>130</v>
      </c>
      <c r="R1248" t="s">
        <v>60</v>
      </c>
      <c r="S1248" t="s">
        <v>583</v>
      </c>
      <c r="U1248" s="75">
        <v>246899</v>
      </c>
      <c r="V1248" t="s">
        <v>5384</v>
      </c>
      <c r="W1248" t="s">
        <v>5385</v>
      </c>
      <c r="X1248" t="s">
        <v>62</v>
      </c>
      <c r="Y1248" t="s">
        <v>63</v>
      </c>
      <c r="AA1248" t="s">
        <v>416</v>
      </c>
      <c r="AB1248">
        <v>31.883334999999999</v>
      </c>
      <c r="AC1248">
        <v>16.883334000000001</v>
      </c>
      <c r="AD1248">
        <v>15.000000999999999</v>
      </c>
      <c r="AE1248">
        <v>0.216667</v>
      </c>
      <c r="AF1248">
        <v>0</v>
      </c>
      <c r="AG1248">
        <v>14.783334</v>
      </c>
      <c r="AH1248">
        <v>14.783334</v>
      </c>
      <c r="AI1248">
        <v>13.433334</v>
      </c>
      <c r="AJ1248">
        <v>1.35</v>
      </c>
      <c r="AK1248">
        <v>0</v>
      </c>
      <c r="AL1248" s="76">
        <v>45208</v>
      </c>
      <c r="AM1248" s="75">
        <v>938</v>
      </c>
      <c r="AN1248" t="s">
        <v>65</v>
      </c>
      <c r="AO1248" t="s">
        <v>5386</v>
      </c>
      <c r="AP1248" t="s">
        <v>67</v>
      </c>
      <c r="AQ1248" t="s">
        <v>68</v>
      </c>
      <c r="AR1248" t="s">
        <v>69</v>
      </c>
      <c r="AT1248" s="82" t="s">
        <v>5326</v>
      </c>
      <c r="AU1248" s="78">
        <v>2026</v>
      </c>
      <c r="AV1248" s="78">
        <v>5</v>
      </c>
      <c r="AW1248" s="78" t="s">
        <v>71</v>
      </c>
      <c r="AX1248" s="78">
        <v>0</v>
      </c>
      <c r="AY1248" s="78">
        <v>0</v>
      </c>
      <c r="BT1248" t="s">
        <v>71</v>
      </c>
      <c r="BU1248">
        <v>0</v>
      </c>
      <c r="BV1248">
        <v>0</v>
      </c>
    </row>
    <row r="1249" spans="1:74" x14ac:dyDescent="0.25">
      <c r="A1249" s="75">
        <v>5946509</v>
      </c>
      <c r="B1249" t="s">
        <v>5387</v>
      </c>
      <c r="C1249" t="s">
        <v>5388</v>
      </c>
      <c r="D1249" t="s">
        <v>527</v>
      </c>
      <c r="E1249" t="s">
        <v>87</v>
      </c>
      <c r="F1249" s="75">
        <v>1609</v>
      </c>
      <c r="G1249" s="75">
        <v>349691</v>
      </c>
      <c r="H1249">
        <v>334.78</v>
      </c>
      <c r="I1249" t="s">
        <v>141</v>
      </c>
      <c r="J1249" s="75">
        <v>6971</v>
      </c>
      <c r="K1249" t="s">
        <v>369</v>
      </c>
      <c r="L1249" t="s">
        <v>370</v>
      </c>
      <c r="M1249" s="81">
        <v>46147.452256944453</v>
      </c>
      <c r="N1249" s="81">
        <v>46148.291365740741</v>
      </c>
      <c r="O1249" t="s">
        <v>391</v>
      </c>
      <c r="P1249" t="s">
        <v>59</v>
      </c>
      <c r="Q1249" t="s">
        <v>90</v>
      </c>
      <c r="R1249" t="s">
        <v>60</v>
      </c>
      <c r="S1249" t="s">
        <v>1268</v>
      </c>
      <c r="U1249" s="75">
        <v>248005</v>
      </c>
      <c r="V1249" t="s">
        <v>5389</v>
      </c>
      <c r="W1249" t="s">
        <v>5389</v>
      </c>
      <c r="X1249" t="s">
        <v>79</v>
      </c>
      <c r="Y1249" t="s">
        <v>224</v>
      </c>
      <c r="AA1249" t="s">
        <v>64</v>
      </c>
      <c r="AB1249">
        <v>20.05</v>
      </c>
      <c r="AC1249">
        <v>14.733333999999999</v>
      </c>
      <c r="AD1249">
        <v>5.3166659999999997</v>
      </c>
      <c r="AE1249">
        <v>0.283333</v>
      </c>
      <c r="AF1249">
        <v>0</v>
      </c>
      <c r="AG1249">
        <v>5.0333329999999998</v>
      </c>
      <c r="AH1249">
        <v>5.0333329999999998</v>
      </c>
      <c r="AI1249">
        <v>4.3333329999999997</v>
      </c>
      <c r="AJ1249">
        <v>0.7</v>
      </c>
      <c r="AK1249">
        <v>0</v>
      </c>
      <c r="AL1249" s="76">
        <v>46149</v>
      </c>
      <c r="AM1249" s="75">
        <v>-1</v>
      </c>
      <c r="AN1249" t="s">
        <v>1436</v>
      </c>
      <c r="AO1249" t="s">
        <v>3972</v>
      </c>
      <c r="AP1249" t="s">
        <v>67</v>
      </c>
      <c r="AQ1249" t="s">
        <v>83</v>
      </c>
      <c r="AR1249" t="s">
        <v>69</v>
      </c>
      <c r="AT1249" s="82" t="s">
        <v>5326</v>
      </c>
      <c r="AU1249" s="78">
        <v>2026</v>
      </c>
      <c r="AV1249" s="78">
        <v>5</v>
      </c>
      <c r="AW1249" s="78" t="s">
        <v>226</v>
      </c>
      <c r="AX1249" s="78">
        <v>1</v>
      </c>
      <c r="AY1249" s="78">
        <v>0</v>
      </c>
      <c r="BT1249" t="s">
        <v>226</v>
      </c>
      <c r="BU1249">
        <v>1</v>
      </c>
      <c r="BV1249">
        <v>0</v>
      </c>
    </row>
    <row r="1250" spans="1:74" x14ac:dyDescent="0.25">
      <c r="A1250" s="75">
        <v>5946169</v>
      </c>
      <c r="B1250" t="s">
        <v>5390</v>
      </c>
      <c r="C1250" t="s">
        <v>5391</v>
      </c>
      <c r="D1250" t="s">
        <v>182</v>
      </c>
      <c r="E1250" t="s">
        <v>105</v>
      </c>
      <c r="F1250" s="75">
        <v>17</v>
      </c>
      <c r="G1250" s="75">
        <v>335963</v>
      </c>
      <c r="H1250">
        <v>79.900000000000006</v>
      </c>
      <c r="I1250" t="s">
        <v>127</v>
      </c>
      <c r="J1250" s="75">
        <v>203393</v>
      </c>
      <c r="K1250" t="s">
        <v>5392</v>
      </c>
      <c r="L1250" t="s">
        <v>5393</v>
      </c>
      <c r="M1250" s="81">
        <v>46147.386041666658</v>
      </c>
      <c r="N1250" s="81">
        <v>46148.495798611111</v>
      </c>
      <c r="O1250" t="s">
        <v>58</v>
      </c>
      <c r="P1250" t="s">
        <v>59</v>
      </c>
      <c r="R1250" t="s">
        <v>156</v>
      </c>
      <c r="S1250" t="s">
        <v>1682</v>
      </c>
      <c r="U1250" s="75">
        <v>247943</v>
      </c>
      <c r="V1250" t="s">
        <v>5394</v>
      </c>
      <c r="W1250" t="s">
        <v>5395</v>
      </c>
      <c r="X1250" t="s">
        <v>62</v>
      </c>
      <c r="Y1250" t="s">
        <v>5396</v>
      </c>
      <c r="AA1250" t="s">
        <v>101</v>
      </c>
      <c r="AB1250">
        <v>26.55</v>
      </c>
      <c r="AC1250">
        <v>15.05</v>
      </c>
      <c r="AD1250">
        <v>11.5</v>
      </c>
      <c r="AE1250">
        <v>0.41666700000000001</v>
      </c>
      <c r="AF1250">
        <v>0</v>
      </c>
      <c r="AG1250">
        <v>11.083333</v>
      </c>
      <c r="AH1250">
        <v>11.083333</v>
      </c>
      <c r="AI1250">
        <v>10.9</v>
      </c>
      <c r="AJ1250">
        <v>0.183333</v>
      </c>
      <c r="AK1250">
        <v>0</v>
      </c>
      <c r="AL1250" s="76"/>
      <c r="AM1250" s="75"/>
      <c r="AN1250" t="s">
        <v>135</v>
      </c>
      <c r="AO1250" t="s">
        <v>5397</v>
      </c>
      <c r="AP1250" t="s">
        <v>67</v>
      </c>
      <c r="AQ1250" t="s">
        <v>68</v>
      </c>
      <c r="AR1250" t="s">
        <v>69</v>
      </c>
      <c r="AT1250" s="82" t="s">
        <v>5326</v>
      </c>
      <c r="AU1250" s="78">
        <v>2026</v>
      </c>
      <c r="AV1250" s="78">
        <v>5</v>
      </c>
      <c r="AW1250" s="78" t="s">
        <v>137</v>
      </c>
      <c r="AX1250" s="78">
        <v>0</v>
      </c>
      <c r="AY1250" s="78">
        <v>0</v>
      </c>
      <c r="BT1250" t="s">
        <v>137</v>
      </c>
      <c r="BU1250">
        <v>0</v>
      </c>
      <c r="BV1250">
        <v>0</v>
      </c>
    </row>
    <row r="1251" spans="1:74" x14ac:dyDescent="0.25">
      <c r="A1251" s="75">
        <v>5945323</v>
      </c>
      <c r="B1251" t="s">
        <v>5398</v>
      </c>
      <c r="C1251" t="s">
        <v>667</v>
      </c>
      <c r="D1251" t="s">
        <v>1567</v>
      </c>
      <c r="E1251" t="s">
        <v>87</v>
      </c>
      <c r="F1251" s="75">
        <v>307</v>
      </c>
      <c r="G1251" s="75">
        <v>286503</v>
      </c>
      <c r="H1251">
        <v>364.96</v>
      </c>
      <c r="I1251" t="s">
        <v>55</v>
      </c>
      <c r="J1251" s="75">
        <v>218787</v>
      </c>
      <c r="K1251" t="s">
        <v>96</v>
      </c>
      <c r="L1251" t="s">
        <v>97</v>
      </c>
      <c r="M1251" s="81">
        <v>46146.68105324074</v>
      </c>
      <c r="N1251" s="81">
        <v>46148.510266203702</v>
      </c>
      <c r="O1251" t="s">
        <v>58</v>
      </c>
      <c r="P1251" t="s">
        <v>59</v>
      </c>
      <c r="Q1251" t="s">
        <v>90</v>
      </c>
      <c r="R1251" t="s">
        <v>60</v>
      </c>
      <c r="S1251" t="s">
        <v>583</v>
      </c>
      <c r="U1251" s="75">
        <v>247391</v>
      </c>
      <c r="V1251" t="s">
        <v>5399</v>
      </c>
      <c r="W1251" t="s">
        <v>5399</v>
      </c>
      <c r="X1251" t="s">
        <v>62</v>
      </c>
      <c r="Y1251" t="s">
        <v>63</v>
      </c>
      <c r="AA1251" t="s">
        <v>101</v>
      </c>
      <c r="AB1251">
        <v>43.833333000000003</v>
      </c>
      <c r="AC1251">
        <v>34.533332999999999</v>
      </c>
      <c r="AD1251">
        <v>9.3000000000000007</v>
      </c>
      <c r="AE1251">
        <v>0.31666699999999998</v>
      </c>
      <c r="AF1251">
        <v>0</v>
      </c>
      <c r="AG1251">
        <v>8.983333</v>
      </c>
      <c r="AH1251">
        <v>8.983333</v>
      </c>
      <c r="AI1251">
        <v>8.516667</v>
      </c>
      <c r="AJ1251">
        <v>0.46666600000000003</v>
      </c>
      <c r="AK1251">
        <v>0</v>
      </c>
      <c r="AL1251" s="76">
        <v>44933</v>
      </c>
      <c r="AM1251" s="75">
        <v>1213</v>
      </c>
      <c r="AN1251" t="s">
        <v>65</v>
      </c>
      <c r="AO1251" t="s">
        <v>669</v>
      </c>
      <c r="AP1251" t="s">
        <v>67</v>
      </c>
      <c r="AQ1251" t="s">
        <v>68</v>
      </c>
      <c r="AR1251" t="s">
        <v>69</v>
      </c>
      <c r="AT1251" s="82" t="s">
        <v>5326</v>
      </c>
      <c r="AU1251" s="78">
        <v>2026</v>
      </c>
      <c r="AV1251" s="78">
        <v>5</v>
      </c>
      <c r="AW1251" s="78" t="s">
        <v>71</v>
      </c>
      <c r="AX1251" s="78">
        <v>0</v>
      </c>
      <c r="AY1251" s="78">
        <v>0</v>
      </c>
      <c r="BT1251" t="s">
        <v>71</v>
      </c>
      <c r="BU1251">
        <v>0</v>
      </c>
      <c r="BV1251">
        <v>0</v>
      </c>
    </row>
    <row r="1252" spans="1:74" x14ac:dyDescent="0.25">
      <c r="A1252" s="75">
        <v>5945761</v>
      </c>
      <c r="B1252" t="s">
        <v>5400</v>
      </c>
      <c r="C1252" t="s">
        <v>616</v>
      </c>
      <c r="D1252" t="s">
        <v>527</v>
      </c>
      <c r="E1252" t="s">
        <v>87</v>
      </c>
      <c r="F1252" s="75">
        <v>293</v>
      </c>
      <c r="G1252" s="75">
        <v>286461</v>
      </c>
      <c r="H1252">
        <v>364.96</v>
      </c>
      <c r="I1252" t="s">
        <v>55</v>
      </c>
      <c r="J1252" s="75">
        <v>218787</v>
      </c>
      <c r="K1252" t="s">
        <v>96</v>
      </c>
      <c r="L1252" t="s">
        <v>97</v>
      </c>
      <c r="M1252" s="81">
        <v>46146.903263888889</v>
      </c>
      <c r="N1252" s="81">
        <v>46148.547395833331</v>
      </c>
      <c r="O1252" t="s">
        <v>277</v>
      </c>
      <c r="P1252" t="s">
        <v>59</v>
      </c>
      <c r="Q1252" t="s">
        <v>98</v>
      </c>
      <c r="R1252" t="s">
        <v>99</v>
      </c>
      <c r="S1252" t="s">
        <v>1244</v>
      </c>
      <c r="U1252" s="75">
        <v>249031</v>
      </c>
      <c r="V1252" t="s">
        <v>5401</v>
      </c>
      <c r="X1252" t="s">
        <v>62</v>
      </c>
      <c r="Y1252" t="s">
        <v>63</v>
      </c>
      <c r="AA1252" t="s">
        <v>81</v>
      </c>
      <c r="AB1252">
        <v>39.383333</v>
      </c>
      <c r="AC1252">
        <v>34.433332999999998</v>
      </c>
      <c r="AD1252">
        <v>4.95</v>
      </c>
      <c r="AE1252">
        <v>2.8166660000000001</v>
      </c>
      <c r="AF1252">
        <v>0</v>
      </c>
      <c r="AG1252">
        <v>2.1333340000000001</v>
      </c>
      <c r="AI1252">
        <v>0.81666700000000003</v>
      </c>
      <c r="AJ1252">
        <v>1.316667</v>
      </c>
      <c r="AK1252">
        <v>0</v>
      </c>
      <c r="AL1252" s="76">
        <v>44924</v>
      </c>
      <c r="AM1252" s="75">
        <v>1222</v>
      </c>
      <c r="AN1252" t="s">
        <v>65</v>
      </c>
      <c r="AO1252" t="s">
        <v>619</v>
      </c>
      <c r="AP1252" t="s">
        <v>67</v>
      </c>
      <c r="AQ1252" t="s">
        <v>68</v>
      </c>
      <c r="AR1252" t="s">
        <v>69</v>
      </c>
      <c r="AT1252" s="82" t="s">
        <v>5326</v>
      </c>
      <c r="AU1252" s="78">
        <v>2026</v>
      </c>
      <c r="AV1252" s="78">
        <v>5</v>
      </c>
      <c r="AW1252" s="78" t="s">
        <v>71</v>
      </c>
      <c r="AX1252" s="78">
        <v>1</v>
      </c>
      <c r="AY1252" s="78">
        <v>0</v>
      </c>
      <c r="BT1252" t="s">
        <v>71</v>
      </c>
      <c r="BU1252">
        <v>1</v>
      </c>
      <c r="BV1252">
        <v>0</v>
      </c>
    </row>
    <row r="1253" spans="1:74" x14ac:dyDescent="0.25">
      <c r="A1253" s="75">
        <v>5945687</v>
      </c>
      <c r="B1253" t="s">
        <v>5402</v>
      </c>
      <c r="C1253" t="s">
        <v>2632</v>
      </c>
      <c r="D1253" t="s">
        <v>527</v>
      </c>
      <c r="E1253" t="s">
        <v>87</v>
      </c>
      <c r="F1253" s="75">
        <v>37</v>
      </c>
      <c r="G1253" s="75">
        <v>295811</v>
      </c>
      <c r="H1253">
        <v>1785</v>
      </c>
      <c r="I1253" t="s">
        <v>114</v>
      </c>
      <c r="J1253" s="75">
        <v>202555</v>
      </c>
      <c r="K1253" t="s">
        <v>2216</v>
      </c>
      <c r="L1253" t="s">
        <v>2217</v>
      </c>
      <c r="M1253" s="81">
        <v>46146.791990740741</v>
      </c>
      <c r="N1253" s="81">
        <v>46148.570428240739</v>
      </c>
      <c r="O1253" t="s">
        <v>58</v>
      </c>
      <c r="P1253" t="s">
        <v>59</v>
      </c>
      <c r="Q1253" t="s">
        <v>90</v>
      </c>
      <c r="R1253" t="s">
        <v>60</v>
      </c>
      <c r="S1253" t="s">
        <v>583</v>
      </c>
      <c r="U1253" s="75">
        <v>248513</v>
      </c>
      <c r="V1253" t="s">
        <v>5403</v>
      </c>
      <c r="W1253" t="s">
        <v>5404</v>
      </c>
      <c r="X1253" t="s">
        <v>62</v>
      </c>
      <c r="Y1253" t="s">
        <v>63</v>
      </c>
      <c r="AA1253" t="s">
        <v>416</v>
      </c>
      <c r="AB1253">
        <v>42.6</v>
      </c>
      <c r="AC1253">
        <v>27.8</v>
      </c>
      <c r="AD1253">
        <v>14.8</v>
      </c>
      <c r="AE1253">
        <v>2.1666660000000002</v>
      </c>
      <c r="AF1253">
        <v>0</v>
      </c>
      <c r="AG1253">
        <v>12.633334</v>
      </c>
      <c r="AH1253">
        <v>12.633334</v>
      </c>
      <c r="AI1253">
        <v>11.866667</v>
      </c>
      <c r="AJ1253">
        <v>0.76666699999999999</v>
      </c>
      <c r="AK1253">
        <v>0</v>
      </c>
      <c r="AL1253" s="76">
        <v>45351</v>
      </c>
      <c r="AM1253" s="75">
        <v>795</v>
      </c>
      <c r="AN1253" t="s">
        <v>65</v>
      </c>
      <c r="AO1253" t="s">
        <v>2634</v>
      </c>
      <c r="AP1253" t="s">
        <v>67</v>
      </c>
      <c r="AQ1253" t="s">
        <v>68</v>
      </c>
      <c r="AR1253" t="s">
        <v>69</v>
      </c>
      <c r="AT1253" s="82" t="s">
        <v>5326</v>
      </c>
      <c r="AU1253" s="78">
        <v>2026</v>
      </c>
      <c r="AV1253" s="78">
        <v>5</v>
      </c>
      <c r="AW1253" s="78" t="s">
        <v>71</v>
      </c>
      <c r="AX1253" s="78">
        <v>0</v>
      </c>
      <c r="AY1253" s="78">
        <v>0</v>
      </c>
      <c r="BT1253" t="s">
        <v>71</v>
      </c>
      <c r="BU1253">
        <v>0</v>
      </c>
      <c r="BV1253">
        <v>0</v>
      </c>
    </row>
    <row r="1254" spans="1:74" x14ac:dyDescent="0.25">
      <c r="A1254" s="75">
        <v>5946847</v>
      </c>
      <c r="B1254" t="s">
        <v>5405</v>
      </c>
      <c r="C1254" t="s">
        <v>2998</v>
      </c>
      <c r="D1254" t="s">
        <v>150</v>
      </c>
      <c r="E1254" t="s">
        <v>87</v>
      </c>
      <c r="F1254" s="75">
        <v>129</v>
      </c>
      <c r="G1254" s="75">
        <v>285597</v>
      </c>
      <c r="H1254">
        <v>368.16</v>
      </c>
      <c r="I1254" t="s">
        <v>55</v>
      </c>
      <c r="J1254" s="75">
        <v>218791</v>
      </c>
      <c r="K1254" t="s">
        <v>312</v>
      </c>
      <c r="L1254" t="s">
        <v>313</v>
      </c>
      <c r="M1254" s="81">
        <v>46147.535324074073</v>
      </c>
      <c r="N1254" s="81">
        <v>46148.576168981483</v>
      </c>
      <c r="O1254" t="s">
        <v>58</v>
      </c>
      <c r="P1254" t="s">
        <v>59</v>
      </c>
      <c r="Q1254" t="s">
        <v>90</v>
      </c>
      <c r="R1254" t="s">
        <v>131</v>
      </c>
      <c r="S1254" t="s">
        <v>1316</v>
      </c>
      <c r="U1254" s="75">
        <v>248055</v>
      </c>
      <c r="V1254" t="s">
        <v>5406</v>
      </c>
      <c r="W1254" t="s">
        <v>5407</v>
      </c>
      <c r="X1254" t="s">
        <v>62</v>
      </c>
      <c r="Y1254" t="s">
        <v>63</v>
      </c>
      <c r="AA1254" t="s">
        <v>101</v>
      </c>
      <c r="AB1254">
        <v>24.933333000000001</v>
      </c>
      <c r="AC1254">
        <v>12.933332999999999</v>
      </c>
      <c r="AD1254">
        <v>12</v>
      </c>
      <c r="AE1254">
        <v>0.11666600000000001</v>
      </c>
      <c r="AF1254">
        <v>0</v>
      </c>
      <c r="AG1254">
        <v>11.883334</v>
      </c>
      <c r="AH1254">
        <v>11.883334</v>
      </c>
      <c r="AI1254">
        <v>11.616667</v>
      </c>
      <c r="AJ1254">
        <v>0.26666699999999999</v>
      </c>
      <c r="AK1254">
        <v>0</v>
      </c>
      <c r="AL1254" s="76">
        <v>44897.547465277778</v>
      </c>
      <c r="AM1254" s="75">
        <v>1249</v>
      </c>
      <c r="AN1254" t="s">
        <v>65</v>
      </c>
      <c r="AO1254" t="s">
        <v>3000</v>
      </c>
      <c r="AP1254" t="s">
        <v>67</v>
      </c>
      <c r="AQ1254" t="s">
        <v>68</v>
      </c>
      <c r="AR1254" t="s">
        <v>69</v>
      </c>
      <c r="AT1254" s="82" t="s">
        <v>5326</v>
      </c>
      <c r="AU1254" s="78">
        <v>2026</v>
      </c>
      <c r="AV1254" s="78">
        <v>5</v>
      </c>
      <c r="AW1254" s="78" t="s">
        <v>71</v>
      </c>
      <c r="AX1254" s="78">
        <v>0</v>
      </c>
      <c r="AY1254" s="78">
        <v>0</v>
      </c>
      <c r="BT1254" t="s">
        <v>71</v>
      </c>
      <c r="BU1254">
        <v>0</v>
      </c>
      <c r="BV1254">
        <v>0</v>
      </c>
    </row>
    <row r="1255" spans="1:74" x14ac:dyDescent="0.25">
      <c r="A1255" s="75">
        <v>5946689</v>
      </c>
      <c r="B1255" t="s">
        <v>5408</v>
      </c>
      <c r="C1255" t="s">
        <v>5409</v>
      </c>
      <c r="D1255" t="s">
        <v>2602</v>
      </c>
      <c r="E1255" t="s">
        <v>54</v>
      </c>
      <c r="F1255" s="75">
        <v>1</v>
      </c>
      <c r="G1255" s="75">
        <v>296759</v>
      </c>
      <c r="H1255">
        <v>1000</v>
      </c>
      <c r="I1255" t="s">
        <v>114</v>
      </c>
      <c r="J1255" s="75">
        <v>218549</v>
      </c>
      <c r="K1255" t="s">
        <v>5410</v>
      </c>
      <c r="L1255" t="s">
        <v>5411</v>
      </c>
      <c r="M1255" s="81">
        <v>46147.491180555553</v>
      </c>
      <c r="N1255" s="81">
        <v>46148.911469907413</v>
      </c>
      <c r="O1255" t="s">
        <v>58</v>
      </c>
      <c r="P1255" t="s">
        <v>59</v>
      </c>
      <c r="Q1255" t="s">
        <v>130</v>
      </c>
      <c r="R1255" t="s">
        <v>131</v>
      </c>
      <c r="S1255" t="s">
        <v>1273</v>
      </c>
      <c r="U1255" s="75">
        <v>248521</v>
      </c>
      <c r="V1255" t="s">
        <v>5412</v>
      </c>
      <c r="W1255" t="s">
        <v>5413</v>
      </c>
      <c r="X1255" t="s">
        <v>118</v>
      </c>
      <c r="Y1255" t="s">
        <v>119</v>
      </c>
      <c r="AA1255" t="s">
        <v>416</v>
      </c>
      <c r="AB1255">
        <v>34.016666000000001</v>
      </c>
      <c r="AC1255">
        <v>21.516666000000001</v>
      </c>
      <c r="AD1255">
        <v>12.5</v>
      </c>
      <c r="AE1255">
        <v>0.48333300000000001</v>
      </c>
      <c r="AF1255">
        <v>0</v>
      </c>
      <c r="AG1255">
        <v>12.016667</v>
      </c>
      <c r="AH1255">
        <v>12.016667</v>
      </c>
      <c r="AI1255">
        <v>11.6</v>
      </c>
      <c r="AJ1255">
        <v>0.41666700000000001</v>
      </c>
      <c r="AK1255">
        <v>0</v>
      </c>
      <c r="AL1255" s="76">
        <v>45266.732118055559</v>
      </c>
      <c r="AM1255" s="75">
        <v>880</v>
      </c>
      <c r="AN1255" t="s">
        <v>65</v>
      </c>
      <c r="AO1255" t="s">
        <v>5414</v>
      </c>
      <c r="AP1255" t="s">
        <v>67</v>
      </c>
      <c r="AQ1255" t="s">
        <v>121</v>
      </c>
      <c r="AR1255" t="s">
        <v>69</v>
      </c>
      <c r="AT1255" s="82" t="s">
        <v>5326</v>
      </c>
      <c r="AU1255" s="78">
        <v>2026</v>
      </c>
      <c r="AV1255" s="78">
        <v>5</v>
      </c>
      <c r="AW1255" s="78" t="s">
        <v>122</v>
      </c>
      <c r="AX1255" s="78">
        <v>0</v>
      </c>
      <c r="AY1255" s="78">
        <v>0</v>
      </c>
      <c r="BT1255" t="s">
        <v>122</v>
      </c>
      <c r="BU1255">
        <v>0</v>
      </c>
      <c r="BV1255">
        <v>0</v>
      </c>
    </row>
    <row r="1256" spans="1:74" x14ac:dyDescent="0.25">
      <c r="A1256" s="75">
        <v>5946549</v>
      </c>
      <c r="B1256" t="s">
        <v>5415</v>
      </c>
      <c r="C1256" t="s">
        <v>5416</v>
      </c>
      <c r="D1256" t="s">
        <v>2602</v>
      </c>
      <c r="E1256" t="s">
        <v>54</v>
      </c>
      <c r="F1256" s="75">
        <v>23</v>
      </c>
      <c r="G1256" s="75">
        <v>350931</v>
      </c>
      <c r="H1256">
        <v>350</v>
      </c>
      <c r="I1256" t="s">
        <v>203</v>
      </c>
      <c r="J1256" s="75">
        <v>64169</v>
      </c>
      <c r="K1256" t="s">
        <v>1084</v>
      </c>
      <c r="L1256" t="s">
        <v>1085</v>
      </c>
      <c r="M1256" s="81">
        <v>46147.459247685183</v>
      </c>
      <c r="N1256" s="81">
        <v>46148.912280092591</v>
      </c>
      <c r="O1256" t="s">
        <v>58</v>
      </c>
      <c r="P1256" t="s">
        <v>59</v>
      </c>
      <c r="Q1256" t="s">
        <v>130</v>
      </c>
      <c r="R1256" t="s">
        <v>99</v>
      </c>
      <c r="S1256" t="s">
        <v>1244</v>
      </c>
      <c r="U1256" s="75">
        <v>248001</v>
      </c>
      <c r="V1256" t="s">
        <v>5417</v>
      </c>
      <c r="X1256" t="s">
        <v>62</v>
      </c>
      <c r="Y1256" t="s">
        <v>63</v>
      </c>
      <c r="AA1256" t="s">
        <v>416</v>
      </c>
      <c r="AB1256">
        <v>34.816668</v>
      </c>
      <c r="AC1256">
        <v>19.100000000000001</v>
      </c>
      <c r="AD1256">
        <v>15.716668</v>
      </c>
      <c r="AE1256">
        <v>8.3334000000000005E-2</v>
      </c>
      <c r="AF1256">
        <v>0</v>
      </c>
      <c r="AG1256">
        <v>15.633334</v>
      </c>
      <c r="AH1256">
        <v>15.633334</v>
      </c>
      <c r="AI1256">
        <v>14.1</v>
      </c>
      <c r="AJ1256">
        <v>1.533334</v>
      </c>
      <c r="AK1256">
        <v>0</v>
      </c>
      <c r="AL1256" s="76">
        <v>46050.716064814813</v>
      </c>
      <c r="AM1256" s="75">
        <v>96</v>
      </c>
      <c r="AN1256" t="s">
        <v>65</v>
      </c>
      <c r="AO1256" t="s">
        <v>2350</v>
      </c>
      <c r="AP1256" t="s">
        <v>67</v>
      </c>
      <c r="AQ1256" t="s">
        <v>68</v>
      </c>
      <c r="AR1256" t="s">
        <v>69</v>
      </c>
      <c r="AT1256" s="82" t="s">
        <v>5326</v>
      </c>
      <c r="AU1256" s="78">
        <v>2026</v>
      </c>
      <c r="AV1256" s="78">
        <v>5</v>
      </c>
      <c r="AW1256" s="78" t="s">
        <v>71</v>
      </c>
      <c r="AX1256" s="78">
        <v>0</v>
      </c>
      <c r="AY1256" s="78">
        <v>0</v>
      </c>
      <c r="BT1256" t="s">
        <v>71</v>
      </c>
      <c r="BU1256">
        <v>0</v>
      </c>
      <c r="BV1256">
        <v>0</v>
      </c>
    </row>
    <row r="1257" spans="1:74" x14ac:dyDescent="0.25">
      <c r="A1257" s="75">
        <v>5946273</v>
      </c>
      <c r="B1257" t="s">
        <v>5418</v>
      </c>
      <c r="C1257" t="s">
        <v>5419</v>
      </c>
      <c r="D1257" t="s">
        <v>2602</v>
      </c>
      <c r="E1257" t="s">
        <v>105</v>
      </c>
      <c r="F1257" s="75">
        <v>38</v>
      </c>
      <c r="G1257" s="75">
        <v>243003</v>
      </c>
      <c r="H1257">
        <v>800</v>
      </c>
      <c r="I1257" t="s">
        <v>114</v>
      </c>
      <c r="J1257" s="75">
        <v>219039</v>
      </c>
      <c r="K1257" t="s">
        <v>106</v>
      </c>
      <c r="L1257" t="s">
        <v>3749</v>
      </c>
      <c r="M1257" s="81">
        <v>46147.410138888888</v>
      </c>
      <c r="N1257" s="81">
        <v>46148.913981481477</v>
      </c>
      <c r="O1257" t="s">
        <v>58</v>
      </c>
      <c r="P1257" t="s">
        <v>59</v>
      </c>
      <c r="Q1257" t="s">
        <v>90</v>
      </c>
      <c r="R1257" t="s">
        <v>60</v>
      </c>
      <c r="S1257" t="s">
        <v>583</v>
      </c>
      <c r="U1257" s="75">
        <v>248515</v>
      </c>
      <c r="V1257" t="s">
        <v>5420</v>
      </c>
      <c r="W1257" t="s">
        <v>5421</v>
      </c>
      <c r="X1257" t="s">
        <v>118</v>
      </c>
      <c r="Y1257" t="s">
        <v>400</v>
      </c>
      <c r="AA1257" t="s">
        <v>416</v>
      </c>
      <c r="AB1257">
        <v>36.016666999999998</v>
      </c>
      <c r="AC1257">
        <v>15.25</v>
      </c>
      <c r="AD1257">
        <v>20.766667000000002</v>
      </c>
      <c r="AE1257">
        <v>1.533334</v>
      </c>
      <c r="AF1257">
        <v>0</v>
      </c>
      <c r="AG1257">
        <v>19.233332999999998</v>
      </c>
      <c r="AH1257">
        <v>19.233332999999998</v>
      </c>
      <c r="AI1257">
        <v>19</v>
      </c>
      <c r="AJ1257">
        <v>0.23333300000000001</v>
      </c>
      <c r="AK1257">
        <v>0</v>
      </c>
      <c r="AL1257" s="76">
        <v>44428.434756944444</v>
      </c>
      <c r="AM1257" s="75">
        <v>1718</v>
      </c>
      <c r="AN1257" t="s">
        <v>65</v>
      </c>
      <c r="AO1257" t="s">
        <v>3751</v>
      </c>
      <c r="AP1257" t="s">
        <v>67</v>
      </c>
      <c r="AQ1257" t="s">
        <v>121</v>
      </c>
      <c r="AR1257" t="s">
        <v>69</v>
      </c>
      <c r="AT1257" s="82" t="s">
        <v>5326</v>
      </c>
      <c r="AU1257" s="78">
        <v>2026</v>
      </c>
      <c r="AV1257" s="78">
        <v>5</v>
      </c>
      <c r="AW1257" s="78" t="s">
        <v>122</v>
      </c>
      <c r="AX1257" s="78">
        <v>0</v>
      </c>
      <c r="AY1257" s="78">
        <v>0</v>
      </c>
      <c r="BT1257" t="s">
        <v>122</v>
      </c>
      <c r="BU1257">
        <v>0</v>
      </c>
      <c r="BV1257">
        <v>0</v>
      </c>
    </row>
    <row r="1258" spans="1:74" x14ac:dyDescent="0.25">
      <c r="A1258" s="75">
        <v>5945647</v>
      </c>
      <c r="B1258" t="s">
        <v>5422</v>
      </c>
      <c r="C1258" t="s">
        <v>5423</v>
      </c>
      <c r="D1258" t="s">
        <v>2602</v>
      </c>
      <c r="E1258" t="s">
        <v>87</v>
      </c>
      <c r="F1258" s="75">
        <v>120</v>
      </c>
      <c r="G1258" s="75">
        <v>285577</v>
      </c>
      <c r="H1258">
        <v>368.16</v>
      </c>
      <c r="I1258" t="s">
        <v>55</v>
      </c>
      <c r="J1258" s="75">
        <v>218791</v>
      </c>
      <c r="K1258" t="s">
        <v>312</v>
      </c>
      <c r="L1258" t="s">
        <v>313</v>
      </c>
      <c r="M1258" s="81">
        <v>46146.750601851847</v>
      </c>
      <c r="N1258" s="81">
        <v>46148.916018518517</v>
      </c>
      <c r="O1258" t="s">
        <v>58</v>
      </c>
      <c r="P1258" t="s">
        <v>59</v>
      </c>
      <c r="Q1258" t="s">
        <v>90</v>
      </c>
      <c r="R1258" t="s">
        <v>60</v>
      </c>
      <c r="S1258" t="s">
        <v>583</v>
      </c>
      <c r="U1258" s="75">
        <v>248507</v>
      </c>
      <c r="V1258" t="s">
        <v>5424</v>
      </c>
      <c r="W1258" t="s">
        <v>5425</v>
      </c>
      <c r="X1258" t="s">
        <v>62</v>
      </c>
      <c r="Y1258" t="s">
        <v>63</v>
      </c>
      <c r="AA1258" t="s">
        <v>416</v>
      </c>
      <c r="AB1258">
        <v>51.883333999999998</v>
      </c>
      <c r="AC1258">
        <v>29.733333999999999</v>
      </c>
      <c r="AD1258">
        <v>22.15</v>
      </c>
      <c r="AE1258">
        <v>0.1</v>
      </c>
      <c r="AF1258">
        <v>0</v>
      </c>
      <c r="AG1258">
        <v>22.05</v>
      </c>
      <c r="AH1258">
        <v>22.05</v>
      </c>
      <c r="AI1258">
        <v>20.966667000000001</v>
      </c>
      <c r="AJ1258">
        <v>1.0833330000000001</v>
      </c>
      <c r="AK1258">
        <v>0</v>
      </c>
      <c r="AL1258" s="76">
        <v>44865.68886574074</v>
      </c>
      <c r="AM1258" s="75">
        <v>1281</v>
      </c>
      <c r="AN1258" t="s">
        <v>65</v>
      </c>
      <c r="AO1258" t="s">
        <v>5426</v>
      </c>
      <c r="AP1258" t="s">
        <v>67</v>
      </c>
      <c r="AQ1258" t="s">
        <v>68</v>
      </c>
      <c r="AR1258" t="s">
        <v>69</v>
      </c>
      <c r="AT1258" s="82" t="s">
        <v>5326</v>
      </c>
      <c r="AU1258" s="78">
        <v>2026</v>
      </c>
      <c r="AV1258" s="78">
        <v>5</v>
      </c>
      <c r="AW1258" s="78" t="s">
        <v>71</v>
      </c>
      <c r="AX1258" s="78">
        <v>0</v>
      </c>
      <c r="AY1258" s="78">
        <v>0</v>
      </c>
      <c r="BT1258" t="s">
        <v>71</v>
      </c>
      <c r="BU1258">
        <v>0</v>
      </c>
      <c r="BV1258">
        <v>0</v>
      </c>
    </row>
    <row r="1259" spans="1:74" x14ac:dyDescent="0.25">
      <c r="A1259" s="75">
        <v>5946707</v>
      </c>
      <c r="B1259" t="s">
        <v>5427</v>
      </c>
      <c r="C1259" t="s">
        <v>5428</v>
      </c>
      <c r="D1259" t="s">
        <v>527</v>
      </c>
      <c r="E1259" t="s">
        <v>87</v>
      </c>
      <c r="F1259" s="75">
        <v>1487</v>
      </c>
      <c r="G1259" s="75">
        <v>347841</v>
      </c>
      <c r="H1259">
        <v>650.6</v>
      </c>
      <c r="I1259" t="s">
        <v>203</v>
      </c>
      <c r="J1259" s="75">
        <v>6971</v>
      </c>
      <c r="K1259" t="s">
        <v>369</v>
      </c>
      <c r="L1259" t="s">
        <v>370</v>
      </c>
      <c r="M1259" s="81">
        <v>46147.493750000001</v>
      </c>
      <c r="N1259" s="81">
        <v>46149.337800925918</v>
      </c>
      <c r="O1259" t="s">
        <v>58</v>
      </c>
      <c r="P1259" t="s">
        <v>59</v>
      </c>
      <c r="Q1259" t="s">
        <v>90</v>
      </c>
      <c r="R1259" t="s">
        <v>156</v>
      </c>
      <c r="S1259" t="s">
        <v>1320</v>
      </c>
      <c r="U1259" s="75">
        <v>248035</v>
      </c>
      <c r="V1259" t="s">
        <v>5429</v>
      </c>
      <c r="W1259" t="s">
        <v>5429</v>
      </c>
      <c r="X1259" t="s">
        <v>62</v>
      </c>
      <c r="Y1259" t="s">
        <v>190</v>
      </c>
      <c r="AA1259" t="s">
        <v>64</v>
      </c>
      <c r="AB1259">
        <v>44.216667999999999</v>
      </c>
      <c r="AC1259">
        <v>38.116667</v>
      </c>
      <c r="AD1259">
        <v>6.1000009999999998</v>
      </c>
      <c r="AE1259">
        <v>0.86666699999999997</v>
      </c>
      <c r="AF1259">
        <v>0</v>
      </c>
      <c r="AG1259">
        <v>5.2333340000000002</v>
      </c>
      <c r="AH1259">
        <v>5.2333340000000002</v>
      </c>
      <c r="AI1259">
        <v>5.1666670000000003</v>
      </c>
      <c r="AJ1259">
        <v>6.6667000000000004E-2</v>
      </c>
      <c r="AK1259">
        <v>0</v>
      </c>
      <c r="AL1259" s="76"/>
      <c r="AM1259" s="75"/>
      <c r="AN1259" t="s">
        <v>135</v>
      </c>
      <c r="AO1259" t="s">
        <v>4538</v>
      </c>
      <c r="AP1259" t="s">
        <v>67</v>
      </c>
      <c r="AQ1259" t="s">
        <v>68</v>
      </c>
      <c r="AR1259" t="s">
        <v>69</v>
      </c>
      <c r="AT1259" s="82" t="s">
        <v>5326</v>
      </c>
      <c r="AU1259" s="78">
        <v>2026</v>
      </c>
      <c r="AV1259" s="78">
        <v>5</v>
      </c>
      <c r="AW1259" s="78" t="s">
        <v>137</v>
      </c>
      <c r="AX1259" s="78">
        <v>1</v>
      </c>
      <c r="AY1259" s="78">
        <v>0</v>
      </c>
      <c r="BT1259" t="s">
        <v>137</v>
      </c>
      <c r="BU1259">
        <v>1</v>
      </c>
      <c r="BV1259">
        <v>0</v>
      </c>
    </row>
    <row r="1260" spans="1:74" x14ac:dyDescent="0.25">
      <c r="A1260" s="75">
        <v>5948349</v>
      </c>
      <c r="B1260" t="s">
        <v>5430</v>
      </c>
      <c r="C1260" t="s">
        <v>773</v>
      </c>
      <c r="D1260" t="s">
        <v>527</v>
      </c>
      <c r="E1260" t="s">
        <v>87</v>
      </c>
      <c r="F1260" s="75">
        <v>193</v>
      </c>
      <c r="G1260" s="75">
        <v>285935</v>
      </c>
      <c r="H1260">
        <v>350</v>
      </c>
      <c r="I1260" t="s">
        <v>55</v>
      </c>
      <c r="J1260" s="75">
        <v>218787</v>
      </c>
      <c r="K1260" t="s">
        <v>96</v>
      </c>
      <c r="L1260" t="s">
        <v>97</v>
      </c>
      <c r="M1260" s="81">
        <v>46148.472870370373</v>
      </c>
      <c r="N1260" s="81">
        <v>46149.538240740738</v>
      </c>
      <c r="O1260" t="s">
        <v>58</v>
      </c>
      <c r="P1260" t="s">
        <v>59</v>
      </c>
      <c r="Q1260" t="s">
        <v>90</v>
      </c>
      <c r="R1260" t="s">
        <v>60</v>
      </c>
      <c r="S1260" t="s">
        <v>583</v>
      </c>
      <c r="U1260" s="75">
        <v>249487</v>
      </c>
      <c r="V1260" t="s">
        <v>5431</v>
      </c>
      <c r="W1260" t="s">
        <v>5432</v>
      </c>
      <c r="X1260" t="s">
        <v>62</v>
      </c>
      <c r="Y1260" t="s">
        <v>63</v>
      </c>
      <c r="AA1260" t="s">
        <v>101</v>
      </c>
      <c r="AB1260">
        <v>25.483332999999998</v>
      </c>
      <c r="AC1260">
        <v>16.416665999999999</v>
      </c>
      <c r="AD1260">
        <v>9.0666670000000007</v>
      </c>
      <c r="AE1260">
        <v>0.26666699999999999</v>
      </c>
      <c r="AF1260">
        <v>0</v>
      </c>
      <c r="AG1260">
        <v>8.8000000000000007</v>
      </c>
      <c r="AH1260">
        <v>8.8000000000000007</v>
      </c>
      <c r="AI1260">
        <v>7.716666</v>
      </c>
      <c r="AJ1260">
        <v>1.083334</v>
      </c>
      <c r="AK1260">
        <v>0</v>
      </c>
      <c r="AL1260" s="76">
        <v>44870.397280092591</v>
      </c>
      <c r="AM1260" s="75">
        <v>1278</v>
      </c>
      <c r="AN1260" t="s">
        <v>65</v>
      </c>
      <c r="AO1260" t="s">
        <v>776</v>
      </c>
      <c r="AP1260" t="s">
        <v>67</v>
      </c>
      <c r="AQ1260" t="s">
        <v>68</v>
      </c>
      <c r="AR1260" t="s">
        <v>69</v>
      </c>
      <c r="AT1260" s="82" t="s">
        <v>5326</v>
      </c>
      <c r="AU1260" s="78">
        <v>2026</v>
      </c>
      <c r="AV1260" s="78">
        <v>5</v>
      </c>
      <c r="AW1260" s="78" t="s">
        <v>71</v>
      </c>
      <c r="AX1260" s="78">
        <v>0</v>
      </c>
      <c r="AY1260" s="78">
        <v>0</v>
      </c>
      <c r="BT1260" t="s">
        <v>71</v>
      </c>
      <c r="BU1260">
        <v>0</v>
      </c>
      <c r="BV1260">
        <v>0</v>
      </c>
    </row>
    <row r="1261" spans="1:74" x14ac:dyDescent="0.25">
      <c r="A1261" s="75">
        <v>5949103</v>
      </c>
      <c r="B1261" t="s">
        <v>5433</v>
      </c>
      <c r="C1261" t="s">
        <v>5434</v>
      </c>
      <c r="D1261" t="s">
        <v>527</v>
      </c>
      <c r="E1261" t="s">
        <v>87</v>
      </c>
      <c r="F1261" s="75">
        <v>338</v>
      </c>
      <c r="G1261" s="75">
        <v>286681</v>
      </c>
      <c r="H1261">
        <v>364.96</v>
      </c>
      <c r="I1261" t="s">
        <v>55</v>
      </c>
      <c r="J1261" s="75">
        <v>218787</v>
      </c>
      <c r="K1261" t="s">
        <v>96</v>
      </c>
      <c r="L1261" t="s">
        <v>97</v>
      </c>
      <c r="M1261" s="81">
        <v>46148.722696759258</v>
      </c>
      <c r="N1261" s="81">
        <v>46149.538402777784</v>
      </c>
      <c r="O1261" t="s">
        <v>58</v>
      </c>
      <c r="P1261" t="s">
        <v>59</v>
      </c>
      <c r="Q1261" t="s">
        <v>90</v>
      </c>
      <c r="R1261" t="s">
        <v>99</v>
      </c>
      <c r="S1261" t="s">
        <v>1244</v>
      </c>
      <c r="U1261" s="75">
        <v>249307</v>
      </c>
      <c r="V1261" t="s">
        <v>5435</v>
      </c>
      <c r="W1261" t="s">
        <v>5435</v>
      </c>
      <c r="X1261" t="s">
        <v>62</v>
      </c>
      <c r="Y1261" t="s">
        <v>63</v>
      </c>
      <c r="AA1261" t="s">
        <v>81</v>
      </c>
      <c r="AB1261">
        <v>19.533332999999999</v>
      </c>
      <c r="AC1261">
        <v>17.916665999999999</v>
      </c>
      <c r="AD1261">
        <v>1.6166670000000001</v>
      </c>
      <c r="AE1261">
        <v>0.1</v>
      </c>
      <c r="AF1261">
        <v>0</v>
      </c>
      <c r="AG1261">
        <v>1.516667</v>
      </c>
      <c r="AH1261">
        <v>1.516667</v>
      </c>
      <c r="AI1261">
        <v>0.6</v>
      </c>
      <c r="AJ1261">
        <v>0.91666700000000001</v>
      </c>
      <c r="AK1261">
        <v>0</v>
      </c>
      <c r="AL1261" s="76">
        <v>45014</v>
      </c>
      <c r="AM1261" s="75">
        <v>1134</v>
      </c>
      <c r="AN1261" t="s">
        <v>65</v>
      </c>
      <c r="AO1261" t="s">
        <v>5436</v>
      </c>
      <c r="AP1261" t="s">
        <v>67</v>
      </c>
      <c r="AQ1261" t="s">
        <v>68</v>
      </c>
      <c r="AR1261" t="s">
        <v>69</v>
      </c>
      <c r="AT1261" s="82" t="s">
        <v>5326</v>
      </c>
      <c r="AU1261" s="78">
        <v>2026</v>
      </c>
      <c r="AV1261" s="78">
        <v>5</v>
      </c>
      <c r="AW1261" s="78" t="s">
        <v>71</v>
      </c>
      <c r="AX1261" s="78">
        <v>1</v>
      </c>
      <c r="AY1261" s="78">
        <v>0</v>
      </c>
      <c r="BT1261" t="s">
        <v>71</v>
      </c>
      <c r="BU1261">
        <v>1</v>
      </c>
      <c r="BV1261">
        <v>0</v>
      </c>
    </row>
    <row r="1262" spans="1:74" x14ac:dyDescent="0.25">
      <c r="A1262" s="75">
        <v>5947511</v>
      </c>
      <c r="B1262" t="s">
        <v>5437</v>
      </c>
      <c r="C1262" t="s">
        <v>5438</v>
      </c>
      <c r="D1262" t="s">
        <v>150</v>
      </c>
      <c r="E1262" t="s">
        <v>87</v>
      </c>
      <c r="F1262" s="75">
        <v>402</v>
      </c>
      <c r="G1262" s="75">
        <v>167715</v>
      </c>
      <c r="H1262">
        <v>1247.45</v>
      </c>
      <c r="I1262" t="s">
        <v>114</v>
      </c>
      <c r="J1262" s="75">
        <v>6971</v>
      </c>
      <c r="K1262" t="s">
        <v>369</v>
      </c>
      <c r="L1262" t="s">
        <v>370</v>
      </c>
      <c r="M1262" s="81">
        <v>46147.689629629633</v>
      </c>
      <c r="N1262" s="81">
        <v>46149.545405092591</v>
      </c>
      <c r="O1262" t="s">
        <v>58</v>
      </c>
      <c r="P1262" t="s">
        <v>59</v>
      </c>
      <c r="Q1262" t="s">
        <v>130</v>
      </c>
      <c r="R1262" t="s">
        <v>131</v>
      </c>
      <c r="S1262" t="s">
        <v>1316</v>
      </c>
      <c r="U1262" s="75">
        <v>248535</v>
      </c>
      <c r="V1262" t="s">
        <v>5439</v>
      </c>
      <c r="W1262" t="s">
        <v>5439</v>
      </c>
      <c r="X1262" t="s">
        <v>62</v>
      </c>
      <c r="Y1262" t="s">
        <v>931</v>
      </c>
      <c r="AA1262" t="s">
        <v>81</v>
      </c>
      <c r="AB1262">
        <v>44.466667000000001</v>
      </c>
      <c r="AC1262">
        <v>40.6</v>
      </c>
      <c r="AD1262">
        <v>3.8666670000000001</v>
      </c>
      <c r="AE1262">
        <v>0.5</v>
      </c>
      <c r="AF1262">
        <v>0</v>
      </c>
      <c r="AG1262">
        <v>3.3666670000000001</v>
      </c>
      <c r="AH1262">
        <v>3.3666670000000001</v>
      </c>
      <c r="AI1262">
        <v>3.1333340000000001</v>
      </c>
      <c r="AJ1262">
        <v>0.23333300000000001</v>
      </c>
      <c r="AK1262">
        <v>0</v>
      </c>
      <c r="AL1262" s="76">
        <v>44013.728750000002</v>
      </c>
      <c r="AM1262" s="75">
        <v>2133</v>
      </c>
      <c r="AN1262" t="s">
        <v>65</v>
      </c>
      <c r="AO1262" t="s">
        <v>3611</v>
      </c>
      <c r="AP1262" t="s">
        <v>67</v>
      </c>
      <c r="AQ1262" t="s">
        <v>68</v>
      </c>
      <c r="AR1262" t="s">
        <v>69</v>
      </c>
      <c r="AT1262" s="82" t="s">
        <v>5326</v>
      </c>
      <c r="AU1262" s="78">
        <v>2026</v>
      </c>
      <c r="AV1262" s="78">
        <v>5</v>
      </c>
      <c r="AW1262" s="78" t="s">
        <v>71</v>
      </c>
      <c r="AX1262" s="78">
        <v>1</v>
      </c>
      <c r="AY1262" s="78">
        <v>0</v>
      </c>
      <c r="BT1262" t="s">
        <v>71</v>
      </c>
      <c r="BU1262">
        <v>1</v>
      </c>
      <c r="BV1262">
        <v>0</v>
      </c>
    </row>
    <row r="1263" spans="1:74" x14ac:dyDescent="0.25">
      <c r="A1263" s="75">
        <v>5948659</v>
      </c>
      <c r="B1263" t="s">
        <v>5440</v>
      </c>
      <c r="C1263" t="s">
        <v>582</v>
      </c>
      <c r="D1263" t="s">
        <v>150</v>
      </c>
      <c r="E1263" t="s">
        <v>87</v>
      </c>
      <c r="F1263" s="75">
        <v>544</v>
      </c>
      <c r="G1263" s="75">
        <v>297135</v>
      </c>
      <c r="H1263">
        <v>346.37</v>
      </c>
      <c r="I1263" t="s">
        <v>55</v>
      </c>
      <c r="J1263" s="75">
        <v>216233</v>
      </c>
      <c r="K1263" t="s">
        <v>88</v>
      </c>
      <c r="L1263" t="s">
        <v>89</v>
      </c>
      <c r="M1263" s="81">
        <v>46148.577025462961</v>
      </c>
      <c r="N1263" s="81">
        <v>46149.606122685182</v>
      </c>
      <c r="O1263" t="s">
        <v>58</v>
      </c>
      <c r="P1263" t="s">
        <v>59</v>
      </c>
      <c r="Q1263" t="s">
        <v>90</v>
      </c>
      <c r="R1263" t="s">
        <v>99</v>
      </c>
      <c r="S1263" t="s">
        <v>1375</v>
      </c>
      <c r="U1263" s="75">
        <v>249509</v>
      </c>
      <c r="V1263" t="s">
        <v>5441</v>
      </c>
      <c r="X1263" t="s">
        <v>62</v>
      </c>
      <c r="Y1263" t="s">
        <v>63</v>
      </c>
      <c r="AA1263" t="s">
        <v>81</v>
      </c>
      <c r="AB1263">
        <v>24.65</v>
      </c>
      <c r="AC1263">
        <v>21.6</v>
      </c>
      <c r="AD1263">
        <v>3.05</v>
      </c>
      <c r="AE1263">
        <v>0.26666699999999999</v>
      </c>
      <c r="AF1263">
        <v>0</v>
      </c>
      <c r="AG1263">
        <v>2.7833329999999998</v>
      </c>
      <c r="AH1263">
        <v>2.7833329999999998</v>
      </c>
      <c r="AI1263">
        <v>2.65</v>
      </c>
      <c r="AJ1263">
        <v>0.13333300000000001</v>
      </c>
      <c r="AK1263">
        <v>0</v>
      </c>
      <c r="AL1263" s="76">
        <v>45254.689884259264</v>
      </c>
      <c r="AM1263" s="75">
        <v>893</v>
      </c>
      <c r="AN1263" t="s">
        <v>65</v>
      </c>
      <c r="AO1263" t="s">
        <v>585</v>
      </c>
      <c r="AP1263" t="s">
        <v>67</v>
      </c>
      <c r="AQ1263" t="s">
        <v>68</v>
      </c>
      <c r="AR1263" t="s">
        <v>69</v>
      </c>
      <c r="AT1263" s="82" t="s">
        <v>5326</v>
      </c>
      <c r="AU1263" s="78">
        <v>2026</v>
      </c>
      <c r="AV1263" s="78">
        <v>5</v>
      </c>
      <c r="AW1263" s="78" t="s">
        <v>71</v>
      </c>
      <c r="AX1263" s="78">
        <v>1</v>
      </c>
      <c r="AY1263" s="78">
        <v>0</v>
      </c>
      <c r="BT1263" t="s">
        <v>71</v>
      </c>
      <c r="BU1263">
        <v>1</v>
      </c>
      <c r="BV1263">
        <v>0</v>
      </c>
    </row>
    <row r="1264" spans="1:74" x14ac:dyDescent="0.25">
      <c r="A1264" s="75">
        <v>5949021</v>
      </c>
      <c r="B1264" t="s">
        <v>5442</v>
      </c>
      <c r="C1264" t="s">
        <v>5443</v>
      </c>
      <c r="D1264" t="s">
        <v>150</v>
      </c>
      <c r="E1264" t="s">
        <v>87</v>
      </c>
      <c r="F1264" s="75">
        <v>41</v>
      </c>
      <c r="G1264" s="75">
        <v>275269</v>
      </c>
      <c r="H1264">
        <v>369.16</v>
      </c>
      <c r="I1264" t="s">
        <v>55</v>
      </c>
      <c r="J1264" s="75">
        <v>218791</v>
      </c>
      <c r="K1264" t="s">
        <v>312</v>
      </c>
      <c r="L1264" t="s">
        <v>313</v>
      </c>
      <c r="M1264" s="81">
        <v>46148.695034722223</v>
      </c>
      <c r="N1264" s="81">
        <v>46149.606631944444</v>
      </c>
      <c r="O1264" t="s">
        <v>58</v>
      </c>
      <c r="P1264" t="s">
        <v>59</v>
      </c>
      <c r="Q1264" t="s">
        <v>90</v>
      </c>
      <c r="R1264" t="s">
        <v>99</v>
      </c>
      <c r="S1264" t="s">
        <v>1244</v>
      </c>
      <c r="U1264" s="75">
        <v>249351</v>
      </c>
      <c r="V1264" t="s">
        <v>5444</v>
      </c>
      <c r="X1264" t="s">
        <v>62</v>
      </c>
      <c r="Y1264" t="s">
        <v>63</v>
      </c>
      <c r="AA1264" t="s">
        <v>81</v>
      </c>
      <c r="AB1264">
        <v>21.833333</v>
      </c>
      <c r="AC1264">
        <v>18.350000000000001</v>
      </c>
      <c r="AD1264">
        <v>3.483333</v>
      </c>
      <c r="AE1264">
        <v>3.3333330000000001</v>
      </c>
      <c r="AF1264">
        <v>0</v>
      </c>
      <c r="AG1264">
        <v>0.15</v>
      </c>
      <c r="AH1264">
        <v>0.15</v>
      </c>
      <c r="AI1264">
        <v>0</v>
      </c>
      <c r="AJ1264">
        <v>0.15</v>
      </c>
      <c r="AK1264">
        <v>0</v>
      </c>
      <c r="AL1264" s="76">
        <v>44865.594560185193</v>
      </c>
      <c r="AM1264" s="75">
        <v>1283</v>
      </c>
      <c r="AN1264" t="s">
        <v>65</v>
      </c>
      <c r="AO1264" t="s">
        <v>5445</v>
      </c>
      <c r="AP1264" t="s">
        <v>67</v>
      </c>
      <c r="AQ1264" t="s">
        <v>68</v>
      </c>
      <c r="AR1264" t="s">
        <v>69</v>
      </c>
      <c r="AT1264" s="82" t="s">
        <v>5326</v>
      </c>
      <c r="AU1264" s="78">
        <v>2026</v>
      </c>
      <c r="AV1264" s="78">
        <v>5</v>
      </c>
      <c r="AW1264" s="78" t="s">
        <v>71</v>
      </c>
      <c r="AX1264" s="78">
        <v>1</v>
      </c>
      <c r="AY1264" s="78">
        <v>0</v>
      </c>
      <c r="BT1264" t="s">
        <v>71</v>
      </c>
      <c r="BU1264">
        <v>1</v>
      </c>
      <c r="BV1264">
        <v>0</v>
      </c>
    </row>
    <row r="1265" spans="1:74" x14ac:dyDescent="0.25">
      <c r="A1265" s="75">
        <v>5949137</v>
      </c>
      <c r="B1265" t="s">
        <v>5446</v>
      </c>
      <c r="C1265" t="s">
        <v>1616</v>
      </c>
      <c r="D1265" t="s">
        <v>150</v>
      </c>
      <c r="E1265" t="s">
        <v>87</v>
      </c>
      <c r="F1265" s="75">
        <v>132</v>
      </c>
      <c r="G1265" s="75">
        <v>285603</v>
      </c>
      <c r="H1265">
        <v>368.16</v>
      </c>
      <c r="I1265" t="s">
        <v>55</v>
      </c>
      <c r="J1265" s="75">
        <v>218791</v>
      </c>
      <c r="K1265" t="s">
        <v>312</v>
      </c>
      <c r="L1265" t="s">
        <v>313</v>
      </c>
      <c r="M1265" s="81">
        <v>46148.736539351848</v>
      </c>
      <c r="N1265" s="81">
        <v>46149.606944444437</v>
      </c>
      <c r="O1265" t="s">
        <v>58</v>
      </c>
      <c r="P1265" t="s">
        <v>59</v>
      </c>
      <c r="Q1265" t="s">
        <v>90</v>
      </c>
      <c r="R1265" t="s">
        <v>131</v>
      </c>
      <c r="S1265" t="s">
        <v>1316</v>
      </c>
      <c r="U1265" s="75">
        <v>249311</v>
      </c>
      <c r="V1265" t="s">
        <v>5447</v>
      </c>
      <c r="W1265" t="s">
        <v>5447</v>
      </c>
      <c r="X1265" t="s">
        <v>62</v>
      </c>
      <c r="Y1265" t="s">
        <v>63</v>
      </c>
      <c r="AA1265" t="s">
        <v>81</v>
      </c>
      <c r="AB1265">
        <v>20.833333</v>
      </c>
      <c r="AC1265">
        <v>18.2</v>
      </c>
      <c r="AD1265">
        <v>2.6333329999999999</v>
      </c>
      <c r="AE1265">
        <v>0.2</v>
      </c>
      <c r="AF1265">
        <v>0</v>
      </c>
      <c r="AG1265">
        <v>2.4333330000000002</v>
      </c>
      <c r="AH1265">
        <v>2.4333330000000002</v>
      </c>
      <c r="AI1265">
        <v>2.2999999999999998</v>
      </c>
      <c r="AJ1265">
        <v>0.13333300000000001</v>
      </c>
      <c r="AK1265">
        <v>0</v>
      </c>
      <c r="AL1265" s="76">
        <v>45007.362557870372</v>
      </c>
      <c r="AM1265" s="75">
        <v>1141</v>
      </c>
      <c r="AN1265" t="s">
        <v>65</v>
      </c>
      <c r="AO1265" t="s">
        <v>1619</v>
      </c>
      <c r="AP1265" t="s">
        <v>67</v>
      </c>
      <c r="AQ1265" t="s">
        <v>68</v>
      </c>
      <c r="AR1265" t="s">
        <v>69</v>
      </c>
      <c r="AT1265" s="82" t="s">
        <v>5326</v>
      </c>
      <c r="AU1265" s="78">
        <v>2026</v>
      </c>
      <c r="AV1265" s="78">
        <v>5</v>
      </c>
      <c r="AW1265" s="78" t="s">
        <v>71</v>
      </c>
      <c r="AX1265" s="78">
        <v>1</v>
      </c>
      <c r="AY1265" s="78">
        <v>0</v>
      </c>
      <c r="BT1265" t="s">
        <v>71</v>
      </c>
      <c r="BU1265">
        <v>1</v>
      </c>
      <c r="BV1265">
        <v>0</v>
      </c>
    </row>
    <row r="1266" spans="1:74" x14ac:dyDescent="0.25">
      <c r="A1266" s="75">
        <v>5945613</v>
      </c>
      <c r="B1266" t="s">
        <v>5448</v>
      </c>
      <c r="C1266" t="s">
        <v>5449</v>
      </c>
      <c r="D1266" t="s">
        <v>956</v>
      </c>
      <c r="E1266" t="s">
        <v>105</v>
      </c>
      <c r="F1266" s="75">
        <v>86</v>
      </c>
      <c r="G1266" s="75">
        <v>275945</v>
      </c>
      <c r="H1266">
        <v>1288.22</v>
      </c>
      <c r="I1266" t="s">
        <v>266</v>
      </c>
      <c r="J1266" s="75">
        <v>225215</v>
      </c>
      <c r="K1266" t="s">
        <v>106</v>
      </c>
      <c r="L1266" t="s">
        <v>107</v>
      </c>
      <c r="M1266" s="81">
        <v>46146.729502314818</v>
      </c>
      <c r="N1266" s="81">
        <v>46149.652199074073</v>
      </c>
      <c r="O1266" t="s">
        <v>58</v>
      </c>
      <c r="P1266" t="s">
        <v>59</v>
      </c>
      <c r="Q1266" t="s">
        <v>90</v>
      </c>
      <c r="R1266" t="s">
        <v>156</v>
      </c>
      <c r="S1266" t="s">
        <v>1320</v>
      </c>
      <c r="U1266" s="75">
        <v>249473</v>
      </c>
      <c r="V1266" t="s">
        <v>5450</v>
      </c>
      <c r="W1266" t="s">
        <v>5450</v>
      </c>
      <c r="X1266" t="s">
        <v>62</v>
      </c>
      <c r="Y1266" t="s">
        <v>271</v>
      </c>
      <c r="AA1266" t="s">
        <v>81</v>
      </c>
      <c r="AB1266">
        <v>69.983333999999999</v>
      </c>
      <c r="AC1266">
        <v>58.75</v>
      </c>
      <c r="AD1266">
        <v>11.233333999999999</v>
      </c>
      <c r="AE1266">
        <v>7.6333339999999996</v>
      </c>
      <c r="AF1266">
        <v>0</v>
      </c>
      <c r="AG1266">
        <v>3.6</v>
      </c>
      <c r="AH1266">
        <v>3.6</v>
      </c>
      <c r="AI1266">
        <v>2.3333330000000001</v>
      </c>
      <c r="AJ1266">
        <v>1.266667</v>
      </c>
      <c r="AK1266">
        <v>0</v>
      </c>
      <c r="AL1266" s="76">
        <v>44344</v>
      </c>
      <c r="AM1266" s="75">
        <v>1802</v>
      </c>
      <c r="AN1266" t="s">
        <v>65</v>
      </c>
      <c r="AO1266" t="s">
        <v>1480</v>
      </c>
      <c r="AP1266" t="s">
        <v>67</v>
      </c>
      <c r="AQ1266" t="s">
        <v>68</v>
      </c>
      <c r="AR1266" t="s">
        <v>69</v>
      </c>
      <c r="AT1266" s="82" t="s">
        <v>5326</v>
      </c>
      <c r="AU1266" s="78">
        <v>2026</v>
      </c>
      <c r="AV1266" s="78">
        <v>5</v>
      </c>
      <c r="AW1266" s="78" t="s">
        <v>137</v>
      </c>
      <c r="AX1266" s="78">
        <v>1</v>
      </c>
      <c r="AY1266" s="78">
        <v>0</v>
      </c>
      <c r="BT1266" t="s">
        <v>137</v>
      </c>
      <c r="BU1266">
        <v>1</v>
      </c>
      <c r="BV1266">
        <v>0</v>
      </c>
    </row>
    <row r="1267" spans="1:74" x14ac:dyDescent="0.25">
      <c r="A1267" s="75">
        <v>5948455</v>
      </c>
      <c r="B1267" t="s">
        <v>5451</v>
      </c>
      <c r="C1267" t="s">
        <v>5452</v>
      </c>
      <c r="D1267" t="s">
        <v>2602</v>
      </c>
      <c r="E1267" t="s">
        <v>87</v>
      </c>
      <c r="F1267" s="75">
        <v>37</v>
      </c>
      <c r="G1267" s="75">
        <v>187685</v>
      </c>
      <c r="H1267">
        <v>573</v>
      </c>
      <c r="I1267" t="s">
        <v>114</v>
      </c>
      <c r="J1267" s="75">
        <v>6971</v>
      </c>
      <c r="K1267" t="s">
        <v>369</v>
      </c>
      <c r="L1267" t="s">
        <v>370</v>
      </c>
      <c r="M1267" s="81">
        <v>46148.498553240737</v>
      </c>
      <c r="N1267" s="81">
        <v>46149.676898148151</v>
      </c>
      <c r="O1267" t="s">
        <v>58</v>
      </c>
      <c r="P1267" t="s">
        <v>59</v>
      </c>
      <c r="Q1267" t="s">
        <v>130</v>
      </c>
      <c r="R1267" t="s">
        <v>156</v>
      </c>
      <c r="S1267" t="s">
        <v>1320</v>
      </c>
      <c r="U1267" s="75">
        <v>249515</v>
      </c>
      <c r="V1267" t="s">
        <v>5453</v>
      </c>
      <c r="W1267" t="s">
        <v>5453</v>
      </c>
      <c r="X1267" t="s">
        <v>79</v>
      </c>
      <c r="Y1267" t="s">
        <v>80</v>
      </c>
      <c r="AA1267" t="s">
        <v>64</v>
      </c>
      <c r="AB1267">
        <v>28.183333999999999</v>
      </c>
      <c r="AC1267">
        <v>21.766667000000002</v>
      </c>
      <c r="AD1267">
        <v>6.4166670000000003</v>
      </c>
      <c r="AE1267">
        <v>0.48333399999999999</v>
      </c>
      <c r="AF1267">
        <v>0</v>
      </c>
      <c r="AG1267">
        <v>5.9333330000000002</v>
      </c>
      <c r="AH1267">
        <v>5.9333330000000002</v>
      </c>
      <c r="AI1267">
        <v>4.4166670000000003</v>
      </c>
      <c r="AJ1267">
        <v>1.5166660000000001</v>
      </c>
      <c r="AK1267">
        <v>0</v>
      </c>
      <c r="AL1267" s="76">
        <v>43986</v>
      </c>
      <c r="AM1267" s="75">
        <v>2162</v>
      </c>
      <c r="AN1267" t="s">
        <v>65</v>
      </c>
      <c r="AO1267" t="s">
        <v>5454</v>
      </c>
      <c r="AP1267" t="s">
        <v>67</v>
      </c>
      <c r="AQ1267" t="s">
        <v>83</v>
      </c>
      <c r="AR1267" t="s">
        <v>69</v>
      </c>
      <c r="AT1267" s="82" t="s">
        <v>5326</v>
      </c>
      <c r="AU1267" s="78">
        <v>2026</v>
      </c>
      <c r="AV1267" s="78">
        <v>5</v>
      </c>
      <c r="AW1267" s="78" t="s">
        <v>84</v>
      </c>
      <c r="AX1267" s="78">
        <v>1</v>
      </c>
      <c r="AY1267" s="78">
        <v>0</v>
      </c>
      <c r="BT1267" t="s">
        <v>84</v>
      </c>
      <c r="BU1267">
        <v>1</v>
      </c>
      <c r="BV1267">
        <v>0</v>
      </c>
    </row>
    <row r="1268" spans="1:74" x14ac:dyDescent="0.25">
      <c r="A1268" s="75">
        <v>5948665</v>
      </c>
      <c r="B1268" t="s">
        <v>5455</v>
      </c>
      <c r="C1268" t="s">
        <v>5456</v>
      </c>
      <c r="D1268" t="s">
        <v>2379</v>
      </c>
      <c r="E1268" t="s">
        <v>87</v>
      </c>
      <c r="F1268" s="75">
        <v>63</v>
      </c>
      <c r="G1268" s="75">
        <v>279757</v>
      </c>
      <c r="H1268">
        <v>516.22</v>
      </c>
      <c r="I1268" t="s">
        <v>266</v>
      </c>
      <c r="J1268" s="75">
        <v>149307</v>
      </c>
      <c r="K1268" t="s">
        <v>350</v>
      </c>
      <c r="L1268" t="s">
        <v>351</v>
      </c>
      <c r="M1268" s="81">
        <v>46148.578263888892</v>
      </c>
      <c r="N1268" s="81">
        <v>46149.750532407408</v>
      </c>
      <c r="O1268" t="s">
        <v>58</v>
      </c>
      <c r="P1268" t="s">
        <v>59</v>
      </c>
      <c r="R1268" t="s">
        <v>156</v>
      </c>
      <c r="S1268" t="s">
        <v>1320</v>
      </c>
      <c r="T1268" t="s">
        <v>507</v>
      </c>
      <c r="U1268" s="75">
        <v>249449</v>
      </c>
      <c r="V1268" t="s">
        <v>5457</v>
      </c>
      <c r="W1268" t="s">
        <v>5457</v>
      </c>
      <c r="X1268" t="s">
        <v>62</v>
      </c>
      <c r="Y1268" t="s">
        <v>1313</v>
      </c>
      <c r="AA1268" t="s">
        <v>64</v>
      </c>
      <c r="AB1268">
        <v>27.983331</v>
      </c>
      <c r="AC1268">
        <v>22.299999</v>
      </c>
      <c r="AD1268">
        <v>5.6833320000000001</v>
      </c>
      <c r="AE1268">
        <v>1.0833330000000001</v>
      </c>
      <c r="AF1268">
        <v>0</v>
      </c>
      <c r="AG1268">
        <v>4.5999990000000004</v>
      </c>
      <c r="AH1268">
        <v>4.5999990000000004</v>
      </c>
      <c r="AI1268">
        <v>3.95</v>
      </c>
      <c r="AJ1268">
        <v>0.64999899999999999</v>
      </c>
      <c r="AK1268">
        <v>0</v>
      </c>
      <c r="AL1268" s="76">
        <v>44693</v>
      </c>
      <c r="AM1268" s="75">
        <v>1455</v>
      </c>
      <c r="AN1268" t="s">
        <v>65</v>
      </c>
      <c r="AO1268" t="s">
        <v>5458</v>
      </c>
      <c r="AP1268" t="s">
        <v>67</v>
      </c>
      <c r="AQ1268" t="s">
        <v>68</v>
      </c>
      <c r="AR1268" t="s">
        <v>69</v>
      </c>
      <c r="AT1268" s="82" t="s">
        <v>5326</v>
      </c>
      <c r="AU1268" s="78">
        <v>2026</v>
      </c>
      <c r="AV1268" s="78">
        <v>5</v>
      </c>
      <c r="AW1268" s="78" t="s">
        <v>137</v>
      </c>
      <c r="AX1268" s="78">
        <v>1</v>
      </c>
      <c r="AY1268" s="78">
        <v>0</v>
      </c>
      <c r="BT1268" t="s">
        <v>137</v>
      </c>
      <c r="BU1268">
        <v>1</v>
      </c>
      <c r="BV1268">
        <v>0</v>
      </c>
    </row>
    <row r="1269" spans="1:74" x14ac:dyDescent="0.25">
      <c r="A1269" s="75">
        <v>5948177</v>
      </c>
      <c r="B1269" t="s">
        <v>5459</v>
      </c>
      <c r="C1269" t="s">
        <v>5460</v>
      </c>
      <c r="D1269" t="s">
        <v>2379</v>
      </c>
      <c r="E1269" t="s">
        <v>54</v>
      </c>
      <c r="F1269" s="75">
        <v>5</v>
      </c>
      <c r="G1269" s="75">
        <v>302273</v>
      </c>
      <c r="H1269">
        <v>360.5</v>
      </c>
      <c r="I1269" t="s">
        <v>114</v>
      </c>
      <c r="J1269" s="75">
        <v>204321</v>
      </c>
      <c r="K1269" t="s">
        <v>376</v>
      </c>
      <c r="L1269" t="s">
        <v>377</v>
      </c>
      <c r="M1269" s="81">
        <v>46148.420671296299</v>
      </c>
      <c r="N1269" s="81">
        <v>46149.751956018517</v>
      </c>
      <c r="O1269" t="s">
        <v>58</v>
      </c>
      <c r="P1269" t="s">
        <v>59</v>
      </c>
      <c r="R1269" t="s">
        <v>60</v>
      </c>
      <c r="S1269" t="s">
        <v>583</v>
      </c>
      <c r="U1269" s="75">
        <v>248945</v>
      </c>
      <c r="V1269" t="s">
        <v>5461</v>
      </c>
      <c r="W1269" t="s">
        <v>5461</v>
      </c>
      <c r="X1269" t="s">
        <v>62</v>
      </c>
      <c r="Y1269" t="s">
        <v>63</v>
      </c>
      <c r="AA1269" t="s">
        <v>101</v>
      </c>
      <c r="AB1269">
        <v>31.883333</v>
      </c>
      <c r="AC1269">
        <v>23.6</v>
      </c>
      <c r="AD1269">
        <v>8.2833330000000007</v>
      </c>
      <c r="AE1269">
        <v>0.183333</v>
      </c>
      <c r="AF1269">
        <v>0</v>
      </c>
      <c r="AG1269">
        <v>8.1</v>
      </c>
      <c r="AH1269">
        <v>8.1</v>
      </c>
      <c r="AI1269">
        <v>7.9166670000000003</v>
      </c>
      <c r="AJ1269">
        <v>0.183333</v>
      </c>
      <c r="AK1269">
        <v>0</v>
      </c>
      <c r="AL1269" s="76">
        <v>45460</v>
      </c>
      <c r="AM1269" s="75">
        <v>688</v>
      </c>
      <c r="AN1269" t="s">
        <v>65</v>
      </c>
      <c r="AO1269" t="s">
        <v>5462</v>
      </c>
      <c r="AP1269" t="s">
        <v>67</v>
      </c>
      <c r="AQ1269" t="s">
        <v>68</v>
      </c>
      <c r="AR1269" t="s">
        <v>69</v>
      </c>
      <c r="AT1269" s="82" t="s">
        <v>5326</v>
      </c>
      <c r="AU1269" s="78">
        <v>2026</v>
      </c>
      <c r="AV1269" s="78">
        <v>5</v>
      </c>
      <c r="AW1269" s="78" t="s">
        <v>71</v>
      </c>
      <c r="AX1269" s="78">
        <v>0</v>
      </c>
      <c r="AY1269" s="78">
        <v>0</v>
      </c>
      <c r="BT1269" t="s">
        <v>71</v>
      </c>
      <c r="BU1269">
        <v>0</v>
      </c>
      <c r="BV1269">
        <v>0</v>
      </c>
    </row>
    <row r="1270" spans="1:74" x14ac:dyDescent="0.25">
      <c r="A1270" s="75">
        <v>5946841</v>
      </c>
      <c r="B1270" t="s">
        <v>5463</v>
      </c>
      <c r="C1270" t="s">
        <v>5464</v>
      </c>
      <c r="D1270" t="s">
        <v>2379</v>
      </c>
      <c r="E1270" t="s">
        <v>105</v>
      </c>
      <c r="F1270" s="75">
        <v>1015</v>
      </c>
      <c r="G1270" s="75">
        <v>286353</v>
      </c>
      <c r="H1270">
        <v>3412.72</v>
      </c>
      <c r="I1270" t="s">
        <v>114</v>
      </c>
      <c r="J1270" s="75">
        <v>48887</v>
      </c>
      <c r="K1270" t="s">
        <v>164</v>
      </c>
      <c r="L1270" t="s">
        <v>165</v>
      </c>
      <c r="M1270" s="81">
        <v>46147.535000000003</v>
      </c>
      <c r="N1270" s="81">
        <v>46149.76635416667</v>
      </c>
      <c r="O1270" t="s">
        <v>58</v>
      </c>
      <c r="P1270" t="s">
        <v>59</v>
      </c>
      <c r="Q1270" t="s">
        <v>77</v>
      </c>
      <c r="R1270" t="s">
        <v>156</v>
      </c>
      <c r="S1270" t="s">
        <v>1320</v>
      </c>
      <c r="U1270" s="75">
        <v>249479</v>
      </c>
      <c r="V1270" t="s">
        <v>5465</v>
      </c>
      <c r="W1270" t="s">
        <v>5465</v>
      </c>
      <c r="X1270" t="s">
        <v>79</v>
      </c>
      <c r="Y1270" t="s">
        <v>224</v>
      </c>
      <c r="Z1270" t="s">
        <v>5466</v>
      </c>
      <c r="AA1270" t="s">
        <v>81</v>
      </c>
      <c r="AB1270">
        <v>53.383332000000003</v>
      </c>
      <c r="AC1270">
        <v>28.733332999999998</v>
      </c>
      <c r="AD1270">
        <v>24.649999000000001</v>
      </c>
      <c r="AE1270">
        <v>21.516666000000001</v>
      </c>
      <c r="AF1270">
        <v>17.716666</v>
      </c>
      <c r="AG1270">
        <v>3.1333329999999999</v>
      </c>
      <c r="AH1270">
        <v>20.849999</v>
      </c>
      <c r="AI1270">
        <v>1.8833329999999999</v>
      </c>
      <c r="AJ1270">
        <v>1.25</v>
      </c>
      <c r="AK1270">
        <v>0</v>
      </c>
      <c r="AL1270" s="76">
        <v>44916</v>
      </c>
      <c r="AM1270" s="75">
        <v>1231</v>
      </c>
      <c r="AN1270" t="s">
        <v>65</v>
      </c>
      <c r="AO1270" t="s">
        <v>5467</v>
      </c>
      <c r="AP1270" t="s">
        <v>67</v>
      </c>
      <c r="AQ1270" t="s">
        <v>83</v>
      </c>
      <c r="AR1270" t="s">
        <v>69</v>
      </c>
      <c r="AT1270" s="82" t="s">
        <v>5326</v>
      </c>
      <c r="AU1270" s="78">
        <v>2026</v>
      </c>
      <c r="AV1270" s="78">
        <v>5</v>
      </c>
      <c r="AW1270" s="78" t="s">
        <v>226</v>
      </c>
      <c r="AX1270" s="78">
        <v>1</v>
      </c>
      <c r="AY1270" s="78">
        <v>0</v>
      </c>
      <c r="BT1270" t="s">
        <v>226</v>
      </c>
      <c r="BU1270">
        <v>1</v>
      </c>
      <c r="BV1270">
        <v>0</v>
      </c>
    </row>
    <row r="1271" spans="1:74" x14ac:dyDescent="0.25">
      <c r="A1271" s="75">
        <v>5949787</v>
      </c>
      <c r="B1271" t="s">
        <v>5468</v>
      </c>
      <c r="C1271" t="s">
        <v>5469</v>
      </c>
      <c r="D1271" t="s">
        <v>2602</v>
      </c>
      <c r="E1271" t="s">
        <v>54</v>
      </c>
      <c r="F1271" s="75">
        <v>859</v>
      </c>
      <c r="G1271" s="75">
        <v>340171</v>
      </c>
      <c r="H1271">
        <v>250</v>
      </c>
      <c r="I1271" t="s">
        <v>5470</v>
      </c>
      <c r="J1271" s="75">
        <v>229673</v>
      </c>
      <c r="K1271" t="s">
        <v>5471</v>
      </c>
      <c r="L1271" t="s">
        <v>5472</v>
      </c>
      <c r="M1271" s="81">
        <v>46149.424085648148</v>
      </c>
      <c r="N1271" s="81">
        <v>46149.859178240738</v>
      </c>
      <c r="O1271" t="s">
        <v>58</v>
      </c>
      <c r="P1271" t="s">
        <v>59</v>
      </c>
      <c r="Q1271" t="s">
        <v>90</v>
      </c>
      <c r="R1271" t="s">
        <v>156</v>
      </c>
      <c r="S1271" t="s">
        <v>1320</v>
      </c>
      <c r="U1271" s="75">
        <v>250055</v>
      </c>
      <c r="V1271" t="s">
        <v>5473</v>
      </c>
      <c r="W1271" t="s">
        <v>5473</v>
      </c>
      <c r="X1271" t="s">
        <v>62</v>
      </c>
      <c r="Y1271" t="s">
        <v>63</v>
      </c>
      <c r="AA1271" t="s">
        <v>64</v>
      </c>
      <c r="AB1271">
        <v>10.416667</v>
      </c>
      <c r="AC1271">
        <v>3.35</v>
      </c>
      <c r="AD1271">
        <v>7.0666669999999998</v>
      </c>
      <c r="AE1271">
        <v>1.4666669999999999</v>
      </c>
      <c r="AF1271">
        <v>0</v>
      </c>
      <c r="AG1271">
        <v>5.6</v>
      </c>
      <c r="AH1271">
        <v>5.6</v>
      </c>
      <c r="AI1271">
        <v>5.266667</v>
      </c>
      <c r="AJ1271">
        <v>0.33333299999999999</v>
      </c>
      <c r="AK1271">
        <v>0</v>
      </c>
      <c r="AL1271" s="76">
        <v>45818.720173611109</v>
      </c>
      <c r="AM1271" s="75">
        <v>330</v>
      </c>
      <c r="AN1271" t="s">
        <v>65</v>
      </c>
      <c r="AO1271" t="s">
        <v>5474</v>
      </c>
      <c r="AP1271" t="s">
        <v>67</v>
      </c>
      <c r="AQ1271" t="s">
        <v>68</v>
      </c>
      <c r="AR1271" t="s">
        <v>69</v>
      </c>
      <c r="AT1271" s="82" t="s">
        <v>5326</v>
      </c>
      <c r="AU1271" s="78">
        <v>2026</v>
      </c>
      <c r="AV1271" s="78">
        <v>5</v>
      </c>
      <c r="AW1271" s="78" t="s">
        <v>71</v>
      </c>
      <c r="AX1271" s="78">
        <v>1</v>
      </c>
      <c r="AY1271" s="78">
        <v>0</v>
      </c>
      <c r="BT1271" t="s">
        <v>71</v>
      </c>
      <c r="BU1271">
        <v>1</v>
      </c>
      <c r="BV1271">
        <v>0</v>
      </c>
    </row>
    <row r="1272" spans="1:74" x14ac:dyDescent="0.25">
      <c r="A1272" s="75">
        <v>5949003</v>
      </c>
      <c r="B1272" t="s">
        <v>5475</v>
      </c>
      <c r="C1272" t="s">
        <v>5476</v>
      </c>
      <c r="D1272" t="s">
        <v>2602</v>
      </c>
      <c r="E1272" t="s">
        <v>87</v>
      </c>
      <c r="F1272" s="75">
        <v>201</v>
      </c>
      <c r="G1272" s="75">
        <v>285997</v>
      </c>
      <c r="H1272">
        <v>398.82</v>
      </c>
      <c r="I1272" t="s">
        <v>55</v>
      </c>
      <c r="J1272" s="75">
        <v>216233</v>
      </c>
      <c r="K1272" t="s">
        <v>88</v>
      </c>
      <c r="L1272" t="s">
        <v>89</v>
      </c>
      <c r="M1272" s="81">
        <v>46148.688148148147</v>
      </c>
      <c r="N1272" s="81">
        <v>46149.866064814807</v>
      </c>
      <c r="O1272" t="s">
        <v>58</v>
      </c>
      <c r="P1272" t="s">
        <v>59</v>
      </c>
      <c r="Q1272" t="s">
        <v>90</v>
      </c>
      <c r="R1272" t="s">
        <v>60</v>
      </c>
      <c r="S1272" t="s">
        <v>583</v>
      </c>
      <c r="U1272" s="75">
        <v>249279</v>
      </c>
      <c r="V1272" t="s">
        <v>5477</v>
      </c>
      <c r="W1272" t="s">
        <v>5477</v>
      </c>
      <c r="X1272" t="s">
        <v>62</v>
      </c>
      <c r="Y1272" t="s">
        <v>63</v>
      </c>
      <c r="AA1272" t="s">
        <v>64</v>
      </c>
      <c r="AB1272">
        <v>28.183333000000001</v>
      </c>
      <c r="AC1272">
        <v>19.633333</v>
      </c>
      <c r="AD1272">
        <v>8.5500000000000007</v>
      </c>
      <c r="AE1272">
        <v>0.58333299999999999</v>
      </c>
      <c r="AF1272">
        <v>0</v>
      </c>
      <c r="AG1272">
        <v>7.9666670000000002</v>
      </c>
      <c r="AH1272">
        <v>7.9666670000000002</v>
      </c>
      <c r="AI1272">
        <v>7.516667</v>
      </c>
      <c r="AJ1272">
        <v>0.45</v>
      </c>
      <c r="AK1272">
        <v>0</v>
      </c>
      <c r="AL1272" s="76">
        <v>44915</v>
      </c>
      <c r="AM1272" s="75">
        <v>1233</v>
      </c>
      <c r="AN1272" t="s">
        <v>65</v>
      </c>
      <c r="AO1272" t="s">
        <v>5478</v>
      </c>
      <c r="AP1272" t="s">
        <v>67</v>
      </c>
      <c r="AQ1272" t="s">
        <v>68</v>
      </c>
      <c r="AR1272" t="s">
        <v>69</v>
      </c>
      <c r="AT1272" s="82" t="s">
        <v>5326</v>
      </c>
      <c r="AU1272" s="78">
        <v>2026</v>
      </c>
      <c r="AV1272" s="78">
        <v>5</v>
      </c>
      <c r="AW1272" s="78" t="s">
        <v>71</v>
      </c>
      <c r="AX1272" s="78">
        <v>1</v>
      </c>
      <c r="AY1272" s="78">
        <v>0</v>
      </c>
      <c r="BT1272" t="s">
        <v>71</v>
      </c>
      <c r="BU1272">
        <v>1</v>
      </c>
      <c r="BV1272">
        <v>0</v>
      </c>
    </row>
    <row r="1273" spans="1:74" x14ac:dyDescent="0.25">
      <c r="A1273" s="75">
        <v>5950361</v>
      </c>
      <c r="B1273" t="s">
        <v>5479</v>
      </c>
      <c r="C1273" t="s">
        <v>4097</v>
      </c>
      <c r="D1273" t="s">
        <v>527</v>
      </c>
      <c r="E1273" t="s">
        <v>87</v>
      </c>
      <c r="F1273" s="75">
        <v>387</v>
      </c>
      <c r="G1273" s="75">
        <v>286829</v>
      </c>
      <c r="H1273">
        <v>364.96</v>
      </c>
      <c r="I1273" t="s">
        <v>55</v>
      </c>
      <c r="J1273" s="75">
        <v>218787</v>
      </c>
      <c r="K1273" t="s">
        <v>96</v>
      </c>
      <c r="L1273" t="s">
        <v>97</v>
      </c>
      <c r="M1273" s="81">
        <v>46149.618564814817</v>
      </c>
      <c r="N1273" s="81">
        <v>46150.425925925927</v>
      </c>
      <c r="O1273" t="s">
        <v>277</v>
      </c>
      <c r="P1273" t="s">
        <v>59</v>
      </c>
      <c r="Q1273" t="s">
        <v>90</v>
      </c>
      <c r="R1273" t="s">
        <v>99</v>
      </c>
      <c r="S1273" t="s">
        <v>1244</v>
      </c>
      <c r="U1273" s="75">
        <v>250649</v>
      </c>
      <c r="V1273" t="s">
        <v>5480</v>
      </c>
      <c r="X1273" t="s">
        <v>62</v>
      </c>
      <c r="Y1273" t="s">
        <v>63</v>
      </c>
      <c r="AA1273" t="s">
        <v>64</v>
      </c>
      <c r="AB1273">
        <v>19.333333</v>
      </c>
      <c r="AC1273">
        <v>14.566667000000001</v>
      </c>
      <c r="AD1273">
        <v>4.7666659999999998</v>
      </c>
      <c r="AE1273">
        <v>0.1</v>
      </c>
      <c r="AF1273">
        <v>0</v>
      </c>
      <c r="AG1273">
        <v>4.6666660000000002</v>
      </c>
      <c r="AH1273">
        <v>4.6666660000000002</v>
      </c>
      <c r="AI1273">
        <v>4.4166660000000002</v>
      </c>
      <c r="AJ1273">
        <v>0.25</v>
      </c>
      <c r="AK1273">
        <v>0</v>
      </c>
      <c r="AL1273" s="76">
        <v>44908</v>
      </c>
      <c r="AM1273" s="75">
        <v>1241</v>
      </c>
      <c r="AN1273" t="s">
        <v>65</v>
      </c>
      <c r="AO1273" t="s">
        <v>4099</v>
      </c>
      <c r="AP1273" t="s">
        <v>67</v>
      </c>
      <c r="AQ1273" t="s">
        <v>68</v>
      </c>
      <c r="AR1273" t="s">
        <v>69</v>
      </c>
      <c r="AT1273" s="82" t="s">
        <v>5326</v>
      </c>
      <c r="AU1273" s="78">
        <v>2026</v>
      </c>
      <c r="AV1273" s="78">
        <v>5</v>
      </c>
      <c r="AW1273" s="78" t="s">
        <v>71</v>
      </c>
      <c r="AX1273" s="78">
        <v>1</v>
      </c>
      <c r="AY1273" s="78">
        <v>0</v>
      </c>
      <c r="BT1273" t="s">
        <v>71</v>
      </c>
      <c r="BU1273">
        <v>1</v>
      </c>
      <c r="BV1273">
        <v>0</v>
      </c>
    </row>
    <row r="1274" spans="1:74" x14ac:dyDescent="0.25">
      <c r="A1274" s="75">
        <v>5950783</v>
      </c>
      <c r="B1274" t="s">
        <v>5481</v>
      </c>
      <c r="C1274" t="s">
        <v>2725</v>
      </c>
      <c r="D1274" t="s">
        <v>527</v>
      </c>
      <c r="E1274" t="s">
        <v>87</v>
      </c>
      <c r="F1274" s="75">
        <v>77</v>
      </c>
      <c r="G1274" s="75">
        <v>275405</v>
      </c>
      <c r="H1274">
        <v>368.16</v>
      </c>
      <c r="I1274" t="s">
        <v>55</v>
      </c>
      <c r="J1274" s="75">
        <v>218791</v>
      </c>
      <c r="K1274" t="s">
        <v>312</v>
      </c>
      <c r="L1274" t="s">
        <v>313</v>
      </c>
      <c r="M1274" s="81">
        <v>46149.813020833331</v>
      </c>
      <c r="N1274" s="81">
        <v>46150.446099537039</v>
      </c>
      <c r="O1274" t="s">
        <v>58</v>
      </c>
      <c r="P1274" t="s">
        <v>59</v>
      </c>
      <c r="Q1274" t="s">
        <v>90</v>
      </c>
      <c r="R1274" t="s">
        <v>99</v>
      </c>
      <c r="S1274" t="s">
        <v>1244</v>
      </c>
      <c r="U1274" s="75">
        <v>250527</v>
      </c>
      <c r="V1274" t="s">
        <v>5482</v>
      </c>
      <c r="X1274" t="s">
        <v>62</v>
      </c>
      <c r="Y1274" t="s">
        <v>63</v>
      </c>
      <c r="AA1274" t="s">
        <v>81</v>
      </c>
      <c r="AB1274">
        <v>15.1</v>
      </c>
      <c r="AC1274">
        <v>12.416667</v>
      </c>
      <c r="AD1274">
        <v>2.6833330000000002</v>
      </c>
      <c r="AE1274">
        <v>0.2</v>
      </c>
      <c r="AF1274">
        <v>0</v>
      </c>
      <c r="AG1274">
        <v>2.483333</v>
      </c>
      <c r="AH1274">
        <v>2.483333</v>
      </c>
      <c r="AI1274">
        <v>2.1333329999999999</v>
      </c>
      <c r="AJ1274">
        <v>0.35</v>
      </c>
      <c r="AK1274">
        <v>0</v>
      </c>
      <c r="AL1274" s="76">
        <v>44881.95034722222</v>
      </c>
      <c r="AM1274" s="75">
        <v>1267</v>
      </c>
      <c r="AN1274" t="s">
        <v>65</v>
      </c>
      <c r="AO1274" t="s">
        <v>1208</v>
      </c>
      <c r="AP1274" t="s">
        <v>67</v>
      </c>
      <c r="AQ1274" t="s">
        <v>68</v>
      </c>
      <c r="AR1274" t="s">
        <v>69</v>
      </c>
      <c r="AT1274" s="82" t="s">
        <v>5326</v>
      </c>
      <c r="AU1274" s="78">
        <v>2026</v>
      </c>
      <c r="AV1274" s="78">
        <v>5</v>
      </c>
      <c r="AW1274" s="78" t="s">
        <v>71</v>
      </c>
      <c r="AX1274" s="78">
        <v>1</v>
      </c>
      <c r="AY1274" s="78">
        <v>0</v>
      </c>
      <c r="BT1274" t="s">
        <v>71</v>
      </c>
      <c r="BU1274">
        <v>1</v>
      </c>
      <c r="BV1274">
        <v>0</v>
      </c>
    </row>
    <row r="1275" spans="1:74" x14ac:dyDescent="0.25">
      <c r="A1275" s="75">
        <v>5950101</v>
      </c>
      <c r="B1275" t="s">
        <v>5483</v>
      </c>
      <c r="C1275" t="s">
        <v>1621</v>
      </c>
      <c r="D1275" t="s">
        <v>2379</v>
      </c>
      <c r="E1275" t="s">
        <v>87</v>
      </c>
      <c r="F1275" s="75">
        <v>209</v>
      </c>
      <c r="G1275" s="75">
        <v>286095</v>
      </c>
      <c r="H1275">
        <v>396.96</v>
      </c>
      <c r="I1275" t="s">
        <v>55</v>
      </c>
      <c r="J1275" s="75">
        <v>218787</v>
      </c>
      <c r="K1275" t="s">
        <v>96</v>
      </c>
      <c r="L1275" t="s">
        <v>97</v>
      </c>
      <c r="M1275" s="81">
        <v>46149.507557870369</v>
      </c>
      <c r="N1275" s="81">
        <v>46150.70952546296</v>
      </c>
      <c r="O1275" t="s">
        <v>58</v>
      </c>
      <c r="P1275" t="s">
        <v>59</v>
      </c>
      <c r="Q1275" t="s">
        <v>90</v>
      </c>
      <c r="R1275" t="s">
        <v>60</v>
      </c>
      <c r="S1275" t="s">
        <v>583</v>
      </c>
      <c r="U1275" s="75">
        <v>250637</v>
      </c>
      <c r="V1275" t="s">
        <v>5484</v>
      </c>
      <c r="W1275" t="s">
        <v>5485</v>
      </c>
      <c r="X1275" t="s">
        <v>62</v>
      </c>
      <c r="Y1275" t="s">
        <v>63</v>
      </c>
      <c r="AA1275" t="s">
        <v>416</v>
      </c>
      <c r="AB1275">
        <v>28.766666000000001</v>
      </c>
      <c r="AC1275">
        <v>11.883333</v>
      </c>
      <c r="AD1275">
        <v>16.883333</v>
      </c>
      <c r="AE1275">
        <v>1.95</v>
      </c>
      <c r="AF1275">
        <v>0</v>
      </c>
      <c r="AG1275">
        <v>14.933332999999999</v>
      </c>
      <c r="AH1275">
        <v>14.933332999999999</v>
      </c>
      <c r="AI1275">
        <v>14.7</v>
      </c>
      <c r="AJ1275">
        <v>0.23333300000000001</v>
      </c>
      <c r="AK1275">
        <v>0</v>
      </c>
      <c r="AL1275" s="76">
        <v>44872</v>
      </c>
      <c r="AM1275" s="75">
        <v>1277</v>
      </c>
      <c r="AN1275" t="s">
        <v>65</v>
      </c>
      <c r="AO1275" t="s">
        <v>1624</v>
      </c>
      <c r="AP1275" t="s">
        <v>67</v>
      </c>
      <c r="AQ1275" t="s">
        <v>68</v>
      </c>
      <c r="AR1275" t="s">
        <v>69</v>
      </c>
      <c r="AT1275" s="82" t="s">
        <v>5326</v>
      </c>
      <c r="AU1275" s="78">
        <v>2026</v>
      </c>
      <c r="AV1275" s="78">
        <v>5</v>
      </c>
      <c r="AW1275" s="78" t="s">
        <v>71</v>
      </c>
      <c r="AX1275" s="78">
        <v>0</v>
      </c>
      <c r="AY1275" s="78">
        <v>0</v>
      </c>
      <c r="BT1275" t="s">
        <v>71</v>
      </c>
      <c r="BU1275">
        <v>0</v>
      </c>
      <c r="BV1275">
        <v>0</v>
      </c>
    </row>
    <row r="1276" spans="1:74" x14ac:dyDescent="0.25">
      <c r="A1276" s="75">
        <v>5952213</v>
      </c>
      <c r="B1276" t="s">
        <v>5486</v>
      </c>
      <c r="C1276" t="s">
        <v>5487</v>
      </c>
      <c r="D1276" t="s">
        <v>1052</v>
      </c>
      <c r="E1276" t="s">
        <v>87</v>
      </c>
      <c r="F1276" s="75">
        <v>16</v>
      </c>
      <c r="G1276" s="75">
        <v>280689</v>
      </c>
      <c r="H1276">
        <v>894</v>
      </c>
      <c r="I1276" t="s">
        <v>1291</v>
      </c>
      <c r="J1276" s="75">
        <v>77293</v>
      </c>
      <c r="K1276" t="s">
        <v>1292</v>
      </c>
      <c r="L1276" t="s">
        <v>1293</v>
      </c>
      <c r="M1276" s="81">
        <v>46150.528171296297</v>
      </c>
      <c r="N1276" s="81">
        <v>46150.836840277778</v>
      </c>
      <c r="O1276" t="s">
        <v>58</v>
      </c>
      <c r="P1276" t="s">
        <v>59</v>
      </c>
      <c r="Q1276" t="s">
        <v>90</v>
      </c>
      <c r="R1276" t="s">
        <v>60</v>
      </c>
      <c r="S1276" t="s">
        <v>583</v>
      </c>
      <c r="U1276" s="75">
        <v>251121</v>
      </c>
      <c r="V1276" t="s">
        <v>5488</v>
      </c>
      <c r="W1276" t="s">
        <v>5488</v>
      </c>
      <c r="X1276" t="s">
        <v>79</v>
      </c>
      <c r="Y1276" t="s">
        <v>224</v>
      </c>
      <c r="AA1276" t="s">
        <v>81</v>
      </c>
      <c r="AB1276">
        <v>7.3333329999999997</v>
      </c>
      <c r="AC1276">
        <v>5.15</v>
      </c>
      <c r="AD1276">
        <v>2.1833330000000002</v>
      </c>
      <c r="AE1276">
        <v>0.83333299999999999</v>
      </c>
      <c r="AF1276">
        <v>0</v>
      </c>
      <c r="AG1276">
        <v>1.35</v>
      </c>
      <c r="AH1276">
        <v>1.35</v>
      </c>
      <c r="AI1276">
        <v>1.316667</v>
      </c>
      <c r="AJ1276">
        <v>3.3333000000000002E-2</v>
      </c>
      <c r="AK1276">
        <v>0</v>
      </c>
      <c r="AL1276" s="76">
        <v>44834</v>
      </c>
      <c r="AM1276" s="75">
        <v>1316</v>
      </c>
      <c r="AN1276" t="s">
        <v>65</v>
      </c>
      <c r="AO1276" t="s">
        <v>5489</v>
      </c>
      <c r="AP1276" t="s">
        <v>67</v>
      </c>
      <c r="AQ1276" t="s">
        <v>83</v>
      </c>
      <c r="AR1276" t="s">
        <v>69</v>
      </c>
      <c r="AT1276" s="82" t="s">
        <v>5326</v>
      </c>
      <c r="AU1276" s="78">
        <v>2026</v>
      </c>
      <c r="AV1276" s="78">
        <v>5</v>
      </c>
      <c r="AW1276" s="78" t="s">
        <v>226</v>
      </c>
      <c r="AX1276" s="78">
        <v>1</v>
      </c>
      <c r="AY1276" s="78">
        <v>0</v>
      </c>
      <c r="BT1276" t="s">
        <v>226</v>
      </c>
      <c r="BU1276">
        <v>1</v>
      </c>
      <c r="BV1276">
        <v>0</v>
      </c>
    </row>
    <row r="1277" spans="1:74" x14ac:dyDescent="0.25">
      <c r="A1277" s="75">
        <v>5952209</v>
      </c>
      <c r="B1277" t="s">
        <v>5490</v>
      </c>
      <c r="C1277" t="s">
        <v>4920</v>
      </c>
      <c r="D1277" t="s">
        <v>1052</v>
      </c>
      <c r="E1277" t="s">
        <v>87</v>
      </c>
      <c r="F1277" s="75">
        <v>18</v>
      </c>
      <c r="G1277" s="75">
        <v>280693</v>
      </c>
      <c r="H1277">
        <v>414.07</v>
      </c>
      <c r="I1277" t="s">
        <v>1291</v>
      </c>
      <c r="J1277" s="75">
        <v>77293</v>
      </c>
      <c r="K1277" t="s">
        <v>1292</v>
      </c>
      <c r="L1277" t="s">
        <v>1293</v>
      </c>
      <c r="M1277" s="81">
        <v>46150.528124999997</v>
      </c>
      <c r="N1277" s="81">
        <v>46150.84480324074</v>
      </c>
      <c r="O1277" t="s">
        <v>58</v>
      </c>
      <c r="P1277" t="s">
        <v>59</v>
      </c>
      <c r="Q1277" t="s">
        <v>90</v>
      </c>
      <c r="R1277" t="s">
        <v>60</v>
      </c>
      <c r="S1277" t="s">
        <v>583</v>
      </c>
      <c r="T1277" t="s">
        <v>4921</v>
      </c>
      <c r="U1277" s="75">
        <v>251155</v>
      </c>
      <c r="V1277" t="s">
        <v>5491</v>
      </c>
      <c r="W1277" t="s">
        <v>5491</v>
      </c>
      <c r="X1277" t="s">
        <v>79</v>
      </c>
      <c r="Y1277" t="s">
        <v>224</v>
      </c>
      <c r="AA1277" t="s">
        <v>81</v>
      </c>
      <c r="AB1277">
        <v>7.5666659999999997</v>
      </c>
      <c r="AC1277">
        <v>4.8333329999999997</v>
      </c>
      <c r="AD1277">
        <v>2.733333</v>
      </c>
      <c r="AE1277">
        <v>0.78333299999999995</v>
      </c>
      <c r="AF1277">
        <v>0</v>
      </c>
      <c r="AG1277">
        <v>1.95</v>
      </c>
      <c r="AH1277">
        <v>1.95</v>
      </c>
      <c r="AI1277">
        <v>1.4666669999999999</v>
      </c>
      <c r="AJ1277">
        <v>0.48333300000000001</v>
      </c>
      <c r="AK1277">
        <v>0</v>
      </c>
      <c r="AL1277" s="76">
        <v>44834</v>
      </c>
      <c r="AM1277" s="75">
        <v>1316</v>
      </c>
      <c r="AN1277" t="s">
        <v>65</v>
      </c>
      <c r="AO1277" t="s">
        <v>4923</v>
      </c>
      <c r="AP1277" t="s">
        <v>67</v>
      </c>
      <c r="AQ1277" t="s">
        <v>83</v>
      </c>
      <c r="AR1277" t="s">
        <v>69</v>
      </c>
      <c r="AT1277" s="82" t="s">
        <v>5326</v>
      </c>
      <c r="AU1277" s="78">
        <v>2026</v>
      </c>
      <c r="AV1277" s="78">
        <v>5</v>
      </c>
      <c r="AW1277" s="78" t="s">
        <v>226</v>
      </c>
      <c r="AX1277" s="78">
        <v>1</v>
      </c>
      <c r="AY1277" s="78">
        <v>0</v>
      </c>
      <c r="BT1277" t="s">
        <v>226</v>
      </c>
      <c r="BU1277">
        <v>1</v>
      </c>
      <c r="BV1277">
        <v>0</v>
      </c>
    </row>
    <row r="1278" spans="1:74" x14ac:dyDescent="0.25">
      <c r="A1278" s="75">
        <v>5949999</v>
      </c>
      <c r="B1278" t="s">
        <v>5492</v>
      </c>
      <c r="C1278" t="s">
        <v>5493</v>
      </c>
      <c r="D1278" t="s">
        <v>527</v>
      </c>
      <c r="E1278" t="s">
        <v>54</v>
      </c>
      <c r="F1278" s="75">
        <v>1</v>
      </c>
      <c r="G1278" s="75">
        <v>322403</v>
      </c>
      <c r="H1278">
        <v>1299</v>
      </c>
      <c r="I1278" t="s">
        <v>114</v>
      </c>
      <c r="J1278" s="75">
        <v>223437</v>
      </c>
      <c r="K1278" t="s">
        <v>5494</v>
      </c>
      <c r="L1278" t="s">
        <v>5495</v>
      </c>
      <c r="M1278" s="81">
        <v>46149.480046296303</v>
      </c>
      <c r="N1278" s="81">
        <v>46151.292581018519</v>
      </c>
      <c r="O1278" t="s">
        <v>58</v>
      </c>
      <c r="P1278" t="s">
        <v>59</v>
      </c>
      <c r="Q1278" t="s">
        <v>130</v>
      </c>
      <c r="R1278" t="s">
        <v>60</v>
      </c>
      <c r="S1278" t="s">
        <v>583</v>
      </c>
      <c r="U1278" s="75">
        <v>250633</v>
      </c>
      <c r="V1278" t="s">
        <v>5496</v>
      </c>
      <c r="W1278" t="s">
        <v>5497</v>
      </c>
      <c r="X1278" t="s">
        <v>118</v>
      </c>
      <c r="Y1278" t="s">
        <v>1468</v>
      </c>
      <c r="AA1278" t="s">
        <v>101</v>
      </c>
      <c r="AB1278">
        <v>43.4</v>
      </c>
      <c r="AC1278">
        <v>33.75</v>
      </c>
      <c r="AD1278">
        <v>9.65</v>
      </c>
      <c r="AE1278">
        <v>0.13333300000000001</v>
      </c>
      <c r="AF1278">
        <v>0</v>
      </c>
      <c r="AG1278">
        <v>9.516667</v>
      </c>
      <c r="AH1278">
        <v>9.516667</v>
      </c>
      <c r="AI1278">
        <v>9.1166669999999996</v>
      </c>
      <c r="AJ1278">
        <v>0.4</v>
      </c>
      <c r="AK1278">
        <v>0</v>
      </c>
      <c r="AL1278" s="76">
        <v>45527.44358796296</v>
      </c>
      <c r="AM1278" s="75">
        <v>622</v>
      </c>
      <c r="AN1278" t="s">
        <v>65</v>
      </c>
      <c r="AO1278" t="s">
        <v>5498</v>
      </c>
      <c r="AP1278" t="s">
        <v>67</v>
      </c>
      <c r="AQ1278" t="s">
        <v>121</v>
      </c>
      <c r="AR1278" t="s">
        <v>69</v>
      </c>
      <c r="AT1278" s="82" t="s">
        <v>5326</v>
      </c>
      <c r="AU1278" s="78">
        <v>2026</v>
      </c>
      <c r="AV1278" s="78">
        <v>5</v>
      </c>
      <c r="AW1278" s="78" t="s">
        <v>347</v>
      </c>
      <c r="AX1278" s="78">
        <v>0</v>
      </c>
      <c r="AY1278" s="78">
        <v>0</v>
      </c>
      <c r="BT1278" t="s">
        <v>347</v>
      </c>
      <c r="BU1278">
        <v>0</v>
      </c>
      <c r="BV1278">
        <v>0</v>
      </c>
    </row>
    <row r="1279" spans="1:74" x14ac:dyDescent="0.25">
      <c r="A1279" s="75">
        <v>5948543</v>
      </c>
      <c r="B1279" t="s">
        <v>5499</v>
      </c>
      <c r="C1279" t="s">
        <v>5500</v>
      </c>
      <c r="D1279" t="s">
        <v>527</v>
      </c>
      <c r="E1279" t="s">
        <v>87</v>
      </c>
      <c r="F1279" s="75">
        <v>450</v>
      </c>
      <c r="G1279" s="75">
        <v>289329</v>
      </c>
      <c r="H1279">
        <v>740.61</v>
      </c>
      <c r="I1279" t="s">
        <v>55</v>
      </c>
      <c r="J1279" s="75">
        <v>216233</v>
      </c>
      <c r="K1279" t="s">
        <v>88</v>
      </c>
      <c r="L1279" t="s">
        <v>89</v>
      </c>
      <c r="M1279" s="81">
        <v>46148.528692129628</v>
      </c>
      <c r="N1279" s="81">
        <v>46151.315682870372</v>
      </c>
      <c r="O1279" t="s">
        <v>58</v>
      </c>
      <c r="P1279" t="s">
        <v>59</v>
      </c>
      <c r="Q1279" t="s">
        <v>130</v>
      </c>
      <c r="R1279" t="s">
        <v>131</v>
      </c>
      <c r="S1279" t="s">
        <v>1316</v>
      </c>
      <c r="U1279" s="75">
        <v>249505</v>
      </c>
      <c r="V1279" t="s">
        <v>5501</v>
      </c>
      <c r="W1279" t="s">
        <v>5502</v>
      </c>
      <c r="X1279" t="s">
        <v>62</v>
      </c>
      <c r="Y1279" t="s">
        <v>63</v>
      </c>
      <c r="AA1279" t="s">
        <v>416</v>
      </c>
      <c r="AB1279">
        <v>66.816666999999995</v>
      </c>
      <c r="AC1279">
        <v>52.766666999999998</v>
      </c>
      <c r="AD1279">
        <v>14.05</v>
      </c>
      <c r="AE1279">
        <v>0.15</v>
      </c>
      <c r="AF1279">
        <v>0</v>
      </c>
      <c r="AG1279">
        <v>13.9</v>
      </c>
      <c r="AH1279">
        <v>13.9</v>
      </c>
      <c r="AI1279">
        <v>13.033333000000001</v>
      </c>
      <c r="AJ1279">
        <v>0.86666699999999997</v>
      </c>
      <c r="AK1279">
        <v>0</v>
      </c>
      <c r="AL1279" s="76">
        <v>45005</v>
      </c>
      <c r="AM1279" s="75">
        <v>1143</v>
      </c>
      <c r="AN1279" t="s">
        <v>65</v>
      </c>
      <c r="AO1279" t="s">
        <v>5503</v>
      </c>
      <c r="AP1279" t="s">
        <v>67</v>
      </c>
      <c r="AQ1279" t="s">
        <v>68</v>
      </c>
      <c r="AR1279" t="s">
        <v>69</v>
      </c>
      <c r="AT1279" s="82" t="s">
        <v>5326</v>
      </c>
      <c r="AU1279" s="78">
        <v>2026</v>
      </c>
      <c r="AV1279" s="78">
        <v>5</v>
      </c>
      <c r="AW1279" s="78" t="s">
        <v>71</v>
      </c>
      <c r="AX1279" s="78">
        <v>0</v>
      </c>
      <c r="AY1279" s="78">
        <v>0</v>
      </c>
      <c r="BT1279" t="s">
        <v>71</v>
      </c>
      <c r="BU1279">
        <v>0</v>
      </c>
      <c r="BV1279">
        <v>0</v>
      </c>
    </row>
    <row r="1280" spans="1:74" x14ac:dyDescent="0.25">
      <c r="A1280" s="75">
        <v>5950073</v>
      </c>
      <c r="B1280" t="s">
        <v>5504</v>
      </c>
      <c r="C1280" t="s">
        <v>5505</v>
      </c>
      <c r="D1280" t="s">
        <v>527</v>
      </c>
      <c r="E1280" t="s">
        <v>54</v>
      </c>
      <c r="F1280" s="75">
        <v>1</v>
      </c>
      <c r="G1280" s="75">
        <v>322413</v>
      </c>
      <c r="H1280">
        <v>700</v>
      </c>
      <c r="I1280" t="s">
        <v>114</v>
      </c>
      <c r="J1280" s="75">
        <v>225511</v>
      </c>
      <c r="K1280" t="s">
        <v>3222</v>
      </c>
      <c r="L1280" t="s">
        <v>3223</v>
      </c>
      <c r="M1280" s="81">
        <v>46149.499490740738</v>
      </c>
      <c r="N1280" s="81">
        <v>46151.318206018521</v>
      </c>
      <c r="O1280" t="s">
        <v>58</v>
      </c>
      <c r="P1280" t="s">
        <v>59</v>
      </c>
      <c r="Q1280" t="s">
        <v>130</v>
      </c>
      <c r="R1280" t="s">
        <v>156</v>
      </c>
      <c r="S1280" t="s">
        <v>1320</v>
      </c>
      <c r="U1280" s="75">
        <v>250059</v>
      </c>
      <c r="V1280" t="s">
        <v>5506</v>
      </c>
      <c r="W1280" t="s">
        <v>5506</v>
      </c>
      <c r="X1280" t="s">
        <v>62</v>
      </c>
      <c r="Y1280" t="s">
        <v>63</v>
      </c>
      <c r="AA1280" t="s">
        <v>101</v>
      </c>
      <c r="AB1280">
        <v>43.6</v>
      </c>
      <c r="AC1280">
        <v>34.1</v>
      </c>
      <c r="AD1280">
        <v>9.5</v>
      </c>
      <c r="AE1280">
        <v>0.11666700000000001</v>
      </c>
      <c r="AF1280">
        <v>0</v>
      </c>
      <c r="AG1280">
        <v>9.3833330000000004</v>
      </c>
      <c r="AH1280">
        <v>9.3833330000000004</v>
      </c>
      <c r="AI1280">
        <v>9.1166660000000004</v>
      </c>
      <c r="AJ1280">
        <v>0.26666699999999999</v>
      </c>
      <c r="AK1280">
        <v>0</v>
      </c>
      <c r="AL1280" s="76">
        <v>45497.894270833327</v>
      </c>
      <c r="AM1280" s="75">
        <v>651</v>
      </c>
      <c r="AN1280" t="s">
        <v>65</v>
      </c>
      <c r="AO1280" t="s">
        <v>3225</v>
      </c>
      <c r="AP1280" t="s">
        <v>67</v>
      </c>
      <c r="AQ1280" t="s">
        <v>68</v>
      </c>
      <c r="AR1280" t="s">
        <v>69</v>
      </c>
      <c r="AT1280" s="82" t="s">
        <v>5326</v>
      </c>
      <c r="AU1280" s="78">
        <v>2026</v>
      </c>
      <c r="AV1280" s="78">
        <v>5</v>
      </c>
      <c r="AW1280" s="78" t="s">
        <v>71</v>
      </c>
      <c r="AX1280" s="78">
        <v>0</v>
      </c>
      <c r="AY1280" s="78">
        <v>0</v>
      </c>
      <c r="BT1280" t="s">
        <v>71</v>
      </c>
      <c r="BU1280">
        <v>0</v>
      </c>
      <c r="BV1280">
        <v>0</v>
      </c>
    </row>
    <row r="1281" spans="1:74" x14ac:dyDescent="0.25">
      <c r="A1281" s="75">
        <v>5950121</v>
      </c>
      <c r="B1281" t="s">
        <v>5507</v>
      </c>
      <c r="C1281" t="s">
        <v>5508</v>
      </c>
      <c r="D1281" t="s">
        <v>527</v>
      </c>
      <c r="E1281" t="s">
        <v>87</v>
      </c>
      <c r="F1281" s="75">
        <v>223</v>
      </c>
      <c r="G1281" s="75">
        <v>286127</v>
      </c>
      <c r="H1281">
        <v>521.37</v>
      </c>
      <c r="I1281" t="s">
        <v>55</v>
      </c>
      <c r="J1281" s="75">
        <v>218787</v>
      </c>
      <c r="K1281" t="s">
        <v>96</v>
      </c>
      <c r="L1281" t="s">
        <v>97</v>
      </c>
      <c r="M1281" s="81">
        <v>46149.514513888891</v>
      </c>
      <c r="N1281" s="81">
        <v>46151.319074074083</v>
      </c>
      <c r="O1281" t="s">
        <v>58</v>
      </c>
      <c r="P1281" t="s">
        <v>59</v>
      </c>
      <c r="Q1281" t="s">
        <v>90</v>
      </c>
      <c r="R1281" t="s">
        <v>60</v>
      </c>
      <c r="S1281" t="s">
        <v>583</v>
      </c>
      <c r="U1281" s="75">
        <v>250069</v>
      </c>
      <c r="V1281" t="s">
        <v>5509</v>
      </c>
      <c r="W1281" t="s">
        <v>5509</v>
      </c>
      <c r="X1281" t="s">
        <v>62</v>
      </c>
      <c r="Y1281" t="s">
        <v>63</v>
      </c>
      <c r="AA1281" t="s">
        <v>64</v>
      </c>
      <c r="AB1281">
        <v>43.233333999999999</v>
      </c>
      <c r="AC1281">
        <v>36.416666999999997</v>
      </c>
      <c r="AD1281">
        <v>6.8166669999999998</v>
      </c>
      <c r="AE1281">
        <v>0.26666699999999999</v>
      </c>
      <c r="AF1281">
        <v>0</v>
      </c>
      <c r="AG1281">
        <v>6.55</v>
      </c>
      <c r="AH1281">
        <v>6.55</v>
      </c>
      <c r="AI1281">
        <v>6.516667</v>
      </c>
      <c r="AJ1281">
        <v>3.3333000000000002E-2</v>
      </c>
      <c r="AK1281">
        <v>0</v>
      </c>
      <c r="AL1281" s="76">
        <v>44974</v>
      </c>
      <c r="AM1281" s="75">
        <v>1175</v>
      </c>
      <c r="AN1281" t="s">
        <v>65</v>
      </c>
      <c r="AO1281" t="s">
        <v>5510</v>
      </c>
      <c r="AP1281" t="s">
        <v>67</v>
      </c>
      <c r="AQ1281" t="s">
        <v>68</v>
      </c>
      <c r="AR1281" t="s">
        <v>69</v>
      </c>
      <c r="AT1281" s="82" t="s">
        <v>5326</v>
      </c>
      <c r="AU1281" s="78">
        <v>2026</v>
      </c>
      <c r="AV1281" s="78">
        <v>5</v>
      </c>
      <c r="AW1281" s="78" t="s">
        <v>71</v>
      </c>
      <c r="AX1281" s="78">
        <v>1</v>
      </c>
      <c r="AY1281" s="78">
        <v>0</v>
      </c>
      <c r="BT1281" t="s">
        <v>71</v>
      </c>
      <c r="BU1281">
        <v>1</v>
      </c>
      <c r="BV1281">
        <v>0</v>
      </c>
    </row>
    <row r="1282" spans="1:74" x14ac:dyDescent="0.25">
      <c r="A1282" s="75">
        <v>5949255</v>
      </c>
      <c r="B1282" t="s">
        <v>5511</v>
      </c>
      <c r="C1282" t="s">
        <v>5512</v>
      </c>
      <c r="D1282" t="s">
        <v>125</v>
      </c>
      <c r="E1282" t="s">
        <v>126</v>
      </c>
      <c r="F1282" s="75">
        <v>1</v>
      </c>
      <c r="G1282" s="75">
        <v>350295</v>
      </c>
      <c r="H1282">
        <v>2500</v>
      </c>
      <c r="I1282" t="s">
        <v>141</v>
      </c>
      <c r="J1282" s="75">
        <v>229629</v>
      </c>
      <c r="K1282" t="s">
        <v>5513</v>
      </c>
      <c r="L1282" t="s">
        <v>5514</v>
      </c>
      <c r="M1282" s="81">
        <v>46148.821736111109</v>
      </c>
      <c r="N1282" s="81">
        <v>46151.331238425933</v>
      </c>
      <c r="O1282" t="s">
        <v>58</v>
      </c>
      <c r="P1282" t="s">
        <v>59</v>
      </c>
      <c r="Q1282" t="s">
        <v>130</v>
      </c>
      <c r="R1282" t="s">
        <v>99</v>
      </c>
      <c r="S1282" t="s">
        <v>1244</v>
      </c>
      <c r="U1282" s="75">
        <v>249881</v>
      </c>
      <c r="V1282" t="s">
        <v>5515</v>
      </c>
      <c r="W1282" t="s">
        <v>5515</v>
      </c>
      <c r="X1282" t="s">
        <v>118</v>
      </c>
      <c r="Y1282" t="s">
        <v>5516</v>
      </c>
      <c r="AA1282" t="s">
        <v>416</v>
      </c>
      <c r="AB1282">
        <v>60.166665999999999</v>
      </c>
      <c r="AC1282">
        <v>46.116666000000002</v>
      </c>
      <c r="AD1282">
        <v>14.05</v>
      </c>
      <c r="AE1282">
        <v>8.3334000000000005E-2</v>
      </c>
      <c r="AF1282">
        <v>0</v>
      </c>
      <c r="AG1282">
        <v>13.966666</v>
      </c>
      <c r="AH1282">
        <v>13.966666</v>
      </c>
      <c r="AI1282">
        <v>12.133333</v>
      </c>
      <c r="AJ1282">
        <v>1.8333330000000001</v>
      </c>
      <c r="AK1282">
        <v>0</v>
      </c>
      <c r="AL1282" s="76">
        <v>46038.627326388887</v>
      </c>
      <c r="AM1282" s="75">
        <v>110</v>
      </c>
      <c r="AN1282" t="s">
        <v>65</v>
      </c>
      <c r="AO1282" t="s">
        <v>5517</v>
      </c>
      <c r="AP1282" t="s">
        <v>67</v>
      </c>
      <c r="AQ1282" t="s">
        <v>121</v>
      </c>
      <c r="AR1282" t="s">
        <v>69</v>
      </c>
      <c r="AT1282" s="82" t="s">
        <v>5326</v>
      </c>
      <c r="AU1282" s="78">
        <v>2026</v>
      </c>
      <c r="AV1282" s="78">
        <v>5</v>
      </c>
      <c r="AW1282" s="78" t="s">
        <v>347</v>
      </c>
      <c r="AX1282" s="78">
        <v>0</v>
      </c>
      <c r="AY1282" s="78">
        <v>0</v>
      </c>
      <c r="BT1282" t="s">
        <v>347</v>
      </c>
      <c r="BU1282">
        <v>0</v>
      </c>
      <c r="BV1282">
        <v>0</v>
      </c>
    </row>
    <row r="1283" spans="1:74" x14ac:dyDescent="0.25">
      <c r="A1283" s="75">
        <v>5952211</v>
      </c>
      <c r="B1283" t="s">
        <v>5518</v>
      </c>
      <c r="C1283" t="s">
        <v>5519</v>
      </c>
      <c r="D1283" t="s">
        <v>527</v>
      </c>
      <c r="E1283" t="s">
        <v>87</v>
      </c>
      <c r="F1283" s="75">
        <v>20</v>
      </c>
      <c r="G1283" s="75">
        <v>280697</v>
      </c>
      <c r="H1283">
        <v>376.42</v>
      </c>
      <c r="I1283" t="s">
        <v>1291</v>
      </c>
      <c r="J1283" s="75">
        <v>77293</v>
      </c>
      <c r="K1283" t="s">
        <v>1292</v>
      </c>
      <c r="L1283" t="s">
        <v>1293</v>
      </c>
      <c r="M1283" s="81">
        <v>46150.528148148151</v>
      </c>
      <c r="N1283" s="81">
        <v>46151.333437499998</v>
      </c>
      <c r="O1283" t="s">
        <v>58</v>
      </c>
      <c r="P1283" t="s">
        <v>59</v>
      </c>
      <c r="Q1283" t="s">
        <v>90</v>
      </c>
      <c r="R1283" t="s">
        <v>60</v>
      </c>
      <c r="S1283" t="s">
        <v>583</v>
      </c>
      <c r="U1283" s="75">
        <v>251139</v>
      </c>
      <c r="V1283" t="s">
        <v>5520</v>
      </c>
      <c r="X1283" t="s">
        <v>79</v>
      </c>
      <c r="Y1283" t="s">
        <v>224</v>
      </c>
      <c r="AA1283" t="s">
        <v>81</v>
      </c>
      <c r="AB1283">
        <v>19.3</v>
      </c>
      <c r="AC1283">
        <v>16.133333</v>
      </c>
      <c r="AD1283">
        <v>3.1666669999999999</v>
      </c>
      <c r="AE1283">
        <v>0.81666700000000003</v>
      </c>
      <c r="AF1283">
        <v>0</v>
      </c>
      <c r="AG1283">
        <v>2.35</v>
      </c>
      <c r="AH1283">
        <v>2.35</v>
      </c>
      <c r="AI1283">
        <v>2</v>
      </c>
      <c r="AJ1283">
        <v>0.35</v>
      </c>
      <c r="AK1283">
        <v>0</v>
      </c>
      <c r="AL1283" s="76">
        <v>44834</v>
      </c>
      <c r="AM1283" s="75">
        <v>1316</v>
      </c>
      <c r="AN1283" t="s">
        <v>65</v>
      </c>
      <c r="AO1283" t="s">
        <v>1295</v>
      </c>
      <c r="AP1283" t="s">
        <v>67</v>
      </c>
      <c r="AQ1283" t="s">
        <v>83</v>
      </c>
      <c r="AR1283" t="s">
        <v>69</v>
      </c>
      <c r="AT1283" s="82" t="s">
        <v>5326</v>
      </c>
      <c r="AU1283" s="78">
        <v>2026</v>
      </c>
      <c r="AV1283" s="78">
        <v>5</v>
      </c>
      <c r="AW1283" s="78" t="s">
        <v>226</v>
      </c>
      <c r="AX1283" s="78">
        <v>1</v>
      </c>
      <c r="AY1283" s="78">
        <v>0</v>
      </c>
      <c r="BT1283" t="s">
        <v>226</v>
      </c>
      <c r="BU1283">
        <v>1</v>
      </c>
      <c r="BV1283">
        <v>0</v>
      </c>
    </row>
    <row r="1284" spans="1:74" x14ac:dyDescent="0.25">
      <c r="A1284" s="75">
        <v>5949361</v>
      </c>
      <c r="B1284" t="s">
        <v>5521</v>
      </c>
      <c r="C1284" t="s">
        <v>857</v>
      </c>
      <c r="D1284" t="s">
        <v>125</v>
      </c>
      <c r="E1284" t="s">
        <v>87</v>
      </c>
      <c r="F1284" s="75">
        <v>404</v>
      </c>
      <c r="G1284" s="75">
        <v>288509</v>
      </c>
      <c r="H1284">
        <v>740.61</v>
      </c>
      <c r="I1284" t="s">
        <v>55</v>
      </c>
      <c r="J1284" s="75">
        <v>216233</v>
      </c>
      <c r="K1284" t="s">
        <v>88</v>
      </c>
      <c r="L1284" t="s">
        <v>89</v>
      </c>
      <c r="M1284" s="81">
        <v>46149.028275462973</v>
      </c>
      <c r="N1284" s="81">
        <v>46151.334965277783</v>
      </c>
      <c r="O1284" t="s">
        <v>58</v>
      </c>
      <c r="P1284" t="s">
        <v>59</v>
      </c>
      <c r="Q1284" t="s">
        <v>90</v>
      </c>
      <c r="R1284" t="s">
        <v>60</v>
      </c>
      <c r="S1284" t="s">
        <v>583</v>
      </c>
      <c r="U1284" s="75">
        <v>250623</v>
      </c>
      <c r="V1284" t="s">
        <v>5522</v>
      </c>
      <c r="W1284" t="s">
        <v>5523</v>
      </c>
      <c r="X1284" t="s">
        <v>62</v>
      </c>
      <c r="Y1284" t="s">
        <v>63</v>
      </c>
      <c r="AA1284" t="s">
        <v>416</v>
      </c>
      <c r="AB1284">
        <v>55.249999000000003</v>
      </c>
      <c r="AC1284">
        <v>39.65</v>
      </c>
      <c r="AD1284">
        <v>15.599999</v>
      </c>
      <c r="AE1284">
        <v>1.75</v>
      </c>
      <c r="AF1284">
        <v>0</v>
      </c>
      <c r="AG1284">
        <v>13.849999</v>
      </c>
      <c r="AH1284">
        <v>13.849999</v>
      </c>
      <c r="AI1284">
        <v>13.016666000000001</v>
      </c>
      <c r="AJ1284">
        <v>0.83333299999999999</v>
      </c>
      <c r="AK1284">
        <v>0</v>
      </c>
      <c r="AL1284" s="76">
        <v>44952</v>
      </c>
      <c r="AM1284" s="75">
        <v>1197</v>
      </c>
      <c r="AN1284" t="s">
        <v>65</v>
      </c>
      <c r="AO1284" t="s">
        <v>860</v>
      </c>
      <c r="AP1284" t="s">
        <v>67</v>
      </c>
      <c r="AQ1284" t="s">
        <v>68</v>
      </c>
      <c r="AR1284" t="s">
        <v>69</v>
      </c>
      <c r="AT1284" s="82" t="s">
        <v>5326</v>
      </c>
      <c r="AU1284" s="78">
        <v>2026</v>
      </c>
      <c r="AV1284" s="78">
        <v>5</v>
      </c>
      <c r="AW1284" s="78" t="s">
        <v>71</v>
      </c>
      <c r="AX1284" s="78">
        <v>0</v>
      </c>
      <c r="AY1284" s="78">
        <v>0</v>
      </c>
      <c r="BT1284" t="s">
        <v>71</v>
      </c>
      <c r="BU1284">
        <v>0</v>
      </c>
      <c r="BV1284">
        <v>0</v>
      </c>
    </row>
    <row r="1285" spans="1:74" x14ac:dyDescent="0.25">
      <c r="A1285" s="75">
        <v>5950347</v>
      </c>
      <c r="B1285" t="s">
        <v>5524</v>
      </c>
      <c r="C1285" t="s">
        <v>5525</v>
      </c>
      <c r="D1285" t="s">
        <v>125</v>
      </c>
      <c r="E1285" t="s">
        <v>87</v>
      </c>
      <c r="F1285" s="75">
        <v>534</v>
      </c>
      <c r="G1285" s="75">
        <v>358347</v>
      </c>
      <c r="H1285">
        <v>382.45</v>
      </c>
      <c r="I1285" t="s">
        <v>818</v>
      </c>
      <c r="J1285" s="75">
        <v>218791</v>
      </c>
      <c r="K1285" t="s">
        <v>312</v>
      </c>
      <c r="L1285" t="s">
        <v>313</v>
      </c>
      <c r="M1285" s="81">
        <v>46149.615590277783</v>
      </c>
      <c r="N1285" s="81">
        <v>46151.371701388889</v>
      </c>
      <c r="O1285" t="s">
        <v>58</v>
      </c>
      <c r="P1285" t="s">
        <v>59</v>
      </c>
      <c r="Q1285" t="s">
        <v>2562</v>
      </c>
      <c r="R1285" t="s">
        <v>60</v>
      </c>
      <c r="S1285" t="s">
        <v>583</v>
      </c>
      <c r="U1285" s="75">
        <v>250257</v>
      </c>
      <c r="V1285" t="s">
        <v>5526</v>
      </c>
      <c r="X1285" t="s">
        <v>62</v>
      </c>
      <c r="Y1285" t="s">
        <v>63</v>
      </c>
      <c r="AA1285" t="s">
        <v>81</v>
      </c>
      <c r="AB1285">
        <v>42.116667</v>
      </c>
      <c r="AC1285">
        <v>38.299999999999997</v>
      </c>
      <c r="AD1285">
        <v>3.8166669999999998</v>
      </c>
      <c r="AE1285">
        <v>0.38333400000000001</v>
      </c>
      <c r="AF1285">
        <v>0</v>
      </c>
      <c r="AG1285">
        <v>3.4333330000000002</v>
      </c>
      <c r="AH1285">
        <v>3.4333330000000002</v>
      </c>
      <c r="AI1285">
        <v>3.4</v>
      </c>
      <c r="AJ1285">
        <v>3.3333000000000002E-2</v>
      </c>
      <c r="AK1285">
        <v>0</v>
      </c>
      <c r="AL1285" s="76">
        <v>46111.559930555559</v>
      </c>
      <c r="AM1285" s="75">
        <v>38</v>
      </c>
      <c r="AN1285" t="s">
        <v>65</v>
      </c>
      <c r="AO1285" t="s">
        <v>5527</v>
      </c>
      <c r="AP1285" t="s">
        <v>67</v>
      </c>
      <c r="AQ1285" t="s">
        <v>68</v>
      </c>
      <c r="AR1285" t="s">
        <v>69</v>
      </c>
      <c r="AT1285" s="82" t="s">
        <v>5326</v>
      </c>
      <c r="AU1285" s="78">
        <v>2026</v>
      </c>
      <c r="AV1285" s="78">
        <v>5</v>
      </c>
      <c r="AW1285" s="78" t="s">
        <v>71</v>
      </c>
      <c r="AX1285" s="78">
        <v>1</v>
      </c>
      <c r="AY1285" s="78">
        <v>0</v>
      </c>
      <c r="BT1285" t="s">
        <v>71</v>
      </c>
      <c r="BU1285">
        <v>1</v>
      </c>
      <c r="BV1285">
        <v>0</v>
      </c>
    </row>
    <row r="1286" spans="1:74" x14ac:dyDescent="0.25">
      <c r="A1286" s="75">
        <v>5951135</v>
      </c>
      <c r="B1286" t="s">
        <v>5528</v>
      </c>
      <c r="C1286" t="s">
        <v>5460</v>
      </c>
      <c r="D1286" t="s">
        <v>125</v>
      </c>
      <c r="E1286" t="s">
        <v>54</v>
      </c>
      <c r="F1286" s="75">
        <v>14</v>
      </c>
      <c r="G1286" s="75">
        <v>350361</v>
      </c>
      <c r="H1286">
        <v>350</v>
      </c>
      <c r="I1286" t="s">
        <v>141</v>
      </c>
      <c r="J1286" s="75">
        <v>204321</v>
      </c>
      <c r="K1286" t="s">
        <v>376</v>
      </c>
      <c r="L1286" t="s">
        <v>377</v>
      </c>
      <c r="M1286" s="81">
        <v>46150.367083333331</v>
      </c>
      <c r="N1286" s="81">
        <v>46151.396284722221</v>
      </c>
      <c r="O1286" t="s">
        <v>58</v>
      </c>
      <c r="P1286" t="s">
        <v>59</v>
      </c>
      <c r="R1286" t="s">
        <v>60</v>
      </c>
      <c r="S1286" t="s">
        <v>583</v>
      </c>
      <c r="U1286" s="75">
        <v>250857</v>
      </c>
      <c r="V1286" t="s">
        <v>5529</v>
      </c>
      <c r="W1286" t="s">
        <v>5529</v>
      </c>
      <c r="X1286" t="s">
        <v>62</v>
      </c>
      <c r="Y1286" t="s">
        <v>63</v>
      </c>
      <c r="AA1286" t="s">
        <v>64</v>
      </c>
      <c r="AB1286">
        <v>24.649999000000001</v>
      </c>
      <c r="AC1286">
        <v>16.533332999999999</v>
      </c>
      <c r="AD1286">
        <v>8.1166660000000004</v>
      </c>
      <c r="AE1286">
        <v>0.23333300000000001</v>
      </c>
      <c r="AF1286">
        <v>0</v>
      </c>
      <c r="AG1286">
        <v>7.8833330000000004</v>
      </c>
      <c r="AH1286">
        <v>7.8833330000000004</v>
      </c>
      <c r="AI1286">
        <v>7.65</v>
      </c>
      <c r="AJ1286">
        <v>0.23333300000000001</v>
      </c>
      <c r="AK1286">
        <v>0</v>
      </c>
      <c r="AL1286" s="76">
        <v>46043.727638888893</v>
      </c>
      <c r="AM1286" s="75">
        <v>106</v>
      </c>
      <c r="AN1286" t="s">
        <v>65</v>
      </c>
      <c r="AO1286" t="s">
        <v>5530</v>
      </c>
      <c r="AP1286" t="s">
        <v>67</v>
      </c>
      <c r="AQ1286" t="s">
        <v>68</v>
      </c>
      <c r="AR1286" t="s">
        <v>69</v>
      </c>
      <c r="AT1286" s="82" t="s">
        <v>5326</v>
      </c>
      <c r="AU1286" s="78">
        <v>2026</v>
      </c>
      <c r="AV1286" s="78">
        <v>5</v>
      </c>
      <c r="AW1286" s="78" t="s">
        <v>71</v>
      </c>
      <c r="AX1286" s="78">
        <v>1</v>
      </c>
      <c r="AY1286" s="78">
        <v>0</v>
      </c>
      <c r="BT1286" t="s">
        <v>71</v>
      </c>
      <c r="BU1286">
        <v>1</v>
      </c>
      <c r="BV1286">
        <v>0</v>
      </c>
    </row>
    <row r="1287" spans="1:74" x14ac:dyDescent="0.25">
      <c r="A1287" s="75">
        <v>5951407</v>
      </c>
      <c r="B1287" t="s">
        <v>5531</v>
      </c>
      <c r="C1287" t="s">
        <v>5532</v>
      </c>
      <c r="D1287" t="s">
        <v>125</v>
      </c>
      <c r="E1287" t="s">
        <v>54</v>
      </c>
      <c r="F1287" s="75">
        <v>2</v>
      </c>
      <c r="G1287" s="75">
        <v>350925</v>
      </c>
      <c r="H1287">
        <v>650</v>
      </c>
      <c r="I1287" t="s">
        <v>141</v>
      </c>
      <c r="J1287" s="75">
        <v>227681</v>
      </c>
      <c r="K1287" t="s">
        <v>2153</v>
      </c>
      <c r="L1287" t="s">
        <v>2154</v>
      </c>
      <c r="M1287" s="81">
        <v>46150.4065625</v>
      </c>
      <c r="N1287" s="81">
        <v>46151.421041666668</v>
      </c>
      <c r="O1287" t="s">
        <v>58</v>
      </c>
      <c r="P1287" t="s">
        <v>59</v>
      </c>
      <c r="Q1287" t="s">
        <v>77</v>
      </c>
      <c r="R1287" t="s">
        <v>60</v>
      </c>
      <c r="S1287" t="s">
        <v>583</v>
      </c>
      <c r="U1287" s="75">
        <v>250993</v>
      </c>
      <c r="V1287" t="s">
        <v>5533</v>
      </c>
      <c r="W1287" t="s">
        <v>5533</v>
      </c>
      <c r="X1287" t="s">
        <v>62</v>
      </c>
      <c r="Y1287" t="s">
        <v>63</v>
      </c>
      <c r="AA1287" t="s">
        <v>64</v>
      </c>
      <c r="AB1287">
        <v>24.316666000000001</v>
      </c>
      <c r="AC1287">
        <v>18.933333000000001</v>
      </c>
      <c r="AD1287">
        <v>5.3833330000000004</v>
      </c>
      <c r="AE1287">
        <v>0.41666599999999998</v>
      </c>
      <c r="AF1287">
        <v>0</v>
      </c>
      <c r="AG1287">
        <v>4.9666670000000002</v>
      </c>
      <c r="AH1287">
        <v>4.9666670000000002</v>
      </c>
      <c r="AI1287">
        <v>4.7166670000000002</v>
      </c>
      <c r="AJ1287">
        <v>0.25</v>
      </c>
      <c r="AK1287">
        <v>0</v>
      </c>
      <c r="AL1287" s="76">
        <v>46059.394803240742</v>
      </c>
      <c r="AM1287" s="75">
        <v>91</v>
      </c>
      <c r="AN1287" t="s">
        <v>65</v>
      </c>
      <c r="AO1287" t="s">
        <v>3316</v>
      </c>
      <c r="AP1287" t="s">
        <v>67</v>
      </c>
      <c r="AQ1287" t="s">
        <v>68</v>
      </c>
      <c r="AR1287" t="s">
        <v>69</v>
      </c>
      <c r="AT1287" s="82" t="s">
        <v>5326</v>
      </c>
      <c r="AU1287" s="78">
        <v>2026</v>
      </c>
      <c r="AV1287" s="78">
        <v>5</v>
      </c>
      <c r="AW1287" s="78" t="s">
        <v>71</v>
      </c>
      <c r="AX1287" s="78">
        <v>1</v>
      </c>
      <c r="AY1287" s="78">
        <v>0</v>
      </c>
      <c r="BT1287" t="s">
        <v>71</v>
      </c>
      <c r="BU1287">
        <v>1</v>
      </c>
      <c r="BV1287">
        <v>0</v>
      </c>
    </row>
    <row r="1288" spans="1:74" x14ac:dyDescent="0.25">
      <c r="A1288" s="75">
        <v>5946675</v>
      </c>
      <c r="B1288" t="s">
        <v>5534</v>
      </c>
      <c r="C1288" t="s">
        <v>5535</v>
      </c>
      <c r="D1288" t="s">
        <v>125</v>
      </c>
      <c r="E1288" t="s">
        <v>87</v>
      </c>
      <c r="F1288" s="75">
        <v>76</v>
      </c>
      <c r="G1288" s="75">
        <v>279979</v>
      </c>
      <c r="H1288">
        <v>616.59</v>
      </c>
      <c r="I1288" t="s">
        <v>266</v>
      </c>
      <c r="J1288" s="75">
        <v>49495</v>
      </c>
      <c r="K1288" t="s">
        <v>460</v>
      </c>
      <c r="L1288" t="s">
        <v>461</v>
      </c>
      <c r="M1288" s="81">
        <v>46147.486817129633</v>
      </c>
      <c r="N1288" s="81">
        <v>46151.436574074083</v>
      </c>
      <c r="O1288" t="s">
        <v>58</v>
      </c>
      <c r="P1288" t="s">
        <v>59</v>
      </c>
      <c r="Q1288" t="s">
        <v>90</v>
      </c>
      <c r="R1288" t="s">
        <v>144</v>
      </c>
      <c r="S1288" t="s">
        <v>1901</v>
      </c>
      <c r="T1288" t="s">
        <v>507</v>
      </c>
      <c r="U1288" s="75">
        <v>250617</v>
      </c>
      <c r="V1288" t="s">
        <v>5536</v>
      </c>
      <c r="W1288" t="s">
        <v>5536</v>
      </c>
      <c r="X1288" t="s">
        <v>62</v>
      </c>
      <c r="Y1288" t="s">
        <v>510</v>
      </c>
      <c r="AA1288" t="s">
        <v>416</v>
      </c>
      <c r="AB1288">
        <v>94.699999000000005</v>
      </c>
      <c r="AC1288">
        <v>81.116665999999995</v>
      </c>
      <c r="AD1288">
        <v>13.583333</v>
      </c>
      <c r="AE1288">
        <v>0.76666699999999999</v>
      </c>
      <c r="AF1288">
        <v>0</v>
      </c>
      <c r="AG1288">
        <v>12.816666</v>
      </c>
      <c r="AH1288">
        <v>12.816666</v>
      </c>
      <c r="AI1288">
        <v>3.45</v>
      </c>
      <c r="AJ1288">
        <v>9.3666660000000004</v>
      </c>
      <c r="AK1288">
        <v>0</v>
      </c>
      <c r="AL1288" s="76">
        <v>44767</v>
      </c>
      <c r="AM1288" s="75">
        <v>1380</v>
      </c>
      <c r="AN1288" t="s">
        <v>65</v>
      </c>
      <c r="AO1288" t="s">
        <v>5537</v>
      </c>
      <c r="AP1288" t="s">
        <v>67</v>
      </c>
      <c r="AQ1288" t="s">
        <v>68</v>
      </c>
      <c r="AR1288" t="s">
        <v>69</v>
      </c>
      <c r="AT1288" s="82" t="s">
        <v>5326</v>
      </c>
      <c r="AU1288" s="78">
        <v>2026</v>
      </c>
      <c r="AV1288" s="78">
        <v>5</v>
      </c>
      <c r="AW1288" s="78" t="s">
        <v>137</v>
      </c>
      <c r="AX1288" s="78">
        <v>0</v>
      </c>
      <c r="AY1288" s="78">
        <v>0</v>
      </c>
      <c r="BT1288" t="s">
        <v>137</v>
      </c>
      <c r="BU1288">
        <v>0</v>
      </c>
      <c r="BV1288">
        <v>0</v>
      </c>
    </row>
    <row r="1289" spans="1:74" x14ac:dyDescent="0.25">
      <c r="A1289" s="75">
        <v>5952491</v>
      </c>
      <c r="B1289" t="s">
        <v>5538</v>
      </c>
      <c r="C1289" t="s">
        <v>5532</v>
      </c>
      <c r="D1289" t="s">
        <v>282</v>
      </c>
      <c r="E1289" t="s">
        <v>54</v>
      </c>
      <c r="F1289" s="75">
        <v>1</v>
      </c>
      <c r="G1289" s="75">
        <v>350439</v>
      </c>
      <c r="H1289">
        <v>3599.9</v>
      </c>
      <c r="I1289" t="s">
        <v>141</v>
      </c>
      <c r="J1289" s="75">
        <v>227681</v>
      </c>
      <c r="K1289" t="s">
        <v>2153</v>
      </c>
      <c r="L1289" t="s">
        <v>2154</v>
      </c>
      <c r="M1289" s="81">
        <v>46150.592361111107</v>
      </c>
      <c r="N1289" s="81">
        <v>46152.488206018519</v>
      </c>
      <c r="O1289" t="s">
        <v>58</v>
      </c>
      <c r="P1289" t="s">
        <v>59</v>
      </c>
      <c r="Q1289" t="s">
        <v>77</v>
      </c>
      <c r="R1289" t="s">
        <v>99</v>
      </c>
      <c r="S1289" t="s">
        <v>1244</v>
      </c>
      <c r="U1289" s="75">
        <v>251207</v>
      </c>
      <c r="V1289" t="s">
        <v>5539</v>
      </c>
      <c r="X1289" t="s">
        <v>62</v>
      </c>
      <c r="Y1289" t="s">
        <v>63</v>
      </c>
      <c r="AA1289" t="s">
        <v>81</v>
      </c>
      <c r="AB1289">
        <v>45.466667000000001</v>
      </c>
      <c r="AC1289">
        <v>41.783332999999999</v>
      </c>
      <c r="AD1289">
        <v>3.6833339999999999</v>
      </c>
      <c r="AE1289">
        <v>0.2</v>
      </c>
      <c r="AF1289">
        <v>0</v>
      </c>
      <c r="AG1289">
        <v>3.4833340000000002</v>
      </c>
      <c r="AH1289">
        <v>3.4833340000000002</v>
      </c>
      <c r="AI1289">
        <v>3.0666669999999998</v>
      </c>
      <c r="AJ1289">
        <v>0.41666700000000001</v>
      </c>
      <c r="AK1289">
        <v>0</v>
      </c>
      <c r="AL1289" s="76">
        <v>46052.598796296297</v>
      </c>
      <c r="AM1289" s="75">
        <v>97</v>
      </c>
      <c r="AN1289" t="s">
        <v>65</v>
      </c>
      <c r="AO1289" t="s">
        <v>2158</v>
      </c>
      <c r="AP1289" t="s">
        <v>67</v>
      </c>
      <c r="AQ1289" t="s">
        <v>68</v>
      </c>
      <c r="AR1289" t="s">
        <v>69</v>
      </c>
      <c r="AT1289" s="82" t="s">
        <v>5326</v>
      </c>
      <c r="AU1289" s="78">
        <v>2026</v>
      </c>
      <c r="AV1289" s="78">
        <v>5</v>
      </c>
      <c r="AW1289" s="78" t="s">
        <v>71</v>
      </c>
      <c r="AX1289" s="78">
        <v>1</v>
      </c>
      <c r="AY1289" s="78">
        <v>0</v>
      </c>
      <c r="BT1289" t="s">
        <v>71</v>
      </c>
      <c r="BU1289">
        <v>1</v>
      </c>
      <c r="BV1289">
        <v>0</v>
      </c>
    </row>
    <row r="1290" spans="1:74" x14ac:dyDescent="0.25">
      <c r="A1290" s="75">
        <v>5953429</v>
      </c>
      <c r="B1290" t="s">
        <v>5540</v>
      </c>
      <c r="C1290" t="s">
        <v>5541</v>
      </c>
      <c r="D1290" t="s">
        <v>956</v>
      </c>
      <c r="E1290" t="s">
        <v>126</v>
      </c>
      <c r="F1290" s="75">
        <v>6</v>
      </c>
      <c r="G1290" s="75">
        <v>94309</v>
      </c>
      <c r="H1290">
        <v>0</v>
      </c>
      <c r="I1290" t="s">
        <v>1405</v>
      </c>
      <c r="J1290" s="75">
        <v>19489</v>
      </c>
      <c r="K1290" t="s">
        <v>935</v>
      </c>
      <c r="L1290" t="s">
        <v>936</v>
      </c>
      <c r="M1290" s="81">
        <v>46151.597569444442</v>
      </c>
      <c r="N1290" s="81">
        <v>46152.506793981483</v>
      </c>
      <c r="O1290" t="s">
        <v>58</v>
      </c>
      <c r="P1290" t="s">
        <v>59</v>
      </c>
      <c r="Q1290" t="s">
        <v>90</v>
      </c>
      <c r="R1290" t="s">
        <v>60</v>
      </c>
      <c r="S1290" t="s">
        <v>1268</v>
      </c>
      <c r="U1290" s="75">
        <v>251523</v>
      </c>
      <c r="V1290" t="s">
        <v>5542</v>
      </c>
      <c r="X1290" t="s">
        <v>79</v>
      </c>
      <c r="Y1290" t="s">
        <v>224</v>
      </c>
      <c r="AA1290" t="s">
        <v>416</v>
      </c>
      <c r="AB1290">
        <v>21.766665</v>
      </c>
      <c r="AC1290">
        <v>1.733333</v>
      </c>
      <c r="AD1290">
        <v>20.033332000000001</v>
      </c>
      <c r="AE1290">
        <v>6.6666000000000003E-2</v>
      </c>
      <c r="AF1290">
        <v>0</v>
      </c>
      <c r="AG1290">
        <v>19.966666</v>
      </c>
      <c r="AH1290">
        <v>19.966666</v>
      </c>
      <c r="AI1290">
        <v>19.833333</v>
      </c>
      <c r="AJ1290">
        <v>0.13333300000000001</v>
      </c>
      <c r="AK1290">
        <v>0</v>
      </c>
      <c r="AL1290" s="76">
        <v>43437.6096875</v>
      </c>
      <c r="AM1290" s="75">
        <v>2713</v>
      </c>
      <c r="AN1290" t="s">
        <v>65</v>
      </c>
      <c r="AO1290" t="s">
        <v>1407</v>
      </c>
      <c r="AP1290" t="s">
        <v>67</v>
      </c>
      <c r="AQ1290" t="s">
        <v>83</v>
      </c>
      <c r="AR1290" t="s">
        <v>69</v>
      </c>
      <c r="AT1290" s="82" t="s">
        <v>5326</v>
      </c>
      <c r="AU1290" s="78">
        <v>2026</v>
      </c>
      <c r="AV1290" s="78">
        <v>5</v>
      </c>
      <c r="AW1290" s="78" t="s">
        <v>226</v>
      </c>
      <c r="AX1290" s="78">
        <v>0</v>
      </c>
      <c r="AY1290" s="78">
        <v>0</v>
      </c>
      <c r="BT1290" t="s">
        <v>226</v>
      </c>
      <c r="BU1290">
        <v>0</v>
      </c>
      <c r="BV1290">
        <v>0</v>
      </c>
    </row>
    <row r="1291" spans="1:74" x14ac:dyDescent="0.25">
      <c r="A1291" s="75">
        <v>5953647</v>
      </c>
      <c r="B1291" t="s">
        <v>5543</v>
      </c>
      <c r="C1291" t="s">
        <v>2557</v>
      </c>
      <c r="D1291" t="s">
        <v>527</v>
      </c>
      <c r="E1291" t="s">
        <v>87</v>
      </c>
      <c r="F1291" s="75">
        <v>73</v>
      </c>
      <c r="G1291" s="75">
        <v>279973</v>
      </c>
      <c r="H1291">
        <v>616.59</v>
      </c>
      <c r="I1291" t="s">
        <v>266</v>
      </c>
      <c r="J1291" s="75">
        <v>49495</v>
      </c>
      <c r="K1291" t="s">
        <v>460</v>
      </c>
      <c r="L1291" t="s">
        <v>461</v>
      </c>
      <c r="M1291" s="81">
        <v>46151.965601851851</v>
      </c>
      <c r="N1291" s="81">
        <v>46153.326770833337</v>
      </c>
      <c r="O1291" t="s">
        <v>624</v>
      </c>
      <c r="P1291" t="s">
        <v>59</v>
      </c>
      <c r="Q1291" t="s">
        <v>90</v>
      </c>
      <c r="R1291" t="s">
        <v>99</v>
      </c>
      <c r="S1291" t="s">
        <v>1244</v>
      </c>
      <c r="U1291" s="75">
        <v>251591</v>
      </c>
      <c r="V1291" t="s">
        <v>5544</v>
      </c>
      <c r="X1291" t="s">
        <v>62</v>
      </c>
      <c r="Y1291" t="s">
        <v>63</v>
      </c>
      <c r="AA1291" t="s">
        <v>81</v>
      </c>
      <c r="AB1291">
        <v>32.633333999999998</v>
      </c>
      <c r="AC1291">
        <v>32.533332999999999</v>
      </c>
      <c r="AD1291">
        <v>0.10000100000000001</v>
      </c>
      <c r="AE1291">
        <v>8.3334000000000005E-2</v>
      </c>
      <c r="AF1291">
        <v>0</v>
      </c>
      <c r="AG1291">
        <v>1.6667000000000001E-2</v>
      </c>
      <c r="AH1291">
        <v>1.6667000000000001E-2</v>
      </c>
      <c r="AI1291">
        <v>0</v>
      </c>
      <c r="AJ1291">
        <v>1.6667000000000001E-2</v>
      </c>
      <c r="AK1291">
        <v>0</v>
      </c>
      <c r="AL1291" s="76">
        <v>44764</v>
      </c>
      <c r="AM1291" s="75">
        <v>1387</v>
      </c>
      <c r="AN1291" t="s">
        <v>65</v>
      </c>
      <c r="AO1291" t="s">
        <v>2559</v>
      </c>
      <c r="AP1291" t="s">
        <v>67</v>
      </c>
      <c r="AQ1291" t="s">
        <v>68</v>
      </c>
      <c r="AR1291" t="s">
        <v>69</v>
      </c>
      <c r="AT1291" s="82" t="s">
        <v>5545</v>
      </c>
      <c r="AU1291" s="78">
        <v>2026</v>
      </c>
      <c r="AV1291" s="78">
        <v>5</v>
      </c>
      <c r="AW1291" s="78" t="s">
        <v>71</v>
      </c>
      <c r="AX1291" s="78">
        <v>1</v>
      </c>
      <c r="AY1291" s="78">
        <v>0</v>
      </c>
      <c r="BT1291" t="s">
        <v>71</v>
      </c>
      <c r="BU1291">
        <v>1</v>
      </c>
      <c r="BV1291">
        <v>0</v>
      </c>
    </row>
    <row r="1292" spans="1:74" x14ac:dyDescent="0.25">
      <c r="A1292" s="75">
        <v>5953763</v>
      </c>
      <c r="B1292" t="s">
        <v>5546</v>
      </c>
      <c r="C1292" t="s">
        <v>4107</v>
      </c>
      <c r="D1292" t="s">
        <v>527</v>
      </c>
      <c r="E1292" t="s">
        <v>87</v>
      </c>
      <c r="F1292" s="75">
        <v>225</v>
      </c>
      <c r="G1292" s="75">
        <v>286247</v>
      </c>
      <c r="H1292">
        <v>368.16</v>
      </c>
      <c r="I1292" t="s">
        <v>55</v>
      </c>
      <c r="J1292" s="75">
        <v>218791</v>
      </c>
      <c r="K1292" t="s">
        <v>312</v>
      </c>
      <c r="L1292" t="s">
        <v>313</v>
      </c>
      <c r="M1292" s="81">
        <v>46152.424027777779</v>
      </c>
      <c r="N1292" s="81">
        <v>46153.352824074071</v>
      </c>
      <c r="O1292" t="s">
        <v>554</v>
      </c>
      <c r="P1292" t="s">
        <v>59</v>
      </c>
      <c r="Q1292" t="s">
        <v>90</v>
      </c>
      <c r="R1292" t="s">
        <v>99</v>
      </c>
      <c r="S1292" t="s">
        <v>1244</v>
      </c>
      <c r="U1292" s="75">
        <v>251911</v>
      </c>
      <c r="V1292" t="s">
        <v>5547</v>
      </c>
      <c r="X1292" t="s">
        <v>62</v>
      </c>
      <c r="Y1292" t="s">
        <v>63</v>
      </c>
      <c r="AA1292" t="s">
        <v>81</v>
      </c>
      <c r="AB1292">
        <v>22.25</v>
      </c>
      <c r="AC1292">
        <v>20.916667</v>
      </c>
      <c r="AD1292">
        <v>1.3333330000000001</v>
      </c>
      <c r="AE1292">
        <v>0.2</v>
      </c>
      <c r="AF1292">
        <v>0</v>
      </c>
      <c r="AG1292">
        <v>1.1333329999999999</v>
      </c>
      <c r="AH1292">
        <v>1.1333329999999999</v>
      </c>
      <c r="AI1292">
        <v>0.2</v>
      </c>
      <c r="AJ1292">
        <v>0.93333299999999997</v>
      </c>
      <c r="AK1292">
        <v>0</v>
      </c>
      <c r="AL1292" s="76">
        <v>44876.622743055559</v>
      </c>
      <c r="AM1292" s="75">
        <v>1275</v>
      </c>
      <c r="AN1292" t="s">
        <v>65</v>
      </c>
      <c r="AO1292" t="s">
        <v>660</v>
      </c>
      <c r="AP1292" t="s">
        <v>67</v>
      </c>
      <c r="AQ1292" t="s">
        <v>68</v>
      </c>
      <c r="AR1292" t="s">
        <v>69</v>
      </c>
      <c r="AT1292" s="82" t="s">
        <v>5545</v>
      </c>
      <c r="AU1292" s="78">
        <v>2026</v>
      </c>
      <c r="AV1292" s="78">
        <v>5</v>
      </c>
      <c r="AW1292" s="78" t="s">
        <v>71</v>
      </c>
      <c r="AX1292" s="78">
        <v>1</v>
      </c>
      <c r="AY1292" s="78">
        <v>0</v>
      </c>
      <c r="BT1292" t="s">
        <v>71</v>
      </c>
      <c r="BU1292">
        <v>1</v>
      </c>
      <c r="BV1292">
        <v>0</v>
      </c>
    </row>
    <row r="1293" spans="1:74" x14ac:dyDescent="0.25">
      <c r="A1293" s="75">
        <v>5953869</v>
      </c>
      <c r="B1293" t="s">
        <v>5548</v>
      </c>
      <c r="C1293" t="s">
        <v>693</v>
      </c>
      <c r="D1293" t="s">
        <v>527</v>
      </c>
      <c r="E1293" t="s">
        <v>87</v>
      </c>
      <c r="F1293" s="75">
        <v>402</v>
      </c>
      <c r="G1293" s="75">
        <v>288381</v>
      </c>
      <c r="H1293">
        <v>368.16</v>
      </c>
      <c r="I1293" t="s">
        <v>55</v>
      </c>
      <c r="J1293" s="75">
        <v>218791</v>
      </c>
      <c r="K1293" t="s">
        <v>312</v>
      </c>
      <c r="L1293" t="s">
        <v>313</v>
      </c>
      <c r="M1293" s="81">
        <v>46152.597754629627</v>
      </c>
      <c r="N1293" s="81">
        <v>46153.355208333327</v>
      </c>
      <c r="P1293" t="s">
        <v>59</v>
      </c>
      <c r="Q1293" t="s">
        <v>90</v>
      </c>
      <c r="R1293" t="s">
        <v>99</v>
      </c>
      <c r="S1293" t="s">
        <v>1244</v>
      </c>
      <c r="U1293" s="75"/>
      <c r="X1293" t="s">
        <v>62</v>
      </c>
      <c r="Y1293" t="s">
        <v>63</v>
      </c>
      <c r="AA1293" t="s">
        <v>81</v>
      </c>
      <c r="AB1293">
        <v>18.116665999999999</v>
      </c>
      <c r="AC1293">
        <v>16.8</v>
      </c>
      <c r="AD1293">
        <v>1.3166659999999999</v>
      </c>
      <c r="AE1293">
        <v>0.43333300000000002</v>
      </c>
      <c r="AF1293">
        <v>0</v>
      </c>
      <c r="AG1293">
        <v>0.88333300000000003</v>
      </c>
      <c r="AH1293">
        <v>0.88333300000000003</v>
      </c>
      <c r="AI1293">
        <v>0</v>
      </c>
      <c r="AJ1293">
        <v>0.88333300000000003</v>
      </c>
      <c r="AK1293">
        <v>0</v>
      </c>
      <c r="AL1293" s="76">
        <v>44946.44804398148</v>
      </c>
      <c r="AM1293" s="75">
        <v>1206</v>
      </c>
      <c r="AN1293" t="s">
        <v>65</v>
      </c>
      <c r="AO1293" t="s">
        <v>695</v>
      </c>
      <c r="AP1293" t="s">
        <v>67</v>
      </c>
      <c r="AQ1293" t="s">
        <v>68</v>
      </c>
      <c r="AR1293" t="s">
        <v>69</v>
      </c>
      <c r="AT1293" s="82" t="s">
        <v>5545</v>
      </c>
      <c r="AU1293" s="78">
        <v>2026</v>
      </c>
      <c r="AV1293" s="78">
        <v>5</v>
      </c>
      <c r="AW1293" s="78" t="s">
        <v>71</v>
      </c>
      <c r="AX1293" s="78">
        <v>1</v>
      </c>
      <c r="AY1293" s="78">
        <v>0</v>
      </c>
      <c r="BT1293" t="s">
        <v>71</v>
      </c>
      <c r="BU1293">
        <v>1</v>
      </c>
      <c r="BV1293">
        <v>0</v>
      </c>
    </row>
    <row r="1294" spans="1:74" x14ac:dyDescent="0.25">
      <c r="A1294" s="75">
        <v>5952807</v>
      </c>
      <c r="B1294" t="s">
        <v>5549</v>
      </c>
      <c r="C1294" t="s">
        <v>5550</v>
      </c>
      <c r="D1294" t="s">
        <v>527</v>
      </c>
      <c r="E1294" t="s">
        <v>87</v>
      </c>
      <c r="F1294" s="75">
        <v>667</v>
      </c>
      <c r="G1294" s="75">
        <v>56813</v>
      </c>
      <c r="H1294">
        <v>2350</v>
      </c>
      <c r="I1294" t="s">
        <v>55</v>
      </c>
      <c r="J1294" s="75">
        <v>19917</v>
      </c>
      <c r="K1294" t="s">
        <v>1325</v>
      </c>
      <c r="L1294" t="s">
        <v>1326</v>
      </c>
      <c r="M1294" s="81">
        <v>46150.666354166657</v>
      </c>
      <c r="N1294" s="81">
        <v>46153.361516203702</v>
      </c>
      <c r="O1294" t="s">
        <v>269</v>
      </c>
      <c r="P1294" t="s">
        <v>59</v>
      </c>
      <c r="Q1294" t="s">
        <v>130</v>
      </c>
      <c r="R1294" t="s">
        <v>60</v>
      </c>
      <c r="S1294" t="s">
        <v>1268</v>
      </c>
      <c r="U1294" s="75">
        <v>251845</v>
      </c>
      <c r="V1294" t="s">
        <v>5551</v>
      </c>
      <c r="W1294" t="s">
        <v>5552</v>
      </c>
      <c r="X1294" t="s">
        <v>79</v>
      </c>
      <c r="Y1294" t="s">
        <v>224</v>
      </c>
      <c r="AA1294" t="s">
        <v>81</v>
      </c>
      <c r="AB1294">
        <v>64.616665999999995</v>
      </c>
      <c r="AC1294">
        <v>63.033332999999999</v>
      </c>
      <c r="AD1294">
        <v>1.5833330000000001</v>
      </c>
      <c r="AE1294">
        <v>0.1</v>
      </c>
      <c r="AF1294">
        <v>0</v>
      </c>
      <c r="AG1294">
        <v>1.483333</v>
      </c>
      <c r="AH1294">
        <v>1.483333</v>
      </c>
      <c r="AI1294">
        <v>1.1499999999999999</v>
      </c>
      <c r="AJ1294">
        <v>0.33333299999999999</v>
      </c>
      <c r="AK1294">
        <v>0</v>
      </c>
      <c r="AL1294" s="76">
        <v>43045</v>
      </c>
      <c r="AM1294" s="75">
        <v>3105</v>
      </c>
      <c r="AN1294" t="s">
        <v>65</v>
      </c>
      <c r="AO1294" t="s">
        <v>3183</v>
      </c>
      <c r="AP1294" t="s">
        <v>67</v>
      </c>
      <c r="AQ1294" t="s">
        <v>83</v>
      </c>
      <c r="AR1294" t="s">
        <v>69</v>
      </c>
      <c r="AT1294" s="82" t="s">
        <v>5545</v>
      </c>
      <c r="AU1294" s="78">
        <v>2026</v>
      </c>
      <c r="AV1294" s="78">
        <v>5</v>
      </c>
      <c r="AW1294" s="78" t="s">
        <v>226</v>
      </c>
      <c r="AX1294" s="78">
        <v>1</v>
      </c>
      <c r="AY1294" s="78">
        <v>0</v>
      </c>
      <c r="BT1294" t="s">
        <v>226</v>
      </c>
      <c r="BU1294">
        <v>1</v>
      </c>
      <c r="BV1294">
        <v>0</v>
      </c>
    </row>
    <row r="1295" spans="1:74" x14ac:dyDescent="0.25">
      <c r="A1295" s="75">
        <v>5951449</v>
      </c>
      <c r="B1295" t="s">
        <v>5553</v>
      </c>
      <c r="C1295" t="s">
        <v>2611</v>
      </c>
      <c r="D1295" t="s">
        <v>527</v>
      </c>
      <c r="E1295" t="s">
        <v>87</v>
      </c>
      <c r="F1295" s="75">
        <v>867</v>
      </c>
      <c r="G1295" s="75">
        <v>341087</v>
      </c>
      <c r="H1295">
        <v>1200</v>
      </c>
      <c r="I1295" t="s">
        <v>141</v>
      </c>
      <c r="J1295" s="75">
        <v>19921</v>
      </c>
      <c r="K1295" t="s">
        <v>1325</v>
      </c>
      <c r="L1295" t="s">
        <v>2612</v>
      </c>
      <c r="M1295" s="81">
        <v>46150.417719907397</v>
      </c>
      <c r="N1295" s="81">
        <v>46153.361793981479</v>
      </c>
      <c r="O1295" t="s">
        <v>269</v>
      </c>
      <c r="P1295" t="s">
        <v>59</v>
      </c>
      <c r="R1295" t="s">
        <v>99</v>
      </c>
      <c r="S1295" t="s">
        <v>1244</v>
      </c>
      <c r="U1295" s="75">
        <v>251805</v>
      </c>
      <c r="V1295" t="s">
        <v>5554</v>
      </c>
      <c r="W1295" t="s">
        <v>5555</v>
      </c>
      <c r="X1295" t="s">
        <v>118</v>
      </c>
      <c r="Y1295" t="s">
        <v>119</v>
      </c>
      <c r="AA1295" t="s">
        <v>81</v>
      </c>
      <c r="AB1295">
        <v>70.583333999999994</v>
      </c>
      <c r="AC1295">
        <v>68.533333999999996</v>
      </c>
      <c r="AD1295">
        <v>2.0499999999999998</v>
      </c>
      <c r="AE1295">
        <v>0.45</v>
      </c>
      <c r="AF1295">
        <v>0</v>
      </c>
      <c r="AG1295">
        <v>1.6</v>
      </c>
      <c r="AH1295">
        <v>1.6</v>
      </c>
      <c r="AI1295">
        <v>0.15</v>
      </c>
      <c r="AJ1295">
        <v>1.45</v>
      </c>
      <c r="AK1295">
        <v>0</v>
      </c>
      <c r="AL1295" s="76">
        <v>45862.356817129628</v>
      </c>
      <c r="AM1295" s="75">
        <v>288</v>
      </c>
      <c r="AN1295" t="s">
        <v>65</v>
      </c>
      <c r="AO1295" t="s">
        <v>5556</v>
      </c>
      <c r="AP1295" t="s">
        <v>67</v>
      </c>
      <c r="AQ1295" t="s">
        <v>121</v>
      </c>
      <c r="AR1295" t="s">
        <v>69</v>
      </c>
      <c r="AT1295" s="82" t="s">
        <v>5545</v>
      </c>
      <c r="AU1295" s="78">
        <v>2026</v>
      </c>
      <c r="AV1295" s="78">
        <v>5</v>
      </c>
      <c r="AW1295" s="78" t="s">
        <v>122</v>
      </c>
      <c r="AX1295" s="78">
        <v>1</v>
      </c>
      <c r="AY1295" s="78">
        <v>0</v>
      </c>
      <c r="BT1295" t="s">
        <v>122</v>
      </c>
      <c r="BU1295">
        <v>1</v>
      </c>
      <c r="BV1295">
        <v>0</v>
      </c>
    </row>
    <row r="1296" spans="1:74" x14ac:dyDescent="0.25">
      <c r="A1296" s="75">
        <v>5953907</v>
      </c>
      <c r="B1296" t="s">
        <v>5557</v>
      </c>
      <c r="C1296" t="s">
        <v>3602</v>
      </c>
      <c r="D1296" t="s">
        <v>527</v>
      </c>
      <c r="E1296" t="s">
        <v>87</v>
      </c>
      <c r="F1296" s="75">
        <v>385</v>
      </c>
      <c r="G1296" s="75">
        <v>286823</v>
      </c>
      <c r="H1296">
        <v>364.96</v>
      </c>
      <c r="I1296" t="s">
        <v>55</v>
      </c>
      <c r="J1296" s="75">
        <v>218787</v>
      </c>
      <c r="K1296" t="s">
        <v>96</v>
      </c>
      <c r="L1296" t="s">
        <v>97</v>
      </c>
      <c r="M1296" s="81">
        <v>46152.674050925933</v>
      </c>
      <c r="N1296" s="81">
        <v>46153.364027777781</v>
      </c>
      <c r="O1296" t="s">
        <v>277</v>
      </c>
      <c r="P1296" t="s">
        <v>59</v>
      </c>
      <c r="Q1296" t="s">
        <v>90</v>
      </c>
      <c r="R1296" t="s">
        <v>99</v>
      </c>
      <c r="S1296" t="s">
        <v>1244</v>
      </c>
      <c r="U1296" s="75">
        <v>251933</v>
      </c>
      <c r="V1296" t="s">
        <v>5558</v>
      </c>
      <c r="X1296" t="s">
        <v>62</v>
      </c>
      <c r="Y1296" t="s">
        <v>63</v>
      </c>
      <c r="AA1296" t="s">
        <v>81</v>
      </c>
      <c r="AB1296">
        <v>16.516667000000002</v>
      </c>
      <c r="AC1296">
        <v>14.666667</v>
      </c>
      <c r="AD1296">
        <v>1.85</v>
      </c>
      <c r="AE1296">
        <v>0.86666699999999997</v>
      </c>
      <c r="AF1296">
        <v>0</v>
      </c>
      <c r="AG1296">
        <v>0.98333300000000001</v>
      </c>
      <c r="AH1296">
        <v>0.98333300000000001</v>
      </c>
      <c r="AI1296">
        <v>0.41666700000000001</v>
      </c>
      <c r="AJ1296">
        <v>0.566666</v>
      </c>
      <c r="AK1296">
        <v>0</v>
      </c>
      <c r="AL1296" s="76">
        <v>44981</v>
      </c>
      <c r="AM1296" s="75">
        <v>1171</v>
      </c>
      <c r="AN1296" t="s">
        <v>65</v>
      </c>
      <c r="AO1296" t="s">
        <v>3604</v>
      </c>
      <c r="AP1296" t="s">
        <v>67</v>
      </c>
      <c r="AQ1296" t="s">
        <v>68</v>
      </c>
      <c r="AR1296" t="s">
        <v>69</v>
      </c>
      <c r="AT1296" s="82" t="s">
        <v>5545</v>
      </c>
      <c r="AU1296" s="78">
        <v>2026</v>
      </c>
      <c r="AV1296" s="78">
        <v>5</v>
      </c>
      <c r="AW1296" s="78" t="s">
        <v>71</v>
      </c>
      <c r="AX1296" s="78">
        <v>1</v>
      </c>
      <c r="AY1296" s="78">
        <v>0</v>
      </c>
      <c r="BT1296" t="s">
        <v>71</v>
      </c>
      <c r="BU1296">
        <v>1</v>
      </c>
      <c r="BV1296">
        <v>0</v>
      </c>
    </row>
    <row r="1297" spans="1:74" x14ac:dyDescent="0.25">
      <c r="A1297" s="75">
        <v>5944633</v>
      </c>
      <c r="B1297" t="s">
        <v>5559</v>
      </c>
      <c r="C1297" t="s">
        <v>5560</v>
      </c>
      <c r="D1297" t="s">
        <v>527</v>
      </c>
      <c r="E1297" t="s">
        <v>54</v>
      </c>
      <c r="F1297" s="75">
        <v>6</v>
      </c>
      <c r="G1297" s="75">
        <v>296929</v>
      </c>
      <c r="H1297">
        <v>1048.3</v>
      </c>
      <c r="I1297" t="s">
        <v>114</v>
      </c>
      <c r="J1297" s="75">
        <v>218491</v>
      </c>
      <c r="K1297" t="s">
        <v>5561</v>
      </c>
      <c r="L1297" t="s">
        <v>5562</v>
      </c>
      <c r="M1297" s="81">
        <v>46146.523657407408</v>
      </c>
      <c r="N1297" s="81">
        <v>46153.394409722219</v>
      </c>
      <c r="O1297" t="s">
        <v>58</v>
      </c>
      <c r="P1297" t="s">
        <v>59</v>
      </c>
      <c r="Q1297" t="s">
        <v>130</v>
      </c>
      <c r="R1297" t="s">
        <v>156</v>
      </c>
      <c r="S1297" t="s">
        <v>1320</v>
      </c>
      <c r="U1297" s="75">
        <v>251455</v>
      </c>
      <c r="V1297" t="s">
        <v>5563</v>
      </c>
      <c r="W1297" t="s">
        <v>5564</v>
      </c>
      <c r="X1297" t="s">
        <v>62</v>
      </c>
      <c r="Y1297" t="s">
        <v>63</v>
      </c>
      <c r="AA1297" t="s">
        <v>416</v>
      </c>
      <c r="AB1297">
        <v>164.716668</v>
      </c>
      <c r="AC1297">
        <v>143.95000099999999</v>
      </c>
      <c r="AD1297">
        <v>20.766667000000002</v>
      </c>
      <c r="AE1297">
        <v>0.58333400000000002</v>
      </c>
      <c r="AF1297">
        <v>0</v>
      </c>
      <c r="AG1297">
        <v>20.183333000000001</v>
      </c>
      <c r="AH1297">
        <v>20.183333000000001</v>
      </c>
      <c r="AI1297">
        <v>18.116665999999999</v>
      </c>
      <c r="AJ1297">
        <v>2.0666669999999998</v>
      </c>
      <c r="AK1297">
        <v>0</v>
      </c>
      <c r="AL1297" s="76">
        <v>45257.742881944447</v>
      </c>
      <c r="AM1297" s="75">
        <v>888</v>
      </c>
      <c r="AN1297" t="s">
        <v>65</v>
      </c>
      <c r="AO1297" t="s">
        <v>5565</v>
      </c>
      <c r="AP1297" t="s">
        <v>67</v>
      </c>
      <c r="AQ1297" t="s">
        <v>68</v>
      </c>
      <c r="AR1297" t="s">
        <v>69</v>
      </c>
      <c r="AT1297" s="82" t="s">
        <v>5545</v>
      </c>
      <c r="AU1297" s="78">
        <v>2026</v>
      </c>
      <c r="AV1297" s="78">
        <v>5</v>
      </c>
      <c r="AW1297" s="78" t="s">
        <v>71</v>
      </c>
      <c r="AX1297" s="78">
        <v>0</v>
      </c>
      <c r="AY1297" s="78">
        <v>0</v>
      </c>
      <c r="BT1297" t="s">
        <v>71</v>
      </c>
      <c r="BU1297">
        <v>0</v>
      </c>
      <c r="BV1297">
        <v>0</v>
      </c>
    </row>
    <row r="1298" spans="1:74" x14ac:dyDescent="0.25">
      <c r="A1298" s="75">
        <v>5951233</v>
      </c>
      <c r="B1298" t="s">
        <v>5566</v>
      </c>
      <c r="C1298" t="s">
        <v>963</v>
      </c>
      <c r="D1298" t="s">
        <v>527</v>
      </c>
      <c r="E1298" t="s">
        <v>87</v>
      </c>
      <c r="F1298" s="75">
        <v>32</v>
      </c>
      <c r="G1298" s="75">
        <v>275251</v>
      </c>
      <c r="H1298">
        <v>368.16</v>
      </c>
      <c r="I1298" t="s">
        <v>55</v>
      </c>
      <c r="J1298" s="75">
        <v>218791</v>
      </c>
      <c r="K1298" t="s">
        <v>312</v>
      </c>
      <c r="L1298" t="s">
        <v>313</v>
      </c>
      <c r="M1298" s="81">
        <v>46150.382893518523</v>
      </c>
      <c r="N1298" s="81">
        <v>46153.397256944438</v>
      </c>
      <c r="O1298" t="s">
        <v>58</v>
      </c>
      <c r="P1298" t="s">
        <v>59</v>
      </c>
      <c r="Q1298" t="s">
        <v>90</v>
      </c>
      <c r="R1298" t="s">
        <v>131</v>
      </c>
      <c r="S1298" t="s">
        <v>1273</v>
      </c>
      <c r="U1298" s="75">
        <v>250927</v>
      </c>
      <c r="V1298" t="s">
        <v>5567</v>
      </c>
      <c r="X1298" t="s">
        <v>62</v>
      </c>
      <c r="Y1298" t="s">
        <v>63</v>
      </c>
      <c r="AA1298" t="s">
        <v>416</v>
      </c>
      <c r="AB1298">
        <v>72.283333999999996</v>
      </c>
      <c r="AC1298">
        <v>52.85</v>
      </c>
      <c r="AD1298">
        <v>19.433333999999999</v>
      </c>
      <c r="AE1298">
        <v>0.3</v>
      </c>
      <c r="AF1298">
        <v>0</v>
      </c>
      <c r="AG1298">
        <v>19.133334000000001</v>
      </c>
      <c r="AH1298">
        <v>19.133334000000001</v>
      </c>
      <c r="AI1298">
        <v>18.966667000000001</v>
      </c>
      <c r="AJ1298">
        <v>0.16666700000000001</v>
      </c>
      <c r="AK1298">
        <v>0</v>
      </c>
      <c r="AL1298" s="76">
        <v>44876.507071759261</v>
      </c>
      <c r="AM1298" s="75">
        <v>1273</v>
      </c>
      <c r="AN1298" t="s">
        <v>65</v>
      </c>
      <c r="AO1298" t="s">
        <v>965</v>
      </c>
      <c r="AP1298" t="s">
        <v>67</v>
      </c>
      <c r="AQ1298" t="s">
        <v>68</v>
      </c>
      <c r="AR1298" t="s">
        <v>69</v>
      </c>
      <c r="AT1298" s="82" t="s">
        <v>5545</v>
      </c>
      <c r="AU1298" s="78">
        <v>2026</v>
      </c>
      <c r="AV1298" s="78">
        <v>5</v>
      </c>
      <c r="AW1298" s="78" t="s">
        <v>71</v>
      </c>
      <c r="AX1298" s="78">
        <v>0</v>
      </c>
      <c r="AY1298" s="78">
        <v>0</v>
      </c>
      <c r="BT1298" t="s">
        <v>71</v>
      </c>
      <c r="BU1298">
        <v>0</v>
      </c>
      <c r="BV1298">
        <v>0</v>
      </c>
    </row>
    <row r="1299" spans="1:74" x14ac:dyDescent="0.25">
      <c r="A1299" s="75">
        <v>5952125</v>
      </c>
      <c r="B1299" t="s">
        <v>5568</v>
      </c>
      <c r="C1299" t="s">
        <v>5569</v>
      </c>
      <c r="D1299" t="s">
        <v>527</v>
      </c>
      <c r="E1299" t="s">
        <v>54</v>
      </c>
      <c r="F1299" s="75">
        <v>1</v>
      </c>
      <c r="G1299" s="75">
        <v>294213</v>
      </c>
      <c r="H1299">
        <v>800</v>
      </c>
      <c r="I1299" t="s">
        <v>114</v>
      </c>
      <c r="J1299" s="75">
        <v>218223</v>
      </c>
      <c r="K1299" t="s">
        <v>1955</v>
      </c>
      <c r="L1299" t="s">
        <v>5570</v>
      </c>
      <c r="M1299" s="81">
        <v>46150.477071759262</v>
      </c>
      <c r="N1299" s="81">
        <v>46153.397719907407</v>
      </c>
      <c r="O1299" t="s">
        <v>58</v>
      </c>
      <c r="P1299" t="s">
        <v>59</v>
      </c>
      <c r="Q1299" t="s">
        <v>341</v>
      </c>
      <c r="R1299" t="s">
        <v>60</v>
      </c>
      <c r="S1299" t="s">
        <v>583</v>
      </c>
      <c r="U1299" s="75">
        <v>251061</v>
      </c>
      <c r="V1299" t="s">
        <v>5571</v>
      </c>
      <c r="W1299" t="s">
        <v>5571</v>
      </c>
      <c r="X1299" t="s">
        <v>62</v>
      </c>
      <c r="Y1299" t="s">
        <v>63</v>
      </c>
      <c r="AA1299" t="s">
        <v>64</v>
      </c>
      <c r="AB1299">
        <v>70</v>
      </c>
      <c r="AC1299">
        <v>63.6</v>
      </c>
      <c r="AD1299">
        <v>6.4</v>
      </c>
      <c r="AE1299">
        <v>0.13333300000000001</v>
      </c>
      <c r="AF1299">
        <v>0</v>
      </c>
      <c r="AG1299">
        <v>6.266667</v>
      </c>
      <c r="AH1299">
        <v>6.266667</v>
      </c>
      <c r="AI1299">
        <v>5.55</v>
      </c>
      <c r="AJ1299">
        <v>0.71666700000000005</v>
      </c>
      <c r="AK1299">
        <v>0</v>
      </c>
      <c r="AL1299" s="76">
        <v>45168</v>
      </c>
      <c r="AM1299" s="75">
        <v>982</v>
      </c>
      <c r="AN1299" t="s">
        <v>65</v>
      </c>
      <c r="AO1299" t="s">
        <v>5572</v>
      </c>
      <c r="AP1299" t="s">
        <v>67</v>
      </c>
      <c r="AQ1299" t="s">
        <v>68</v>
      </c>
      <c r="AR1299" t="s">
        <v>69</v>
      </c>
      <c r="AT1299" s="82" t="s">
        <v>5545</v>
      </c>
      <c r="AU1299" s="78">
        <v>2026</v>
      </c>
      <c r="AV1299" s="78">
        <v>5</v>
      </c>
      <c r="AW1299" s="78" t="s">
        <v>71</v>
      </c>
      <c r="AX1299" s="78">
        <v>1</v>
      </c>
      <c r="AY1299" s="78">
        <v>0</v>
      </c>
      <c r="BT1299" t="s">
        <v>71</v>
      </c>
      <c r="BU1299">
        <v>1</v>
      </c>
      <c r="BV1299">
        <v>0</v>
      </c>
    </row>
    <row r="1300" spans="1:74" x14ac:dyDescent="0.25">
      <c r="A1300" s="75">
        <v>5953115</v>
      </c>
      <c r="B1300" t="s">
        <v>5573</v>
      </c>
      <c r="C1300" t="s">
        <v>5574</v>
      </c>
      <c r="D1300" t="s">
        <v>527</v>
      </c>
      <c r="E1300" t="s">
        <v>126</v>
      </c>
      <c r="F1300" s="75">
        <v>1</v>
      </c>
      <c r="G1300" s="75">
        <v>342943</v>
      </c>
      <c r="H1300">
        <v>1500</v>
      </c>
      <c r="I1300" t="s">
        <v>2049</v>
      </c>
      <c r="J1300" s="75">
        <v>228187</v>
      </c>
      <c r="K1300" t="s">
        <v>5575</v>
      </c>
      <c r="L1300" t="s">
        <v>5576</v>
      </c>
      <c r="M1300" s="81">
        <v>46150.888020833343</v>
      </c>
      <c r="N1300" s="81">
        <v>46153.40048611111</v>
      </c>
      <c r="O1300" t="s">
        <v>58</v>
      </c>
      <c r="P1300" t="s">
        <v>59</v>
      </c>
      <c r="Q1300" t="s">
        <v>130</v>
      </c>
      <c r="R1300" t="s">
        <v>131</v>
      </c>
      <c r="S1300" t="s">
        <v>1273</v>
      </c>
      <c r="U1300" s="75">
        <v>251373</v>
      </c>
      <c r="V1300" t="s">
        <v>5577</v>
      </c>
      <c r="W1300" t="s">
        <v>5577</v>
      </c>
      <c r="X1300" t="s">
        <v>118</v>
      </c>
      <c r="Y1300" t="s">
        <v>5182</v>
      </c>
      <c r="AA1300" t="s">
        <v>64</v>
      </c>
      <c r="AB1300">
        <v>60.233333000000002</v>
      </c>
      <c r="AC1300">
        <v>48.65</v>
      </c>
      <c r="AD1300">
        <v>11.583333</v>
      </c>
      <c r="AE1300">
        <v>4.1500000000000004</v>
      </c>
      <c r="AF1300">
        <v>0</v>
      </c>
      <c r="AG1300">
        <v>7.4333330000000002</v>
      </c>
      <c r="AH1300">
        <v>7.4333330000000002</v>
      </c>
      <c r="AI1300">
        <v>7.233333</v>
      </c>
      <c r="AJ1300">
        <v>0.2</v>
      </c>
      <c r="AK1300">
        <v>0</v>
      </c>
      <c r="AL1300" s="76">
        <v>45898.81</v>
      </c>
      <c r="AM1300" s="75">
        <v>252</v>
      </c>
      <c r="AN1300" t="s">
        <v>65</v>
      </c>
      <c r="AO1300" t="s">
        <v>5578</v>
      </c>
      <c r="AP1300" t="s">
        <v>67</v>
      </c>
      <c r="AQ1300" t="s">
        <v>121</v>
      </c>
      <c r="AR1300" t="s">
        <v>69</v>
      </c>
      <c r="AT1300" s="82" t="s">
        <v>5545</v>
      </c>
      <c r="AU1300" s="78">
        <v>2026</v>
      </c>
      <c r="AV1300" s="78">
        <v>5</v>
      </c>
      <c r="AW1300" s="78" t="s">
        <v>347</v>
      </c>
      <c r="AX1300" s="78">
        <v>1</v>
      </c>
      <c r="AY1300" s="78">
        <v>0</v>
      </c>
      <c r="BT1300" t="s">
        <v>347</v>
      </c>
      <c r="BU1300">
        <v>1</v>
      </c>
      <c r="BV1300">
        <v>0</v>
      </c>
    </row>
    <row r="1301" spans="1:74" x14ac:dyDescent="0.25">
      <c r="A1301" s="75">
        <v>5937341</v>
      </c>
      <c r="B1301" t="s">
        <v>5579</v>
      </c>
      <c r="C1301" t="s">
        <v>693</v>
      </c>
      <c r="D1301" t="s">
        <v>527</v>
      </c>
      <c r="E1301" t="s">
        <v>87</v>
      </c>
      <c r="F1301" s="75">
        <v>402</v>
      </c>
      <c r="G1301" s="75">
        <v>288381</v>
      </c>
      <c r="H1301">
        <v>368.16</v>
      </c>
      <c r="I1301" t="s">
        <v>55</v>
      </c>
      <c r="J1301" s="75">
        <v>218791</v>
      </c>
      <c r="K1301" t="s">
        <v>312</v>
      </c>
      <c r="L1301" t="s">
        <v>313</v>
      </c>
      <c r="M1301" s="81">
        <v>46140.403229166674</v>
      </c>
      <c r="N1301" s="81">
        <v>46153.426168981481</v>
      </c>
      <c r="P1301" t="s">
        <v>59</v>
      </c>
      <c r="Q1301" t="s">
        <v>98</v>
      </c>
      <c r="R1301" t="s">
        <v>60</v>
      </c>
      <c r="S1301" t="s">
        <v>583</v>
      </c>
      <c r="U1301" s="75"/>
      <c r="X1301" t="s">
        <v>62</v>
      </c>
      <c r="Y1301" t="s">
        <v>63</v>
      </c>
      <c r="AA1301" t="s">
        <v>81</v>
      </c>
      <c r="AB1301">
        <v>312.44999899999999</v>
      </c>
      <c r="AC1301">
        <v>311.98333300000002</v>
      </c>
      <c r="AD1301">
        <v>0.46666600000000003</v>
      </c>
      <c r="AE1301">
        <v>0.46666600000000003</v>
      </c>
      <c r="AF1301">
        <v>0</v>
      </c>
      <c r="AG1301">
        <v>0</v>
      </c>
      <c r="AI1301">
        <v>0</v>
      </c>
      <c r="AJ1301">
        <v>0</v>
      </c>
      <c r="AK1301">
        <v>0</v>
      </c>
      <c r="AL1301" s="76">
        <v>44946.44804398148</v>
      </c>
      <c r="AM1301" s="75">
        <v>1193</v>
      </c>
      <c r="AN1301" t="s">
        <v>65</v>
      </c>
      <c r="AO1301" t="s">
        <v>695</v>
      </c>
      <c r="AP1301" t="s">
        <v>67</v>
      </c>
      <c r="AQ1301" t="s">
        <v>68</v>
      </c>
      <c r="AR1301" t="s">
        <v>69</v>
      </c>
      <c r="AT1301" s="82" t="s">
        <v>5545</v>
      </c>
      <c r="AU1301" s="78">
        <v>2026</v>
      </c>
      <c r="AV1301" s="78">
        <v>5</v>
      </c>
      <c r="AW1301" s="78" t="s">
        <v>71</v>
      </c>
      <c r="AX1301" s="78">
        <v>1</v>
      </c>
      <c r="AY1301" s="78">
        <v>0</v>
      </c>
      <c r="BT1301" t="s">
        <v>71</v>
      </c>
      <c r="BU1301">
        <v>1</v>
      </c>
      <c r="BV1301">
        <v>0</v>
      </c>
    </row>
    <row r="1302" spans="1:74" x14ac:dyDescent="0.25">
      <c r="A1302" s="75">
        <v>5952097</v>
      </c>
      <c r="B1302" t="s">
        <v>5580</v>
      </c>
      <c r="C1302" t="s">
        <v>519</v>
      </c>
      <c r="D1302" t="s">
        <v>257</v>
      </c>
      <c r="E1302" t="s">
        <v>87</v>
      </c>
      <c r="F1302" s="75">
        <v>28</v>
      </c>
      <c r="G1302" s="75">
        <v>251443</v>
      </c>
      <c r="H1302">
        <v>510</v>
      </c>
      <c r="I1302" t="s">
        <v>114</v>
      </c>
      <c r="J1302" s="75">
        <v>203645</v>
      </c>
      <c r="K1302" t="s">
        <v>520</v>
      </c>
      <c r="L1302" t="s">
        <v>521</v>
      </c>
      <c r="M1302" s="81">
        <v>46150.466365740736</v>
      </c>
      <c r="N1302" s="81">
        <v>46153.591793981483</v>
      </c>
      <c r="P1302" t="s">
        <v>59</v>
      </c>
      <c r="Q1302" t="s">
        <v>77</v>
      </c>
      <c r="R1302" t="s">
        <v>60</v>
      </c>
      <c r="S1302" t="s">
        <v>583</v>
      </c>
      <c r="U1302" s="75">
        <v>251819</v>
      </c>
      <c r="V1302" t="s">
        <v>5581</v>
      </c>
      <c r="W1302" t="s">
        <v>5582</v>
      </c>
      <c r="X1302" t="s">
        <v>118</v>
      </c>
      <c r="Y1302" t="s">
        <v>119</v>
      </c>
      <c r="AA1302" t="s">
        <v>101</v>
      </c>
      <c r="AB1302">
        <v>74.916666000000006</v>
      </c>
      <c r="AC1302">
        <v>63.966667000000001</v>
      </c>
      <c r="AD1302">
        <v>10.949999</v>
      </c>
      <c r="AE1302">
        <v>0.1</v>
      </c>
      <c r="AF1302">
        <v>0</v>
      </c>
      <c r="AG1302">
        <v>10.849999</v>
      </c>
      <c r="AH1302">
        <v>10.849999</v>
      </c>
      <c r="AI1302">
        <v>10.283333000000001</v>
      </c>
      <c r="AJ1302">
        <v>0.566666</v>
      </c>
      <c r="AK1302">
        <v>0</v>
      </c>
      <c r="AL1302" s="76">
        <v>44964.486203703702</v>
      </c>
      <c r="AM1302" s="75">
        <v>1185</v>
      </c>
      <c r="AN1302" t="s">
        <v>65</v>
      </c>
      <c r="AO1302" t="s">
        <v>3737</v>
      </c>
      <c r="AP1302" t="s">
        <v>67</v>
      </c>
      <c r="AQ1302" t="s">
        <v>121</v>
      </c>
      <c r="AR1302" t="s">
        <v>69</v>
      </c>
      <c r="AT1302" s="82" t="s">
        <v>5545</v>
      </c>
      <c r="AU1302" s="78">
        <v>2026</v>
      </c>
      <c r="AV1302" s="78">
        <v>5</v>
      </c>
      <c r="AW1302" s="78" t="s">
        <v>122</v>
      </c>
      <c r="AX1302" s="78">
        <v>0</v>
      </c>
      <c r="AY1302" s="78">
        <v>0</v>
      </c>
      <c r="BT1302" t="s">
        <v>122</v>
      </c>
      <c r="BU1302">
        <v>0</v>
      </c>
      <c r="BV1302">
        <v>0</v>
      </c>
    </row>
    <row r="1303" spans="1:74" x14ac:dyDescent="0.25">
      <c r="A1303" s="75">
        <v>5953231</v>
      </c>
      <c r="B1303" t="s">
        <v>5583</v>
      </c>
      <c r="C1303" t="s">
        <v>5584</v>
      </c>
      <c r="D1303" t="s">
        <v>53</v>
      </c>
      <c r="E1303" t="s">
        <v>87</v>
      </c>
      <c r="F1303" s="75">
        <v>1609</v>
      </c>
      <c r="G1303" s="75">
        <v>349691</v>
      </c>
      <c r="H1303">
        <v>334.78</v>
      </c>
      <c r="I1303" t="s">
        <v>141</v>
      </c>
      <c r="J1303" s="75">
        <v>6971</v>
      </c>
      <c r="K1303" t="s">
        <v>369</v>
      </c>
      <c r="L1303" t="s">
        <v>370</v>
      </c>
      <c r="M1303" s="81">
        <v>46151.104583333326</v>
      </c>
      <c r="N1303" s="81">
        <v>46153.61650462963</v>
      </c>
      <c r="O1303" t="s">
        <v>58</v>
      </c>
      <c r="P1303" t="s">
        <v>59</v>
      </c>
      <c r="Q1303" t="s">
        <v>90</v>
      </c>
      <c r="R1303" t="s">
        <v>60</v>
      </c>
      <c r="S1303" t="s">
        <v>583</v>
      </c>
      <c r="U1303" s="75">
        <v>252417</v>
      </c>
      <c r="V1303" t="s">
        <v>5585</v>
      </c>
      <c r="W1303" t="s">
        <v>5586</v>
      </c>
      <c r="X1303" t="s">
        <v>79</v>
      </c>
      <c r="Y1303" t="s">
        <v>224</v>
      </c>
      <c r="AA1303" t="s">
        <v>64</v>
      </c>
      <c r="AB1303">
        <v>60.233333000000002</v>
      </c>
      <c r="AC1303">
        <v>54.9</v>
      </c>
      <c r="AD1303">
        <v>5.3333329999999997</v>
      </c>
      <c r="AE1303">
        <v>0.33333299999999999</v>
      </c>
      <c r="AF1303">
        <v>0</v>
      </c>
      <c r="AG1303">
        <v>5</v>
      </c>
      <c r="AH1303">
        <v>5</v>
      </c>
      <c r="AI1303">
        <v>4.6166669999999996</v>
      </c>
      <c r="AJ1303">
        <v>0.38333299999999998</v>
      </c>
      <c r="AK1303">
        <v>0</v>
      </c>
      <c r="AL1303" s="76">
        <v>46149</v>
      </c>
      <c r="AM1303" s="75">
        <v>2</v>
      </c>
      <c r="AN1303" t="s">
        <v>1220</v>
      </c>
      <c r="AO1303" t="s">
        <v>3972</v>
      </c>
      <c r="AP1303" t="s">
        <v>67</v>
      </c>
      <c r="AQ1303" t="s">
        <v>83</v>
      </c>
      <c r="AR1303" t="s">
        <v>69</v>
      </c>
      <c r="AT1303" s="82" t="s">
        <v>5545</v>
      </c>
      <c r="AU1303" s="78">
        <v>2026</v>
      </c>
      <c r="AV1303" s="78">
        <v>5</v>
      </c>
      <c r="AW1303" s="78" t="s">
        <v>226</v>
      </c>
      <c r="AX1303" s="78">
        <v>1</v>
      </c>
      <c r="AY1303" s="78">
        <v>0</v>
      </c>
      <c r="BT1303" t="s">
        <v>226</v>
      </c>
      <c r="BU1303">
        <v>1</v>
      </c>
      <c r="BV1303">
        <v>0</v>
      </c>
    </row>
    <row r="1304" spans="1:74" x14ac:dyDescent="0.25">
      <c r="A1304" s="75">
        <v>5955751</v>
      </c>
      <c r="B1304" t="s">
        <v>5587</v>
      </c>
      <c r="C1304" t="s">
        <v>4107</v>
      </c>
      <c r="D1304" t="s">
        <v>527</v>
      </c>
      <c r="E1304" t="s">
        <v>87</v>
      </c>
      <c r="F1304" s="75">
        <v>225</v>
      </c>
      <c r="G1304" s="75">
        <v>286247</v>
      </c>
      <c r="H1304">
        <v>368.16</v>
      </c>
      <c r="I1304" t="s">
        <v>55</v>
      </c>
      <c r="J1304" s="75">
        <v>218791</v>
      </c>
      <c r="K1304" t="s">
        <v>312</v>
      </c>
      <c r="L1304" t="s">
        <v>313</v>
      </c>
      <c r="M1304" s="81">
        <v>46154.153298611112</v>
      </c>
      <c r="N1304" s="81">
        <v>46154.439884259264</v>
      </c>
      <c r="O1304" t="s">
        <v>554</v>
      </c>
      <c r="P1304" t="s">
        <v>59</v>
      </c>
      <c r="Q1304" t="s">
        <v>90</v>
      </c>
      <c r="R1304" t="s">
        <v>99</v>
      </c>
      <c r="S1304" t="s">
        <v>1244</v>
      </c>
      <c r="U1304" s="75">
        <v>252851</v>
      </c>
      <c r="V1304" t="s">
        <v>5588</v>
      </c>
      <c r="X1304" t="s">
        <v>62</v>
      </c>
      <c r="Y1304" t="s">
        <v>63</v>
      </c>
      <c r="AA1304" t="s">
        <v>81</v>
      </c>
      <c r="AB1304">
        <v>6.8166679999999999</v>
      </c>
      <c r="AC1304">
        <v>4.0666669999999998</v>
      </c>
      <c r="AD1304">
        <v>2.7500010000000001</v>
      </c>
      <c r="AE1304">
        <v>0.183334</v>
      </c>
      <c r="AF1304">
        <v>0</v>
      </c>
      <c r="AG1304">
        <v>2.5666669999999998</v>
      </c>
      <c r="AH1304">
        <v>2.5666669999999998</v>
      </c>
      <c r="AI1304">
        <v>2.25</v>
      </c>
      <c r="AJ1304">
        <v>0.31666699999999998</v>
      </c>
      <c r="AK1304">
        <v>0</v>
      </c>
      <c r="AL1304" s="76">
        <v>44876.622743055559</v>
      </c>
      <c r="AM1304" s="75">
        <v>1277</v>
      </c>
      <c r="AN1304" t="s">
        <v>65</v>
      </c>
      <c r="AO1304" t="s">
        <v>660</v>
      </c>
      <c r="AP1304" t="s">
        <v>67</v>
      </c>
      <c r="AQ1304" t="s">
        <v>68</v>
      </c>
      <c r="AR1304" t="s">
        <v>69</v>
      </c>
      <c r="AT1304" s="82" t="s">
        <v>5545</v>
      </c>
      <c r="AU1304" s="78">
        <v>2026</v>
      </c>
      <c r="AV1304" s="78">
        <v>5</v>
      </c>
      <c r="AW1304" s="78" t="s">
        <v>71</v>
      </c>
      <c r="AX1304" s="78">
        <v>1</v>
      </c>
      <c r="AY1304" s="78">
        <v>0</v>
      </c>
      <c r="BT1304" t="s">
        <v>71</v>
      </c>
      <c r="BU1304">
        <v>1</v>
      </c>
      <c r="BV1304">
        <v>0</v>
      </c>
    </row>
    <row r="1305" spans="1:74" x14ac:dyDescent="0.25">
      <c r="A1305" s="75">
        <v>5955637</v>
      </c>
      <c r="B1305" t="s">
        <v>5589</v>
      </c>
      <c r="C1305" t="s">
        <v>693</v>
      </c>
      <c r="D1305" t="s">
        <v>527</v>
      </c>
      <c r="E1305" t="s">
        <v>87</v>
      </c>
      <c r="F1305" s="75">
        <v>402</v>
      </c>
      <c r="G1305" s="75">
        <v>288381</v>
      </c>
      <c r="H1305">
        <v>368.16</v>
      </c>
      <c r="I1305" t="s">
        <v>55</v>
      </c>
      <c r="J1305" s="75">
        <v>218791</v>
      </c>
      <c r="K1305" t="s">
        <v>312</v>
      </c>
      <c r="L1305" t="s">
        <v>313</v>
      </c>
      <c r="M1305" s="81">
        <v>46153.799050925933</v>
      </c>
      <c r="N1305" s="81">
        <v>46154.445509259262</v>
      </c>
      <c r="O1305" t="s">
        <v>277</v>
      </c>
      <c r="P1305" t="s">
        <v>59</v>
      </c>
      <c r="Q1305" t="s">
        <v>90</v>
      </c>
      <c r="R1305" t="s">
        <v>99</v>
      </c>
      <c r="S1305" t="s">
        <v>1244</v>
      </c>
      <c r="U1305" s="75">
        <v>252837</v>
      </c>
      <c r="V1305" t="s">
        <v>5590</v>
      </c>
      <c r="X1305" t="s">
        <v>62</v>
      </c>
      <c r="Y1305" t="s">
        <v>63</v>
      </c>
      <c r="Z1305" t="s">
        <v>5591</v>
      </c>
      <c r="AA1305" t="s">
        <v>81</v>
      </c>
      <c r="AB1305">
        <v>15.466666999999999</v>
      </c>
      <c r="AC1305">
        <v>10.966666999999999</v>
      </c>
      <c r="AD1305">
        <v>4.5</v>
      </c>
      <c r="AE1305">
        <v>1.45</v>
      </c>
      <c r="AF1305">
        <v>0</v>
      </c>
      <c r="AG1305">
        <v>3.05</v>
      </c>
      <c r="AH1305">
        <v>3.05</v>
      </c>
      <c r="AI1305">
        <v>2.3333330000000001</v>
      </c>
      <c r="AJ1305">
        <v>0.71666700000000005</v>
      </c>
      <c r="AK1305">
        <v>0</v>
      </c>
      <c r="AL1305" s="76">
        <v>44946.44804398148</v>
      </c>
      <c r="AM1305" s="75">
        <v>1207</v>
      </c>
      <c r="AN1305" t="s">
        <v>65</v>
      </c>
      <c r="AO1305" t="s">
        <v>695</v>
      </c>
      <c r="AP1305" t="s">
        <v>67</v>
      </c>
      <c r="AQ1305" t="s">
        <v>68</v>
      </c>
      <c r="AR1305" t="s">
        <v>69</v>
      </c>
      <c r="AT1305" s="82" t="s">
        <v>5545</v>
      </c>
      <c r="AU1305" s="78">
        <v>2026</v>
      </c>
      <c r="AV1305" s="78">
        <v>5</v>
      </c>
      <c r="AW1305" s="78" t="s">
        <v>71</v>
      </c>
      <c r="AX1305" s="78">
        <v>1</v>
      </c>
      <c r="AY1305" s="78">
        <v>0</v>
      </c>
      <c r="BT1305" t="s">
        <v>71</v>
      </c>
      <c r="BU1305">
        <v>1</v>
      </c>
      <c r="BV1305">
        <v>0</v>
      </c>
    </row>
    <row r="1306" spans="1:74" x14ac:dyDescent="0.25">
      <c r="A1306" s="75">
        <v>5954773</v>
      </c>
      <c r="B1306" t="s">
        <v>5592</v>
      </c>
      <c r="C1306" t="s">
        <v>3367</v>
      </c>
      <c r="D1306" t="s">
        <v>809</v>
      </c>
      <c r="E1306" t="s">
        <v>87</v>
      </c>
      <c r="F1306" s="75">
        <v>3</v>
      </c>
      <c r="G1306" s="75">
        <v>275193</v>
      </c>
      <c r="H1306">
        <v>740.61</v>
      </c>
      <c r="I1306" t="s">
        <v>55</v>
      </c>
      <c r="J1306" s="75">
        <v>216233</v>
      </c>
      <c r="K1306" t="s">
        <v>88</v>
      </c>
      <c r="L1306" t="s">
        <v>89</v>
      </c>
      <c r="M1306" s="81">
        <v>46153.486666666657</v>
      </c>
      <c r="N1306" s="81">
        <v>46154.520578703698</v>
      </c>
      <c r="O1306" t="s">
        <v>58</v>
      </c>
      <c r="P1306" t="s">
        <v>59</v>
      </c>
      <c r="Q1306" t="s">
        <v>90</v>
      </c>
      <c r="R1306" t="s">
        <v>144</v>
      </c>
      <c r="S1306" t="s">
        <v>1491</v>
      </c>
      <c r="U1306" s="75">
        <v>252923</v>
      </c>
      <c r="V1306" t="s">
        <v>5593</v>
      </c>
      <c r="W1306" t="s">
        <v>5594</v>
      </c>
      <c r="X1306" t="s">
        <v>62</v>
      </c>
      <c r="Y1306" t="s">
        <v>63</v>
      </c>
      <c r="AA1306" t="s">
        <v>101</v>
      </c>
      <c r="AB1306">
        <v>24.733332999999998</v>
      </c>
      <c r="AC1306">
        <v>13.2</v>
      </c>
      <c r="AD1306">
        <v>11.533333000000001</v>
      </c>
      <c r="AE1306">
        <v>0.26666600000000001</v>
      </c>
      <c r="AF1306">
        <v>0</v>
      </c>
      <c r="AG1306">
        <v>11.266667</v>
      </c>
      <c r="AH1306">
        <v>11.266667</v>
      </c>
      <c r="AI1306">
        <v>10.633333</v>
      </c>
      <c r="AJ1306">
        <v>0.63333399999999995</v>
      </c>
      <c r="AK1306">
        <v>0</v>
      </c>
      <c r="AL1306" s="76">
        <v>44838</v>
      </c>
      <c r="AM1306" s="75">
        <v>1315</v>
      </c>
      <c r="AN1306" t="s">
        <v>65</v>
      </c>
      <c r="AO1306" t="s">
        <v>3370</v>
      </c>
      <c r="AP1306" t="s">
        <v>67</v>
      </c>
      <c r="AQ1306" t="s">
        <v>68</v>
      </c>
      <c r="AR1306" t="s">
        <v>69</v>
      </c>
      <c r="AT1306" s="82" t="s">
        <v>5545</v>
      </c>
      <c r="AU1306" s="78">
        <v>2026</v>
      </c>
      <c r="AV1306" s="78">
        <v>5</v>
      </c>
      <c r="AW1306" s="78" t="s">
        <v>71</v>
      </c>
      <c r="AX1306" s="78">
        <v>0</v>
      </c>
      <c r="AY1306" s="78">
        <v>0</v>
      </c>
      <c r="BT1306" t="s">
        <v>71</v>
      </c>
      <c r="BU1306">
        <v>0</v>
      </c>
      <c r="BV1306">
        <v>0</v>
      </c>
    </row>
    <row r="1307" spans="1:74" x14ac:dyDescent="0.25">
      <c r="A1307" s="75">
        <v>5956355</v>
      </c>
      <c r="B1307" t="s">
        <v>5595</v>
      </c>
      <c r="C1307" t="s">
        <v>5596</v>
      </c>
      <c r="D1307" t="s">
        <v>3560</v>
      </c>
      <c r="E1307" t="s">
        <v>87</v>
      </c>
      <c r="F1307" s="75">
        <v>866</v>
      </c>
      <c r="G1307" s="75">
        <v>338895</v>
      </c>
      <c r="H1307">
        <v>750</v>
      </c>
      <c r="I1307" t="s">
        <v>141</v>
      </c>
      <c r="J1307" s="75">
        <v>19921</v>
      </c>
      <c r="K1307" t="s">
        <v>1325</v>
      </c>
      <c r="L1307" t="s">
        <v>2612</v>
      </c>
      <c r="M1307" s="81">
        <v>46154.473993055559</v>
      </c>
      <c r="N1307" s="81">
        <v>46154.548067129632</v>
      </c>
      <c r="O1307" t="s">
        <v>277</v>
      </c>
      <c r="P1307" t="s">
        <v>59</v>
      </c>
      <c r="Q1307" t="s">
        <v>130</v>
      </c>
      <c r="R1307" t="s">
        <v>99</v>
      </c>
      <c r="S1307" t="s">
        <v>1244</v>
      </c>
      <c r="U1307" s="75">
        <v>253523</v>
      </c>
      <c r="V1307" t="s">
        <v>5597</v>
      </c>
      <c r="X1307" t="s">
        <v>118</v>
      </c>
      <c r="Y1307" t="s">
        <v>119</v>
      </c>
      <c r="AA1307" t="s">
        <v>81</v>
      </c>
      <c r="AB1307">
        <v>1.733333</v>
      </c>
      <c r="AC1307">
        <v>0</v>
      </c>
      <c r="AD1307">
        <v>1.733333</v>
      </c>
      <c r="AE1307">
        <v>0.13333300000000001</v>
      </c>
      <c r="AF1307">
        <v>0</v>
      </c>
      <c r="AG1307">
        <v>1.6</v>
      </c>
      <c r="AI1307">
        <v>0.93333299999999997</v>
      </c>
      <c r="AJ1307">
        <v>0.66666700000000001</v>
      </c>
      <c r="AK1307">
        <v>0</v>
      </c>
      <c r="AL1307" s="76">
        <v>45873.713240740741</v>
      </c>
      <c r="AM1307" s="75">
        <v>280</v>
      </c>
      <c r="AN1307" t="s">
        <v>65</v>
      </c>
      <c r="AO1307" t="s">
        <v>5598</v>
      </c>
      <c r="AP1307" t="s">
        <v>67</v>
      </c>
      <c r="AQ1307" t="s">
        <v>121</v>
      </c>
      <c r="AR1307" t="s">
        <v>69</v>
      </c>
      <c r="AT1307" s="82" t="s">
        <v>5545</v>
      </c>
      <c r="AU1307" s="78">
        <v>2026</v>
      </c>
      <c r="AV1307" s="78">
        <v>5</v>
      </c>
      <c r="AW1307" s="78" t="s">
        <v>122</v>
      </c>
      <c r="AX1307" s="78">
        <v>1</v>
      </c>
      <c r="AY1307" s="78">
        <v>0</v>
      </c>
      <c r="BT1307" t="s">
        <v>122</v>
      </c>
      <c r="BU1307">
        <v>1</v>
      </c>
      <c r="BV1307">
        <v>0</v>
      </c>
    </row>
    <row r="1308" spans="1:74" x14ac:dyDescent="0.25">
      <c r="A1308" s="75">
        <v>5953389</v>
      </c>
      <c r="B1308" t="s">
        <v>5599</v>
      </c>
      <c r="C1308" t="s">
        <v>5600</v>
      </c>
      <c r="D1308" t="s">
        <v>2602</v>
      </c>
      <c r="E1308" t="s">
        <v>54</v>
      </c>
      <c r="F1308" s="75">
        <v>114</v>
      </c>
      <c r="G1308" s="75">
        <v>297253</v>
      </c>
      <c r="H1308">
        <v>300</v>
      </c>
      <c r="I1308" t="s">
        <v>55</v>
      </c>
      <c r="J1308" s="75">
        <v>13955</v>
      </c>
      <c r="K1308" t="s">
        <v>75</v>
      </c>
      <c r="L1308" t="s">
        <v>76</v>
      </c>
      <c r="M1308" s="81">
        <v>46151.498726851853</v>
      </c>
      <c r="N1308" s="81">
        <v>46154.628900462973</v>
      </c>
      <c r="P1308" t="s">
        <v>59</v>
      </c>
      <c r="Q1308" t="s">
        <v>77</v>
      </c>
      <c r="R1308" t="s">
        <v>131</v>
      </c>
      <c r="S1308" t="s">
        <v>1273</v>
      </c>
      <c r="U1308" s="75">
        <v>251883</v>
      </c>
      <c r="V1308" t="s">
        <v>5601</v>
      </c>
      <c r="W1308" t="s">
        <v>5602</v>
      </c>
      <c r="X1308" t="s">
        <v>62</v>
      </c>
      <c r="Y1308" t="s">
        <v>63</v>
      </c>
      <c r="AA1308" t="s">
        <v>416</v>
      </c>
      <c r="AB1308">
        <v>75.016666999999998</v>
      </c>
      <c r="AC1308">
        <v>54.05</v>
      </c>
      <c r="AD1308">
        <v>20.966667000000001</v>
      </c>
      <c r="AE1308">
        <v>0.71666700000000005</v>
      </c>
      <c r="AF1308">
        <v>0</v>
      </c>
      <c r="AG1308">
        <v>20.25</v>
      </c>
      <c r="AH1308">
        <v>20.25</v>
      </c>
      <c r="AI1308">
        <v>19.350000000000001</v>
      </c>
      <c r="AJ1308">
        <v>0.9</v>
      </c>
      <c r="AK1308">
        <v>0</v>
      </c>
      <c r="AL1308" s="76">
        <v>45342</v>
      </c>
      <c r="AM1308" s="75">
        <v>809</v>
      </c>
      <c r="AN1308" t="s">
        <v>65</v>
      </c>
      <c r="AO1308" t="s">
        <v>432</v>
      </c>
      <c r="AP1308" t="s">
        <v>67</v>
      </c>
      <c r="AQ1308" t="s">
        <v>68</v>
      </c>
      <c r="AR1308" t="s">
        <v>69</v>
      </c>
      <c r="AT1308" s="82" t="s">
        <v>5545</v>
      </c>
      <c r="AU1308" s="78">
        <v>2026</v>
      </c>
      <c r="AV1308" s="78">
        <v>5</v>
      </c>
      <c r="AW1308" s="78" t="s">
        <v>71</v>
      </c>
      <c r="AX1308" s="78">
        <v>0</v>
      </c>
      <c r="AY1308" s="78">
        <v>0</v>
      </c>
      <c r="BT1308" t="s">
        <v>71</v>
      </c>
      <c r="BU1308">
        <v>0</v>
      </c>
      <c r="BV1308">
        <v>0</v>
      </c>
    </row>
    <row r="1309" spans="1:74" x14ac:dyDescent="0.25">
      <c r="A1309" s="75">
        <v>5955649</v>
      </c>
      <c r="B1309" t="s">
        <v>5603</v>
      </c>
      <c r="C1309" t="s">
        <v>5604</v>
      </c>
      <c r="D1309" t="s">
        <v>2379</v>
      </c>
      <c r="E1309" t="s">
        <v>87</v>
      </c>
      <c r="F1309" s="75">
        <v>283</v>
      </c>
      <c r="G1309" s="75">
        <v>286431</v>
      </c>
      <c r="H1309">
        <v>364.96</v>
      </c>
      <c r="I1309" t="s">
        <v>55</v>
      </c>
      <c r="J1309" s="75">
        <v>218787</v>
      </c>
      <c r="K1309" t="s">
        <v>96</v>
      </c>
      <c r="L1309" t="s">
        <v>97</v>
      </c>
      <c r="M1309" s="81">
        <v>46153.826874999999</v>
      </c>
      <c r="N1309" s="81">
        <v>46154.745243055557</v>
      </c>
      <c r="O1309" t="s">
        <v>58</v>
      </c>
      <c r="P1309" t="s">
        <v>59</v>
      </c>
      <c r="Q1309" t="s">
        <v>90</v>
      </c>
      <c r="R1309" t="s">
        <v>60</v>
      </c>
      <c r="S1309" t="s">
        <v>583</v>
      </c>
      <c r="U1309" s="75">
        <v>252947</v>
      </c>
      <c r="V1309" t="s">
        <v>5605</v>
      </c>
      <c r="W1309" t="s">
        <v>5605</v>
      </c>
      <c r="X1309" t="s">
        <v>62</v>
      </c>
      <c r="Y1309" t="s">
        <v>63</v>
      </c>
      <c r="AA1309" t="s">
        <v>101</v>
      </c>
      <c r="AB1309">
        <v>21.983333999999999</v>
      </c>
      <c r="AC1309">
        <v>11.883334</v>
      </c>
      <c r="AD1309">
        <v>10.1</v>
      </c>
      <c r="AE1309">
        <v>0.38333299999999998</v>
      </c>
      <c r="AF1309">
        <v>0</v>
      </c>
      <c r="AG1309">
        <v>9.7166669999999993</v>
      </c>
      <c r="AH1309">
        <v>9.7166669999999993</v>
      </c>
      <c r="AI1309">
        <v>9.4</v>
      </c>
      <c r="AJ1309">
        <v>0.31666699999999998</v>
      </c>
      <c r="AK1309">
        <v>0</v>
      </c>
      <c r="AL1309" s="76">
        <v>44935</v>
      </c>
      <c r="AM1309" s="75">
        <v>1218</v>
      </c>
      <c r="AN1309" t="s">
        <v>65</v>
      </c>
      <c r="AO1309" t="s">
        <v>5606</v>
      </c>
      <c r="AP1309" t="s">
        <v>67</v>
      </c>
      <c r="AQ1309" t="s">
        <v>68</v>
      </c>
      <c r="AR1309" t="s">
        <v>69</v>
      </c>
      <c r="AT1309" s="82" t="s">
        <v>5545</v>
      </c>
      <c r="AU1309" s="78">
        <v>2026</v>
      </c>
      <c r="AV1309" s="78">
        <v>5</v>
      </c>
      <c r="AW1309" s="78" t="s">
        <v>71</v>
      </c>
      <c r="AX1309" s="78">
        <v>0</v>
      </c>
      <c r="AY1309" s="78">
        <v>0</v>
      </c>
      <c r="BT1309" t="s">
        <v>71</v>
      </c>
      <c r="BU1309">
        <v>0</v>
      </c>
      <c r="BV1309">
        <v>0</v>
      </c>
    </row>
    <row r="1310" spans="1:74" x14ac:dyDescent="0.25">
      <c r="A1310" s="75">
        <v>5955619</v>
      </c>
      <c r="B1310" t="s">
        <v>5607</v>
      </c>
      <c r="C1310" t="s">
        <v>5608</v>
      </c>
      <c r="D1310" t="s">
        <v>1052</v>
      </c>
      <c r="E1310" t="s">
        <v>105</v>
      </c>
      <c r="F1310" s="75">
        <v>1113</v>
      </c>
      <c r="G1310" s="75">
        <v>333465</v>
      </c>
      <c r="H1310">
        <v>456.52</v>
      </c>
      <c r="I1310" t="s">
        <v>175</v>
      </c>
      <c r="J1310" s="75">
        <v>83605</v>
      </c>
      <c r="K1310" t="s">
        <v>844</v>
      </c>
      <c r="L1310" t="s">
        <v>845</v>
      </c>
      <c r="M1310" s="81">
        <v>46153.785231481481</v>
      </c>
      <c r="N1310" s="81">
        <v>46154.775671296287</v>
      </c>
      <c r="O1310" t="s">
        <v>58</v>
      </c>
      <c r="P1310" t="s">
        <v>59</v>
      </c>
      <c r="Q1310" t="s">
        <v>90</v>
      </c>
      <c r="R1310" t="s">
        <v>60</v>
      </c>
      <c r="S1310" t="s">
        <v>583</v>
      </c>
      <c r="U1310" s="75">
        <v>253757</v>
      </c>
      <c r="V1310" t="s">
        <v>5609</v>
      </c>
      <c r="W1310" t="s">
        <v>5610</v>
      </c>
      <c r="X1310" t="s">
        <v>62</v>
      </c>
      <c r="Y1310" t="s">
        <v>2629</v>
      </c>
      <c r="AA1310" t="s">
        <v>416</v>
      </c>
      <c r="AB1310">
        <v>23.683333000000001</v>
      </c>
      <c r="AC1310">
        <v>4.4333330000000002</v>
      </c>
      <c r="AD1310">
        <v>19.25</v>
      </c>
      <c r="AE1310">
        <v>0.11666700000000001</v>
      </c>
      <c r="AF1310">
        <v>0</v>
      </c>
      <c r="AG1310">
        <v>19.133333</v>
      </c>
      <c r="AH1310">
        <v>19.133333</v>
      </c>
      <c r="AI1310">
        <v>17.816666000000001</v>
      </c>
      <c r="AJ1310">
        <v>1.316667</v>
      </c>
      <c r="AK1310">
        <v>0</v>
      </c>
      <c r="AL1310" s="76">
        <v>45808.717766203707</v>
      </c>
      <c r="AM1310" s="75">
        <v>345</v>
      </c>
      <c r="AN1310" t="s">
        <v>65</v>
      </c>
      <c r="AO1310" t="s">
        <v>5611</v>
      </c>
      <c r="AP1310" t="s">
        <v>67</v>
      </c>
      <c r="AQ1310" t="s">
        <v>68</v>
      </c>
      <c r="AR1310" t="s">
        <v>69</v>
      </c>
      <c r="AT1310" s="82" t="s">
        <v>5545</v>
      </c>
      <c r="AU1310" s="78">
        <v>2026</v>
      </c>
      <c r="AV1310" s="78">
        <v>5</v>
      </c>
      <c r="AW1310" s="78" t="s">
        <v>71</v>
      </c>
      <c r="AX1310" s="78">
        <v>0</v>
      </c>
      <c r="AY1310" s="78">
        <v>0</v>
      </c>
      <c r="BT1310" t="s">
        <v>71</v>
      </c>
      <c r="BU1310">
        <v>0</v>
      </c>
      <c r="BV1310">
        <v>0</v>
      </c>
    </row>
    <row r="1311" spans="1:74" x14ac:dyDescent="0.25">
      <c r="A1311" s="75">
        <v>5955643</v>
      </c>
      <c r="B1311" t="s">
        <v>5612</v>
      </c>
      <c r="C1311" t="s">
        <v>5613</v>
      </c>
      <c r="D1311" t="s">
        <v>1052</v>
      </c>
      <c r="E1311" t="s">
        <v>105</v>
      </c>
      <c r="F1311" s="75">
        <v>1122</v>
      </c>
      <c r="G1311" s="75">
        <v>333491</v>
      </c>
      <c r="H1311">
        <v>456.52</v>
      </c>
      <c r="I1311" t="s">
        <v>175</v>
      </c>
      <c r="J1311" s="75">
        <v>83605</v>
      </c>
      <c r="K1311" t="s">
        <v>844</v>
      </c>
      <c r="L1311" t="s">
        <v>845</v>
      </c>
      <c r="M1311" s="81">
        <v>46153.812916666669</v>
      </c>
      <c r="N1311" s="81">
        <v>46154.930115740739</v>
      </c>
      <c r="O1311" t="s">
        <v>58</v>
      </c>
      <c r="P1311" t="s">
        <v>59</v>
      </c>
      <c r="Q1311" t="s">
        <v>90</v>
      </c>
      <c r="R1311" t="s">
        <v>99</v>
      </c>
      <c r="S1311" t="s">
        <v>1375</v>
      </c>
      <c r="U1311" s="75">
        <v>252825</v>
      </c>
      <c r="V1311" t="s">
        <v>5614</v>
      </c>
      <c r="X1311" t="s">
        <v>62</v>
      </c>
      <c r="Y1311" t="s">
        <v>63</v>
      </c>
      <c r="AA1311" t="s">
        <v>416</v>
      </c>
      <c r="AB1311">
        <v>26.733332999999998</v>
      </c>
      <c r="AC1311">
        <v>5.2666659999999998</v>
      </c>
      <c r="AD1311">
        <v>21.466667000000001</v>
      </c>
      <c r="AE1311">
        <v>0.13333400000000001</v>
      </c>
      <c r="AF1311">
        <v>0</v>
      </c>
      <c r="AG1311">
        <v>21.333333</v>
      </c>
      <c r="AH1311">
        <v>21.333333</v>
      </c>
      <c r="AI1311">
        <v>20.7</v>
      </c>
      <c r="AJ1311">
        <v>0.63333300000000003</v>
      </c>
      <c r="AK1311">
        <v>0</v>
      </c>
      <c r="AL1311" s="76">
        <v>45869.70894675926</v>
      </c>
      <c r="AM1311" s="75">
        <v>284</v>
      </c>
      <c r="AN1311" t="s">
        <v>65</v>
      </c>
      <c r="AO1311" t="s">
        <v>5615</v>
      </c>
      <c r="AP1311" t="s">
        <v>67</v>
      </c>
      <c r="AQ1311" t="s">
        <v>68</v>
      </c>
      <c r="AR1311" t="s">
        <v>69</v>
      </c>
      <c r="AT1311" s="82" t="s">
        <v>5545</v>
      </c>
      <c r="AU1311" s="78">
        <v>2026</v>
      </c>
      <c r="AV1311" s="78">
        <v>5</v>
      </c>
      <c r="AW1311" s="78" t="s">
        <v>71</v>
      </c>
      <c r="AX1311" s="78">
        <v>0</v>
      </c>
      <c r="AY1311" s="78">
        <v>0</v>
      </c>
      <c r="BT1311" t="s">
        <v>71</v>
      </c>
      <c r="BU1311">
        <v>0</v>
      </c>
      <c r="BV1311">
        <v>0</v>
      </c>
    </row>
    <row r="1312" spans="1:74" x14ac:dyDescent="0.25">
      <c r="A1312" s="75">
        <v>5951599</v>
      </c>
      <c r="B1312" t="s">
        <v>5616</v>
      </c>
      <c r="C1312" t="s">
        <v>2673</v>
      </c>
      <c r="D1312" t="s">
        <v>125</v>
      </c>
      <c r="E1312" t="s">
        <v>87</v>
      </c>
      <c r="F1312" s="75">
        <v>495</v>
      </c>
      <c r="G1312" s="75">
        <v>290887</v>
      </c>
      <c r="H1312">
        <v>350</v>
      </c>
      <c r="I1312" t="s">
        <v>55</v>
      </c>
      <c r="J1312" s="75">
        <v>218787</v>
      </c>
      <c r="K1312" t="s">
        <v>96</v>
      </c>
      <c r="L1312" t="s">
        <v>97</v>
      </c>
      <c r="M1312" s="81">
        <v>46150.439108796287</v>
      </c>
      <c r="N1312" s="81">
        <v>46155.359606481477</v>
      </c>
      <c r="O1312" t="s">
        <v>58</v>
      </c>
      <c r="P1312" t="s">
        <v>59</v>
      </c>
      <c r="Q1312" t="s">
        <v>90</v>
      </c>
      <c r="R1312" t="s">
        <v>60</v>
      </c>
      <c r="S1312" t="s">
        <v>583</v>
      </c>
      <c r="U1312" s="75">
        <v>251285</v>
      </c>
      <c r="V1312" t="s">
        <v>5617</v>
      </c>
      <c r="W1312" t="s">
        <v>5618</v>
      </c>
      <c r="X1312" t="s">
        <v>62</v>
      </c>
      <c r="Y1312" t="s">
        <v>63</v>
      </c>
      <c r="AA1312" t="s">
        <v>295</v>
      </c>
      <c r="AB1312">
        <v>117.999999</v>
      </c>
      <c r="AC1312">
        <v>92.2</v>
      </c>
      <c r="AD1312">
        <v>25.799999</v>
      </c>
      <c r="AE1312">
        <v>0.23333300000000001</v>
      </c>
      <c r="AF1312">
        <v>0</v>
      </c>
      <c r="AG1312">
        <v>25.566666000000001</v>
      </c>
      <c r="AH1312">
        <v>25.566666000000001</v>
      </c>
      <c r="AI1312">
        <v>24.466666</v>
      </c>
      <c r="AJ1312">
        <v>1.1000000000000001</v>
      </c>
      <c r="AK1312">
        <v>0</v>
      </c>
      <c r="AL1312" s="76">
        <v>45090.364965277768</v>
      </c>
      <c r="AM1312" s="75">
        <v>1060</v>
      </c>
      <c r="AN1312" t="s">
        <v>65</v>
      </c>
      <c r="AO1312" t="s">
        <v>2675</v>
      </c>
      <c r="AP1312" t="s">
        <v>67</v>
      </c>
      <c r="AQ1312" t="s">
        <v>68</v>
      </c>
      <c r="AR1312" t="s">
        <v>69</v>
      </c>
      <c r="AT1312" s="82" t="s">
        <v>5545</v>
      </c>
      <c r="AU1312" s="78">
        <v>2026</v>
      </c>
      <c r="AV1312" s="78">
        <v>5</v>
      </c>
      <c r="AW1312" s="78" t="s">
        <v>71</v>
      </c>
      <c r="AX1312" s="78">
        <v>0</v>
      </c>
      <c r="AY1312" s="78">
        <v>1</v>
      </c>
      <c r="BT1312" t="s">
        <v>71</v>
      </c>
      <c r="BU1312">
        <v>0</v>
      </c>
      <c r="BV1312">
        <v>1</v>
      </c>
    </row>
    <row r="1313" spans="1:74" x14ac:dyDescent="0.25">
      <c r="A1313" s="75">
        <v>5952227</v>
      </c>
      <c r="B1313" t="s">
        <v>5619</v>
      </c>
      <c r="C1313" t="s">
        <v>5620</v>
      </c>
      <c r="D1313" t="s">
        <v>125</v>
      </c>
      <c r="E1313" t="s">
        <v>87</v>
      </c>
      <c r="F1313" s="75">
        <v>334</v>
      </c>
      <c r="G1313" s="75">
        <v>286669</v>
      </c>
      <c r="H1313">
        <v>364.96</v>
      </c>
      <c r="I1313" t="s">
        <v>55</v>
      </c>
      <c r="J1313" s="75">
        <v>218787</v>
      </c>
      <c r="K1313" t="s">
        <v>96</v>
      </c>
      <c r="L1313" t="s">
        <v>97</v>
      </c>
      <c r="M1313" s="81">
        <v>46150.530277777783</v>
      </c>
      <c r="N1313" s="81">
        <v>46155.361504629633</v>
      </c>
      <c r="O1313" t="s">
        <v>58</v>
      </c>
      <c r="P1313" t="s">
        <v>59</v>
      </c>
      <c r="Q1313" t="s">
        <v>2562</v>
      </c>
      <c r="R1313" t="s">
        <v>131</v>
      </c>
      <c r="S1313" t="s">
        <v>1316</v>
      </c>
      <c r="U1313" s="75">
        <v>251829</v>
      </c>
      <c r="V1313" t="s">
        <v>5621</v>
      </c>
      <c r="W1313" t="s">
        <v>5622</v>
      </c>
      <c r="X1313" t="s">
        <v>62</v>
      </c>
      <c r="Y1313" t="s">
        <v>63</v>
      </c>
      <c r="AA1313" t="s">
        <v>416</v>
      </c>
      <c r="AB1313">
        <v>115.866666</v>
      </c>
      <c r="AC1313">
        <v>92.366665999999995</v>
      </c>
      <c r="AD1313">
        <v>23.5</v>
      </c>
      <c r="AE1313">
        <v>0.65</v>
      </c>
      <c r="AF1313">
        <v>0</v>
      </c>
      <c r="AG1313">
        <v>22.85</v>
      </c>
      <c r="AH1313">
        <v>22.85</v>
      </c>
      <c r="AI1313">
        <v>21.883334000000001</v>
      </c>
      <c r="AJ1313">
        <v>0.96666600000000003</v>
      </c>
      <c r="AK1313">
        <v>0</v>
      </c>
      <c r="AL1313" s="76">
        <v>44966</v>
      </c>
      <c r="AM1313" s="75">
        <v>1184</v>
      </c>
      <c r="AN1313" t="s">
        <v>65</v>
      </c>
      <c r="AO1313" t="s">
        <v>5623</v>
      </c>
      <c r="AP1313" t="s">
        <v>67</v>
      </c>
      <c r="AQ1313" t="s">
        <v>68</v>
      </c>
      <c r="AR1313" t="s">
        <v>69</v>
      </c>
      <c r="AT1313" s="82" t="s">
        <v>5545</v>
      </c>
      <c r="AU1313" s="78">
        <v>2026</v>
      </c>
      <c r="AV1313" s="78">
        <v>5</v>
      </c>
      <c r="AW1313" s="78" t="s">
        <v>71</v>
      </c>
      <c r="AX1313" s="78">
        <v>0</v>
      </c>
      <c r="AY1313" s="78">
        <v>0</v>
      </c>
      <c r="BT1313" t="s">
        <v>71</v>
      </c>
      <c r="BU1313">
        <v>0</v>
      </c>
      <c r="BV1313">
        <v>0</v>
      </c>
    </row>
    <row r="1314" spans="1:74" x14ac:dyDescent="0.25">
      <c r="A1314" s="75">
        <v>5953489</v>
      </c>
      <c r="B1314" t="s">
        <v>5624</v>
      </c>
      <c r="C1314" t="s">
        <v>5625</v>
      </c>
      <c r="D1314" t="s">
        <v>125</v>
      </c>
      <c r="E1314" t="s">
        <v>87</v>
      </c>
      <c r="F1314" s="75">
        <v>420</v>
      </c>
      <c r="G1314" s="75">
        <v>289261</v>
      </c>
      <c r="H1314">
        <v>740.61</v>
      </c>
      <c r="I1314" t="s">
        <v>55</v>
      </c>
      <c r="J1314" s="75">
        <v>216233</v>
      </c>
      <c r="K1314" t="s">
        <v>88</v>
      </c>
      <c r="L1314" t="s">
        <v>89</v>
      </c>
      <c r="M1314" s="81">
        <v>46151.680902777778</v>
      </c>
      <c r="N1314" s="81">
        <v>46155.368344907409</v>
      </c>
      <c r="O1314" t="s">
        <v>58</v>
      </c>
      <c r="P1314" t="s">
        <v>59</v>
      </c>
      <c r="Q1314" t="s">
        <v>90</v>
      </c>
      <c r="R1314" t="s">
        <v>60</v>
      </c>
      <c r="S1314" t="s">
        <v>583</v>
      </c>
      <c r="U1314" s="75">
        <v>251557</v>
      </c>
      <c r="V1314" t="s">
        <v>5626</v>
      </c>
      <c r="W1314" t="s">
        <v>5626</v>
      </c>
      <c r="X1314" t="s">
        <v>62</v>
      </c>
      <c r="Y1314" t="s">
        <v>63</v>
      </c>
      <c r="AA1314" t="s">
        <v>101</v>
      </c>
      <c r="AB1314">
        <v>88.449999000000005</v>
      </c>
      <c r="AC1314">
        <v>78.816665999999998</v>
      </c>
      <c r="AD1314">
        <v>9.6333330000000004</v>
      </c>
      <c r="AE1314">
        <v>0.61666600000000005</v>
      </c>
      <c r="AF1314">
        <v>0</v>
      </c>
      <c r="AG1314">
        <v>9.016667</v>
      </c>
      <c r="AH1314">
        <v>9.016667</v>
      </c>
      <c r="AI1314">
        <v>8.75</v>
      </c>
      <c r="AJ1314">
        <v>0.26666699999999999</v>
      </c>
      <c r="AK1314">
        <v>0</v>
      </c>
      <c r="AL1314" s="76">
        <v>44994</v>
      </c>
      <c r="AM1314" s="75">
        <v>1157</v>
      </c>
      <c r="AN1314" t="s">
        <v>65</v>
      </c>
      <c r="AO1314" t="s">
        <v>5627</v>
      </c>
      <c r="AP1314" t="s">
        <v>67</v>
      </c>
      <c r="AQ1314" t="s">
        <v>68</v>
      </c>
      <c r="AR1314" t="s">
        <v>69</v>
      </c>
      <c r="AT1314" s="82" t="s">
        <v>5545</v>
      </c>
      <c r="AU1314" s="78">
        <v>2026</v>
      </c>
      <c r="AV1314" s="78">
        <v>5</v>
      </c>
      <c r="AW1314" s="78" t="s">
        <v>71</v>
      </c>
      <c r="AX1314" s="78">
        <v>0</v>
      </c>
      <c r="AY1314" s="78">
        <v>0</v>
      </c>
      <c r="BT1314" t="s">
        <v>71</v>
      </c>
      <c r="BU1314">
        <v>0</v>
      </c>
      <c r="BV1314">
        <v>0</v>
      </c>
    </row>
    <row r="1315" spans="1:74" x14ac:dyDescent="0.25">
      <c r="A1315" s="75">
        <v>5953915</v>
      </c>
      <c r="B1315" t="s">
        <v>5628</v>
      </c>
      <c r="C1315" t="s">
        <v>611</v>
      </c>
      <c r="D1315" t="s">
        <v>125</v>
      </c>
      <c r="E1315" t="s">
        <v>87</v>
      </c>
      <c r="F1315" s="75">
        <v>445</v>
      </c>
      <c r="G1315" s="75">
        <v>289319</v>
      </c>
      <c r="H1315">
        <v>398.82</v>
      </c>
      <c r="I1315" t="s">
        <v>55</v>
      </c>
      <c r="J1315" s="75">
        <v>216233</v>
      </c>
      <c r="K1315" t="s">
        <v>88</v>
      </c>
      <c r="L1315" t="s">
        <v>89</v>
      </c>
      <c r="M1315" s="81">
        <v>46152.681030092594</v>
      </c>
      <c r="N1315" s="81">
        <v>46155.369328703702</v>
      </c>
      <c r="O1315" t="s">
        <v>58</v>
      </c>
      <c r="P1315" t="s">
        <v>59</v>
      </c>
      <c r="Q1315" t="s">
        <v>90</v>
      </c>
      <c r="R1315" t="s">
        <v>60</v>
      </c>
      <c r="S1315" t="s">
        <v>583</v>
      </c>
      <c r="U1315" s="75">
        <v>251939</v>
      </c>
      <c r="V1315" t="s">
        <v>5629</v>
      </c>
      <c r="W1315" t="s">
        <v>5629</v>
      </c>
      <c r="X1315" t="s">
        <v>62</v>
      </c>
      <c r="Y1315" t="s">
        <v>63</v>
      </c>
      <c r="AA1315" t="s">
        <v>101</v>
      </c>
      <c r="AB1315">
        <v>64.466667000000001</v>
      </c>
      <c r="AC1315">
        <v>55.533332999999999</v>
      </c>
      <c r="AD1315">
        <v>8.9333340000000003</v>
      </c>
      <c r="AE1315">
        <v>0.7</v>
      </c>
      <c r="AF1315">
        <v>0</v>
      </c>
      <c r="AG1315">
        <v>8.2333339999999993</v>
      </c>
      <c r="AH1315">
        <v>8.2333339999999993</v>
      </c>
      <c r="AI1315">
        <v>7.7</v>
      </c>
      <c r="AJ1315">
        <v>0.53333399999999997</v>
      </c>
      <c r="AK1315">
        <v>0</v>
      </c>
      <c r="AL1315" s="76">
        <v>45014</v>
      </c>
      <c r="AM1315" s="75">
        <v>1138</v>
      </c>
      <c r="AN1315" t="s">
        <v>65</v>
      </c>
      <c r="AO1315" t="s">
        <v>614</v>
      </c>
      <c r="AP1315" t="s">
        <v>67</v>
      </c>
      <c r="AQ1315" t="s">
        <v>68</v>
      </c>
      <c r="AR1315" t="s">
        <v>69</v>
      </c>
      <c r="AT1315" s="82" t="s">
        <v>5545</v>
      </c>
      <c r="AU1315" s="78">
        <v>2026</v>
      </c>
      <c r="AV1315" s="78">
        <v>5</v>
      </c>
      <c r="AW1315" s="78" t="s">
        <v>71</v>
      </c>
      <c r="AX1315" s="78">
        <v>0</v>
      </c>
      <c r="AY1315" s="78">
        <v>0</v>
      </c>
      <c r="BT1315" t="s">
        <v>71</v>
      </c>
      <c r="BU1315">
        <v>0</v>
      </c>
      <c r="BV1315">
        <v>0</v>
      </c>
    </row>
    <row r="1316" spans="1:74" x14ac:dyDescent="0.25">
      <c r="A1316" s="75">
        <v>5953967</v>
      </c>
      <c r="B1316" t="s">
        <v>5630</v>
      </c>
      <c r="C1316" t="s">
        <v>4949</v>
      </c>
      <c r="D1316" t="s">
        <v>125</v>
      </c>
      <c r="E1316" t="s">
        <v>87</v>
      </c>
      <c r="F1316" s="75">
        <v>310</v>
      </c>
      <c r="G1316" s="75">
        <v>286517</v>
      </c>
      <c r="H1316">
        <v>364.96</v>
      </c>
      <c r="I1316" t="s">
        <v>55</v>
      </c>
      <c r="J1316" s="75">
        <v>218787</v>
      </c>
      <c r="K1316" t="s">
        <v>96</v>
      </c>
      <c r="L1316" t="s">
        <v>97</v>
      </c>
      <c r="M1316" s="81">
        <v>46152.722673611112</v>
      </c>
      <c r="N1316" s="81">
        <v>46155.370196759257</v>
      </c>
      <c r="O1316" t="s">
        <v>58</v>
      </c>
      <c r="P1316" t="s">
        <v>59</v>
      </c>
      <c r="Q1316" t="s">
        <v>90</v>
      </c>
      <c r="R1316" t="s">
        <v>131</v>
      </c>
      <c r="S1316" t="s">
        <v>1316</v>
      </c>
      <c r="U1316" s="75">
        <v>251755</v>
      </c>
      <c r="V1316" t="s">
        <v>5631</v>
      </c>
      <c r="W1316" t="s">
        <v>5631</v>
      </c>
      <c r="X1316" t="s">
        <v>62</v>
      </c>
      <c r="Y1316" t="s">
        <v>63</v>
      </c>
      <c r="AA1316" t="s">
        <v>416</v>
      </c>
      <c r="AB1316">
        <v>63.433332999999998</v>
      </c>
      <c r="AC1316">
        <v>50.416666999999997</v>
      </c>
      <c r="AD1316">
        <v>13.016666000000001</v>
      </c>
      <c r="AE1316">
        <v>0.36666700000000002</v>
      </c>
      <c r="AF1316">
        <v>0</v>
      </c>
      <c r="AG1316">
        <v>12.649998999999999</v>
      </c>
      <c r="AH1316">
        <v>12.649998999999999</v>
      </c>
      <c r="AI1316">
        <v>12.166665999999999</v>
      </c>
      <c r="AJ1316">
        <v>0.48333300000000001</v>
      </c>
      <c r="AK1316">
        <v>0</v>
      </c>
      <c r="AL1316" s="76">
        <v>44928</v>
      </c>
      <c r="AM1316" s="75">
        <v>1224</v>
      </c>
      <c r="AN1316" t="s">
        <v>65</v>
      </c>
      <c r="AO1316" t="s">
        <v>4951</v>
      </c>
      <c r="AP1316" t="s">
        <v>67</v>
      </c>
      <c r="AQ1316" t="s">
        <v>68</v>
      </c>
      <c r="AR1316" t="s">
        <v>69</v>
      </c>
      <c r="AT1316" s="82" t="s">
        <v>5545</v>
      </c>
      <c r="AU1316" s="78">
        <v>2026</v>
      </c>
      <c r="AV1316" s="78">
        <v>5</v>
      </c>
      <c r="AW1316" s="78" t="s">
        <v>71</v>
      </c>
      <c r="AX1316" s="78">
        <v>0</v>
      </c>
      <c r="AY1316" s="78">
        <v>0</v>
      </c>
      <c r="BT1316" t="s">
        <v>71</v>
      </c>
      <c r="BU1316">
        <v>0</v>
      </c>
      <c r="BV1316">
        <v>0</v>
      </c>
    </row>
    <row r="1317" spans="1:74" x14ac:dyDescent="0.25">
      <c r="A1317" s="75">
        <v>5954601</v>
      </c>
      <c r="B1317" t="s">
        <v>5632</v>
      </c>
      <c r="C1317" t="s">
        <v>963</v>
      </c>
      <c r="D1317" t="s">
        <v>527</v>
      </c>
      <c r="E1317" t="s">
        <v>87</v>
      </c>
      <c r="F1317" s="75">
        <v>32</v>
      </c>
      <c r="G1317" s="75">
        <v>275251</v>
      </c>
      <c r="H1317">
        <v>368.16</v>
      </c>
      <c r="I1317" t="s">
        <v>55</v>
      </c>
      <c r="J1317" s="75">
        <v>218791</v>
      </c>
      <c r="K1317" t="s">
        <v>312</v>
      </c>
      <c r="L1317" t="s">
        <v>313</v>
      </c>
      <c r="M1317" s="81">
        <v>46153.438055555547</v>
      </c>
      <c r="N1317" s="81">
        <v>46155.381944444453</v>
      </c>
      <c r="O1317" t="s">
        <v>58</v>
      </c>
      <c r="P1317" t="s">
        <v>59</v>
      </c>
      <c r="Q1317" t="s">
        <v>90</v>
      </c>
      <c r="R1317" t="s">
        <v>60</v>
      </c>
      <c r="S1317" t="s">
        <v>583</v>
      </c>
      <c r="U1317" s="75">
        <v>252405</v>
      </c>
      <c r="V1317" t="s">
        <v>5633</v>
      </c>
      <c r="W1317" t="s">
        <v>5633</v>
      </c>
      <c r="X1317" t="s">
        <v>62</v>
      </c>
      <c r="Y1317" t="s">
        <v>63</v>
      </c>
      <c r="AA1317" t="s">
        <v>64</v>
      </c>
      <c r="AB1317">
        <v>46.633332000000003</v>
      </c>
      <c r="AC1317">
        <v>39.049999999999997</v>
      </c>
      <c r="AD1317">
        <v>7.5833320000000004</v>
      </c>
      <c r="AE1317">
        <v>0.33333299999999999</v>
      </c>
      <c r="AF1317">
        <v>0</v>
      </c>
      <c r="AG1317">
        <v>7.2499989999999999</v>
      </c>
      <c r="AH1317">
        <v>7.2499989999999999</v>
      </c>
      <c r="AI1317">
        <v>7.216666</v>
      </c>
      <c r="AJ1317">
        <v>3.3333000000000002E-2</v>
      </c>
      <c r="AK1317">
        <v>0</v>
      </c>
      <c r="AL1317" s="76">
        <v>44876.507071759261</v>
      </c>
      <c r="AM1317" s="75">
        <v>1276</v>
      </c>
      <c r="AN1317" t="s">
        <v>65</v>
      </c>
      <c r="AO1317" t="s">
        <v>965</v>
      </c>
      <c r="AP1317" t="s">
        <v>67</v>
      </c>
      <c r="AQ1317" t="s">
        <v>68</v>
      </c>
      <c r="AR1317" t="s">
        <v>69</v>
      </c>
      <c r="AT1317" s="82" t="s">
        <v>5545</v>
      </c>
      <c r="AU1317" s="78">
        <v>2026</v>
      </c>
      <c r="AV1317" s="78">
        <v>5</v>
      </c>
      <c r="AW1317" s="78" t="s">
        <v>71</v>
      </c>
      <c r="AX1317" s="78">
        <v>1</v>
      </c>
      <c r="AY1317" s="78">
        <v>0</v>
      </c>
      <c r="BT1317" t="s">
        <v>71</v>
      </c>
      <c r="BU1317">
        <v>1</v>
      </c>
      <c r="BV1317">
        <v>0</v>
      </c>
    </row>
    <row r="1318" spans="1:74" x14ac:dyDescent="0.25">
      <c r="A1318" s="75">
        <v>5954289</v>
      </c>
      <c r="B1318" t="s">
        <v>5634</v>
      </c>
      <c r="C1318" t="s">
        <v>5635</v>
      </c>
      <c r="D1318" t="s">
        <v>125</v>
      </c>
      <c r="E1318" t="s">
        <v>54</v>
      </c>
      <c r="F1318" s="75">
        <v>1</v>
      </c>
      <c r="G1318" s="75">
        <v>48391</v>
      </c>
      <c r="H1318">
        <v>650</v>
      </c>
      <c r="I1318" t="s">
        <v>114</v>
      </c>
      <c r="J1318" s="75">
        <v>49051</v>
      </c>
      <c r="K1318" t="s">
        <v>4214</v>
      </c>
      <c r="L1318" t="s">
        <v>4215</v>
      </c>
      <c r="M1318" s="81">
        <v>46153.361562500002</v>
      </c>
      <c r="N1318" s="81">
        <v>46155.382384259261</v>
      </c>
      <c r="O1318" t="s">
        <v>58</v>
      </c>
      <c r="P1318" t="s">
        <v>59</v>
      </c>
      <c r="Q1318" t="s">
        <v>90</v>
      </c>
      <c r="R1318" t="s">
        <v>156</v>
      </c>
      <c r="S1318" t="s">
        <v>1682</v>
      </c>
      <c r="U1318" s="75">
        <v>252901</v>
      </c>
      <c r="V1318" t="s">
        <v>5636</v>
      </c>
      <c r="X1318" t="s">
        <v>62</v>
      </c>
      <c r="Y1318" t="s">
        <v>63</v>
      </c>
      <c r="AA1318" t="s">
        <v>416</v>
      </c>
      <c r="AB1318">
        <v>48.433334000000002</v>
      </c>
      <c r="AC1318">
        <v>24.966667000000001</v>
      </c>
      <c r="AD1318">
        <v>23.466667000000001</v>
      </c>
      <c r="AE1318">
        <v>10.633333</v>
      </c>
      <c r="AF1318">
        <v>0</v>
      </c>
      <c r="AG1318">
        <v>12.833334000000001</v>
      </c>
      <c r="AH1318">
        <v>12.833334000000001</v>
      </c>
      <c r="AI1318">
        <v>10.416667</v>
      </c>
      <c r="AJ1318">
        <v>2.4166669999999999</v>
      </c>
      <c r="AK1318">
        <v>0</v>
      </c>
      <c r="AL1318" s="76">
        <v>43042</v>
      </c>
      <c r="AM1318" s="75">
        <v>3111</v>
      </c>
      <c r="AN1318" t="s">
        <v>65</v>
      </c>
      <c r="AO1318" t="s">
        <v>4217</v>
      </c>
      <c r="AP1318" t="s">
        <v>67</v>
      </c>
      <c r="AQ1318" t="s">
        <v>68</v>
      </c>
      <c r="AR1318" t="s">
        <v>69</v>
      </c>
      <c r="AT1318" s="82" t="s">
        <v>5545</v>
      </c>
      <c r="AU1318" s="78">
        <v>2026</v>
      </c>
      <c r="AV1318" s="78">
        <v>5</v>
      </c>
      <c r="AW1318" s="78" t="s">
        <v>71</v>
      </c>
      <c r="AX1318" s="78">
        <v>0</v>
      </c>
      <c r="AY1318" s="78">
        <v>0</v>
      </c>
      <c r="BT1318" t="s">
        <v>71</v>
      </c>
      <c r="BU1318">
        <v>0</v>
      </c>
      <c r="BV1318">
        <v>0</v>
      </c>
    </row>
    <row r="1319" spans="1:74" x14ac:dyDescent="0.25">
      <c r="A1319" s="75">
        <v>5957201</v>
      </c>
      <c r="B1319" t="s">
        <v>5637</v>
      </c>
      <c r="C1319" t="s">
        <v>5638</v>
      </c>
      <c r="D1319" t="s">
        <v>527</v>
      </c>
      <c r="E1319" t="s">
        <v>87</v>
      </c>
      <c r="F1319" s="75">
        <v>1608</v>
      </c>
      <c r="G1319" s="75">
        <v>349687</v>
      </c>
      <c r="H1319">
        <v>334.78</v>
      </c>
      <c r="I1319" t="s">
        <v>203</v>
      </c>
      <c r="J1319" s="75">
        <v>6971</v>
      </c>
      <c r="K1319" t="s">
        <v>369</v>
      </c>
      <c r="L1319" t="s">
        <v>370</v>
      </c>
      <c r="M1319" s="81">
        <v>46154.764525462961</v>
      </c>
      <c r="N1319" s="81">
        <v>46155.39167824074</v>
      </c>
      <c r="O1319" t="s">
        <v>58</v>
      </c>
      <c r="P1319" t="s">
        <v>59</v>
      </c>
      <c r="Q1319" t="s">
        <v>90</v>
      </c>
      <c r="R1319" t="s">
        <v>99</v>
      </c>
      <c r="S1319" t="s">
        <v>1244</v>
      </c>
      <c r="U1319" s="75"/>
      <c r="X1319" t="s">
        <v>79</v>
      </c>
      <c r="Y1319" t="s">
        <v>224</v>
      </c>
      <c r="AA1319" t="s">
        <v>81</v>
      </c>
      <c r="AB1319">
        <v>14.999999000000001</v>
      </c>
      <c r="AC1319">
        <v>14.483333</v>
      </c>
      <c r="AD1319">
        <v>0.51666599999999996</v>
      </c>
      <c r="AE1319">
        <v>0.283333</v>
      </c>
      <c r="AF1319">
        <v>0</v>
      </c>
      <c r="AG1319">
        <v>0.23333300000000001</v>
      </c>
      <c r="AH1319">
        <v>0.23333300000000001</v>
      </c>
      <c r="AI1319">
        <v>0</v>
      </c>
      <c r="AJ1319">
        <v>0.23333300000000001</v>
      </c>
      <c r="AK1319">
        <v>0</v>
      </c>
      <c r="AL1319" s="76">
        <v>46149</v>
      </c>
      <c r="AM1319" s="75">
        <v>5</v>
      </c>
      <c r="AN1319" t="s">
        <v>1220</v>
      </c>
      <c r="AO1319" t="s">
        <v>2924</v>
      </c>
      <c r="AP1319" t="s">
        <v>67</v>
      </c>
      <c r="AQ1319" t="s">
        <v>83</v>
      </c>
      <c r="AR1319" t="s">
        <v>69</v>
      </c>
      <c r="AT1319" s="82" t="s">
        <v>5545</v>
      </c>
      <c r="AU1319" s="78">
        <v>2026</v>
      </c>
      <c r="AV1319" s="78">
        <v>5</v>
      </c>
      <c r="AW1319" s="78" t="s">
        <v>226</v>
      </c>
      <c r="AX1319" s="78">
        <v>1</v>
      </c>
      <c r="AY1319" s="78">
        <v>0</v>
      </c>
      <c r="BT1319" t="s">
        <v>226</v>
      </c>
      <c r="BU1319">
        <v>1</v>
      </c>
      <c r="BV1319">
        <v>0</v>
      </c>
    </row>
    <row r="1320" spans="1:74" x14ac:dyDescent="0.25">
      <c r="A1320" s="75">
        <v>5957115</v>
      </c>
      <c r="B1320" t="s">
        <v>5639</v>
      </c>
      <c r="C1320" t="s">
        <v>5640</v>
      </c>
      <c r="D1320" t="s">
        <v>527</v>
      </c>
      <c r="E1320" t="s">
        <v>87</v>
      </c>
      <c r="F1320" s="75">
        <v>825</v>
      </c>
      <c r="G1320" s="75">
        <v>345209</v>
      </c>
      <c r="H1320">
        <v>334.78</v>
      </c>
      <c r="I1320" t="s">
        <v>141</v>
      </c>
      <c r="J1320" s="75">
        <v>6971</v>
      </c>
      <c r="K1320" t="s">
        <v>369</v>
      </c>
      <c r="L1320" t="s">
        <v>370</v>
      </c>
      <c r="M1320" s="81">
        <v>46154.72991898148</v>
      </c>
      <c r="N1320" s="81">
        <v>46155.403483796297</v>
      </c>
      <c r="O1320" t="s">
        <v>277</v>
      </c>
      <c r="P1320" t="s">
        <v>59</v>
      </c>
      <c r="Q1320" t="s">
        <v>90</v>
      </c>
      <c r="R1320" t="s">
        <v>144</v>
      </c>
      <c r="S1320" t="s">
        <v>1794</v>
      </c>
      <c r="U1320" s="75">
        <v>253789</v>
      </c>
      <c r="V1320" t="s">
        <v>5641</v>
      </c>
      <c r="W1320" t="s">
        <v>5642</v>
      </c>
      <c r="X1320" t="s">
        <v>79</v>
      </c>
      <c r="Y1320" t="s">
        <v>224</v>
      </c>
      <c r="AA1320" t="s">
        <v>81</v>
      </c>
      <c r="AB1320">
        <v>16.116665999999999</v>
      </c>
      <c r="AC1320">
        <v>13.933332999999999</v>
      </c>
      <c r="AD1320">
        <v>2.1833330000000002</v>
      </c>
      <c r="AE1320">
        <v>0.23333300000000001</v>
      </c>
      <c r="AF1320">
        <v>0</v>
      </c>
      <c r="AG1320">
        <v>1.95</v>
      </c>
      <c r="AH1320">
        <v>1.95</v>
      </c>
      <c r="AI1320">
        <v>1.3833329999999999</v>
      </c>
      <c r="AJ1320">
        <v>0.56666700000000003</v>
      </c>
      <c r="AK1320">
        <v>0</v>
      </c>
      <c r="AL1320" s="76">
        <v>46149</v>
      </c>
      <c r="AM1320" s="75">
        <v>5</v>
      </c>
      <c r="AN1320" t="s">
        <v>1220</v>
      </c>
      <c r="AO1320" t="s">
        <v>1437</v>
      </c>
      <c r="AP1320" t="s">
        <v>67</v>
      </c>
      <c r="AQ1320" t="s">
        <v>83</v>
      </c>
      <c r="AR1320" t="s">
        <v>69</v>
      </c>
      <c r="AT1320" s="82" t="s">
        <v>5545</v>
      </c>
      <c r="AU1320" s="78">
        <v>2026</v>
      </c>
      <c r="AV1320" s="78">
        <v>5</v>
      </c>
      <c r="AW1320" s="78" t="s">
        <v>226</v>
      </c>
      <c r="AX1320" s="78">
        <v>1</v>
      </c>
      <c r="AY1320" s="78">
        <v>0</v>
      </c>
      <c r="BT1320" t="s">
        <v>226</v>
      </c>
      <c r="BU1320">
        <v>1</v>
      </c>
      <c r="BV1320">
        <v>0</v>
      </c>
    </row>
    <row r="1321" spans="1:74" x14ac:dyDescent="0.25">
      <c r="A1321" s="75">
        <v>5957113</v>
      </c>
      <c r="B1321" t="s">
        <v>5643</v>
      </c>
      <c r="C1321" t="s">
        <v>5644</v>
      </c>
      <c r="D1321" t="s">
        <v>527</v>
      </c>
      <c r="E1321" t="s">
        <v>87</v>
      </c>
      <c r="F1321" s="75">
        <v>1613</v>
      </c>
      <c r="G1321" s="75">
        <v>349707</v>
      </c>
      <c r="H1321">
        <v>334.78</v>
      </c>
      <c r="I1321" t="s">
        <v>163</v>
      </c>
      <c r="J1321" s="75">
        <v>6971</v>
      </c>
      <c r="K1321" t="s">
        <v>369</v>
      </c>
      <c r="L1321" t="s">
        <v>370</v>
      </c>
      <c r="M1321" s="81">
        <v>46154.729872685188</v>
      </c>
      <c r="N1321" s="81">
        <v>46155.404097222221</v>
      </c>
      <c r="O1321" t="s">
        <v>554</v>
      </c>
      <c r="P1321" t="s">
        <v>59</v>
      </c>
      <c r="Q1321" t="s">
        <v>90</v>
      </c>
      <c r="R1321" t="s">
        <v>144</v>
      </c>
      <c r="S1321" t="s">
        <v>1794</v>
      </c>
      <c r="U1321" s="75">
        <v>253787</v>
      </c>
      <c r="V1321" t="s">
        <v>5645</v>
      </c>
      <c r="W1321" t="s">
        <v>5646</v>
      </c>
      <c r="X1321" t="s">
        <v>79</v>
      </c>
      <c r="Y1321" t="s">
        <v>224</v>
      </c>
      <c r="AA1321" t="s">
        <v>81</v>
      </c>
      <c r="AB1321">
        <v>16.133331999999999</v>
      </c>
      <c r="AC1321">
        <v>13.966666999999999</v>
      </c>
      <c r="AD1321">
        <v>2.1666650000000001</v>
      </c>
      <c r="AE1321">
        <v>0.26666600000000001</v>
      </c>
      <c r="AF1321">
        <v>0</v>
      </c>
      <c r="AG1321">
        <v>1.899999</v>
      </c>
      <c r="AH1321">
        <v>1.899999</v>
      </c>
      <c r="AI1321">
        <v>1.1333329999999999</v>
      </c>
      <c r="AJ1321">
        <v>0.76666599999999996</v>
      </c>
      <c r="AK1321">
        <v>0</v>
      </c>
      <c r="AL1321" s="76">
        <v>46149.927233796298</v>
      </c>
      <c r="AM1321" s="75">
        <v>4</v>
      </c>
      <c r="AN1321" t="s">
        <v>1220</v>
      </c>
      <c r="AO1321" t="s">
        <v>5647</v>
      </c>
      <c r="AP1321" t="s">
        <v>67</v>
      </c>
      <c r="AQ1321" t="s">
        <v>83</v>
      </c>
      <c r="AR1321" t="s">
        <v>69</v>
      </c>
      <c r="AT1321" s="82" t="s">
        <v>5545</v>
      </c>
      <c r="AU1321" s="78">
        <v>2026</v>
      </c>
      <c r="AV1321" s="78">
        <v>5</v>
      </c>
      <c r="AW1321" s="78" t="s">
        <v>226</v>
      </c>
      <c r="AX1321" s="78">
        <v>1</v>
      </c>
      <c r="AY1321" s="78">
        <v>0</v>
      </c>
      <c r="BT1321" t="s">
        <v>226</v>
      </c>
      <c r="BU1321">
        <v>1</v>
      </c>
      <c r="BV1321">
        <v>0</v>
      </c>
    </row>
    <row r="1322" spans="1:74" x14ac:dyDescent="0.25">
      <c r="A1322" s="75">
        <v>5952999</v>
      </c>
      <c r="B1322" t="s">
        <v>5648</v>
      </c>
      <c r="C1322" t="s">
        <v>5649</v>
      </c>
      <c r="D1322" t="s">
        <v>125</v>
      </c>
      <c r="E1322" t="s">
        <v>87</v>
      </c>
      <c r="F1322" s="75">
        <v>497</v>
      </c>
      <c r="G1322" s="75">
        <v>325195</v>
      </c>
      <c r="H1322">
        <v>1033.7</v>
      </c>
      <c r="I1322" t="s">
        <v>114</v>
      </c>
      <c r="J1322" s="75">
        <v>6971</v>
      </c>
      <c r="K1322" t="s">
        <v>369</v>
      </c>
      <c r="L1322" t="s">
        <v>370</v>
      </c>
      <c r="M1322" s="81">
        <v>46150.736689814818</v>
      </c>
      <c r="N1322" s="81">
        <v>46155.417037037027</v>
      </c>
      <c r="O1322" t="s">
        <v>58</v>
      </c>
      <c r="P1322" t="s">
        <v>59</v>
      </c>
      <c r="Q1322" t="s">
        <v>90</v>
      </c>
      <c r="R1322" t="s">
        <v>99</v>
      </c>
      <c r="S1322" t="s">
        <v>1244</v>
      </c>
      <c r="U1322" s="75">
        <v>254053</v>
      </c>
      <c r="V1322" t="s">
        <v>5650</v>
      </c>
      <c r="X1322" t="s">
        <v>62</v>
      </c>
      <c r="Y1322" t="s">
        <v>2959</v>
      </c>
      <c r="AA1322" t="s">
        <v>416</v>
      </c>
      <c r="AB1322">
        <v>112.216667</v>
      </c>
      <c r="AC1322">
        <v>89.633332999999993</v>
      </c>
      <c r="AD1322">
        <v>22.583334000000001</v>
      </c>
      <c r="AE1322">
        <v>0.25</v>
      </c>
      <c r="AF1322">
        <v>0</v>
      </c>
      <c r="AG1322">
        <v>22.333334000000001</v>
      </c>
      <c r="AH1322">
        <v>22.333334000000001</v>
      </c>
      <c r="AI1322">
        <v>20.966667000000001</v>
      </c>
      <c r="AJ1322">
        <v>1.3666670000000001</v>
      </c>
      <c r="AK1322">
        <v>0</v>
      </c>
      <c r="AL1322" s="76">
        <v>45625</v>
      </c>
      <c r="AM1322" s="75">
        <v>525</v>
      </c>
      <c r="AN1322" t="s">
        <v>65</v>
      </c>
      <c r="AO1322" t="s">
        <v>5651</v>
      </c>
      <c r="AP1322" t="s">
        <v>67</v>
      </c>
      <c r="AQ1322" t="s">
        <v>68</v>
      </c>
      <c r="AR1322" t="s">
        <v>69</v>
      </c>
      <c r="AT1322" s="82" t="s">
        <v>5545</v>
      </c>
      <c r="AU1322" s="78">
        <v>2026</v>
      </c>
      <c r="AV1322" s="78">
        <v>5</v>
      </c>
      <c r="AW1322" s="78" t="s">
        <v>137</v>
      </c>
      <c r="AX1322" s="78">
        <v>0</v>
      </c>
      <c r="AY1322" s="78">
        <v>0</v>
      </c>
      <c r="BT1322" t="s">
        <v>137</v>
      </c>
      <c r="BU1322">
        <v>0</v>
      </c>
      <c r="BV1322">
        <v>0</v>
      </c>
    </row>
    <row r="1323" spans="1:74" x14ac:dyDescent="0.25">
      <c r="A1323" s="75">
        <v>5951991</v>
      </c>
      <c r="B1323" t="s">
        <v>5652</v>
      </c>
      <c r="C1323" t="s">
        <v>5653</v>
      </c>
      <c r="D1323" t="s">
        <v>2379</v>
      </c>
      <c r="E1323" t="s">
        <v>87</v>
      </c>
      <c r="F1323" s="75">
        <v>289</v>
      </c>
      <c r="G1323" s="75">
        <v>286451</v>
      </c>
      <c r="H1323">
        <v>350</v>
      </c>
      <c r="I1323" t="s">
        <v>55</v>
      </c>
      <c r="J1323" s="75">
        <v>218787</v>
      </c>
      <c r="K1323" t="s">
        <v>96</v>
      </c>
      <c r="L1323" t="s">
        <v>97</v>
      </c>
      <c r="M1323" s="81">
        <v>46150.455416666657</v>
      </c>
      <c r="N1323" s="81">
        <v>46155.470127314817</v>
      </c>
      <c r="O1323" t="s">
        <v>58</v>
      </c>
      <c r="P1323" t="s">
        <v>59</v>
      </c>
      <c r="Q1323" t="s">
        <v>90</v>
      </c>
      <c r="R1323" t="s">
        <v>131</v>
      </c>
      <c r="S1323" t="s">
        <v>1273</v>
      </c>
      <c r="U1323" s="75">
        <v>253893</v>
      </c>
      <c r="V1323" t="s">
        <v>5654</v>
      </c>
      <c r="W1323" t="s">
        <v>5655</v>
      </c>
      <c r="X1323" t="s">
        <v>62</v>
      </c>
      <c r="Y1323" t="s">
        <v>63</v>
      </c>
      <c r="AA1323" t="s">
        <v>295</v>
      </c>
      <c r="AB1323">
        <v>120.19999900000001</v>
      </c>
      <c r="AC1323">
        <v>87.633332999999993</v>
      </c>
      <c r="AD1323">
        <v>32.566665999999998</v>
      </c>
      <c r="AE1323">
        <v>1.1000000000000001</v>
      </c>
      <c r="AF1323">
        <v>0</v>
      </c>
      <c r="AG1323">
        <v>31.466666</v>
      </c>
      <c r="AH1323">
        <v>31.466666</v>
      </c>
      <c r="AI1323">
        <v>30.616665999999999</v>
      </c>
      <c r="AJ1323">
        <v>0.85</v>
      </c>
      <c r="AK1323">
        <v>0</v>
      </c>
      <c r="AL1323" s="76">
        <v>44925.697222222218</v>
      </c>
      <c r="AM1323" s="75">
        <v>1224</v>
      </c>
      <c r="AN1323" t="s">
        <v>65</v>
      </c>
      <c r="AO1323" t="s">
        <v>5656</v>
      </c>
      <c r="AP1323" t="s">
        <v>67</v>
      </c>
      <c r="AQ1323" t="s">
        <v>68</v>
      </c>
      <c r="AR1323" t="s">
        <v>69</v>
      </c>
      <c r="AT1323" s="82" t="s">
        <v>5545</v>
      </c>
      <c r="AU1323" s="78">
        <v>2026</v>
      </c>
      <c r="AV1323" s="78">
        <v>5</v>
      </c>
      <c r="AW1323" s="78" t="s">
        <v>71</v>
      </c>
      <c r="AX1323" s="78">
        <v>0</v>
      </c>
      <c r="AY1323" s="78">
        <v>1</v>
      </c>
      <c r="BT1323" t="s">
        <v>71</v>
      </c>
      <c r="BU1323">
        <v>0</v>
      </c>
      <c r="BV1323">
        <v>1</v>
      </c>
    </row>
    <row r="1324" spans="1:74" x14ac:dyDescent="0.25">
      <c r="A1324" s="75">
        <v>5954707</v>
      </c>
      <c r="B1324" t="s">
        <v>5657</v>
      </c>
      <c r="C1324" t="s">
        <v>5658</v>
      </c>
      <c r="D1324" t="s">
        <v>125</v>
      </c>
      <c r="E1324" t="s">
        <v>87</v>
      </c>
      <c r="F1324" s="75">
        <v>458</v>
      </c>
      <c r="G1324" s="75">
        <v>290185</v>
      </c>
      <c r="H1324">
        <v>740.61</v>
      </c>
      <c r="I1324" t="s">
        <v>55</v>
      </c>
      <c r="J1324" s="75">
        <v>216233</v>
      </c>
      <c r="K1324" t="s">
        <v>88</v>
      </c>
      <c r="L1324" t="s">
        <v>89</v>
      </c>
      <c r="M1324" s="81">
        <v>46153.46601851852</v>
      </c>
      <c r="N1324" s="81">
        <v>46155.472025462957</v>
      </c>
      <c r="O1324" t="s">
        <v>58</v>
      </c>
      <c r="P1324" t="s">
        <v>59</v>
      </c>
      <c r="Q1324" t="s">
        <v>90</v>
      </c>
      <c r="R1324" t="s">
        <v>156</v>
      </c>
      <c r="S1324" t="s">
        <v>1682</v>
      </c>
      <c r="U1324" s="75">
        <v>252927</v>
      </c>
      <c r="V1324" t="s">
        <v>5659</v>
      </c>
      <c r="W1324" t="s">
        <v>5660</v>
      </c>
      <c r="X1324" t="s">
        <v>62</v>
      </c>
      <c r="Y1324" t="s">
        <v>63</v>
      </c>
      <c r="AA1324" t="s">
        <v>416</v>
      </c>
      <c r="AB1324">
        <v>48.049998000000002</v>
      </c>
      <c r="AC1324">
        <v>23.816666999999999</v>
      </c>
      <c r="AD1324">
        <v>24.233331</v>
      </c>
      <c r="AE1324">
        <v>1.0833330000000001</v>
      </c>
      <c r="AF1324">
        <v>0</v>
      </c>
      <c r="AG1324">
        <v>23.149998</v>
      </c>
      <c r="AH1324">
        <v>23.149998</v>
      </c>
      <c r="AI1324">
        <v>20.999998999999999</v>
      </c>
      <c r="AJ1324">
        <v>2.1499990000000002</v>
      </c>
      <c r="AK1324">
        <v>0</v>
      </c>
      <c r="AL1324" s="76">
        <v>45021</v>
      </c>
      <c r="AM1324" s="75">
        <v>1132</v>
      </c>
      <c r="AN1324" t="s">
        <v>65</v>
      </c>
      <c r="AO1324" t="s">
        <v>5661</v>
      </c>
      <c r="AP1324" t="s">
        <v>67</v>
      </c>
      <c r="AQ1324" t="s">
        <v>68</v>
      </c>
      <c r="AR1324" t="s">
        <v>69</v>
      </c>
      <c r="AT1324" s="82" t="s">
        <v>5545</v>
      </c>
      <c r="AU1324" s="78">
        <v>2026</v>
      </c>
      <c r="AV1324" s="78">
        <v>5</v>
      </c>
      <c r="AW1324" s="78" t="s">
        <v>71</v>
      </c>
      <c r="AX1324" s="78">
        <v>0</v>
      </c>
      <c r="AY1324" s="78">
        <v>0</v>
      </c>
      <c r="BT1324" t="s">
        <v>71</v>
      </c>
      <c r="BU1324">
        <v>0</v>
      </c>
      <c r="BV1324">
        <v>0</v>
      </c>
    </row>
    <row r="1325" spans="1:74" x14ac:dyDescent="0.25">
      <c r="A1325" s="75">
        <v>5956213</v>
      </c>
      <c r="B1325" t="s">
        <v>5662</v>
      </c>
      <c r="C1325" t="s">
        <v>5663</v>
      </c>
      <c r="D1325" t="s">
        <v>527</v>
      </c>
      <c r="E1325" t="s">
        <v>87</v>
      </c>
      <c r="F1325" s="75">
        <v>8</v>
      </c>
      <c r="G1325" s="75">
        <v>290917</v>
      </c>
      <c r="H1325">
        <v>2914.74</v>
      </c>
      <c r="I1325" t="s">
        <v>114</v>
      </c>
      <c r="J1325" s="75">
        <v>52957</v>
      </c>
      <c r="K1325" t="s">
        <v>575</v>
      </c>
      <c r="L1325" t="s">
        <v>576</v>
      </c>
      <c r="M1325" s="81">
        <v>46154.430937500001</v>
      </c>
      <c r="N1325" s="81">
        <v>46155.528310185182</v>
      </c>
      <c r="O1325" t="s">
        <v>58</v>
      </c>
      <c r="P1325" t="s">
        <v>59</v>
      </c>
      <c r="Q1325" t="s">
        <v>90</v>
      </c>
      <c r="R1325" t="s">
        <v>60</v>
      </c>
      <c r="S1325" t="s">
        <v>583</v>
      </c>
      <c r="U1325" s="75">
        <v>253479</v>
      </c>
      <c r="V1325" t="s">
        <v>5664</v>
      </c>
      <c r="W1325" t="s">
        <v>5664</v>
      </c>
      <c r="X1325" t="s">
        <v>118</v>
      </c>
      <c r="Y1325" t="s">
        <v>2376</v>
      </c>
      <c r="AA1325" t="s">
        <v>64</v>
      </c>
      <c r="AB1325">
        <v>26.266666000000001</v>
      </c>
      <c r="AC1325">
        <v>17.45</v>
      </c>
      <c r="AD1325">
        <v>8.8166659999999997</v>
      </c>
      <c r="AE1325">
        <v>1.1166659999999999</v>
      </c>
      <c r="AF1325">
        <v>0</v>
      </c>
      <c r="AG1325">
        <v>7.7</v>
      </c>
      <c r="AH1325">
        <v>7.7</v>
      </c>
      <c r="AI1325">
        <v>7.3833330000000004</v>
      </c>
      <c r="AJ1325">
        <v>0.31666699999999998</v>
      </c>
      <c r="AK1325">
        <v>0</v>
      </c>
      <c r="AL1325" s="76">
        <v>45220</v>
      </c>
      <c r="AM1325" s="75">
        <v>934</v>
      </c>
      <c r="AN1325" t="s">
        <v>65</v>
      </c>
      <c r="AO1325" t="s">
        <v>3895</v>
      </c>
      <c r="AP1325" t="s">
        <v>67</v>
      </c>
      <c r="AQ1325" t="s">
        <v>121</v>
      </c>
      <c r="AR1325" t="s">
        <v>69</v>
      </c>
      <c r="AT1325" s="82" t="s">
        <v>5545</v>
      </c>
      <c r="AU1325" s="78">
        <v>2026</v>
      </c>
      <c r="AV1325" s="78">
        <v>5</v>
      </c>
      <c r="AW1325" s="78" t="s">
        <v>347</v>
      </c>
      <c r="AX1325" s="78">
        <v>1</v>
      </c>
      <c r="AY1325" s="78">
        <v>0</v>
      </c>
      <c r="BT1325" t="s">
        <v>347</v>
      </c>
      <c r="BU1325">
        <v>1</v>
      </c>
      <c r="BV1325">
        <v>0</v>
      </c>
    </row>
    <row r="1326" spans="1:74" x14ac:dyDescent="0.25">
      <c r="A1326" s="75">
        <v>5954639</v>
      </c>
      <c r="B1326" t="s">
        <v>5665</v>
      </c>
      <c r="C1326" t="s">
        <v>5666</v>
      </c>
      <c r="D1326" t="s">
        <v>2379</v>
      </c>
      <c r="E1326" t="s">
        <v>54</v>
      </c>
      <c r="F1326" s="75">
        <v>1</v>
      </c>
      <c r="G1326" s="75">
        <v>324197</v>
      </c>
      <c r="H1326">
        <v>319.5</v>
      </c>
      <c r="I1326" t="s">
        <v>114</v>
      </c>
      <c r="J1326" s="75">
        <v>223663</v>
      </c>
      <c r="K1326" t="s">
        <v>5667</v>
      </c>
      <c r="L1326" t="s">
        <v>5668</v>
      </c>
      <c r="M1326" s="81">
        <v>46153.447974537034</v>
      </c>
      <c r="N1326" s="81">
        <v>46155.530740740738</v>
      </c>
      <c r="O1326" t="s">
        <v>58</v>
      </c>
      <c r="P1326" t="s">
        <v>59</v>
      </c>
      <c r="Q1326" t="s">
        <v>130</v>
      </c>
      <c r="R1326" t="s">
        <v>60</v>
      </c>
      <c r="S1326" t="s">
        <v>583</v>
      </c>
      <c r="U1326" s="75">
        <v>253905</v>
      </c>
      <c r="V1326" t="s">
        <v>5669</v>
      </c>
      <c r="W1326" t="s">
        <v>5670</v>
      </c>
      <c r="X1326" t="s">
        <v>62</v>
      </c>
      <c r="Y1326" t="s">
        <v>63</v>
      </c>
      <c r="Z1326" t="s">
        <v>5671</v>
      </c>
      <c r="AA1326" t="s">
        <v>416</v>
      </c>
      <c r="AB1326">
        <v>49.849998999999997</v>
      </c>
      <c r="AC1326">
        <v>27.316666999999999</v>
      </c>
      <c r="AD1326">
        <v>22.533332000000001</v>
      </c>
      <c r="AE1326">
        <v>6.65</v>
      </c>
      <c r="AF1326">
        <v>6.3</v>
      </c>
      <c r="AG1326">
        <v>15.883331999999999</v>
      </c>
      <c r="AH1326">
        <v>22.183332</v>
      </c>
      <c r="AI1326">
        <v>15.449999</v>
      </c>
      <c r="AJ1326">
        <v>0.43333300000000002</v>
      </c>
      <c r="AK1326">
        <v>0</v>
      </c>
      <c r="AL1326" s="76">
        <v>45531.891793981478</v>
      </c>
      <c r="AM1326" s="75">
        <v>621</v>
      </c>
      <c r="AN1326" t="s">
        <v>65</v>
      </c>
      <c r="AO1326" t="s">
        <v>5672</v>
      </c>
      <c r="AP1326" t="s">
        <v>67</v>
      </c>
      <c r="AQ1326" t="s">
        <v>68</v>
      </c>
      <c r="AR1326" t="s">
        <v>69</v>
      </c>
      <c r="AT1326" s="82" t="s">
        <v>5545</v>
      </c>
      <c r="AU1326" s="78">
        <v>2026</v>
      </c>
      <c r="AV1326" s="78">
        <v>5</v>
      </c>
      <c r="AW1326" s="78" t="s">
        <v>71</v>
      </c>
      <c r="AX1326" s="78">
        <v>0</v>
      </c>
      <c r="AY1326" s="78">
        <v>0</v>
      </c>
      <c r="BT1326" t="s">
        <v>71</v>
      </c>
      <c r="BU1326">
        <v>0</v>
      </c>
      <c r="BV1326">
        <v>0</v>
      </c>
    </row>
    <row r="1327" spans="1:74" x14ac:dyDescent="0.25">
      <c r="A1327" s="75">
        <v>5941969</v>
      </c>
      <c r="B1327" t="s">
        <v>5673</v>
      </c>
      <c r="C1327" t="s">
        <v>5674</v>
      </c>
      <c r="D1327" t="s">
        <v>527</v>
      </c>
      <c r="E1327" t="s">
        <v>87</v>
      </c>
      <c r="F1327" s="75">
        <v>139</v>
      </c>
      <c r="G1327" s="75">
        <v>285619</v>
      </c>
      <c r="H1327">
        <v>368.16</v>
      </c>
      <c r="I1327" t="s">
        <v>55</v>
      </c>
      <c r="J1327" s="75">
        <v>218791</v>
      </c>
      <c r="K1327" t="s">
        <v>312</v>
      </c>
      <c r="L1327" t="s">
        <v>313</v>
      </c>
      <c r="M1327" s="81">
        <v>46143.062835648147</v>
      </c>
      <c r="N1327" s="81">
        <v>46155.609305555547</v>
      </c>
      <c r="O1327" t="s">
        <v>58</v>
      </c>
      <c r="P1327" t="s">
        <v>59</v>
      </c>
      <c r="Q1327" t="s">
        <v>90</v>
      </c>
      <c r="R1327" t="s">
        <v>131</v>
      </c>
      <c r="S1327" t="s">
        <v>1316</v>
      </c>
      <c r="U1327" s="75">
        <v>253883</v>
      </c>
      <c r="V1327" t="s">
        <v>5675</v>
      </c>
      <c r="W1327" t="s">
        <v>5676</v>
      </c>
      <c r="X1327" t="s">
        <v>62</v>
      </c>
      <c r="Y1327" t="s">
        <v>63</v>
      </c>
      <c r="AA1327" t="s">
        <v>416</v>
      </c>
      <c r="AB1327">
        <v>301.05000100000001</v>
      </c>
      <c r="AC1327">
        <v>284.51666699999998</v>
      </c>
      <c r="AD1327">
        <v>16.533334</v>
      </c>
      <c r="AE1327">
        <v>0.15</v>
      </c>
      <c r="AF1327">
        <v>0</v>
      </c>
      <c r="AG1327">
        <v>16.383334000000001</v>
      </c>
      <c r="AH1327">
        <v>16.383334000000001</v>
      </c>
      <c r="AI1327">
        <v>13.05</v>
      </c>
      <c r="AJ1327">
        <v>3.3333339999999998</v>
      </c>
      <c r="AK1327">
        <v>0</v>
      </c>
      <c r="AL1327" s="76">
        <v>44930.662870370368</v>
      </c>
      <c r="AM1327" s="75">
        <v>1212</v>
      </c>
      <c r="AN1327" t="s">
        <v>65</v>
      </c>
      <c r="AO1327" t="s">
        <v>5677</v>
      </c>
      <c r="AP1327" t="s">
        <v>67</v>
      </c>
      <c r="AQ1327" t="s">
        <v>68</v>
      </c>
      <c r="AR1327" t="s">
        <v>69</v>
      </c>
      <c r="AT1327" s="82" t="s">
        <v>5545</v>
      </c>
      <c r="AU1327" s="78">
        <v>2026</v>
      </c>
      <c r="AV1327" s="78">
        <v>5</v>
      </c>
      <c r="AW1327" s="78" t="s">
        <v>71</v>
      </c>
      <c r="AX1327" s="78">
        <v>0</v>
      </c>
      <c r="AY1327" s="78">
        <v>0</v>
      </c>
      <c r="BT1327" t="s">
        <v>71</v>
      </c>
      <c r="BU1327">
        <v>0</v>
      </c>
      <c r="BV1327">
        <v>0</v>
      </c>
    </row>
    <row r="1328" spans="1:74" x14ac:dyDescent="0.25">
      <c r="A1328" s="75">
        <v>5954531</v>
      </c>
      <c r="B1328" t="s">
        <v>5678</v>
      </c>
      <c r="C1328" t="s">
        <v>5679</v>
      </c>
      <c r="D1328" t="s">
        <v>527</v>
      </c>
      <c r="E1328" t="s">
        <v>87</v>
      </c>
      <c r="F1328" s="75">
        <v>459</v>
      </c>
      <c r="G1328" s="75">
        <v>293147</v>
      </c>
      <c r="H1328">
        <v>616.59</v>
      </c>
      <c r="I1328" t="s">
        <v>55</v>
      </c>
      <c r="J1328" s="75">
        <v>49495</v>
      </c>
      <c r="K1328" t="s">
        <v>460</v>
      </c>
      <c r="L1328" t="s">
        <v>461</v>
      </c>
      <c r="M1328" s="81">
        <v>46153.410393518519</v>
      </c>
      <c r="N1328" s="81">
        <v>46155.629756944443</v>
      </c>
      <c r="O1328" t="s">
        <v>58</v>
      </c>
      <c r="P1328" t="s">
        <v>59</v>
      </c>
      <c r="Q1328" t="s">
        <v>90</v>
      </c>
      <c r="R1328" t="s">
        <v>60</v>
      </c>
      <c r="S1328" t="s">
        <v>583</v>
      </c>
      <c r="U1328" s="75">
        <v>253901</v>
      </c>
      <c r="V1328" t="s">
        <v>5680</v>
      </c>
      <c r="X1328" t="s">
        <v>62</v>
      </c>
      <c r="Y1328" t="s">
        <v>63</v>
      </c>
      <c r="Z1328" t="s">
        <v>5671</v>
      </c>
      <c r="AA1328" t="s">
        <v>416</v>
      </c>
      <c r="AB1328">
        <v>53.183332</v>
      </c>
      <c r="AC1328">
        <v>27.433333000000001</v>
      </c>
      <c r="AD1328">
        <v>25.749998999999999</v>
      </c>
      <c r="AE1328">
        <v>7.6333320000000002</v>
      </c>
      <c r="AF1328">
        <v>6.733333</v>
      </c>
      <c r="AG1328">
        <v>18.116667</v>
      </c>
      <c r="AH1328">
        <v>24.85</v>
      </c>
      <c r="AI1328">
        <v>16.966667000000001</v>
      </c>
      <c r="AJ1328">
        <v>1.1499999999999999</v>
      </c>
      <c r="AK1328">
        <v>0</v>
      </c>
      <c r="AL1328" s="76">
        <v>45215.570023148153</v>
      </c>
      <c r="AM1328" s="75">
        <v>937</v>
      </c>
      <c r="AN1328" t="s">
        <v>65</v>
      </c>
      <c r="AO1328" t="s">
        <v>1506</v>
      </c>
      <c r="AP1328" t="s">
        <v>67</v>
      </c>
      <c r="AQ1328" t="s">
        <v>68</v>
      </c>
      <c r="AR1328" t="s">
        <v>69</v>
      </c>
      <c r="AT1328" s="82" t="s">
        <v>5545</v>
      </c>
      <c r="AU1328" s="78">
        <v>2026</v>
      </c>
      <c r="AV1328" s="78">
        <v>5</v>
      </c>
      <c r="AW1328" s="78" t="s">
        <v>71</v>
      </c>
      <c r="AX1328" s="78">
        <v>0</v>
      </c>
      <c r="AY1328" s="78">
        <v>0</v>
      </c>
      <c r="BT1328" t="s">
        <v>71</v>
      </c>
      <c r="BU1328">
        <v>0</v>
      </c>
      <c r="BV1328">
        <v>0</v>
      </c>
    </row>
    <row r="1329" spans="1:74" x14ac:dyDescent="0.25">
      <c r="A1329" s="75">
        <v>5955511</v>
      </c>
      <c r="B1329" t="s">
        <v>5681</v>
      </c>
      <c r="C1329" t="s">
        <v>5682</v>
      </c>
      <c r="D1329" t="s">
        <v>2379</v>
      </c>
      <c r="E1329" t="s">
        <v>54</v>
      </c>
      <c r="F1329" s="75">
        <v>1</v>
      </c>
      <c r="G1329" s="75">
        <v>301531</v>
      </c>
      <c r="H1329">
        <v>850</v>
      </c>
      <c r="I1329" t="s">
        <v>114</v>
      </c>
      <c r="J1329" s="75">
        <v>219543</v>
      </c>
      <c r="K1329" t="s">
        <v>5683</v>
      </c>
      <c r="L1329" t="s">
        <v>5684</v>
      </c>
      <c r="M1329" s="81">
        <v>46153.73097222222</v>
      </c>
      <c r="N1329" s="81">
        <v>46155.696296296293</v>
      </c>
      <c r="O1329" t="s">
        <v>58</v>
      </c>
      <c r="P1329" t="s">
        <v>59</v>
      </c>
      <c r="Q1329" t="s">
        <v>77</v>
      </c>
      <c r="R1329" t="s">
        <v>60</v>
      </c>
      <c r="S1329" t="s">
        <v>583</v>
      </c>
      <c r="U1329" s="75">
        <v>254279</v>
      </c>
      <c r="V1329" t="s">
        <v>5685</v>
      </c>
      <c r="W1329" t="s">
        <v>5686</v>
      </c>
      <c r="X1329" t="s">
        <v>62</v>
      </c>
      <c r="Y1329" t="s">
        <v>2629</v>
      </c>
      <c r="AA1329" t="s">
        <v>416</v>
      </c>
      <c r="AB1329">
        <v>47.083334000000001</v>
      </c>
      <c r="AC1329">
        <v>28.45</v>
      </c>
      <c r="AD1329">
        <v>18.633334000000001</v>
      </c>
      <c r="AE1329">
        <v>2.4666670000000002</v>
      </c>
      <c r="AF1329">
        <v>0</v>
      </c>
      <c r="AG1329">
        <v>16.166667</v>
      </c>
      <c r="AH1329">
        <v>16.166667</v>
      </c>
      <c r="AI1329">
        <v>14.266667</v>
      </c>
      <c r="AJ1329">
        <v>1.9</v>
      </c>
      <c r="AK1329">
        <v>0</v>
      </c>
      <c r="AL1329" s="76">
        <v>45404.48710648148</v>
      </c>
      <c r="AM1329" s="75">
        <v>749</v>
      </c>
      <c r="AN1329" t="s">
        <v>65</v>
      </c>
      <c r="AO1329" t="s">
        <v>5687</v>
      </c>
      <c r="AP1329" t="s">
        <v>67</v>
      </c>
      <c r="AQ1329" t="s">
        <v>68</v>
      </c>
      <c r="AR1329" t="s">
        <v>69</v>
      </c>
      <c r="AT1329" s="82" t="s">
        <v>5545</v>
      </c>
      <c r="AU1329" s="78">
        <v>2026</v>
      </c>
      <c r="AV1329" s="78">
        <v>5</v>
      </c>
      <c r="AW1329" s="78" t="s">
        <v>71</v>
      </c>
      <c r="AX1329" s="78">
        <v>0</v>
      </c>
      <c r="AY1329" s="78">
        <v>0</v>
      </c>
      <c r="BT1329" t="s">
        <v>71</v>
      </c>
      <c r="BU1329">
        <v>0</v>
      </c>
      <c r="BV1329">
        <v>0</v>
      </c>
    </row>
    <row r="1330" spans="1:74" x14ac:dyDescent="0.25">
      <c r="A1330" s="75">
        <v>5958315</v>
      </c>
      <c r="B1330" t="s">
        <v>5688</v>
      </c>
      <c r="C1330" t="s">
        <v>5689</v>
      </c>
      <c r="D1330" t="s">
        <v>1052</v>
      </c>
      <c r="E1330" t="s">
        <v>54</v>
      </c>
      <c r="F1330" s="75">
        <v>1</v>
      </c>
      <c r="G1330" s="75">
        <v>333399</v>
      </c>
      <c r="H1330">
        <v>600</v>
      </c>
      <c r="I1330" t="s">
        <v>141</v>
      </c>
      <c r="J1330" s="75">
        <v>226111</v>
      </c>
      <c r="K1330" t="s">
        <v>142</v>
      </c>
      <c r="L1330" t="s">
        <v>143</v>
      </c>
      <c r="M1330" s="81">
        <v>46155.40353009259</v>
      </c>
      <c r="N1330" s="81">
        <v>46155.749814814822</v>
      </c>
      <c r="O1330" t="s">
        <v>58</v>
      </c>
      <c r="P1330" t="s">
        <v>59</v>
      </c>
      <c r="Q1330" t="s">
        <v>130</v>
      </c>
      <c r="R1330" t="s">
        <v>99</v>
      </c>
      <c r="S1330" t="s">
        <v>1244</v>
      </c>
      <c r="U1330" s="75">
        <v>254375</v>
      </c>
      <c r="V1330" t="s">
        <v>5690</v>
      </c>
      <c r="W1330" t="s">
        <v>5690</v>
      </c>
      <c r="X1330" t="s">
        <v>62</v>
      </c>
      <c r="Y1330" t="s">
        <v>63</v>
      </c>
      <c r="AA1330" t="s">
        <v>64</v>
      </c>
      <c r="AB1330">
        <v>8.266667</v>
      </c>
      <c r="AC1330">
        <v>0.23333300000000001</v>
      </c>
      <c r="AD1330">
        <v>8.033334</v>
      </c>
      <c r="AE1330">
        <v>0.216667</v>
      </c>
      <c r="AF1330">
        <v>0</v>
      </c>
      <c r="AG1330">
        <v>7.8166669999999998</v>
      </c>
      <c r="AH1330">
        <v>7.8166669999999998</v>
      </c>
      <c r="AI1330">
        <v>7.5833339999999998</v>
      </c>
      <c r="AJ1330">
        <v>0.23333300000000001</v>
      </c>
      <c r="AK1330">
        <v>0</v>
      </c>
      <c r="AL1330" s="76">
        <v>45771.443495370368</v>
      </c>
      <c r="AM1330" s="75">
        <v>383</v>
      </c>
      <c r="AN1330" t="s">
        <v>65</v>
      </c>
      <c r="AO1330" t="s">
        <v>147</v>
      </c>
      <c r="AP1330" t="s">
        <v>67</v>
      </c>
      <c r="AQ1330" t="s">
        <v>68</v>
      </c>
      <c r="AR1330" t="s">
        <v>69</v>
      </c>
      <c r="AT1330" s="82" t="s">
        <v>5545</v>
      </c>
      <c r="AU1330" s="78">
        <v>2026</v>
      </c>
      <c r="AV1330" s="78">
        <v>5</v>
      </c>
      <c r="AW1330" s="78" t="s">
        <v>71</v>
      </c>
      <c r="AX1330" s="78">
        <v>1</v>
      </c>
      <c r="AY1330" s="78">
        <v>0</v>
      </c>
      <c r="BT1330" t="s">
        <v>71</v>
      </c>
      <c r="BU1330">
        <v>1</v>
      </c>
      <c r="BV1330">
        <v>0</v>
      </c>
    </row>
    <row r="1331" spans="1:74" x14ac:dyDescent="0.25">
      <c r="A1331" s="75">
        <v>5956889</v>
      </c>
      <c r="B1331" t="s">
        <v>5691</v>
      </c>
      <c r="C1331" t="s">
        <v>5692</v>
      </c>
      <c r="D1331" t="s">
        <v>1052</v>
      </c>
      <c r="E1331" t="s">
        <v>54</v>
      </c>
      <c r="F1331" s="75">
        <v>1</v>
      </c>
      <c r="G1331" s="75">
        <v>329637</v>
      </c>
      <c r="H1331">
        <v>600</v>
      </c>
      <c r="I1331" t="s">
        <v>141</v>
      </c>
      <c r="J1331" s="75">
        <v>225021</v>
      </c>
      <c r="K1331" t="s">
        <v>5162</v>
      </c>
      <c r="L1331" t="s">
        <v>5163</v>
      </c>
      <c r="M1331" s="81">
        <v>46154.660671296297</v>
      </c>
      <c r="N1331" s="81">
        <v>46155.850706018522</v>
      </c>
      <c r="O1331" t="s">
        <v>58</v>
      </c>
      <c r="P1331" t="s">
        <v>59</v>
      </c>
      <c r="R1331" t="s">
        <v>60</v>
      </c>
      <c r="S1331" t="s">
        <v>583</v>
      </c>
      <c r="U1331" s="75">
        <v>254001</v>
      </c>
      <c r="V1331" t="s">
        <v>5693</v>
      </c>
      <c r="X1331" t="s">
        <v>62</v>
      </c>
      <c r="Y1331" t="s">
        <v>5165</v>
      </c>
      <c r="AA1331" t="s">
        <v>416</v>
      </c>
      <c r="AB1331">
        <v>28.483333999999999</v>
      </c>
      <c r="AC1331">
        <v>6.6333330000000004</v>
      </c>
      <c r="AD1331">
        <v>21.850000999999999</v>
      </c>
      <c r="AE1331">
        <v>0.3</v>
      </c>
      <c r="AF1331">
        <v>0</v>
      </c>
      <c r="AG1331">
        <v>21.550001000000002</v>
      </c>
      <c r="AH1331">
        <v>21.550001000000002</v>
      </c>
      <c r="AI1331">
        <v>20.916667</v>
      </c>
      <c r="AJ1331">
        <v>0.63333399999999995</v>
      </c>
      <c r="AK1331">
        <v>0</v>
      </c>
      <c r="AL1331" s="76">
        <v>45793.606319444443</v>
      </c>
      <c r="AM1331" s="75">
        <v>361</v>
      </c>
      <c r="AN1331" t="s">
        <v>65</v>
      </c>
      <c r="AO1331" t="s">
        <v>5166</v>
      </c>
      <c r="AP1331" t="s">
        <v>67</v>
      </c>
      <c r="AQ1331" t="s">
        <v>68</v>
      </c>
      <c r="AR1331" t="s">
        <v>69</v>
      </c>
      <c r="AT1331" s="82" t="s">
        <v>5545</v>
      </c>
      <c r="AU1331" s="78">
        <v>2026</v>
      </c>
      <c r="AV1331" s="78">
        <v>5</v>
      </c>
      <c r="AW1331" s="78" t="s">
        <v>137</v>
      </c>
      <c r="AX1331" s="78">
        <v>0</v>
      </c>
      <c r="AY1331" s="78">
        <v>0</v>
      </c>
      <c r="BT1331" t="s">
        <v>137</v>
      </c>
      <c r="BU1331">
        <v>0</v>
      </c>
      <c r="BV1331">
        <v>0</v>
      </c>
    </row>
    <row r="1332" spans="1:74" x14ac:dyDescent="0.25">
      <c r="A1332" s="75">
        <v>5952243</v>
      </c>
      <c r="B1332" t="s">
        <v>5694</v>
      </c>
      <c r="C1332" t="s">
        <v>5695</v>
      </c>
      <c r="D1332" t="s">
        <v>1052</v>
      </c>
      <c r="E1332" t="s">
        <v>126</v>
      </c>
      <c r="F1332" s="75">
        <v>2</v>
      </c>
      <c r="G1332" s="75">
        <v>336023</v>
      </c>
      <c r="H1332">
        <v>1000</v>
      </c>
      <c r="I1332" t="s">
        <v>175</v>
      </c>
      <c r="J1332" s="75">
        <v>226775</v>
      </c>
      <c r="K1332" t="s">
        <v>4874</v>
      </c>
      <c r="L1332" t="s">
        <v>4875</v>
      </c>
      <c r="M1332" s="81">
        <v>46150.538055555553</v>
      </c>
      <c r="N1332" s="81">
        <v>46155.878888888888</v>
      </c>
      <c r="O1332" t="s">
        <v>475</v>
      </c>
      <c r="P1332" t="s">
        <v>59</v>
      </c>
      <c r="Q1332" t="s">
        <v>130</v>
      </c>
      <c r="R1332" t="s">
        <v>99</v>
      </c>
      <c r="S1332" t="s">
        <v>1244</v>
      </c>
      <c r="U1332" s="75">
        <v>251083</v>
      </c>
      <c r="V1332" t="s">
        <v>5696</v>
      </c>
      <c r="X1332" t="s">
        <v>118</v>
      </c>
      <c r="Y1332" t="s">
        <v>1233</v>
      </c>
      <c r="AA1332" t="s">
        <v>64</v>
      </c>
      <c r="AB1332">
        <v>128.15</v>
      </c>
      <c r="AC1332">
        <v>120.283333</v>
      </c>
      <c r="AD1332">
        <v>7.8666669999999996</v>
      </c>
      <c r="AE1332">
        <v>0.15</v>
      </c>
      <c r="AF1332">
        <v>0</v>
      </c>
      <c r="AG1332">
        <v>7.7166670000000002</v>
      </c>
      <c r="AH1332">
        <v>7.7166670000000002</v>
      </c>
      <c r="AI1332">
        <v>7.6166669999999996</v>
      </c>
      <c r="AJ1332">
        <v>0.1</v>
      </c>
      <c r="AK1332">
        <v>0</v>
      </c>
      <c r="AL1332" s="76">
        <v>45777.602048611108</v>
      </c>
      <c r="AM1332" s="75">
        <v>372</v>
      </c>
      <c r="AN1332" t="s">
        <v>65</v>
      </c>
      <c r="AO1332" t="s">
        <v>5697</v>
      </c>
      <c r="AP1332" t="s">
        <v>67</v>
      </c>
      <c r="AQ1332" t="s">
        <v>121</v>
      </c>
      <c r="AR1332" t="s">
        <v>69</v>
      </c>
      <c r="AT1332" s="82" t="s">
        <v>5545</v>
      </c>
      <c r="AU1332" s="78">
        <v>2026</v>
      </c>
      <c r="AV1332" s="78">
        <v>5</v>
      </c>
      <c r="AW1332" s="78" t="s">
        <v>347</v>
      </c>
      <c r="AX1332" s="78">
        <v>1</v>
      </c>
      <c r="AY1332" s="78">
        <v>0</v>
      </c>
      <c r="BT1332" t="s">
        <v>347</v>
      </c>
      <c r="BU1332">
        <v>1</v>
      </c>
      <c r="BV1332">
        <v>0</v>
      </c>
    </row>
    <row r="1333" spans="1:74" x14ac:dyDescent="0.25">
      <c r="A1333" s="75">
        <v>5951985</v>
      </c>
      <c r="B1333" t="s">
        <v>5698</v>
      </c>
      <c r="C1333" t="s">
        <v>5699</v>
      </c>
      <c r="D1333" t="s">
        <v>125</v>
      </c>
      <c r="E1333" t="s">
        <v>87</v>
      </c>
      <c r="F1333" s="75">
        <v>397</v>
      </c>
      <c r="G1333" s="75">
        <v>286911</v>
      </c>
      <c r="H1333">
        <v>364.96</v>
      </c>
      <c r="I1333" t="s">
        <v>55</v>
      </c>
      <c r="J1333" s="75">
        <v>218787</v>
      </c>
      <c r="K1333" t="s">
        <v>96</v>
      </c>
      <c r="L1333" t="s">
        <v>97</v>
      </c>
      <c r="M1333" s="81">
        <v>46150.455370370371</v>
      </c>
      <c r="N1333" s="81">
        <v>46156.324328703697</v>
      </c>
      <c r="O1333" t="s">
        <v>58</v>
      </c>
      <c r="P1333" t="s">
        <v>59</v>
      </c>
      <c r="Q1333" t="s">
        <v>90</v>
      </c>
      <c r="R1333" t="s">
        <v>131</v>
      </c>
      <c r="S1333" t="s">
        <v>1316</v>
      </c>
      <c r="U1333" s="75">
        <v>253889</v>
      </c>
      <c r="V1333" t="s">
        <v>5700</v>
      </c>
      <c r="W1333" t="s">
        <v>5701</v>
      </c>
      <c r="X1333" t="s">
        <v>62</v>
      </c>
      <c r="Y1333" t="s">
        <v>63</v>
      </c>
      <c r="AA1333" t="s">
        <v>295</v>
      </c>
      <c r="AB1333">
        <v>140.73333400000001</v>
      </c>
      <c r="AC1333">
        <v>106.11666700000001</v>
      </c>
      <c r="AD1333">
        <v>34.616667</v>
      </c>
      <c r="AE1333">
        <v>1</v>
      </c>
      <c r="AF1333">
        <v>0</v>
      </c>
      <c r="AG1333">
        <v>33.616667</v>
      </c>
      <c r="AH1333">
        <v>33.616667</v>
      </c>
      <c r="AI1333">
        <v>32.050001000000002</v>
      </c>
      <c r="AJ1333">
        <v>1.5666659999999999</v>
      </c>
      <c r="AK1333">
        <v>0</v>
      </c>
      <c r="AL1333" s="76">
        <v>44960</v>
      </c>
      <c r="AM1333" s="75">
        <v>1190</v>
      </c>
      <c r="AN1333" t="s">
        <v>65</v>
      </c>
      <c r="AO1333" t="s">
        <v>5702</v>
      </c>
      <c r="AP1333" t="s">
        <v>67</v>
      </c>
      <c r="AQ1333" t="s">
        <v>68</v>
      </c>
      <c r="AR1333" t="s">
        <v>69</v>
      </c>
      <c r="AT1333" s="82" t="s">
        <v>5545</v>
      </c>
      <c r="AU1333" s="78">
        <v>2026</v>
      </c>
      <c r="AV1333" s="78">
        <v>5</v>
      </c>
      <c r="AW1333" s="78" t="s">
        <v>71</v>
      </c>
      <c r="AX1333" s="78">
        <v>0</v>
      </c>
      <c r="AY1333" s="78">
        <v>1</v>
      </c>
      <c r="BT1333" t="s">
        <v>71</v>
      </c>
      <c r="BU1333">
        <v>0</v>
      </c>
      <c r="BV1333">
        <v>1</v>
      </c>
    </row>
    <row r="1334" spans="1:74" x14ac:dyDescent="0.25">
      <c r="A1334" s="75">
        <v>5956923</v>
      </c>
      <c r="B1334" t="s">
        <v>5703</v>
      </c>
      <c r="C1334" t="s">
        <v>5704</v>
      </c>
      <c r="D1334" t="s">
        <v>125</v>
      </c>
      <c r="E1334" t="s">
        <v>87</v>
      </c>
      <c r="F1334" s="75">
        <v>306</v>
      </c>
      <c r="G1334" s="75">
        <v>286501</v>
      </c>
      <c r="H1334">
        <v>364.96</v>
      </c>
      <c r="I1334" t="s">
        <v>55</v>
      </c>
      <c r="J1334" s="75">
        <v>218787</v>
      </c>
      <c r="K1334" t="s">
        <v>96</v>
      </c>
      <c r="L1334" t="s">
        <v>97</v>
      </c>
      <c r="M1334" s="81">
        <v>46154.667511574073</v>
      </c>
      <c r="N1334" s="81">
        <v>46156.32608796296</v>
      </c>
      <c r="O1334" t="s">
        <v>58</v>
      </c>
      <c r="P1334" t="s">
        <v>59</v>
      </c>
      <c r="Q1334" t="s">
        <v>90</v>
      </c>
      <c r="R1334" t="s">
        <v>60</v>
      </c>
      <c r="S1334" t="s">
        <v>583</v>
      </c>
      <c r="U1334" s="75">
        <v>253943</v>
      </c>
      <c r="V1334" t="s">
        <v>5705</v>
      </c>
      <c r="W1334" t="s">
        <v>5705</v>
      </c>
      <c r="X1334" t="s">
        <v>62</v>
      </c>
      <c r="Y1334" t="s">
        <v>63</v>
      </c>
      <c r="AA1334" t="s">
        <v>101</v>
      </c>
      <c r="AB1334">
        <v>39.750000999999997</v>
      </c>
      <c r="AC1334">
        <v>30.116667</v>
      </c>
      <c r="AD1334">
        <v>9.6333339999999996</v>
      </c>
      <c r="AE1334">
        <v>1.1833340000000001</v>
      </c>
      <c r="AF1334">
        <v>0</v>
      </c>
      <c r="AG1334">
        <v>8.4499999999999993</v>
      </c>
      <c r="AH1334">
        <v>8.4499999999999993</v>
      </c>
      <c r="AI1334">
        <v>7.15</v>
      </c>
      <c r="AJ1334">
        <v>1.3</v>
      </c>
      <c r="AK1334">
        <v>0</v>
      </c>
      <c r="AL1334" s="76">
        <v>44924</v>
      </c>
      <c r="AM1334" s="75">
        <v>1230</v>
      </c>
      <c r="AN1334" t="s">
        <v>65</v>
      </c>
      <c r="AO1334" t="s">
        <v>5706</v>
      </c>
      <c r="AP1334" t="s">
        <v>67</v>
      </c>
      <c r="AQ1334" t="s">
        <v>68</v>
      </c>
      <c r="AR1334" t="s">
        <v>69</v>
      </c>
      <c r="AT1334" s="82" t="s">
        <v>5545</v>
      </c>
      <c r="AU1334" s="78">
        <v>2026</v>
      </c>
      <c r="AV1334" s="78">
        <v>5</v>
      </c>
      <c r="AW1334" s="78" t="s">
        <v>71</v>
      </c>
      <c r="AX1334" s="78">
        <v>0</v>
      </c>
      <c r="AY1334" s="78">
        <v>0</v>
      </c>
      <c r="BT1334" t="s">
        <v>71</v>
      </c>
      <c r="BU1334">
        <v>0</v>
      </c>
      <c r="BV1334">
        <v>0</v>
      </c>
    </row>
    <row r="1335" spans="1:74" x14ac:dyDescent="0.25">
      <c r="A1335" s="75">
        <v>5956751</v>
      </c>
      <c r="B1335" t="s">
        <v>5707</v>
      </c>
      <c r="C1335" t="s">
        <v>5708</v>
      </c>
      <c r="D1335" t="s">
        <v>125</v>
      </c>
      <c r="E1335" t="s">
        <v>105</v>
      </c>
      <c r="F1335" s="75">
        <v>615</v>
      </c>
      <c r="G1335" s="75">
        <v>342879</v>
      </c>
      <c r="H1335">
        <v>225</v>
      </c>
      <c r="I1335" t="s">
        <v>163</v>
      </c>
      <c r="J1335" s="75">
        <v>48887</v>
      </c>
      <c r="K1335" t="s">
        <v>164</v>
      </c>
      <c r="L1335" t="s">
        <v>165</v>
      </c>
      <c r="M1335" s="81">
        <v>46154.620891203696</v>
      </c>
      <c r="N1335" s="81">
        <v>46156.349166666667</v>
      </c>
      <c r="O1335" t="s">
        <v>58</v>
      </c>
      <c r="P1335" t="s">
        <v>59</v>
      </c>
      <c r="Q1335" t="s">
        <v>77</v>
      </c>
      <c r="R1335" t="s">
        <v>131</v>
      </c>
      <c r="S1335" t="s">
        <v>1316</v>
      </c>
      <c r="U1335" s="75">
        <v>253689</v>
      </c>
      <c r="V1335" t="s">
        <v>5709</v>
      </c>
      <c r="W1335" t="s">
        <v>5709</v>
      </c>
      <c r="X1335" t="s">
        <v>62</v>
      </c>
      <c r="Y1335" t="s">
        <v>1380</v>
      </c>
      <c r="AA1335" t="s">
        <v>64</v>
      </c>
      <c r="AB1335">
        <v>41.416666999999997</v>
      </c>
      <c r="AC1335">
        <v>36.066667000000002</v>
      </c>
      <c r="AD1335">
        <v>5.35</v>
      </c>
      <c r="AE1335">
        <v>0.4</v>
      </c>
      <c r="AF1335">
        <v>0</v>
      </c>
      <c r="AG1335">
        <v>4.95</v>
      </c>
      <c r="AH1335">
        <v>4.95</v>
      </c>
      <c r="AI1335">
        <v>3.95</v>
      </c>
      <c r="AJ1335">
        <v>1</v>
      </c>
      <c r="AK1335">
        <v>0</v>
      </c>
      <c r="AL1335" s="76">
        <v>45863</v>
      </c>
      <c r="AM1335" s="75">
        <v>291</v>
      </c>
      <c r="AN1335" t="s">
        <v>65</v>
      </c>
      <c r="AO1335" t="s">
        <v>5710</v>
      </c>
      <c r="AP1335" t="s">
        <v>67</v>
      </c>
      <c r="AQ1335" t="s">
        <v>68</v>
      </c>
      <c r="AR1335" t="s">
        <v>69</v>
      </c>
      <c r="AT1335" s="82" t="s">
        <v>5545</v>
      </c>
      <c r="AU1335" s="78">
        <v>2026</v>
      </c>
      <c r="AV1335" s="78">
        <v>5</v>
      </c>
      <c r="AW1335" s="78" t="s">
        <v>137</v>
      </c>
      <c r="AX1335" s="78">
        <v>1</v>
      </c>
      <c r="AY1335" s="78">
        <v>0</v>
      </c>
      <c r="BT1335" t="s">
        <v>137</v>
      </c>
      <c r="BU1335">
        <v>1</v>
      </c>
      <c r="BV1335">
        <v>0</v>
      </c>
    </row>
    <row r="1336" spans="1:74" x14ac:dyDescent="0.25">
      <c r="A1336" s="75">
        <v>5957563</v>
      </c>
      <c r="B1336" t="s">
        <v>5711</v>
      </c>
      <c r="C1336" t="s">
        <v>2856</v>
      </c>
      <c r="D1336" t="s">
        <v>125</v>
      </c>
      <c r="E1336" t="s">
        <v>87</v>
      </c>
      <c r="F1336" s="75">
        <v>4</v>
      </c>
      <c r="G1336" s="75">
        <v>291785</v>
      </c>
      <c r="H1336">
        <v>273.22000000000003</v>
      </c>
      <c r="I1336" t="s">
        <v>114</v>
      </c>
      <c r="J1336" s="75">
        <v>217825</v>
      </c>
      <c r="K1336" t="s">
        <v>2857</v>
      </c>
      <c r="L1336" t="s">
        <v>2858</v>
      </c>
      <c r="M1336" s="81">
        <v>46155.31722222222</v>
      </c>
      <c r="N1336" s="81">
        <v>46156.364733796298</v>
      </c>
      <c r="O1336" t="s">
        <v>58</v>
      </c>
      <c r="P1336" t="s">
        <v>59</v>
      </c>
      <c r="Q1336" t="s">
        <v>77</v>
      </c>
      <c r="R1336" t="s">
        <v>60</v>
      </c>
      <c r="S1336" t="s">
        <v>583</v>
      </c>
      <c r="U1336" s="75">
        <v>253995</v>
      </c>
      <c r="V1336" t="s">
        <v>5712</v>
      </c>
      <c r="W1336" t="s">
        <v>5712</v>
      </c>
      <c r="X1336" t="s">
        <v>62</v>
      </c>
      <c r="Y1336" t="s">
        <v>63</v>
      </c>
      <c r="AA1336" t="s">
        <v>64</v>
      </c>
      <c r="AB1336">
        <v>25.083333</v>
      </c>
      <c r="AC1336">
        <v>18.566666000000001</v>
      </c>
      <c r="AD1336">
        <v>6.516667</v>
      </c>
      <c r="AE1336">
        <v>0.35</v>
      </c>
      <c r="AF1336">
        <v>0</v>
      </c>
      <c r="AG1336">
        <v>6.1666670000000003</v>
      </c>
      <c r="AH1336">
        <v>6.1666670000000003</v>
      </c>
      <c r="AI1336">
        <v>6.05</v>
      </c>
      <c r="AJ1336">
        <v>0.11666700000000001</v>
      </c>
      <c r="AK1336">
        <v>0</v>
      </c>
      <c r="AL1336" s="76">
        <v>45303</v>
      </c>
      <c r="AM1336" s="75">
        <v>852</v>
      </c>
      <c r="AN1336" t="s">
        <v>65</v>
      </c>
      <c r="AO1336" t="s">
        <v>5713</v>
      </c>
      <c r="AP1336" t="s">
        <v>67</v>
      </c>
      <c r="AQ1336" t="s">
        <v>68</v>
      </c>
      <c r="AR1336" t="s">
        <v>69</v>
      </c>
      <c r="AT1336" s="82" t="s">
        <v>5545</v>
      </c>
      <c r="AU1336" s="78">
        <v>2026</v>
      </c>
      <c r="AV1336" s="78">
        <v>5</v>
      </c>
      <c r="AW1336" s="78" t="s">
        <v>71</v>
      </c>
      <c r="AX1336" s="78">
        <v>1</v>
      </c>
      <c r="AY1336" s="78">
        <v>0</v>
      </c>
      <c r="BT1336" t="s">
        <v>71</v>
      </c>
      <c r="BU1336">
        <v>1</v>
      </c>
      <c r="BV1336">
        <v>0</v>
      </c>
    </row>
    <row r="1337" spans="1:74" x14ac:dyDescent="0.25">
      <c r="A1337" s="75">
        <v>5957705</v>
      </c>
      <c r="B1337" t="s">
        <v>5714</v>
      </c>
      <c r="C1337" t="s">
        <v>5715</v>
      </c>
      <c r="D1337" t="s">
        <v>125</v>
      </c>
      <c r="E1337" t="s">
        <v>87</v>
      </c>
      <c r="F1337" s="75">
        <v>115</v>
      </c>
      <c r="G1337" s="75">
        <v>302963</v>
      </c>
      <c r="H1337">
        <v>517.82000000000005</v>
      </c>
      <c r="I1337" t="s">
        <v>55</v>
      </c>
      <c r="J1337" s="75">
        <v>203659</v>
      </c>
      <c r="K1337" t="s">
        <v>1090</v>
      </c>
      <c r="L1337" t="s">
        <v>1091</v>
      </c>
      <c r="M1337" s="81">
        <v>46155.375451388893</v>
      </c>
      <c r="N1337" s="81">
        <v>46156.37054398148</v>
      </c>
      <c r="O1337" t="s">
        <v>58</v>
      </c>
      <c r="P1337" t="s">
        <v>59</v>
      </c>
      <c r="Q1337" t="s">
        <v>90</v>
      </c>
      <c r="R1337" t="s">
        <v>60</v>
      </c>
      <c r="S1337" t="s">
        <v>1268</v>
      </c>
      <c r="U1337" s="75"/>
      <c r="X1337" t="s">
        <v>62</v>
      </c>
      <c r="Y1337" t="s">
        <v>271</v>
      </c>
      <c r="AA1337" t="s">
        <v>64</v>
      </c>
      <c r="AB1337">
        <v>23.833334000000001</v>
      </c>
      <c r="AC1337">
        <v>15.266667</v>
      </c>
      <c r="AD1337">
        <v>8.5666670000000007</v>
      </c>
      <c r="AE1337">
        <v>2.2000000000000002</v>
      </c>
      <c r="AF1337">
        <v>0</v>
      </c>
      <c r="AG1337">
        <v>6.3666669999999996</v>
      </c>
      <c r="AH1337">
        <v>6.3666669999999996</v>
      </c>
      <c r="AI1337">
        <v>5.85</v>
      </c>
      <c r="AJ1337">
        <v>0.51666699999999999</v>
      </c>
      <c r="AK1337">
        <v>0</v>
      </c>
      <c r="AL1337" s="76">
        <v>45422</v>
      </c>
      <c r="AM1337" s="75">
        <v>733</v>
      </c>
      <c r="AN1337" t="s">
        <v>65</v>
      </c>
      <c r="AO1337" t="s">
        <v>5716</v>
      </c>
      <c r="AP1337" t="s">
        <v>67</v>
      </c>
      <c r="AQ1337" t="s">
        <v>68</v>
      </c>
      <c r="AR1337" t="s">
        <v>69</v>
      </c>
      <c r="AT1337" s="82" t="s">
        <v>5545</v>
      </c>
      <c r="AU1337" s="78">
        <v>2026</v>
      </c>
      <c r="AV1337" s="78">
        <v>5</v>
      </c>
      <c r="AW1337" s="78" t="s">
        <v>137</v>
      </c>
      <c r="AX1337" s="78">
        <v>1</v>
      </c>
      <c r="AY1337" s="78">
        <v>0</v>
      </c>
      <c r="BT1337" t="s">
        <v>137</v>
      </c>
      <c r="BU1337">
        <v>1</v>
      </c>
      <c r="BV1337">
        <v>0</v>
      </c>
    </row>
    <row r="1338" spans="1:74" x14ac:dyDescent="0.25">
      <c r="A1338" s="75">
        <v>5957351</v>
      </c>
      <c r="B1338" t="s">
        <v>5717</v>
      </c>
      <c r="C1338" t="s">
        <v>4107</v>
      </c>
      <c r="D1338" t="s">
        <v>809</v>
      </c>
      <c r="E1338" t="s">
        <v>87</v>
      </c>
      <c r="F1338" s="75">
        <v>225</v>
      </c>
      <c r="G1338" s="75">
        <v>286247</v>
      </c>
      <c r="H1338">
        <v>368.16</v>
      </c>
      <c r="I1338" t="s">
        <v>55</v>
      </c>
      <c r="J1338" s="75">
        <v>218791</v>
      </c>
      <c r="K1338" t="s">
        <v>312</v>
      </c>
      <c r="L1338" t="s">
        <v>313</v>
      </c>
      <c r="M1338" s="81">
        <v>46154.854675925933</v>
      </c>
      <c r="N1338" s="81">
        <v>46156.439097222217</v>
      </c>
      <c r="O1338" t="s">
        <v>58</v>
      </c>
      <c r="P1338" t="s">
        <v>59</v>
      </c>
      <c r="Q1338" t="s">
        <v>90</v>
      </c>
      <c r="R1338" t="s">
        <v>99</v>
      </c>
      <c r="S1338" t="s">
        <v>1244</v>
      </c>
      <c r="U1338" s="75">
        <v>253827</v>
      </c>
      <c r="V1338" t="s">
        <v>5718</v>
      </c>
      <c r="X1338" t="s">
        <v>62</v>
      </c>
      <c r="Y1338" t="s">
        <v>63</v>
      </c>
      <c r="AA1338" t="s">
        <v>101</v>
      </c>
      <c r="AB1338">
        <v>37.966667000000001</v>
      </c>
      <c r="AC1338">
        <v>29.483332999999998</v>
      </c>
      <c r="AD1338">
        <v>8.4833339999999993</v>
      </c>
      <c r="AE1338">
        <v>0.11666700000000001</v>
      </c>
      <c r="AF1338">
        <v>0</v>
      </c>
      <c r="AG1338">
        <v>8.3666669999999996</v>
      </c>
      <c r="AH1338">
        <v>8.3666669999999996</v>
      </c>
      <c r="AI1338">
        <v>8.016667</v>
      </c>
      <c r="AJ1338">
        <v>0.35</v>
      </c>
      <c r="AK1338">
        <v>0</v>
      </c>
      <c r="AL1338" s="76">
        <v>44876.622743055559</v>
      </c>
      <c r="AM1338" s="75">
        <v>1278</v>
      </c>
      <c r="AN1338" t="s">
        <v>65</v>
      </c>
      <c r="AO1338" t="s">
        <v>660</v>
      </c>
      <c r="AP1338" t="s">
        <v>67</v>
      </c>
      <c r="AQ1338" t="s">
        <v>68</v>
      </c>
      <c r="AR1338" t="s">
        <v>69</v>
      </c>
      <c r="AT1338" s="82" t="s">
        <v>5545</v>
      </c>
      <c r="AU1338" s="78">
        <v>2026</v>
      </c>
      <c r="AV1338" s="78">
        <v>5</v>
      </c>
      <c r="AW1338" s="78" t="s">
        <v>71</v>
      </c>
      <c r="AX1338" s="78">
        <v>0</v>
      </c>
      <c r="AY1338" s="78">
        <v>0</v>
      </c>
      <c r="BT1338" t="s">
        <v>71</v>
      </c>
      <c r="BU1338">
        <v>0</v>
      </c>
      <c r="BV1338">
        <v>0</v>
      </c>
    </row>
    <row r="1339" spans="1:74" x14ac:dyDescent="0.25">
      <c r="A1339" s="75">
        <v>5959747</v>
      </c>
      <c r="B1339" t="s">
        <v>5719</v>
      </c>
      <c r="C1339" t="s">
        <v>4193</v>
      </c>
      <c r="D1339" t="s">
        <v>2379</v>
      </c>
      <c r="E1339" t="s">
        <v>87</v>
      </c>
      <c r="F1339" s="75">
        <v>531</v>
      </c>
      <c r="G1339" s="75">
        <v>347277</v>
      </c>
      <c r="H1339">
        <v>382.47</v>
      </c>
      <c r="I1339" t="s">
        <v>175</v>
      </c>
      <c r="J1339" s="75">
        <v>218791</v>
      </c>
      <c r="K1339" t="s">
        <v>312</v>
      </c>
      <c r="L1339" t="s">
        <v>313</v>
      </c>
      <c r="M1339" s="81">
        <v>46155.66028935185</v>
      </c>
      <c r="N1339" s="81">
        <v>46156.568912037037</v>
      </c>
      <c r="O1339" t="s">
        <v>58</v>
      </c>
      <c r="P1339" t="s">
        <v>59</v>
      </c>
      <c r="Q1339" t="s">
        <v>90</v>
      </c>
      <c r="R1339" t="s">
        <v>99</v>
      </c>
      <c r="S1339" t="s">
        <v>1244</v>
      </c>
      <c r="U1339" s="75">
        <v>254791</v>
      </c>
      <c r="V1339" t="s">
        <v>5720</v>
      </c>
      <c r="W1339" t="s">
        <v>5720</v>
      </c>
      <c r="X1339" t="s">
        <v>62</v>
      </c>
      <c r="Y1339" t="s">
        <v>63</v>
      </c>
      <c r="AA1339" t="s">
        <v>81</v>
      </c>
      <c r="AB1339">
        <v>21.750001000000001</v>
      </c>
      <c r="AC1339">
        <v>13.45</v>
      </c>
      <c r="AD1339">
        <v>8.300001</v>
      </c>
      <c r="AE1339">
        <v>5.1666670000000003</v>
      </c>
      <c r="AF1339">
        <v>0</v>
      </c>
      <c r="AG1339">
        <v>3.1333340000000001</v>
      </c>
      <c r="AH1339">
        <v>3.1333340000000001</v>
      </c>
      <c r="AI1339">
        <v>2.6833339999999999</v>
      </c>
      <c r="AJ1339">
        <v>0.45</v>
      </c>
      <c r="AK1339">
        <v>0</v>
      </c>
      <c r="AL1339" s="76">
        <v>45945.738692129627</v>
      </c>
      <c r="AM1339" s="75">
        <v>209</v>
      </c>
      <c r="AN1339" t="s">
        <v>65</v>
      </c>
      <c r="AO1339" t="s">
        <v>1261</v>
      </c>
      <c r="AP1339" t="s">
        <v>67</v>
      </c>
      <c r="AQ1339" t="s">
        <v>68</v>
      </c>
      <c r="AR1339" t="s">
        <v>69</v>
      </c>
      <c r="AT1339" s="82" t="s">
        <v>5545</v>
      </c>
      <c r="AU1339" s="78">
        <v>2026</v>
      </c>
      <c r="AV1339" s="78">
        <v>5</v>
      </c>
      <c r="AW1339" s="78" t="s">
        <v>71</v>
      </c>
      <c r="AX1339" s="78">
        <v>1</v>
      </c>
      <c r="AY1339" s="78">
        <v>0</v>
      </c>
      <c r="BT1339" t="s">
        <v>71</v>
      </c>
      <c r="BU1339">
        <v>1</v>
      </c>
      <c r="BV1339">
        <v>0</v>
      </c>
    </row>
    <row r="1340" spans="1:74" x14ac:dyDescent="0.25">
      <c r="A1340" s="75">
        <v>5959987</v>
      </c>
      <c r="B1340" t="s">
        <v>5721</v>
      </c>
      <c r="C1340" t="s">
        <v>5722</v>
      </c>
      <c r="D1340" t="s">
        <v>125</v>
      </c>
      <c r="E1340" t="s">
        <v>87</v>
      </c>
      <c r="F1340" s="75">
        <v>308</v>
      </c>
      <c r="G1340" s="75">
        <v>286511</v>
      </c>
      <c r="H1340">
        <v>364.96</v>
      </c>
      <c r="I1340" t="s">
        <v>55</v>
      </c>
      <c r="J1340" s="75">
        <v>218787</v>
      </c>
      <c r="K1340" t="s">
        <v>96</v>
      </c>
      <c r="L1340" t="s">
        <v>97</v>
      </c>
      <c r="M1340" s="81">
        <v>46155.757384259261</v>
      </c>
      <c r="N1340" s="81">
        <v>46156.592777777783</v>
      </c>
      <c r="O1340" t="s">
        <v>58</v>
      </c>
      <c r="P1340" t="s">
        <v>59</v>
      </c>
      <c r="Q1340" t="s">
        <v>90</v>
      </c>
      <c r="R1340" t="s">
        <v>131</v>
      </c>
      <c r="S1340" t="s">
        <v>1273</v>
      </c>
      <c r="U1340" s="75">
        <v>254749</v>
      </c>
      <c r="V1340" t="s">
        <v>5723</v>
      </c>
      <c r="W1340" t="s">
        <v>5723</v>
      </c>
      <c r="X1340" t="s">
        <v>62</v>
      </c>
      <c r="Y1340" t="s">
        <v>63</v>
      </c>
      <c r="AA1340" t="s">
        <v>64</v>
      </c>
      <c r="AB1340">
        <v>19.966667000000001</v>
      </c>
      <c r="AC1340">
        <v>13.766667</v>
      </c>
      <c r="AD1340">
        <v>6.2</v>
      </c>
      <c r="AE1340">
        <v>0.2</v>
      </c>
      <c r="AF1340">
        <v>0</v>
      </c>
      <c r="AG1340">
        <v>6</v>
      </c>
      <c r="AH1340">
        <v>6</v>
      </c>
      <c r="AI1340">
        <v>5.8833330000000004</v>
      </c>
      <c r="AJ1340">
        <v>0.11666700000000001</v>
      </c>
      <c r="AK1340">
        <v>0</v>
      </c>
      <c r="AL1340" s="76">
        <v>44924</v>
      </c>
      <c r="AM1340" s="75">
        <v>1231</v>
      </c>
      <c r="AN1340" t="s">
        <v>65</v>
      </c>
      <c r="AO1340" t="s">
        <v>5724</v>
      </c>
      <c r="AP1340" t="s">
        <v>67</v>
      </c>
      <c r="AQ1340" t="s">
        <v>68</v>
      </c>
      <c r="AR1340" t="s">
        <v>69</v>
      </c>
      <c r="AT1340" s="82" t="s">
        <v>5545</v>
      </c>
      <c r="AU1340" s="78">
        <v>2026</v>
      </c>
      <c r="AV1340" s="78">
        <v>5</v>
      </c>
      <c r="AW1340" s="78" t="s">
        <v>71</v>
      </c>
      <c r="AX1340" s="78">
        <v>1</v>
      </c>
      <c r="AY1340" s="78">
        <v>0</v>
      </c>
      <c r="BT1340" t="s">
        <v>71</v>
      </c>
      <c r="BU1340">
        <v>1</v>
      </c>
      <c r="BV1340">
        <v>0</v>
      </c>
    </row>
    <row r="1341" spans="1:74" x14ac:dyDescent="0.25">
      <c r="A1341" s="75">
        <v>5960747</v>
      </c>
      <c r="B1341" t="s">
        <v>5725</v>
      </c>
      <c r="C1341" t="s">
        <v>5726</v>
      </c>
      <c r="D1341" t="s">
        <v>257</v>
      </c>
      <c r="E1341" t="s">
        <v>54</v>
      </c>
      <c r="F1341" s="75">
        <v>4</v>
      </c>
      <c r="G1341" s="75">
        <v>330997</v>
      </c>
      <c r="H1341">
        <v>1935.72</v>
      </c>
      <c r="I1341" t="s">
        <v>141</v>
      </c>
      <c r="J1341" s="75">
        <v>210403</v>
      </c>
      <c r="K1341" t="s">
        <v>4380</v>
      </c>
      <c r="L1341" t="s">
        <v>4381</v>
      </c>
      <c r="M1341" s="81">
        <v>46156.405949074076</v>
      </c>
      <c r="N1341" s="81">
        <v>46156.598530092589</v>
      </c>
      <c r="O1341" t="s">
        <v>58</v>
      </c>
      <c r="P1341" t="s">
        <v>59</v>
      </c>
      <c r="Q1341" t="s">
        <v>130</v>
      </c>
      <c r="R1341" t="s">
        <v>60</v>
      </c>
      <c r="S1341" t="s">
        <v>1268</v>
      </c>
      <c r="U1341" s="75">
        <v>255333</v>
      </c>
      <c r="V1341" t="s">
        <v>5727</v>
      </c>
      <c r="W1341" t="s">
        <v>5727</v>
      </c>
      <c r="X1341" t="s">
        <v>79</v>
      </c>
      <c r="Y1341" t="s">
        <v>224</v>
      </c>
      <c r="AA1341" t="s">
        <v>81</v>
      </c>
      <c r="AB1341">
        <v>4.5833339999999998</v>
      </c>
      <c r="AC1341">
        <v>1.1499999999999999</v>
      </c>
      <c r="AD1341">
        <v>3.4333339999999999</v>
      </c>
      <c r="AE1341">
        <v>0.216667</v>
      </c>
      <c r="AF1341">
        <v>0</v>
      </c>
      <c r="AG1341">
        <v>3.2166670000000002</v>
      </c>
      <c r="AH1341">
        <v>3.2166670000000002</v>
      </c>
      <c r="AI1341">
        <v>3.1333340000000001</v>
      </c>
      <c r="AJ1341">
        <v>8.3333000000000004E-2</v>
      </c>
      <c r="AK1341">
        <v>0</v>
      </c>
      <c r="AL1341" s="76">
        <v>44824</v>
      </c>
      <c r="AM1341" s="75">
        <v>1332</v>
      </c>
      <c r="AN1341" t="s">
        <v>65</v>
      </c>
      <c r="AO1341" t="s">
        <v>4383</v>
      </c>
      <c r="AP1341" t="s">
        <v>67</v>
      </c>
      <c r="AQ1341" t="s">
        <v>83</v>
      </c>
      <c r="AR1341" t="s">
        <v>69</v>
      </c>
      <c r="AT1341" s="82" t="s">
        <v>5545</v>
      </c>
      <c r="AU1341" s="78">
        <v>2026</v>
      </c>
      <c r="AV1341" s="78">
        <v>5</v>
      </c>
      <c r="AW1341" s="78" t="s">
        <v>226</v>
      </c>
      <c r="AX1341" s="78">
        <v>1</v>
      </c>
      <c r="AY1341" s="78">
        <v>0</v>
      </c>
      <c r="BT1341" t="s">
        <v>226</v>
      </c>
      <c r="BU1341">
        <v>1</v>
      </c>
      <c r="BV1341">
        <v>0</v>
      </c>
    </row>
    <row r="1342" spans="1:74" x14ac:dyDescent="0.25">
      <c r="A1342" s="75">
        <v>5959123</v>
      </c>
      <c r="B1342" t="s">
        <v>5728</v>
      </c>
      <c r="C1342" t="s">
        <v>5729</v>
      </c>
      <c r="D1342" t="s">
        <v>1052</v>
      </c>
      <c r="E1342" t="s">
        <v>105</v>
      </c>
      <c r="F1342" s="75">
        <v>1113</v>
      </c>
      <c r="G1342" s="75">
        <v>333465</v>
      </c>
      <c r="H1342">
        <v>456.52</v>
      </c>
      <c r="I1342" t="s">
        <v>175</v>
      </c>
      <c r="J1342" s="75">
        <v>83605</v>
      </c>
      <c r="K1342" t="s">
        <v>844</v>
      </c>
      <c r="L1342" t="s">
        <v>845</v>
      </c>
      <c r="M1342" s="81">
        <v>46155.472604166673</v>
      </c>
      <c r="N1342" s="81">
        <v>46156.831817129627</v>
      </c>
      <c r="O1342" t="s">
        <v>58</v>
      </c>
      <c r="P1342" t="s">
        <v>59</v>
      </c>
      <c r="Q1342" t="s">
        <v>130</v>
      </c>
      <c r="R1342" t="s">
        <v>60</v>
      </c>
      <c r="S1342" t="s">
        <v>583</v>
      </c>
      <c r="U1342" s="75">
        <v>254525</v>
      </c>
      <c r="V1342" t="s">
        <v>5730</v>
      </c>
      <c r="W1342" t="s">
        <v>5730</v>
      </c>
      <c r="X1342" t="s">
        <v>62</v>
      </c>
      <c r="Y1342" t="s">
        <v>2629</v>
      </c>
      <c r="AA1342" t="s">
        <v>416</v>
      </c>
      <c r="AB1342">
        <v>32.533334000000004</v>
      </c>
      <c r="AC1342">
        <v>12.35</v>
      </c>
      <c r="AD1342">
        <v>20.183333999999999</v>
      </c>
      <c r="AE1342">
        <v>1.016667</v>
      </c>
      <c r="AF1342">
        <v>0</v>
      </c>
      <c r="AG1342">
        <v>19.166667</v>
      </c>
      <c r="AH1342">
        <v>19.166667</v>
      </c>
      <c r="AI1342">
        <v>18.816666999999999</v>
      </c>
      <c r="AJ1342">
        <v>0.35</v>
      </c>
      <c r="AK1342">
        <v>0</v>
      </c>
      <c r="AL1342" s="76">
        <v>45808.717766203707</v>
      </c>
      <c r="AM1342" s="75">
        <v>346</v>
      </c>
      <c r="AN1342" t="s">
        <v>65</v>
      </c>
      <c r="AO1342" t="s">
        <v>5611</v>
      </c>
      <c r="AP1342" t="s">
        <v>67</v>
      </c>
      <c r="AQ1342" t="s">
        <v>68</v>
      </c>
      <c r="AR1342" t="s">
        <v>69</v>
      </c>
      <c r="AT1342" s="82" t="s">
        <v>5545</v>
      </c>
      <c r="AU1342" s="78">
        <v>2026</v>
      </c>
      <c r="AV1342" s="78">
        <v>5</v>
      </c>
      <c r="AW1342" s="78" t="s">
        <v>71</v>
      </c>
      <c r="AX1342" s="78">
        <v>0</v>
      </c>
      <c r="AY1342" s="78">
        <v>0</v>
      </c>
      <c r="BT1342" t="s">
        <v>71</v>
      </c>
      <c r="BU1342">
        <v>0</v>
      </c>
      <c r="BV1342">
        <v>0</v>
      </c>
    </row>
    <row r="1343" spans="1:74" x14ac:dyDescent="0.25">
      <c r="A1343" s="75">
        <v>5959995</v>
      </c>
      <c r="B1343" t="s">
        <v>5731</v>
      </c>
      <c r="C1343" t="s">
        <v>5732</v>
      </c>
      <c r="D1343" t="s">
        <v>1052</v>
      </c>
      <c r="E1343" t="s">
        <v>126</v>
      </c>
      <c r="F1343" s="75">
        <v>1</v>
      </c>
      <c r="G1343" s="75">
        <v>322175</v>
      </c>
      <c r="H1343">
        <v>7000</v>
      </c>
      <c r="I1343" t="s">
        <v>114</v>
      </c>
      <c r="J1343" s="75">
        <v>223401</v>
      </c>
      <c r="K1343" t="s">
        <v>3780</v>
      </c>
      <c r="L1343" t="s">
        <v>3781</v>
      </c>
      <c r="M1343" s="81">
        <v>46155.766840277778</v>
      </c>
      <c r="N1343" s="81">
        <v>46156.871400462973</v>
      </c>
      <c r="O1343" t="s">
        <v>58</v>
      </c>
      <c r="P1343" t="s">
        <v>59</v>
      </c>
      <c r="Q1343" t="s">
        <v>130</v>
      </c>
      <c r="R1343" t="s">
        <v>60</v>
      </c>
      <c r="S1343" t="s">
        <v>583</v>
      </c>
      <c r="U1343" s="75">
        <v>254755</v>
      </c>
      <c r="V1343" t="s">
        <v>5733</v>
      </c>
      <c r="X1343" t="s">
        <v>118</v>
      </c>
      <c r="Y1343" t="s">
        <v>1346</v>
      </c>
      <c r="AA1343" t="s">
        <v>101</v>
      </c>
      <c r="AB1343">
        <v>26.433333000000001</v>
      </c>
      <c r="AC1343">
        <v>15.866667</v>
      </c>
      <c r="AD1343">
        <v>10.566666</v>
      </c>
      <c r="AE1343">
        <v>0.4</v>
      </c>
      <c r="AF1343">
        <v>0</v>
      </c>
      <c r="AG1343">
        <v>10.166665999999999</v>
      </c>
      <c r="AH1343">
        <v>10.166665999999999</v>
      </c>
      <c r="AI1343">
        <v>9.5666659999999997</v>
      </c>
      <c r="AJ1343">
        <v>0.6</v>
      </c>
      <c r="AK1343">
        <v>0</v>
      </c>
      <c r="AL1343" s="76">
        <v>45535</v>
      </c>
      <c r="AM1343" s="75">
        <v>620</v>
      </c>
      <c r="AN1343" t="s">
        <v>65</v>
      </c>
      <c r="AO1343" t="s">
        <v>3783</v>
      </c>
      <c r="AP1343" t="s">
        <v>67</v>
      </c>
      <c r="AQ1343" t="s">
        <v>121</v>
      </c>
      <c r="AR1343" t="s">
        <v>69</v>
      </c>
      <c r="AT1343" s="82" t="s">
        <v>5545</v>
      </c>
      <c r="AU1343" s="78">
        <v>2026</v>
      </c>
      <c r="AV1343" s="78">
        <v>5</v>
      </c>
      <c r="AW1343" s="78" t="s">
        <v>347</v>
      </c>
      <c r="AX1343" s="78">
        <v>0</v>
      </c>
      <c r="AY1343" s="78">
        <v>0</v>
      </c>
      <c r="BT1343" t="s">
        <v>347</v>
      </c>
      <c r="BU1343">
        <v>0</v>
      </c>
      <c r="BV1343">
        <v>0</v>
      </c>
    </row>
    <row r="1344" spans="1:74" x14ac:dyDescent="0.25">
      <c r="A1344" s="75">
        <v>5954557</v>
      </c>
      <c r="B1344" t="s">
        <v>5734</v>
      </c>
      <c r="C1344" t="s">
        <v>5735</v>
      </c>
      <c r="D1344" t="s">
        <v>125</v>
      </c>
      <c r="E1344" t="s">
        <v>54</v>
      </c>
      <c r="F1344" s="75">
        <v>4</v>
      </c>
      <c r="G1344" s="75">
        <v>351189</v>
      </c>
      <c r="H1344">
        <v>1441</v>
      </c>
      <c r="I1344" t="s">
        <v>141</v>
      </c>
      <c r="J1344" s="75">
        <v>229801</v>
      </c>
      <c r="K1344" t="s">
        <v>5736</v>
      </c>
      <c r="L1344" t="s">
        <v>5737</v>
      </c>
      <c r="M1344" s="81">
        <v>46153.418391203697</v>
      </c>
      <c r="N1344" s="81">
        <v>46157.294930555552</v>
      </c>
      <c r="O1344" t="s">
        <v>58</v>
      </c>
      <c r="P1344" t="s">
        <v>59</v>
      </c>
      <c r="Q1344" t="s">
        <v>130</v>
      </c>
      <c r="R1344" t="s">
        <v>156</v>
      </c>
      <c r="S1344" t="s">
        <v>1311</v>
      </c>
      <c r="U1344" s="75">
        <v>252437</v>
      </c>
      <c r="V1344" t="s">
        <v>5738</v>
      </c>
      <c r="W1344" t="s">
        <v>5738</v>
      </c>
      <c r="X1344" t="s">
        <v>62</v>
      </c>
      <c r="Y1344" t="s">
        <v>63</v>
      </c>
      <c r="AA1344" t="s">
        <v>416</v>
      </c>
      <c r="AB1344">
        <v>92.933335</v>
      </c>
      <c r="AC1344">
        <v>76.666667000000004</v>
      </c>
      <c r="AD1344">
        <v>16.266667999999999</v>
      </c>
      <c r="AE1344">
        <v>0.3</v>
      </c>
      <c r="AF1344">
        <v>0</v>
      </c>
      <c r="AG1344">
        <v>15.966668</v>
      </c>
      <c r="AH1344">
        <v>15.966668</v>
      </c>
      <c r="AI1344">
        <v>15.133334</v>
      </c>
      <c r="AJ1344">
        <v>0.83333400000000002</v>
      </c>
      <c r="AK1344">
        <v>0</v>
      </c>
      <c r="AL1344" s="76">
        <v>46125.40693287037</v>
      </c>
      <c r="AM1344" s="75">
        <v>28</v>
      </c>
      <c r="AN1344" t="s">
        <v>65</v>
      </c>
      <c r="AO1344" t="s">
        <v>5739</v>
      </c>
      <c r="AP1344" t="s">
        <v>67</v>
      </c>
      <c r="AQ1344" t="s">
        <v>68</v>
      </c>
      <c r="AR1344" t="s">
        <v>69</v>
      </c>
      <c r="AT1344" s="82" t="s">
        <v>5545</v>
      </c>
      <c r="AU1344" s="78">
        <v>2026</v>
      </c>
      <c r="AV1344" s="78">
        <v>5</v>
      </c>
      <c r="AW1344" s="78" t="s">
        <v>71</v>
      </c>
      <c r="AX1344" s="78">
        <v>0</v>
      </c>
      <c r="AY1344" s="78">
        <v>0</v>
      </c>
      <c r="BT1344" t="s">
        <v>71</v>
      </c>
      <c r="BU1344">
        <v>0</v>
      </c>
      <c r="BV1344">
        <v>0</v>
      </c>
    </row>
    <row r="1345" spans="1:74" x14ac:dyDescent="0.25">
      <c r="A1345" s="75">
        <v>5954985</v>
      </c>
      <c r="B1345" t="s">
        <v>5740</v>
      </c>
      <c r="C1345" t="s">
        <v>5244</v>
      </c>
      <c r="D1345" t="s">
        <v>125</v>
      </c>
      <c r="E1345" t="s">
        <v>54</v>
      </c>
      <c r="F1345" s="75">
        <v>1</v>
      </c>
      <c r="G1345" s="75">
        <v>266547</v>
      </c>
      <c r="H1345">
        <v>900</v>
      </c>
      <c r="I1345" t="s">
        <v>242</v>
      </c>
      <c r="J1345" s="75">
        <v>209717</v>
      </c>
      <c r="K1345" t="s">
        <v>3297</v>
      </c>
      <c r="L1345" t="s">
        <v>3298</v>
      </c>
      <c r="M1345" s="81">
        <v>46153.55909722222</v>
      </c>
      <c r="N1345" s="81">
        <v>46157.297222222223</v>
      </c>
      <c r="O1345" t="s">
        <v>58</v>
      </c>
      <c r="P1345" t="s">
        <v>59</v>
      </c>
      <c r="Q1345" t="s">
        <v>130</v>
      </c>
      <c r="R1345" t="s">
        <v>156</v>
      </c>
      <c r="S1345" t="s">
        <v>1311</v>
      </c>
      <c r="U1345" s="75">
        <v>255215</v>
      </c>
      <c r="V1345" t="s">
        <v>5741</v>
      </c>
      <c r="W1345" t="s">
        <v>5742</v>
      </c>
      <c r="X1345" t="s">
        <v>79</v>
      </c>
      <c r="Y1345" t="s">
        <v>3300</v>
      </c>
      <c r="AA1345" t="s">
        <v>295</v>
      </c>
      <c r="AB1345">
        <v>89.616665999999995</v>
      </c>
      <c r="AC1345">
        <v>59.849998999999997</v>
      </c>
      <c r="AD1345">
        <v>29.766667000000002</v>
      </c>
      <c r="AE1345">
        <v>1.6166670000000001</v>
      </c>
      <c r="AF1345">
        <v>0</v>
      </c>
      <c r="AG1345">
        <v>28.15</v>
      </c>
      <c r="AH1345">
        <v>28.15</v>
      </c>
      <c r="AI1345">
        <v>27.45</v>
      </c>
      <c r="AJ1345">
        <v>0.7</v>
      </c>
      <c r="AK1345">
        <v>0</v>
      </c>
      <c r="AL1345" s="76">
        <v>36526</v>
      </c>
      <c r="AM1345" s="75">
        <v>9627</v>
      </c>
      <c r="AN1345" t="s">
        <v>65</v>
      </c>
      <c r="AO1345" t="s">
        <v>3301</v>
      </c>
      <c r="AP1345" t="s">
        <v>67</v>
      </c>
      <c r="AQ1345" t="s">
        <v>83</v>
      </c>
      <c r="AR1345" t="s">
        <v>69</v>
      </c>
      <c r="AT1345" s="82" t="s">
        <v>5545</v>
      </c>
      <c r="AU1345" s="78">
        <v>2026</v>
      </c>
      <c r="AV1345" s="78">
        <v>5</v>
      </c>
      <c r="AW1345" s="78" t="s">
        <v>84</v>
      </c>
      <c r="AX1345" s="78">
        <v>0</v>
      </c>
      <c r="AY1345" s="78">
        <v>1</v>
      </c>
      <c r="BT1345" t="s">
        <v>84</v>
      </c>
      <c r="BU1345">
        <v>0</v>
      </c>
      <c r="BV1345">
        <v>1</v>
      </c>
    </row>
    <row r="1346" spans="1:74" x14ac:dyDescent="0.25">
      <c r="A1346" s="75">
        <v>5957701</v>
      </c>
      <c r="B1346" t="s">
        <v>5743</v>
      </c>
      <c r="C1346" t="s">
        <v>5744</v>
      </c>
      <c r="D1346" t="s">
        <v>125</v>
      </c>
      <c r="E1346" t="s">
        <v>87</v>
      </c>
      <c r="F1346" s="75">
        <v>11</v>
      </c>
      <c r="G1346" s="75">
        <v>279653</v>
      </c>
      <c r="H1346">
        <v>516.22</v>
      </c>
      <c r="I1346" t="s">
        <v>266</v>
      </c>
      <c r="J1346" s="75">
        <v>149307</v>
      </c>
      <c r="K1346" t="s">
        <v>350</v>
      </c>
      <c r="L1346" t="s">
        <v>351</v>
      </c>
      <c r="M1346" s="81">
        <v>46155.375416666669</v>
      </c>
      <c r="N1346" s="81">
        <v>46157.336111111108</v>
      </c>
      <c r="O1346" t="s">
        <v>58</v>
      </c>
      <c r="P1346" t="s">
        <v>59</v>
      </c>
      <c r="Q1346" t="s">
        <v>90</v>
      </c>
      <c r="R1346" t="s">
        <v>60</v>
      </c>
      <c r="S1346" t="s">
        <v>1268</v>
      </c>
      <c r="U1346" s="75">
        <v>254381</v>
      </c>
      <c r="V1346" t="s">
        <v>5745</v>
      </c>
      <c r="X1346" t="s">
        <v>62</v>
      </c>
      <c r="Y1346" t="s">
        <v>271</v>
      </c>
      <c r="AA1346" t="s">
        <v>81</v>
      </c>
      <c r="AB1346">
        <v>46.999999000000003</v>
      </c>
      <c r="AC1346">
        <v>44.283332999999999</v>
      </c>
      <c r="AD1346">
        <v>2.716666</v>
      </c>
      <c r="AE1346">
        <v>0.93333299999999997</v>
      </c>
      <c r="AF1346">
        <v>0</v>
      </c>
      <c r="AG1346">
        <v>1.7833330000000001</v>
      </c>
      <c r="AH1346">
        <v>1.7833330000000001</v>
      </c>
      <c r="AI1346">
        <v>1.5333330000000001</v>
      </c>
      <c r="AJ1346">
        <v>0.25</v>
      </c>
      <c r="AK1346">
        <v>0</v>
      </c>
      <c r="AL1346" s="76">
        <v>44803</v>
      </c>
      <c r="AM1346" s="75">
        <v>1352</v>
      </c>
      <c r="AN1346" t="s">
        <v>65</v>
      </c>
      <c r="AO1346" t="s">
        <v>5746</v>
      </c>
      <c r="AP1346" t="s">
        <v>67</v>
      </c>
      <c r="AQ1346" t="s">
        <v>68</v>
      </c>
      <c r="AR1346" t="s">
        <v>69</v>
      </c>
      <c r="AT1346" s="82" t="s">
        <v>5545</v>
      </c>
      <c r="AU1346" s="78">
        <v>2026</v>
      </c>
      <c r="AV1346" s="78">
        <v>5</v>
      </c>
      <c r="AW1346" s="78" t="s">
        <v>137</v>
      </c>
      <c r="AX1346" s="78">
        <v>1</v>
      </c>
      <c r="AY1346" s="78">
        <v>0</v>
      </c>
      <c r="BT1346" t="s">
        <v>137</v>
      </c>
      <c r="BU1346">
        <v>1</v>
      </c>
      <c r="BV1346">
        <v>0</v>
      </c>
    </row>
    <row r="1347" spans="1:74" x14ac:dyDescent="0.25">
      <c r="A1347" s="75">
        <v>5958247</v>
      </c>
      <c r="B1347" t="s">
        <v>5747</v>
      </c>
      <c r="C1347" t="s">
        <v>5748</v>
      </c>
      <c r="D1347" t="s">
        <v>125</v>
      </c>
      <c r="E1347" t="s">
        <v>87</v>
      </c>
      <c r="F1347" s="75">
        <v>22</v>
      </c>
      <c r="G1347" s="75">
        <v>279675</v>
      </c>
      <c r="H1347">
        <v>0</v>
      </c>
      <c r="I1347" t="s">
        <v>242</v>
      </c>
      <c r="J1347" s="75">
        <v>149307</v>
      </c>
      <c r="K1347" t="s">
        <v>350</v>
      </c>
      <c r="L1347" t="s">
        <v>351</v>
      </c>
      <c r="M1347" s="81">
        <v>46155.388831018521</v>
      </c>
      <c r="N1347" s="81">
        <v>46157.337916666656</v>
      </c>
      <c r="O1347" t="s">
        <v>58</v>
      </c>
      <c r="P1347" t="s">
        <v>59</v>
      </c>
      <c r="Q1347" t="s">
        <v>130</v>
      </c>
      <c r="R1347" t="s">
        <v>60</v>
      </c>
      <c r="S1347" t="s">
        <v>583</v>
      </c>
      <c r="U1347" s="75">
        <v>254339</v>
      </c>
      <c r="V1347" t="s">
        <v>5749</v>
      </c>
      <c r="W1347" t="s">
        <v>5750</v>
      </c>
      <c r="X1347" t="s">
        <v>62</v>
      </c>
      <c r="Y1347" t="s">
        <v>63</v>
      </c>
      <c r="AA1347" t="s">
        <v>64</v>
      </c>
      <c r="AB1347">
        <v>46.733333000000002</v>
      </c>
      <c r="AC1347">
        <v>38.700000000000003</v>
      </c>
      <c r="AD1347">
        <v>8.0333330000000007</v>
      </c>
      <c r="AE1347">
        <v>3.3333000000000002E-2</v>
      </c>
      <c r="AF1347">
        <v>0</v>
      </c>
      <c r="AG1347">
        <v>8</v>
      </c>
      <c r="AH1347">
        <v>8</v>
      </c>
      <c r="AI1347">
        <v>7.65</v>
      </c>
      <c r="AJ1347">
        <v>0.35</v>
      </c>
      <c r="AK1347">
        <v>0</v>
      </c>
      <c r="AL1347" s="76">
        <v>44767</v>
      </c>
      <c r="AM1347" s="75">
        <v>1388</v>
      </c>
      <c r="AN1347" t="s">
        <v>65</v>
      </c>
      <c r="AO1347" t="s">
        <v>353</v>
      </c>
      <c r="AP1347" t="s">
        <v>67</v>
      </c>
      <c r="AQ1347" t="s">
        <v>68</v>
      </c>
      <c r="AR1347" t="s">
        <v>69</v>
      </c>
      <c r="AT1347" s="82" t="s">
        <v>5545</v>
      </c>
      <c r="AU1347" s="78">
        <v>2026</v>
      </c>
      <c r="AV1347" s="78">
        <v>5</v>
      </c>
      <c r="AW1347" s="78" t="s">
        <v>71</v>
      </c>
      <c r="AX1347" s="78">
        <v>1</v>
      </c>
      <c r="AY1347" s="78">
        <v>0</v>
      </c>
      <c r="BT1347" t="s">
        <v>71</v>
      </c>
      <c r="BU1347">
        <v>1</v>
      </c>
      <c r="BV1347">
        <v>0</v>
      </c>
    </row>
    <row r="1348" spans="1:74" x14ac:dyDescent="0.25">
      <c r="A1348" s="75">
        <v>5959483</v>
      </c>
      <c r="B1348" t="s">
        <v>5751</v>
      </c>
      <c r="C1348" t="s">
        <v>5752</v>
      </c>
      <c r="D1348" t="s">
        <v>125</v>
      </c>
      <c r="E1348" t="s">
        <v>105</v>
      </c>
      <c r="F1348" s="75">
        <v>167</v>
      </c>
      <c r="G1348" s="75">
        <v>290261</v>
      </c>
      <c r="H1348">
        <v>838.61</v>
      </c>
      <c r="I1348" t="s">
        <v>55</v>
      </c>
      <c r="J1348" s="75">
        <v>71001</v>
      </c>
      <c r="K1348" t="s">
        <v>1193</v>
      </c>
      <c r="L1348" t="s">
        <v>1194</v>
      </c>
      <c r="M1348" s="81">
        <v>46155.573425925933</v>
      </c>
      <c r="N1348" s="81">
        <v>46157.352777777778</v>
      </c>
      <c r="O1348" t="s">
        <v>58</v>
      </c>
      <c r="P1348" t="s">
        <v>59</v>
      </c>
      <c r="Q1348" t="s">
        <v>341</v>
      </c>
      <c r="R1348" t="s">
        <v>60</v>
      </c>
      <c r="S1348" t="s">
        <v>583</v>
      </c>
      <c r="U1348" s="75">
        <v>254727</v>
      </c>
      <c r="V1348" t="s">
        <v>5753</v>
      </c>
      <c r="W1348" t="s">
        <v>5753</v>
      </c>
      <c r="X1348" t="s">
        <v>79</v>
      </c>
      <c r="Y1348" t="s">
        <v>224</v>
      </c>
      <c r="AA1348" t="s">
        <v>81</v>
      </c>
      <c r="AB1348">
        <v>42.666665999999999</v>
      </c>
      <c r="AC1348">
        <v>38.933332999999998</v>
      </c>
      <c r="AD1348">
        <v>3.733333</v>
      </c>
      <c r="AE1348">
        <v>1.5833330000000001</v>
      </c>
      <c r="AF1348">
        <v>0</v>
      </c>
      <c r="AG1348">
        <v>2.15</v>
      </c>
      <c r="AH1348">
        <v>2.15</v>
      </c>
      <c r="AI1348">
        <v>2.0666669999999998</v>
      </c>
      <c r="AJ1348">
        <v>8.3333000000000004E-2</v>
      </c>
      <c r="AK1348">
        <v>0</v>
      </c>
      <c r="AL1348" s="76">
        <v>45070.702199074083</v>
      </c>
      <c r="AM1348" s="75">
        <v>1084</v>
      </c>
      <c r="AN1348" t="s">
        <v>65</v>
      </c>
      <c r="AO1348" t="s">
        <v>3453</v>
      </c>
      <c r="AP1348" t="s">
        <v>67</v>
      </c>
      <c r="AQ1348" t="s">
        <v>83</v>
      </c>
      <c r="AR1348" t="s">
        <v>69</v>
      </c>
      <c r="AT1348" s="82" t="s">
        <v>5545</v>
      </c>
      <c r="AU1348" s="78">
        <v>2026</v>
      </c>
      <c r="AV1348" s="78">
        <v>5</v>
      </c>
      <c r="AW1348" s="78" t="s">
        <v>226</v>
      </c>
      <c r="AX1348" s="78">
        <v>1</v>
      </c>
      <c r="AY1348" s="78">
        <v>0</v>
      </c>
      <c r="BT1348" t="s">
        <v>226</v>
      </c>
      <c r="BU1348">
        <v>1</v>
      </c>
      <c r="BV1348">
        <v>0</v>
      </c>
    </row>
    <row r="1349" spans="1:74" x14ac:dyDescent="0.25">
      <c r="A1349" s="75">
        <v>5960913</v>
      </c>
      <c r="B1349" t="s">
        <v>5754</v>
      </c>
      <c r="C1349" t="s">
        <v>1369</v>
      </c>
      <c r="D1349" t="s">
        <v>125</v>
      </c>
      <c r="E1349" t="s">
        <v>87</v>
      </c>
      <c r="F1349" s="75">
        <v>154</v>
      </c>
      <c r="G1349" s="75">
        <v>285763</v>
      </c>
      <c r="H1349">
        <v>368.16</v>
      </c>
      <c r="I1349" t="s">
        <v>55</v>
      </c>
      <c r="J1349" s="75">
        <v>218791</v>
      </c>
      <c r="K1349" t="s">
        <v>312</v>
      </c>
      <c r="L1349" t="s">
        <v>313</v>
      </c>
      <c r="M1349" s="81">
        <v>46156.451851851853</v>
      </c>
      <c r="N1349" s="81">
        <v>46157.356574074067</v>
      </c>
      <c r="O1349" t="s">
        <v>58</v>
      </c>
      <c r="P1349" t="s">
        <v>59</v>
      </c>
      <c r="Q1349" t="s">
        <v>90</v>
      </c>
      <c r="R1349" t="s">
        <v>99</v>
      </c>
      <c r="S1349" t="s">
        <v>1244</v>
      </c>
      <c r="U1349" s="75">
        <v>255483</v>
      </c>
      <c r="V1349" t="s">
        <v>5755</v>
      </c>
      <c r="W1349" t="s">
        <v>5755</v>
      </c>
      <c r="X1349" t="s">
        <v>62</v>
      </c>
      <c r="Y1349" t="s">
        <v>63</v>
      </c>
      <c r="AA1349" t="s">
        <v>64</v>
      </c>
      <c r="AB1349">
        <v>21.666667</v>
      </c>
      <c r="AC1349">
        <v>15.716666999999999</v>
      </c>
      <c r="AD1349">
        <v>5.95</v>
      </c>
      <c r="AE1349">
        <v>0.61666699999999997</v>
      </c>
      <c r="AF1349">
        <v>0</v>
      </c>
      <c r="AG1349">
        <v>5.3333329999999997</v>
      </c>
      <c r="AH1349">
        <v>5.3333329999999997</v>
      </c>
      <c r="AI1349">
        <v>5.0833329999999997</v>
      </c>
      <c r="AJ1349">
        <v>0.25</v>
      </c>
      <c r="AK1349">
        <v>0</v>
      </c>
      <c r="AL1349" s="76">
        <v>44876.671053240738</v>
      </c>
      <c r="AM1349" s="75">
        <v>1279</v>
      </c>
      <c r="AN1349" t="s">
        <v>65</v>
      </c>
      <c r="AO1349" t="s">
        <v>1372</v>
      </c>
      <c r="AP1349" t="s">
        <v>67</v>
      </c>
      <c r="AQ1349" t="s">
        <v>68</v>
      </c>
      <c r="AR1349" t="s">
        <v>69</v>
      </c>
      <c r="AT1349" s="82" t="s">
        <v>5545</v>
      </c>
      <c r="AU1349" s="78">
        <v>2026</v>
      </c>
      <c r="AV1349" s="78">
        <v>5</v>
      </c>
      <c r="AW1349" s="78" t="s">
        <v>71</v>
      </c>
      <c r="AX1349" s="78">
        <v>1</v>
      </c>
      <c r="AY1349" s="78">
        <v>0</v>
      </c>
      <c r="BT1349" t="s">
        <v>71</v>
      </c>
      <c r="BU1349">
        <v>1</v>
      </c>
      <c r="BV1349">
        <v>0</v>
      </c>
    </row>
    <row r="1350" spans="1:74" x14ac:dyDescent="0.25">
      <c r="A1350" s="75">
        <v>5955661</v>
      </c>
      <c r="B1350" t="s">
        <v>5756</v>
      </c>
      <c r="C1350" t="s">
        <v>3602</v>
      </c>
      <c r="D1350" t="s">
        <v>125</v>
      </c>
      <c r="E1350" t="s">
        <v>87</v>
      </c>
      <c r="F1350" s="75">
        <v>385</v>
      </c>
      <c r="G1350" s="75">
        <v>286823</v>
      </c>
      <c r="H1350">
        <v>364.96</v>
      </c>
      <c r="I1350" t="s">
        <v>55</v>
      </c>
      <c r="J1350" s="75">
        <v>218787</v>
      </c>
      <c r="K1350" t="s">
        <v>96</v>
      </c>
      <c r="L1350" t="s">
        <v>97</v>
      </c>
      <c r="M1350" s="81">
        <v>46153.847662037027</v>
      </c>
      <c r="N1350" s="81">
        <v>46157.360173611109</v>
      </c>
      <c r="O1350" t="s">
        <v>58</v>
      </c>
      <c r="P1350" t="s">
        <v>59</v>
      </c>
      <c r="Q1350" t="s">
        <v>90</v>
      </c>
      <c r="R1350" t="s">
        <v>131</v>
      </c>
      <c r="S1350" t="s">
        <v>1316</v>
      </c>
      <c r="U1350" s="75">
        <v>252835</v>
      </c>
      <c r="V1350" t="s">
        <v>5757</v>
      </c>
      <c r="W1350" t="s">
        <v>5758</v>
      </c>
      <c r="X1350" t="s">
        <v>62</v>
      </c>
      <c r="Y1350" t="s">
        <v>63</v>
      </c>
      <c r="AA1350" t="s">
        <v>295</v>
      </c>
      <c r="AB1350">
        <v>84.183334000000002</v>
      </c>
      <c r="AC1350">
        <v>52.333334000000001</v>
      </c>
      <c r="AD1350">
        <v>31.85</v>
      </c>
      <c r="AE1350">
        <v>0.38333299999999998</v>
      </c>
      <c r="AF1350">
        <v>0</v>
      </c>
      <c r="AG1350">
        <v>31.466667000000001</v>
      </c>
      <c r="AH1350">
        <v>31.466667000000001</v>
      </c>
      <c r="AI1350">
        <v>30.35</v>
      </c>
      <c r="AJ1350">
        <v>1.1166670000000001</v>
      </c>
      <c r="AK1350">
        <v>0</v>
      </c>
      <c r="AL1350" s="76">
        <v>44981</v>
      </c>
      <c r="AM1350" s="75">
        <v>1172</v>
      </c>
      <c r="AN1350" t="s">
        <v>65</v>
      </c>
      <c r="AO1350" t="s">
        <v>3604</v>
      </c>
      <c r="AP1350" t="s">
        <v>67</v>
      </c>
      <c r="AQ1350" t="s">
        <v>68</v>
      </c>
      <c r="AR1350" t="s">
        <v>69</v>
      </c>
      <c r="AT1350" s="82" t="s">
        <v>5545</v>
      </c>
      <c r="AU1350" s="78">
        <v>2026</v>
      </c>
      <c r="AV1350" s="78">
        <v>5</v>
      </c>
      <c r="AW1350" s="78" t="s">
        <v>71</v>
      </c>
      <c r="AX1350" s="78">
        <v>0</v>
      </c>
      <c r="AY1350" s="78">
        <v>1</v>
      </c>
      <c r="BT1350" t="s">
        <v>71</v>
      </c>
      <c r="BU1350">
        <v>0</v>
      </c>
      <c r="BV1350">
        <v>1</v>
      </c>
    </row>
    <row r="1351" spans="1:74" x14ac:dyDescent="0.25">
      <c r="A1351" s="75">
        <v>5953549</v>
      </c>
      <c r="B1351" t="s">
        <v>5759</v>
      </c>
      <c r="C1351" t="s">
        <v>2777</v>
      </c>
      <c r="D1351" t="s">
        <v>125</v>
      </c>
      <c r="E1351" t="s">
        <v>87</v>
      </c>
      <c r="F1351" s="75">
        <v>353</v>
      </c>
      <c r="G1351" s="75">
        <v>286727</v>
      </c>
      <c r="H1351">
        <v>364.96</v>
      </c>
      <c r="I1351" t="s">
        <v>55</v>
      </c>
      <c r="J1351" s="75">
        <v>218787</v>
      </c>
      <c r="K1351" t="s">
        <v>96</v>
      </c>
      <c r="L1351" t="s">
        <v>97</v>
      </c>
      <c r="M1351" s="81">
        <v>46151.785208333327</v>
      </c>
      <c r="N1351" s="81">
        <v>46157.361458333333</v>
      </c>
      <c r="O1351" t="s">
        <v>58</v>
      </c>
      <c r="P1351" t="s">
        <v>59</v>
      </c>
      <c r="Q1351" t="s">
        <v>90</v>
      </c>
      <c r="R1351" t="s">
        <v>131</v>
      </c>
      <c r="S1351" t="s">
        <v>1316</v>
      </c>
      <c r="U1351" s="75">
        <v>253897</v>
      </c>
      <c r="V1351" t="s">
        <v>5760</v>
      </c>
      <c r="W1351" t="s">
        <v>5761</v>
      </c>
      <c r="X1351" t="s">
        <v>62</v>
      </c>
      <c r="Y1351" t="s">
        <v>63</v>
      </c>
      <c r="AA1351" t="s">
        <v>295</v>
      </c>
      <c r="AB1351">
        <v>133.716667</v>
      </c>
      <c r="AC1351">
        <v>96.9</v>
      </c>
      <c r="AD1351">
        <v>36.816667000000002</v>
      </c>
      <c r="AE1351">
        <v>0.56666700000000003</v>
      </c>
      <c r="AF1351">
        <v>0</v>
      </c>
      <c r="AG1351">
        <v>36.25</v>
      </c>
      <c r="AH1351">
        <v>36.25</v>
      </c>
      <c r="AI1351">
        <v>35</v>
      </c>
      <c r="AJ1351">
        <v>1.25</v>
      </c>
      <c r="AK1351">
        <v>0</v>
      </c>
      <c r="AL1351" s="76">
        <v>44890</v>
      </c>
      <c r="AM1351" s="75">
        <v>1261</v>
      </c>
      <c r="AN1351" t="s">
        <v>65</v>
      </c>
      <c r="AO1351" t="s">
        <v>2780</v>
      </c>
      <c r="AP1351" t="s">
        <v>67</v>
      </c>
      <c r="AQ1351" t="s">
        <v>68</v>
      </c>
      <c r="AR1351" t="s">
        <v>69</v>
      </c>
      <c r="AT1351" s="82" t="s">
        <v>5545</v>
      </c>
      <c r="AU1351" s="78">
        <v>2026</v>
      </c>
      <c r="AV1351" s="78">
        <v>5</v>
      </c>
      <c r="AW1351" s="78" t="s">
        <v>71</v>
      </c>
      <c r="AX1351" s="78">
        <v>0</v>
      </c>
      <c r="AY1351" s="78">
        <v>1</v>
      </c>
      <c r="BT1351" t="s">
        <v>71</v>
      </c>
      <c r="BU1351">
        <v>0</v>
      </c>
      <c r="BV1351">
        <v>1</v>
      </c>
    </row>
    <row r="1352" spans="1:74" x14ac:dyDescent="0.25">
      <c r="A1352" s="75">
        <v>5960967</v>
      </c>
      <c r="B1352" t="s">
        <v>5762</v>
      </c>
      <c r="C1352" t="s">
        <v>5763</v>
      </c>
      <c r="D1352" t="s">
        <v>527</v>
      </c>
      <c r="E1352" t="s">
        <v>105</v>
      </c>
      <c r="F1352" s="75">
        <v>38</v>
      </c>
      <c r="G1352" s="75">
        <v>243003</v>
      </c>
      <c r="H1352">
        <v>800</v>
      </c>
      <c r="I1352" t="s">
        <v>114</v>
      </c>
      <c r="J1352" s="75">
        <v>219039</v>
      </c>
      <c r="K1352" t="s">
        <v>106</v>
      </c>
      <c r="L1352" t="s">
        <v>3749</v>
      </c>
      <c r="M1352" s="81">
        <v>46156.465613425928</v>
      </c>
      <c r="N1352" s="81">
        <v>46157.430636574078</v>
      </c>
      <c r="O1352" t="s">
        <v>58</v>
      </c>
      <c r="P1352" t="s">
        <v>59</v>
      </c>
      <c r="Q1352" t="s">
        <v>90</v>
      </c>
      <c r="R1352" t="s">
        <v>60</v>
      </c>
      <c r="S1352" t="s">
        <v>583</v>
      </c>
      <c r="U1352" s="75">
        <v>255511</v>
      </c>
      <c r="V1352" t="s">
        <v>5764</v>
      </c>
      <c r="W1352" t="s">
        <v>5764</v>
      </c>
      <c r="X1352" t="s">
        <v>118</v>
      </c>
      <c r="Y1352" t="s">
        <v>400</v>
      </c>
      <c r="AA1352" t="s">
        <v>64</v>
      </c>
      <c r="AB1352">
        <v>23.100000999999999</v>
      </c>
      <c r="AC1352">
        <v>15.166667</v>
      </c>
      <c r="AD1352">
        <v>7.9333340000000003</v>
      </c>
      <c r="AE1352">
        <v>0.466667</v>
      </c>
      <c r="AF1352">
        <v>0</v>
      </c>
      <c r="AG1352">
        <v>7.4666670000000002</v>
      </c>
      <c r="AH1352">
        <v>7.4666670000000002</v>
      </c>
      <c r="AI1352">
        <v>7.283334</v>
      </c>
      <c r="AJ1352">
        <v>0.183333</v>
      </c>
      <c r="AK1352">
        <v>0</v>
      </c>
      <c r="AL1352" s="76">
        <v>44428.434756944444</v>
      </c>
      <c r="AM1352" s="75">
        <v>1728</v>
      </c>
      <c r="AN1352" t="s">
        <v>65</v>
      </c>
      <c r="AO1352" t="s">
        <v>3751</v>
      </c>
      <c r="AP1352" t="s">
        <v>67</v>
      </c>
      <c r="AQ1352" t="s">
        <v>121</v>
      </c>
      <c r="AR1352" t="s">
        <v>69</v>
      </c>
      <c r="AT1352" s="82" t="s">
        <v>5545</v>
      </c>
      <c r="AU1352" s="78">
        <v>2026</v>
      </c>
      <c r="AV1352" s="78">
        <v>5</v>
      </c>
      <c r="AW1352" s="78" t="s">
        <v>122</v>
      </c>
      <c r="AX1352" s="78">
        <v>1</v>
      </c>
      <c r="AY1352" s="78">
        <v>0</v>
      </c>
      <c r="BT1352" t="s">
        <v>122</v>
      </c>
      <c r="BU1352">
        <v>1</v>
      </c>
      <c r="BV1352">
        <v>0</v>
      </c>
    </row>
    <row r="1353" spans="1:74" x14ac:dyDescent="0.25">
      <c r="A1353" s="75">
        <v>5961287</v>
      </c>
      <c r="B1353" t="s">
        <v>5765</v>
      </c>
      <c r="C1353" t="s">
        <v>5766</v>
      </c>
      <c r="D1353" t="s">
        <v>2379</v>
      </c>
      <c r="E1353" t="s">
        <v>87</v>
      </c>
      <c r="F1353" s="75">
        <v>917</v>
      </c>
      <c r="G1353" s="75">
        <v>346111</v>
      </c>
      <c r="H1353">
        <v>87.05</v>
      </c>
      <c r="I1353" t="s">
        <v>5767</v>
      </c>
      <c r="J1353" s="75">
        <v>6971</v>
      </c>
      <c r="K1353" t="s">
        <v>369</v>
      </c>
      <c r="L1353" t="s">
        <v>370</v>
      </c>
      <c r="M1353" s="81">
        <v>46156.575983796298</v>
      </c>
      <c r="N1353" s="81">
        <v>46157.50204861111</v>
      </c>
      <c r="O1353" t="s">
        <v>58</v>
      </c>
      <c r="P1353" t="s">
        <v>59</v>
      </c>
      <c r="Q1353" t="s">
        <v>77</v>
      </c>
      <c r="R1353" t="s">
        <v>144</v>
      </c>
      <c r="S1353" t="s">
        <v>1491</v>
      </c>
      <c r="U1353" s="75">
        <v>255909</v>
      </c>
      <c r="V1353" t="s">
        <v>5768</v>
      </c>
      <c r="W1353" t="s">
        <v>5769</v>
      </c>
      <c r="X1353" t="s">
        <v>62</v>
      </c>
      <c r="Y1353" t="s">
        <v>2297</v>
      </c>
      <c r="AA1353" t="s">
        <v>64</v>
      </c>
      <c r="AB1353">
        <v>22.133334000000001</v>
      </c>
      <c r="AC1353">
        <v>15.233333999999999</v>
      </c>
      <c r="AD1353">
        <v>6.9</v>
      </c>
      <c r="AE1353">
        <v>0.183333</v>
      </c>
      <c r="AF1353">
        <v>0</v>
      </c>
      <c r="AG1353">
        <v>6.7166670000000002</v>
      </c>
      <c r="AH1353">
        <v>6.7166670000000002</v>
      </c>
      <c r="AI1353">
        <v>6.4</v>
      </c>
      <c r="AJ1353">
        <v>0.31666699999999998</v>
      </c>
      <c r="AK1353">
        <v>0</v>
      </c>
      <c r="AL1353" s="76">
        <v>46149</v>
      </c>
      <c r="AM1353" s="75">
        <v>7</v>
      </c>
      <c r="AN1353" t="s">
        <v>1220</v>
      </c>
      <c r="AO1353" t="s">
        <v>5770</v>
      </c>
      <c r="AP1353" t="s">
        <v>67</v>
      </c>
      <c r="AQ1353" t="s">
        <v>68</v>
      </c>
      <c r="AR1353" t="s">
        <v>69</v>
      </c>
      <c r="AT1353" s="82" t="s">
        <v>5545</v>
      </c>
      <c r="AU1353" s="78">
        <v>2026</v>
      </c>
      <c r="AV1353" s="78">
        <v>5</v>
      </c>
      <c r="AW1353" s="78" t="s">
        <v>137</v>
      </c>
      <c r="AX1353" s="78">
        <v>1</v>
      </c>
      <c r="AY1353" s="78">
        <v>0</v>
      </c>
      <c r="BT1353" t="s">
        <v>137</v>
      </c>
      <c r="BU1353">
        <v>1</v>
      </c>
      <c r="BV1353">
        <v>0</v>
      </c>
    </row>
    <row r="1354" spans="1:74" x14ac:dyDescent="0.25">
      <c r="A1354" s="75">
        <v>5961133</v>
      </c>
      <c r="B1354" t="s">
        <v>5771</v>
      </c>
      <c r="C1354" t="s">
        <v>5772</v>
      </c>
      <c r="D1354" t="s">
        <v>125</v>
      </c>
      <c r="E1354" t="s">
        <v>105</v>
      </c>
      <c r="F1354" s="75">
        <v>1063</v>
      </c>
      <c r="G1354" s="75">
        <v>248525</v>
      </c>
      <c r="H1354">
        <v>328.8</v>
      </c>
      <c r="I1354" t="s">
        <v>55</v>
      </c>
      <c r="J1354" s="75">
        <v>15269</v>
      </c>
      <c r="K1354" t="s">
        <v>1193</v>
      </c>
      <c r="L1354" t="s">
        <v>4266</v>
      </c>
      <c r="M1354" s="81">
        <v>46156.51425925926</v>
      </c>
      <c r="N1354" s="81">
        <v>46157.502118055563</v>
      </c>
      <c r="O1354" t="s">
        <v>58</v>
      </c>
      <c r="P1354" t="s">
        <v>59</v>
      </c>
      <c r="Q1354" t="s">
        <v>90</v>
      </c>
      <c r="R1354" t="s">
        <v>60</v>
      </c>
      <c r="S1354" t="s">
        <v>1268</v>
      </c>
      <c r="U1354" s="75">
        <v>255697</v>
      </c>
      <c r="V1354" t="s">
        <v>5773</v>
      </c>
      <c r="W1354" t="s">
        <v>5773</v>
      </c>
      <c r="X1354" t="s">
        <v>79</v>
      </c>
      <c r="Y1354" t="s">
        <v>224</v>
      </c>
      <c r="AA1354" t="s">
        <v>64</v>
      </c>
      <c r="AB1354">
        <v>23.616665000000001</v>
      </c>
      <c r="AC1354">
        <v>12.866666</v>
      </c>
      <c r="AD1354">
        <v>10.749999000000001</v>
      </c>
      <c r="AE1354">
        <v>2.8333330000000001</v>
      </c>
      <c r="AF1354">
        <v>0</v>
      </c>
      <c r="AG1354">
        <v>7.9166660000000002</v>
      </c>
      <c r="AH1354">
        <v>7.9166660000000002</v>
      </c>
      <c r="AI1354">
        <v>6.6833330000000002</v>
      </c>
      <c r="AJ1354">
        <v>1.233333</v>
      </c>
      <c r="AK1354">
        <v>0</v>
      </c>
      <c r="AL1354" s="76">
        <v>44615.725844907407</v>
      </c>
      <c r="AM1354" s="75">
        <v>1540</v>
      </c>
      <c r="AN1354" t="s">
        <v>65</v>
      </c>
      <c r="AO1354" t="s">
        <v>5774</v>
      </c>
      <c r="AP1354" t="s">
        <v>67</v>
      </c>
      <c r="AQ1354" t="s">
        <v>83</v>
      </c>
      <c r="AR1354" t="s">
        <v>69</v>
      </c>
      <c r="AT1354" s="82" t="s">
        <v>5545</v>
      </c>
      <c r="AU1354" s="78">
        <v>2026</v>
      </c>
      <c r="AV1354" s="78">
        <v>5</v>
      </c>
      <c r="AW1354" s="78" t="s">
        <v>226</v>
      </c>
      <c r="AX1354" s="78">
        <v>1</v>
      </c>
      <c r="AY1354" s="78">
        <v>0</v>
      </c>
      <c r="BT1354" t="s">
        <v>226</v>
      </c>
      <c r="BU1354">
        <v>1</v>
      </c>
      <c r="BV1354">
        <v>0</v>
      </c>
    </row>
    <row r="1355" spans="1:74" x14ac:dyDescent="0.25">
      <c r="A1355" s="75">
        <v>5961333</v>
      </c>
      <c r="B1355" t="s">
        <v>5775</v>
      </c>
      <c r="C1355" t="s">
        <v>5776</v>
      </c>
      <c r="D1355" t="s">
        <v>527</v>
      </c>
      <c r="E1355" t="s">
        <v>105</v>
      </c>
      <c r="F1355" s="75">
        <v>603</v>
      </c>
      <c r="G1355" s="75">
        <v>342849</v>
      </c>
      <c r="H1355">
        <v>225</v>
      </c>
      <c r="I1355" t="s">
        <v>163</v>
      </c>
      <c r="J1355" s="75">
        <v>48887</v>
      </c>
      <c r="K1355" t="s">
        <v>164</v>
      </c>
      <c r="L1355" t="s">
        <v>165</v>
      </c>
      <c r="M1355" s="81">
        <v>46156.602013888893</v>
      </c>
      <c r="N1355" s="81">
        <v>46157.595567129632</v>
      </c>
      <c r="O1355" t="s">
        <v>58</v>
      </c>
      <c r="P1355" t="s">
        <v>59</v>
      </c>
      <c r="Q1355" t="s">
        <v>77</v>
      </c>
      <c r="R1355" t="s">
        <v>131</v>
      </c>
      <c r="S1355" t="s">
        <v>1316</v>
      </c>
      <c r="U1355" s="75">
        <v>255659</v>
      </c>
      <c r="V1355" t="s">
        <v>5777</v>
      </c>
      <c r="W1355" t="s">
        <v>5777</v>
      </c>
      <c r="X1355" t="s">
        <v>62</v>
      </c>
      <c r="Y1355" t="s">
        <v>2297</v>
      </c>
      <c r="AA1355" t="s">
        <v>64</v>
      </c>
      <c r="AB1355">
        <v>23.783332999999999</v>
      </c>
      <c r="AC1355">
        <v>17.666667</v>
      </c>
      <c r="AD1355">
        <v>6.1166660000000004</v>
      </c>
      <c r="AE1355">
        <v>0.61666600000000005</v>
      </c>
      <c r="AF1355">
        <v>0</v>
      </c>
      <c r="AG1355">
        <v>5.5</v>
      </c>
      <c r="AH1355">
        <v>5.5</v>
      </c>
      <c r="AI1355">
        <v>5.3</v>
      </c>
      <c r="AJ1355">
        <v>0.2</v>
      </c>
      <c r="AK1355">
        <v>0</v>
      </c>
      <c r="AL1355" s="76">
        <v>45867</v>
      </c>
      <c r="AM1355" s="75">
        <v>289</v>
      </c>
      <c r="AN1355" t="s">
        <v>65</v>
      </c>
      <c r="AO1355" t="s">
        <v>3741</v>
      </c>
      <c r="AP1355" t="s">
        <v>67</v>
      </c>
      <c r="AQ1355" t="s">
        <v>68</v>
      </c>
      <c r="AR1355" t="s">
        <v>69</v>
      </c>
      <c r="AT1355" s="82" t="s">
        <v>5545</v>
      </c>
      <c r="AU1355" s="78">
        <v>2026</v>
      </c>
      <c r="AV1355" s="78">
        <v>5</v>
      </c>
      <c r="AW1355" s="78" t="s">
        <v>137</v>
      </c>
      <c r="AX1355" s="78">
        <v>1</v>
      </c>
      <c r="AY1355" s="78">
        <v>0</v>
      </c>
      <c r="BT1355" t="s">
        <v>137</v>
      </c>
      <c r="BU1355">
        <v>1</v>
      </c>
      <c r="BV1355">
        <v>0</v>
      </c>
    </row>
    <row r="1356" spans="1:74" x14ac:dyDescent="0.25">
      <c r="A1356" s="75">
        <v>5961889</v>
      </c>
      <c r="B1356" t="s">
        <v>5778</v>
      </c>
      <c r="C1356" t="s">
        <v>2471</v>
      </c>
      <c r="D1356" t="s">
        <v>1567</v>
      </c>
      <c r="E1356" t="s">
        <v>105</v>
      </c>
      <c r="F1356" s="75">
        <v>1220</v>
      </c>
      <c r="G1356" s="75">
        <v>340849</v>
      </c>
      <c r="H1356">
        <v>442.11</v>
      </c>
      <c r="I1356" t="s">
        <v>175</v>
      </c>
      <c r="J1356" s="75">
        <v>83605</v>
      </c>
      <c r="K1356" t="s">
        <v>844</v>
      </c>
      <c r="L1356" t="s">
        <v>845</v>
      </c>
      <c r="M1356" s="81">
        <v>46156.882557870369</v>
      </c>
      <c r="N1356" s="81">
        <v>46157.764745370368</v>
      </c>
      <c r="O1356" t="s">
        <v>58</v>
      </c>
      <c r="P1356" t="s">
        <v>59</v>
      </c>
      <c r="Q1356" t="s">
        <v>90</v>
      </c>
      <c r="R1356" t="s">
        <v>60</v>
      </c>
      <c r="S1356" t="s">
        <v>583</v>
      </c>
      <c r="U1356" s="75">
        <v>255821</v>
      </c>
      <c r="V1356" t="s">
        <v>5779</v>
      </c>
      <c r="W1356" t="s">
        <v>5779</v>
      </c>
      <c r="X1356" t="s">
        <v>62</v>
      </c>
      <c r="Y1356" t="s">
        <v>63</v>
      </c>
      <c r="AA1356" t="s">
        <v>81</v>
      </c>
      <c r="AB1356">
        <v>21.133334999999999</v>
      </c>
      <c r="AC1356">
        <v>17.583334000000001</v>
      </c>
      <c r="AD1356">
        <v>3.550001</v>
      </c>
      <c r="AE1356">
        <v>1.566667</v>
      </c>
      <c r="AF1356">
        <v>0</v>
      </c>
      <c r="AG1356">
        <v>1.9833339999999999</v>
      </c>
      <c r="AH1356">
        <v>1.9833339999999999</v>
      </c>
      <c r="AI1356">
        <v>1.9166669999999999</v>
      </c>
      <c r="AJ1356">
        <v>6.6667000000000004E-2</v>
      </c>
      <c r="AK1356">
        <v>0</v>
      </c>
      <c r="AL1356" s="76">
        <v>45869.70894675926</v>
      </c>
      <c r="AM1356" s="75">
        <v>287</v>
      </c>
      <c r="AN1356" t="s">
        <v>65</v>
      </c>
      <c r="AO1356" t="s">
        <v>5780</v>
      </c>
      <c r="AP1356" t="s">
        <v>67</v>
      </c>
      <c r="AQ1356" t="s">
        <v>68</v>
      </c>
      <c r="AR1356" t="s">
        <v>69</v>
      </c>
      <c r="AT1356" s="82" t="s">
        <v>5545</v>
      </c>
      <c r="AU1356" s="78">
        <v>2026</v>
      </c>
      <c r="AV1356" s="78">
        <v>5</v>
      </c>
      <c r="AW1356" s="78" t="s">
        <v>71</v>
      </c>
      <c r="AX1356" s="78">
        <v>1</v>
      </c>
      <c r="AY1356" s="78">
        <v>0</v>
      </c>
      <c r="BT1356" t="s">
        <v>71</v>
      </c>
      <c r="BU1356">
        <v>1</v>
      </c>
      <c r="BV1356">
        <v>0</v>
      </c>
    </row>
    <row r="1357" spans="1:74" x14ac:dyDescent="0.25">
      <c r="A1357" s="75">
        <v>5961877</v>
      </c>
      <c r="B1357" t="s">
        <v>5781</v>
      </c>
      <c r="C1357" t="s">
        <v>5782</v>
      </c>
      <c r="D1357" t="s">
        <v>2602</v>
      </c>
      <c r="E1357" t="s">
        <v>87</v>
      </c>
      <c r="F1357" s="75">
        <v>12</v>
      </c>
      <c r="G1357" s="75">
        <v>250805</v>
      </c>
      <c r="H1357">
        <v>2083.33</v>
      </c>
      <c r="I1357" t="s">
        <v>114</v>
      </c>
      <c r="J1357" s="75">
        <v>203391</v>
      </c>
      <c r="K1357" t="s">
        <v>622</v>
      </c>
      <c r="L1357" t="s">
        <v>623</v>
      </c>
      <c r="M1357" s="81">
        <v>46156.861481481479</v>
      </c>
      <c r="N1357" s="81">
        <v>46157.94458333333</v>
      </c>
      <c r="O1357" t="s">
        <v>58</v>
      </c>
      <c r="P1357" t="s">
        <v>59</v>
      </c>
      <c r="Q1357" t="s">
        <v>90</v>
      </c>
      <c r="R1357" t="s">
        <v>60</v>
      </c>
      <c r="S1357" t="s">
        <v>583</v>
      </c>
      <c r="U1357" s="75">
        <v>255817</v>
      </c>
      <c r="V1357" t="s">
        <v>5783</v>
      </c>
      <c r="W1357" t="s">
        <v>5783</v>
      </c>
      <c r="X1357" t="s">
        <v>118</v>
      </c>
      <c r="Y1357" t="s">
        <v>119</v>
      </c>
      <c r="AA1357" t="s">
        <v>81</v>
      </c>
      <c r="AB1357">
        <v>25.950001</v>
      </c>
      <c r="AC1357">
        <v>22.95</v>
      </c>
      <c r="AD1357">
        <v>3.0000010000000001</v>
      </c>
      <c r="AE1357">
        <v>1.083334</v>
      </c>
      <c r="AF1357">
        <v>0</v>
      </c>
      <c r="AG1357">
        <v>1.9166669999999999</v>
      </c>
      <c r="AH1357">
        <v>1.9166669999999999</v>
      </c>
      <c r="AI1357">
        <v>1.7166669999999999</v>
      </c>
      <c r="AJ1357">
        <v>0.2</v>
      </c>
      <c r="AK1357">
        <v>0</v>
      </c>
      <c r="AL1357" s="76">
        <v>44624</v>
      </c>
      <c r="AM1357" s="75">
        <v>1532</v>
      </c>
      <c r="AN1357" t="s">
        <v>65</v>
      </c>
      <c r="AO1357" t="s">
        <v>5784</v>
      </c>
      <c r="AP1357" t="s">
        <v>67</v>
      </c>
      <c r="AQ1357" t="s">
        <v>121</v>
      </c>
      <c r="AR1357" t="s">
        <v>69</v>
      </c>
      <c r="AT1357" s="82" t="s">
        <v>5545</v>
      </c>
      <c r="AU1357" s="78">
        <v>2026</v>
      </c>
      <c r="AV1357" s="78">
        <v>5</v>
      </c>
      <c r="AW1357" s="78" t="s">
        <v>122</v>
      </c>
      <c r="AX1357" s="78">
        <v>1</v>
      </c>
      <c r="AY1357" s="78">
        <v>0</v>
      </c>
      <c r="BT1357" t="s">
        <v>122</v>
      </c>
      <c r="BU1357">
        <v>1</v>
      </c>
      <c r="BV1357">
        <v>0</v>
      </c>
    </row>
    <row r="1358" spans="1:74" x14ac:dyDescent="0.25">
      <c r="A1358" s="75">
        <v>5962267</v>
      </c>
      <c r="B1358" t="s">
        <v>5785</v>
      </c>
      <c r="C1358" t="s">
        <v>3998</v>
      </c>
      <c r="D1358" t="s">
        <v>2602</v>
      </c>
      <c r="E1358" t="s">
        <v>54</v>
      </c>
      <c r="F1358" s="75">
        <v>11</v>
      </c>
      <c r="G1358" s="75">
        <v>63109</v>
      </c>
      <c r="H1358">
        <v>381.28</v>
      </c>
      <c r="I1358" t="s">
        <v>114</v>
      </c>
      <c r="J1358" s="75">
        <v>56161</v>
      </c>
      <c r="K1358" t="s">
        <v>275</v>
      </c>
      <c r="L1358" t="s">
        <v>3999</v>
      </c>
      <c r="M1358" s="81">
        <v>46157.36519675926</v>
      </c>
      <c r="N1358" s="81">
        <v>46157.948761574073</v>
      </c>
      <c r="O1358" t="s">
        <v>58</v>
      </c>
      <c r="P1358" t="s">
        <v>59</v>
      </c>
      <c r="Q1358" t="s">
        <v>130</v>
      </c>
      <c r="R1358" t="s">
        <v>131</v>
      </c>
      <c r="S1358" t="s">
        <v>1273</v>
      </c>
      <c r="U1358" s="75">
        <v>256325</v>
      </c>
      <c r="V1358" t="s">
        <v>5786</v>
      </c>
      <c r="W1358" t="s">
        <v>5786</v>
      </c>
      <c r="X1358" t="s">
        <v>62</v>
      </c>
      <c r="Y1358" t="s">
        <v>63</v>
      </c>
      <c r="AA1358" t="s">
        <v>81</v>
      </c>
      <c r="AB1358">
        <v>13.95</v>
      </c>
      <c r="AC1358">
        <v>10.383333</v>
      </c>
      <c r="AD1358">
        <v>3.5666669999999998</v>
      </c>
      <c r="AE1358">
        <v>0.56666700000000003</v>
      </c>
      <c r="AF1358">
        <v>0</v>
      </c>
      <c r="AG1358">
        <v>3</v>
      </c>
      <c r="AH1358">
        <v>3</v>
      </c>
      <c r="AI1358">
        <v>3</v>
      </c>
      <c r="AJ1358">
        <v>0</v>
      </c>
      <c r="AK1358">
        <v>0</v>
      </c>
      <c r="AL1358" s="76">
        <v>43053.695162037038</v>
      </c>
      <c r="AM1358" s="75">
        <v>3103</v>
      </c>
      <c r="AN1358" t="s">
        <v>65</v>
      </c>
      <c r="AO1358" t="s">
        <v>4001</v>
      </c>
      <c r="AP1358" t="s">
        <v>67</v>
      </c>
      <c r="AQ1358" t="s">
        <v>68</v>
      </c>
      <c r="AR1358" t="s">
        <v>69</v>
      </c>
      <c r="AT1358" s="82" t="s">
        <v>5545</v>
      </c>
      <c r="AU1358" s="78">
        <v>2026</v>
      </c>
      <c r="AV1358" s="78">
        <v>5</v>
      </c>
      <c r="AW1358" s="78" t="s">
        <v>71</v>
      </c>
      <c r="AX1358" s="78">
        <v>1</v>
      </c>
      <c r="AY1358" s="78">
        <v>0</v>
      </c>
      <c r="BT1358" t="s">
        <v>71</v>
      </c>
      <c r="BU1358">
        <v>1</v>
      </c>
      <c r="BV1358">
        <v>0</v>
      </c>
    </row>
    <row r="1359" spans="1:74" x14ac:dyDescent="0.25">
      <c r="A1359" s="75">
        <v>5962609</v>
      </c>
      <c r="B1359" t="s">
        <v>5787</v>
      </c>
      <c r="C1359" t="s">
        <v>5788</v>
      </c>
      <c r="D1359" t="s">
        <v>2602</v>
      </c>
      <c r="E1359" t="s">
        <v>87</v>
      </c>
      <c r="F1359" s="75">
        <v>641</v>
      </c>
      <c r="G1359" s="75">
        <v>360207</v>
      </c>
      <c r="H1359">
        <v>398.82</v>
      </c>
      <c r="I1359" t="s">
        <v>175</v>
      </c>
      <c r="J1359" s="75">
        <v>216233</v>
      </c>
      <c r="K1359" t="s">
        <v>88</v>
      </c>
      <c r="L1359" t="s">
        <v>89</v>
      </c>
      <c r="M1359" s="81">
        <v>46157.440995370373</v>
      </c>
      <c r="N1359" s="81">
        <v>46157.951284722221</v>
      </c>
      <c r="O1359" t="s">
        <v>58</v>
      </c>
      <c r="P1359" t="s">
        <v>59</v>
      </c>
      <c r="R1359" t="s">
        <v>60</v>
      </c>
      <c r="S1359" t="s">
        <v>583</v>
      </c>
      <c r="U1359" s="75">
        <v>256485</v>
      </c>
      <c r="V1359" t="s">
        <v>5789</v>
      </c>
      <c r="W1359" t="s">
        <v>5789</v>
      </c>
      <c r="X1359" t="s">
        <v>62</v>
      </c>
      <c r="Y1359" t="s">
        <v>63</v>
      </c>
      <c r="AA1359" t="s">
        <v>64</v>
      </c>
      <c r="AB1359">
        <v>12.2</v>
      </c>
      <c r="AC1359">
        <v>4.95</v>
      </c>
      <c r="AD1359">
        <v>7.25</v>
      </c>
      <c r="AE1359">
        <v>0.8</v>
      </c>
      <c r="AF1359">
        <v>0</v>
      </c>
      <c r="AG1359">
        <v>6.45</v>
      </c>
      <c r="AH1359">
        <v>6.45</v>
      </c>
      <c r="AI1359">
        <v>6.45</v>
      </c>
      <c r="AJ1359">
        <v>0</v>
      </c>
      <c r="AK1359">
        <v>0</v>
      </c>
      <c r="AL1359" s="76">
        <v>46156.300671296303</v>
      </c>
      <c r="AM1359" s="75">
        <v>1</v>
      </c>
      <c r="AN1359" t="s">
        <v>1220</v>
      </c>
      <c r="AO1359" t="s">
        <v>5790</v>
      </c>
      <c r="AP1359" t="s">
        <v>67</v>
      </c>
      <c r="AQ1359" t="s">
        <v>68</v>
      </c>
      <c r="AR1359" t="s">
        <v>69</v>
      </c>
      <c r="AT1359" s="82" t="s">
        <v>5545</v>
      </c>
      <c r="AU1359" s="78">
        <v>2026</v>
      </c>
      <c r="AV1359" s="78">
        <v>5</v>
      </c>
      <c r="AW1359" s="78" t="s">
        <v>71</v>
      </c>
      <c r="AX1359" s="78">
        <v>1</v>
      </c>
      <c r="AY1359" s="78">
        <v>0</v>
      </c>
      <c r="BT1359" t="s">
        <v>71</v>
      </c>
      <c r="BU1359">
        <v>1</v>
      </c>
      <c r="BV1359">
        <v>0</v>
      </c>
    </row>
    <row r="1360" spans="1:74" x14ac:dyDescent="0.25">
      <c r="A1360" s="75">
        <v>5962781</v>
      </c>
      <c r="B1360" t="s">
        <v>5791</v>
      </c>
      <c r="C1360" t="s">
        <v>5792</v>
      </c>
      <c r="D1360" t="s">
        <v>2602</v>
      </c>
      <c r="E1360" t="s">
        <v>126</v>
      </c>
      <c r="F1360" s="75">
        <v>28</v>
      </c>
      <c r="G1360" s="75">
        <v>329591</v>
      </c>
      <c r="H1360">
        <v>0.01</v>
      </c>
      <c r="I1360" t="s">
        <v>175</v>
      </c>
      <c r="J1360" s="75">
        <v>19489</v>
      </c>
      <c r="K1360" t="s">
        <v>935</v>
      </c>
      <c r="L1360" t="s">
        <v>936</v>
      </c>
      <c r="M1360" s="81">
        <v>46157.493541666663</v>
      </c>
      <c r="N1360" s="81">
        <v>46157.952974537038</v>
      </c>
      <c r="O1360" t="s">
        <v>58</v>
      </c>
      <c r="P1360" t="s">
        <v>59</v>
      </c>
      <c r="Q1360" t="s">
        <v>130</v>
      </c>
      <c r="R1360" t="s">
        <v>60</v>
      </c>
      <c r="S1360" t="s">
        <v>1268</v>
      </c>
      <c r="U1360" s="75">
        <v>256529</v>
      </c>
      <c r="V1360" t="s">
        <v>5793</v>
      </c>
      <c r="W1360" t="s">
        <v>5793</v>
      </c>
      <c r="X1360" t="s">
        <v>79</v>
      </c>
      <c r="Y1360" t="s">
        <v>224</v>
      </c>
      <c r="AA1360" t="s">
        <v>81</v>
      </c>
      <c r="AB1360">
        <v>11.000000999999999</v>
      </c>
      <c r="AC1360">
        <v>8.6833340000000003</v>
      </c>
      <c r="AD1360">
        <v>2.3166669999999998</v>
      </c>
      <c r="AE1360">
        <v>0.55000000000000004</v>
      </c>
      <c r="AF1360">
        <v>0</v>
      </c>
      <c r="AG1360">
        <v>1.766667</v>
      </c>
      <c r="AH1360">
        <v>1.766667</v>
      </c>
      <c r="AI1360">
        <v>1.75</v>
      </c>
      <c r="AJ1360">
        <v>1.6667000000000001E-2</v>
      </c>
      <c r="AK1360">
        <v>0</v>
      </c>
      <c r="AL1360" s="76">
        <v>45691.618136574078</v>
      </c>
      <c r="AM1360" s="75">
        <v>465</v>
      </c>
      <c r="AN1360" t="s">
        <v>65</v>
      </c>
      <c r="AO1360" t="s">
        <v>5794</v>
      </c>
      <c r="AP1360" t="s">
        <v>67</v>
      </c>
      <c r="AQ1360" t="s">
        <v>83</v>
      </c>
      <c r="AR1360" t="s">
        <v>69</v>
      </c>
      <c r="AT1360" s="82" t="s">
        <v>5545</v>
      </c>
      <c r="AU1360" s="78">
        <v>2026</v>
      </c>
      <c r="AV1360" s="78">
        <v>5</v>
      </c>
      <c r="AW1360" s="78" t="s">
        <v>226</v>
      </c>
      <c r="AX1360" s="78">
        <v>1</v>
      </c>
      <c r="AY1360" s="78">
        <v>0</v>
      </c>
      <c r="BT1360" t="s">
        <v>226</v>
      </c>
      <c r="BU1360">
        <v>1</v>
      </c>
      <c r="BV1360">
        <v>0</v>
      </c>
    </row>
    <row r="1361" spans="1:74" x14ac:dyDescent="0.25">
      <c r="A1361" s="75">
        <v>5962817</v>
      </c>
      <c r="B1361" t="s">
        <v>5795</v>
      </c>
      <c r="C1361" t="s">
        <v>5796</v>
      </c>
      <c r="D1361" t="s">
        <v>125</v>
      </c>
      <c r="E1361" t="s">
        <v>87</v>
      </c>
      <c r="F1361" s="75">
        <v>436</v>
      </c>
      <c r="G1361" s="75">
        <v>289299</v>
      </c>
      <c r="H1361">
        <v>350</v>
      </c>
      <c r="I1361" t="s">
        <v>55</v>
      </c>
      <c r="J1361" s="75">
        <v>218787</v>
      </c>
      <c r="K1361" t="s">
        <v>96</v>
      </c>
      <c r="L1361" t="s">
        <v>97</v>
      </c>
      <c r="M1361" s="81">
        <v>46157.507384259261</v>
      </c>
      <c r="N1361" s="81">
        <v>46158.394444444442</v>
      </c>
      <c r="O1361" t="s">
        <v>58</v>
      </c>
      <c r="P1361" t="s">
        <v>59</v>
      </c>
      <c r="Q1361" t="s">
        <v>90</v>
      </c>
      <c r="R1361" t="s">
        <v>60</v>
      </c>
      <c r="S1361" t="s">
        <v>583</v>
      </c>
      <c r="U1361" s="75">
        <v>256543</v>
      </c>
      <c r="V1361" t="s">
        <v>5797</v>
      </c>
      <c r="W1361" t="s">
        <v>5797</v>
      </c>
      <c r="X1361" t="s">
        <v>62</v>
      </c>
      <c r="Y1361" t="s">
        <v>63</v>
      </c>
      <c r="AA1361" t="s">
        <v>64</v>
      </c>
      <c r="AB1361">
        <v>21.249998999999999</v>
      </c>
      <c r="AC1361">
        <v>16.3</v>
      </c>
      <c r="AD1361">
        <v>4.949999</v>
      </c>
      <c r="AE1361">
        <v>0.68333299999999997</v>
      </c>
      <c r="AF1361">
        <v>0</v>
      </c>
      <c r="AG1361">
        <v>4.2666659999999998</v>
      </c>
      <c r="AH1361">
        <v>4.2666659999999998</v>
      </c>
      <c r="AI1361">
        <v>4.1833330000000002</v>
      </c>
      <c r="AJ1361">
        <v>8.3333000000000004E-2</v>
      </c>
      <c r="AK1361">
        <v>0</v>
      </c>
      <c r="AL1361" s="76">
        <v>44998</v>
      </c>
      <c r="AM1361" s="75">
        <v>1159</v>
      </c>
      <c r="AN1361" t="s">
        <v>65</v>
      </c>
      <c r="AO1361" t="s">
        <v>5798</v>
      </c>
      <c r="AP1361" t="s">
        <v>67</v>
      </c>
      <c r="AQ1361" t="s">
        <v>68</v>
      </c>
      <c r="AR1361" t="s">
        <v>69</v>
      </c>
      <c r="AT1361" s="82" t="s">
        <v>5545</v>
      </c>
      <c r="AU1361" s="78">
        <v>2026</v>
      </c>
      <c r="AV1361" s="78">
        <v>5</v>
      </c>
      <c r="AW1361" s="78" t="s">
        <v>71</v>
      </c>
      <c r="AX1361" s="78">
        <v>1</v>
      </c>
      <c r="AY1361" s="78">
        <v>0</v>
      </c>
      <c r="BT1361" t="s">
        <v>71</v>
      </c>
      <c r="BU1361">
        <v>1</v>
      </c>
      <c r="BV1361">
        <v>0</v>
      </c>
    </row>
    <row r="1362" spans="1:74" x14ac:dyDescent="0.25">
      <c r="A1362" s="75">
        <v>5962707</v>
      </c>
      <c r="B1362" t="s">
        <v>5799</v>
      </c>
      <c r="C1362" t="s">
        <v>5800</v>
      </c>
      <c r="D1362" t="s">
        <v>125</v>
      </c>
      <c r="E1362" t="s">
        <v>105</v>
      </c>
      <c r="F1362" s="75">
        <v>4</v>
      </c>
      <c r="G1362" s="75">
        <v>328451</v>
      </c>
      <c r="H1362">
        <v>135</v>
      </c>
      <c r="I1362" t="s">
        <v>163</v>
      </c>
      <c r="J1362" s="75">
        <v>213163</v>
      </c>
      <c r="K1362" t="s">
        <v>2209</v>
      </c>
      <c r="L1362" t="s">
        <v>2210</v>
      </c>
      <c r="M1362" s="81">
        <v>46157.477847222217</v>
      </c>
      <c r="N1362" s="81">
        <v>46158.395416666674</v>
      </c>
      <c r="O1362" t="s">
        <v>58</v>
      </c>
      <c r="P1362" t="s">
        <v>59</v>
      </c>
      <c r="Q1362" t="s">
        <v>130</v>
      </c>
      <c r="R1362" t="s">
        <v>99</v>
      </c>
      <c r="S1362" t="s">
        <v>1244</v>
      </c>
      <c r="U1362" s="75">
        <v>256665</v>
      </c>
      <c r="V1362" t="s">
        <v>5801</v>
      </c>
      <c r="X1362" t="s">
        <v>118</v>
      </c>
      <c r="Y1362" t="s">
        <v>2212</v>
      </c>
      <c r="Z1362" t="s">
        <v>5802</v>
      </c>
      <c r="AA1362" t="s">
        <v>101</v>
      </c>
      <c r="AB1362">
        <v>21.95</v>
      </c>
      <c r="AC1362">
        <v>12.533333000000001</v>
      </c>
      <c r="AD1362">
        <v>9.4166670000000003</v>
      </c>
      <c r="AE1362">
        <v>1.3</v>
      </c>
      <c r="AF1362">
        <v>0</v>
      </c>
      <c r="AG1362">
        <v>8.1166669999999996</v>
      </c>
      <c r="AH1362">
        <v>8.1166669999999996</v>
      </c>
      <c r="AI1362">
        <v>7.7166670000000002</v>
      </c>
      <c r="AJ1362">
        <v>0.4</v>
      </c>
      <c r="AK1362">
        <v>0</v>
      </c>
      <c r="AL1362" s="76">
        <v>45707.365787037037</v>
      </c>
      <c r="AM1362" s="75">
        <v>450</v>
      </c>
      <c r="AN1362" t="s">
        <v>65</v>
      </c>
      <c r="AO1362" t="s">
        <v>2213</v>
      </c>
      <c r="AP1362" t="s">
        <v>67</v>
      </c>
      <c r="AQ1362" t="s">
        <v>121</v>
      </c>
      <c r="AR1362" t="s">
        <v>69</v>
      </c>
      <c r="AT1362" s="82" t="s">
        <v>5545</v>
      </c>
      <c r="AU1362" s="78">
        <v>2026</v>
      </c>
      <c r="AV1362" s="78">
        <v>5</v>
      </c>
      <c r="AW1362" s="78" t="s">
        <v>347</v>
      </c>
      <c r="AX1362" s="78">
        <v>0</v>
      </c>
      <c r="AY1362" s="78">
        <v>0</v>
      </c>
      <c r="BT1362" t="s">
        <v>347</v>
      </c>
      <c r="BU1362">
        <v>0</v>
      </c>
      <c r="BV1362">
        <v>0</v>
      </c>
    </row>
    <row r="1363" spans="1:74" x14ac:dyDescent="0.25">
      <c r="A1363" s="75">
        <v>5962461</v>
      </c>
      <c r="B1363" t="s">
        <v>5803</v>
      </c>
      <c r="C1363" t="s">
        <v>1424</v>
      </c>
      <c r="D1363" t="s">
        <v>125</v>
      </c>
      <c r="E1363" t="s">
        <v>87</v>
      </c>
      <c r="F1363" s="75">
        <v>30</v>
      </c>
      <c r="G1363" s="75">
        <v>280871</v>
      </c>
      <c r="H1363">
        <v>312.5</v>
      </c>
      <c r="I1363" t="s">
        <v>114</v>
      </c>
      <c r="J1363" s="75">
        <v>203645</v>
      </c>
      <c r="K1363" t="s">
        <v>520</v>
      </c>
      <c r="L1363" t="s">
        <v>521</v>
      </c>
      <c r="M1363" s="81">
        <v>46157.409178240741</v>
      </c>
      <c r="N1363" s="81">
        <v>46158.404722222222</v>
      </c>
      <c r="O1363" t="s">
        <v>58</v>
      </c>
      <c r="P1363" t="s">
        <v>59</v>
      </c>
      <c r="Q1363" t="s">
        <v>77</v>
      </c>
      <c r="R1363" t="s">
        <v>60</v>
      </c>
      <c r="S1363" t="s">
        <v>583</v>
      </c>
      <c r="T1363" t="s">
        <v>342</v>
      </c>
      <c r="U1363" s="75">
        <v>256565</v>
      </c>
      <c r="V1363" t="s">
        <v>5804</v>
      </c>
      <c r="W1363" t="s">
        <v>5805</v>
      </c>
      <c r="X1363" t="s">
        <v>118</v>
      </c>
      <c r="Y1363" t="s">
        <v>119</v>
      </c>
      <c r="AA1363" t="s">
        <v>64</v>
      </c>
      <c r="AB1363">
        <v>23.833333</v>
      </c>
      <c r="AC1363">
        <v>16.7</v>
      </c>
      <c r="AD1363">
        <v>7.1333330000000004</v>
      </c>
      <c r="AE1363">
        <v>0.13333300000000001</v>
      </c>
      <c r="AF1363">
        <v>0</v>
      </c>
      <c r="AG1363">
        <v>7</v>
      </c>
      <c r="AH1363">
        <v>7</v>
      </c>
      <c r="AI1363">
        <v>3.6</v>
      </c>
      <c r="AJ1363">
        <v>3.4</v>
      </c>
      <c r="AK1363">
        <v>0</v>
      </c>
      <c r="AL1363" s="76">
        <v>44834.74796296296</v>
      </c>
      <c r="AM1363" s="75">
        <v>1322</v>
      </c>
      <c r="AN1363" t="s">
        <v>65</v>
      </c>
      <c r="AO1363" t="s">
        <v>5806</v>
      </c>
      <c r="AP1363" t="s">
        <v>67</v>
      </c>
      <c r="AQ1363" t="s">
        <v>121</v>
      </c>
      <c r="AR1363" t="s">
        <v>69</v>
      </c>
      <c r="AT1363" s="82" t="s">
        <v>5545</v>
      </c>
      <c r="AU1363" s="78">
        <v>2026</v>
      </c>
      <c r="AV1363" s="78">
        <v>5</v>
      </c>
      <c r="AW1363" s="78" t="s">
        <v>122</v>
      </c>
      <c r="AX1363" s="78">
        <v>1</v>
      </c>
      <c r="AY1363" s="78">
        <v>0</v>
      </c>
      <c r="BT1363" t="s">
        <v>122</v>
      </c>
      <c r="BU1363">
        <v>1</v>
      </c>
      <c r="BV1363">
        <v>0</v>
      </c>
    </row>
    <row r="1364" spans="1:74" x14ac:dyDescent="0.25">
      <c r="A1364" s="75">
        <v>5961517</v>
      </c>
      <c r="B1364" t="s">
        <v>5807</v>
      </c>
      <c r="C1364" t="s">
        <v>5808</v>
      </c>
      <c r="D1364" t="s">
        <v>125</v>
      </c>
      <c r="E1364" t="s">
        <v>54</v>
      </c>
      <c r="F1364" s="75">
        <v>51</v>
      </c>
      <c r="G1364" s="75">
        <v>346953</v>
      </c>
      <c r="H1364">
        <v>434.55</v>
      </c>
      <c r="I1364" t="s">
        <v>203</v>
      </c>
      <c r="J1364" s="75">
        <v>225085</v>
      </c>
      <c r="K1364" t="s">
        <v>5809</v>
      </c>
      <c r="L1364" t="s">
        <v>5810</v>
      </c>
      <c r="M1364" s="81">
        <v>46156.667916666673</v>
      </c>
      <c r="N1364" s="81">
        <v>46158.410868055558</v>
      </c>
      <c r="O1364" t="s">
        <v>58</v>
      </c>
      <c r="P1364" t="s">
        <v>59</v>
      </c>
      <c r="Q1364" t="s">
        <v>130</v>
      </c>
      <c r="R1364" t="s">
        <v>99</v>
      </c>
      <c r="S1364" t="s">
        <v>1244</v>
      </c>
      <c r="U1364" s="75">
        <v>255931</v>
      </c>
      <c r="V1364" t="s">
        <v>5811</v>
      </c>
      <c r="X1364" t="s">
        <v>118</v>
      </c>
      <c r="Y1364" t="s">
        <v>1468</v>
      </c>
      <c r="AA1364" t="s">
        <v>101</v>
      </c>
      <c r="AB1364">
        <v>41.733333000000002</v>
      </c>
      <c r="AC1364">
        <v>29.866667</v>
      </c>
      <c r="AD1364">
        <v>11.866666</v>
      </c>
      <c r="AE1364">
        <v>0.15</v>
      </c>
      <c r="AF1364">
        <v>0</v>
      </c>
      <c r="AG1364">
        <v>11.716666</v>
      </c>
      <c r="AH1364">
        <v>11.716666</v>
      </c>
      <c r="AI1364">
        <v>11.4</v>
      </c>
      <c r="AJ1364">
        <v>0.316666</v>
      </c>
      <c r="AK1364">
        <v>0</v>
      </c>
      <c r="AL1364" s="76">
        <v>45944</v>
      </c>
      <c r="AM1364" s="75">
        <v>212</v>
      </c>
      <c r="AN1364" t="s">
        <v>65</v>
      </c>
      <c r="AO1364" t="s">
        <v>5812</v>
      </c>
      <c r="AP1364" t="s">
        <v>67</v>
      </c>
      <c r="AQ1364" t="s">
        <v>121</v>
      </c>
      <c r="AR1364" t="s">
        <v>69</v>
      </c>
      <c r="AT1364" s="82" t="s">
        <v>5545</v>
      </c>
      <c r="AU1364" s="78">
        <v>2026</v>
      </c>
      <c r="AV1364" s="78">
        <v>5</v>
      </c>
      <c r="AW1364" s="78" t="s">
        <v>347</v>
      </c>
      <c r="AX1364" s="78">
        <v>0</v>
      </c>
      <c r="AY1364" s="78">
        <v>0</v>
      </c>
      <c r="BT1364" t="s">
        <v>347</v>
      </c>
      <c r="BU1364">
        <v>0</v>
      </c>
      <c r="BV1364">
        <v>0</v>
      </c>
    </row>
    <row r="1365" spans="1:74" x14ac:dyDescent="0.25">
      <c r="A1365" s="75">
        <v>5963813</v>
      </c>
      <c r="B1365" t="s">
        <v>5813</v>
      </c>
      <c r="C1365" t="s">
        <v>5814</v>
      </c>
      <c r="D1365" t="s">
        <v>4979</v>
      </c>
      <c r="E1365" t="s">
        <v>126</v>
      </c>
      <c r="F1365" s="75">
        <v>4</v>
      </c>
      <c r="G1365" s="75">
        <v>354201</v>
      </c>
      <c r="H1365">
        <v>1000</v>
      </c>
      <c r="I1365" t="s">
        <v>141</v>
      </c>
      <c r="J1365" s="75">
        <v>229887</v>
      </c>
      <c r="K1365" t="s">
        <v>5019</v>
      </c>
      <c r="L1365" t="s">
        <v>5020</v>
      </c>
      <c r="M1365" s="81">
        <v>46158.549733796302</v>
      </c>
      <c r="N1365" s="81">
        <v>46159.113483796304</v>
      </c>
      <c r="O1365" t="s">
        <v>58</v>
      </c>
      <c r="P1365" t="s">
        <v>59</v>
      </c>
      <c r="Q1365" t="s">
        <v>130</v>
      </c>
      <c r="R1365" t="s">
        <v>60</v>
      </c>
      <c r="S1365" t="s">
        <v>1543</v>
      </c>
      <c r="U1365" s="75">
        <v>256961</v>
      </c>
      <c r="V1365" t="s">
        <v>5815</v>
      </c>
      <c r="W1365" t="s">
        <v>5815</v>
      </c>
      <c r="X1365" t="s">
        <v>62</v>
      </c>
      <c r="Y1365" t="s">
        <v>63</v>
      </c>
      <c r="AA1365" t="s">
        <v>101</v>
      </c>
      <c r="AB1365">
        <v>13.450001</v>
      </c>
      <c r="AC1365">
        <v>4.1333339999999996</v>
      </c>
      <c r="AD1365">
        <v>9.3166670000000007</v>
      </c>
      <c r="AE1365">
        <v>6.6667000000000004E-2</v>
      </c>
      <c r="AF1365">
        <v>0</v>
      </c>
      <c r="AG1365">
        <v>9.25</v>
      </c>
      <c r="AH1365">
        <v>9.25</v>
      </c>
      <c r="AI1365">
        <v>8.9666669999999993</v>
      </c>
      <c r="AJ1365">
        <v>0.283333</v>
      </c>
      <c r="AK1365">
        <v>0</v>
      </c>
      <c r="AL1365" s="76">
        <v>46076.490104166667</v>
      </c>
      <c r="AM1365" s="75">
        <v>82</v>
      </c>
      <c r="AN1365" t="s">
        <v>65</v>
      </c>
      <c r="AO1365" t="s">
        <v>5022</v>
      </c>
      <c r="AP1365" t="s">
        <v>67</v>
      </c>
      <c r="AQ1365" t="s">
        <v>68</v>
      </c>
      <c r="AR1365" t="s">
        <v>69</v>
      </c>
      <c r="AT1365" s="82" t="s">
        <v>5545</v>
      </c>
      <c r="AU1365" s="78">
        <v>2026</v>
      </c>
      <c r="AV1365" s="78">
        <v>5</v>
      </c>
      <c r="AW1365" s="78" t="s">
        <v>71</v>
      </c>
      <c r="AX1365" s="78">
        <v>0</v>
      </c>
      <c r="AY1365" s="78">
        <v>0</v>
      </c>
      <c r="BT1365" t="s">
        <v>71</v>
      </c>
      <c r="BU1365">
        <v>0</v>
      </c>
      <c r="BV1365">
        <v>0</v>
      </c>
    </row>
    <row r="1366" spans="1:74" x14ac:dyDescent="0.25">
      <c r="A1366" s="75">
        <v>5964025</v>
      </c>
      <c r="B1366" t="s">
        <v>5816</v>
      </c>
      <c r="C1366" t="s">
        <v>5817</v>
      </c>
      <c r="D1366" t="s">
        <v>1052</v>
      </c>
      <c r="E1366" t="s">
        <v>105</v>
      </c>
      <c r="F1366" s="75">
        <v>1223</v>
      </c>
      <c r="G1366" s="75">
        <v>340855</v>
      </c>
      <c r="H1366">
        <v>442.11</v>
      </c>
      <c r="I1366" t="s">
        <v>175</v>
      </c>
      <c r="J1366" s="75">
        <v>83605</v>
      </c>
      <c r="K1366" t="s">
        <v>844</v>
      </c>
      <c r="L1366" t="s">
        <v>845</v>
      </c>
      <c r="M1366" s="81">
        <v>46158.701793981483</v>
      </c>
      <c r="N1366" s="81">
        <v>46159.867835648147</v>
      </c>
      <c r="O1366" t="s">
        <v>58</v>
      </c>
      <c r="P1366" t="s">
        <v>59</v>
      </c>
      <c r="Q1366" t="s">
        <v>90</v>
      </c>
      <c r="R1366" t="s">
        <v>60</v>
      </c>
      <c r="S1366" t="s">
        <v>583</v>
      </c>
      <c r="U1366" s="75">
        <v>257009</v>
      </c>
      <c r="V1366" t="s">
        <v>5818</v>
      </c>
      <c r="W1366" t="s">
        <v>5818</v>
      </c>
      <c r="X1366" t="s">
        <v>62</v>
      </c>
      <c r="Y1366" t="s">
        <v>63</v>
      </c>
      <c r="AA1366" t="s">
        <v>416</v>
      </c>
      <c r="AB1366">
        <v>27.883334000000001</v>
      </c>
      <c r="AC1366">
        <v>6.3</v>
      </c>
      <c r="AD1366">
        <v>21.583334000000001</v>
      </c>
      <c r="AE1366">
        <v>0.25</v>
      </c>
      <c r="AF1366">
        <v>0</v>
      </c>
      <c r="AG1366">
        <v>21.333334000000001</v>
      </c>
      <c r="AH1366">
        <v>21.333334000000001</v>
      </c>
      <c r="AI1366">
        <v>21.316666999999999</v>
      </c>
      <c r="AJ1366">
        <v>1.6667000000000001E-2</v>
      </c>
      <c r="AK1366">
        <v>0</v>
      </c>
      <c r="AL1366" s="76">
        <v>45900</v>
      </c>
      <c r="AM1366" s="75">
        <v>258</v>
      </c>
      <c r="AN1366" t="s">
        <v>65</v>
      </c>
      <c r="AO1366" t="s">
        <v>3338</v>
      </c>
      <c r="AP1366" t="s">
        <v>67</v>
      </c>
      <c r="AQ1366" t="s">
        <v>68</v>
      </c>
      <c r="AR1366" t="s">
        <v>69</v>
      </c>
      <c r="AT1366" s="82" t="s">
        <v>5545</v>
      </c>
      <c r="AU1366" s="78">
        <v>2026</v>
      </c>
      <c r="AV1366" s="78">
        <v>5</v>
      </c>
      <c r="AW1366" s="78" t="s">
        <v>71</v>
      </c>
      <c r="AX1366" s="78">
        <v>0</v>
      </c>
      <c r="AY1366" s="78">
        <v>0</v>
      </c>
      <c r="BT1366" t="s">
        <v>71</v>
      </c>
      <c r="BU1366">
        <v>0</v>
      </c>
      <c r="BV1366">
        <v>0</v>
      </c>
    </row>
    <row r="1367" spans="1:74" x14ac:dyDescent="0.25">
      <c r="A1367" s="75">
        <v>5964575</v>
      </c>
      <c r="B1367" t="s">
        <v>5819</v>
      </c>
      <c r="C1367" t="s">
        <v>413</v>
      </c>
      <c r="D1367" t="s">
        <v>125</v>
      </c>
      <c r="E1367" t="s">
        <v>87</v>
      </c>
      <c r="F1367" s="75">
        <v>331</v>
      </c>
      <c r="G1367" s="75">
        <v>286633</v>
      </c>
      <c r="H1367">
        <v>364.96</v>
      </c>
      <c r="I1367" t="s">
        <v>55</v>
      </c>
      <c r="J1367" s="75">
        <v>218787</v>
      </c>
      <c r="K1367" t="s">
        <v>96</v>
      </c>
      <c r="L1367" t="s">
        <v>97</v>
      </c>
      <c r="M1367" s="81">
        <v>46159.715636574067</v>
      </c>
      <c r="N1367" s="81">
        <v>46160.407592592594</v>
      </c>
      <c r="O1367" t="s">
        <v>58</v>
      </c>
      <c r="P1367" t="s">
        <v>59</v>
      </c>
      <c r="Q1367" t="s">
        <v>90</v>
      </c>
      <c r="R1367" t="s">
        <v>99</v>
      </c>
      <c r="S1367" t="s">
        <v>1244</v>
      </c>
      <c r="U1367" s="75">
        <v>257173</v>
      </c>
      <c r="V1367" t="s">
        <v>5820</v>
      </c>
      <c r="X1367" t="s">
        <v>62</v>
      </c>
      <c r="Y1367" t="s">
        <v>63</v>
      </c>
      <c r="AA1367" t="s">
        <v>81</v>
      </c>
      <c r="AB1367">
        <v>16.566666000000001</v>
      </c>
      <c r="AC1367">
        <v>14.25</v>
      </c>
      <c r="AD1367">
        <v>2.3166660000000001</v>
      </c>
      <c r="AE1367">
        <v>0.16666600000000001</v>
      </c>
      <c r="AF1367">
        <v>0</v>
      </c>
      <c r="AG1367">
        <v>2.15</v>
      </c>
      <c r="AH1367">
        <v>2.15</v>
      </c>
      <c r="AI1367">
        <v>1.7</v>
      </c>
      <c r="AJ1367">
        <v>0.45</v>
      </c>
      <c r="AK1367">
        <v>0</v>
      </c>
      <c r="AL1367" s="76">
        <v>44935</v>
      </c>
      <c r="AM1367" s="75">
        <v>1224</v>
      </c>
      <c r="AN1367" t="s">
        <v>65</v>
      </c>
      <c r="AO1367" t="s">
        <v>4997</v>
      </c>
      <c r="AP1367" t="s">
        <v>67</v>
      </c>
      <c r="AQ1367" t="s">
        <v>68</v>
      </c>
      <c r="AR1367" t="s">
        <v>69</v>
      </c>
      <c r="AT1367" s="82" t="s">
        <v>5821</v>
      </c>
      <c r="AU1367" s="78">
        <v>2026</v>
      </c>
      <c r="AV1367" s="78">
        <v>5</v>
      </c>
      <c r="AW1367" s="78" t="s">
        <v>71</v>
      </c>
      <c r="AX1367" s="78">
        <v>1</v>
      </c>
      <c r="AY1367" s="78">
        <v>0</v>
      </c>
      <c r="BT1367" t="s">
        <v>71</v>
      </c>
      <c r="BU1367">
        <v>1</v>
      </c>
      <c r="BV1367">
        <v>0</v>
      </c>
    </row>
    <row r="1368" spans="1:74" x14ac:dyDescent="0.25">
      <c r="A1368" s="75">
        <v>5963433</v>
      </c>
      <c r="B1368" t="s">
        <v>5822</v>
      </c>
      <c r="C1368" t="s">
        <v>5823</v>
      </c>
      <c r="D1368" t="s">
        <v>527</v>
      </c>
      <c r="E1368" t="s">
        <v>87</v>
      </c>
      <c r="F1368" s="75">
        <v>93</v>
      </c>
      <c r="G1368" s="75">
        <v>280013</v>
      </c>
      <c r="H1368">
        <v>616.59</v>
      </c>
      <c r="I1368" t="s">
        <v>266</v>
      </c>
      <c r="J1368" s="75">
        <v>49495</v>
      </c>
      <c r="K1368" t="s">
        <v>460</v>
      </c>
      <c r="L1368" t="s">
        <v>461</v>
      </c>
      <c r="M1368" s="81">
        <v>46157.97247685185</v>
      </c>
      <c r="N1368" s="81">
        <v>46160.551064814812</v>
      </c>
      <c r="O1368" t="s">
        <v>58</v>
      </c>
      <c r="P1368" t="s">
        <v>59</v>
      </c>
      <c r="Q1368" t="s">
        <v>90</v>
      </c>
      <c r="R1368" t="s">
        <v>99</v>
      </c>
      <c r="S1368" t="s">
        <v>1244</v>
      </c>
      <c r="U1368" s="75">
        <v>256753</v>
      </c>
      <c r="V1368" t="s">
        <v>5824</v>
      </c>
      <c r="X1368" t="s">
        <v>62</v>
      </c>
      <c r="Y1368" t="s">
        <v>63</v>
      </c>
      <c r="AA1368" t="s">
        <v>64</v>
      </c>
      <c r="AB1368">
        <v>61.816665999999998</v>
      </c>
      <c r="AC1368">
        <v>56.25</v>
      </c>
      <c r="AD1368">
        <v>5.5666659999999997</v>
      </c>
      <c r="AE1368">
        <v>0.36666599999999999</v>
      </c>
      <c r="AF1368">
        <v>0</v>
      </c>
      <c r="AG1368">
        <v>5.2</v>
      </c>
      <c r="AH1368">
        <v>5.2</v>
      </c>
      <c r="AI1368">
        <v>5</v>
      </c>
      <c r="AJ1368">
        <v>0.2</v>
      </c>
      <c r="AK1368">
        <v>0</v>
      </c>
      <c r="AL1368" s="76">
        <v>44774</v>
      </c>
      <c r="AM1368" s="75">
        <v>1383</v>
      </c>
      <c r="AN1368" t="s">
        <v>65</v>
      </c>
      <c r="AO1368" t="s">
        <v>529</v>
      </c>
      <c r="AP1368" t="s">
        <v>67</v>
      </c>
      <c r="AQ1368" t="s">
        <v>68</v>
      </c>
      <c r="AR1368" t="s">
        <v>69</v>
      </c>
      <c r="AT1368" s="82" t="s">
        <v>5821</v>
      </c>
      <c r="AU1368" s="78">
        <v>2026</v>
      </c>
      <c r="AV1368" s="78">
        <v>5</v>
      </c>
      <c r="AW1368" s="78" t="s">
        <v>71</v>
      </c>
      <c r="AX1368" s="78">
        <v>1</v>
      </c>
      <c r="AY1368" s="78">
        <v>0</v>
      </c>
      <c r="BT1368" t="s">
        <v>71</v>
      </c>
      <c r="BU1368">
        <v>1</v>
      </c>
      <c r="BV1368">
        <v>0</v>
      </c>
    </row>
    <row r="1369" spans="1:74" x14ac:dyDescent="0.25">
      <c r="A1369" s="75">
        <v>5964155</v>
      </c>
      <c r="B1369" t="s">
        <v>5825</v>
      </c>
      <c r="C1369" t="s">
        <v>3189</v>
      </c>
      <c r="D1369" t="s">
        <v>527</v>
      </c>
      <c r="E1369" t="s">
        <v>87</v>
      </c>
      <c r="F1369" s="75">
        <v>57</v>
      </c>
      <c r="G1369" s="75">
        <v>280115</v>
      </c>
      <c r="H1369">
        <v>623.5</v>
      </c>
      <c r="I1369" t="s">
        <v>266</v>
      </c>
      <c r="J1369" s="75">
        <v>203659</v>
      </c>
      <c r="K1369" t="s">
        <v>1090</v>
      </c>
      <c r="L1369" t="s">
        <v>1091</v>
      </c>
      <c r="M1369" s="81">
        <v>46158.840532407397</v>
      </c>
      <c r="N1369" s="81">
        <v>46160.558796296304</v>
      </c>
      <c r="O1369" t="s">
        <v>58</v>
      </c>
      <c r="P1369" t="s">
        <v>59</v>
      </c>
      <c r="Q1369" t="s">
        <v>90</v>
      </c>
      <c r="R1369" t="s">
        <v>60</v>
      </c>
      <c r="S1369" t="s">
        <v>583</v>
      </c>
      <c r="U1369" s="75">
        <v>257027</v>
      </c>
      <c r="V1369" t="s">
        <v>5826</v>
      </c>
      <c r="W1369" t="s">
        <v>5826</v>
      </c>
      <c r="X1369" t="s">
        <v>62</v>
      </c>
      <c r="Y1369" t="s">
        <v>63</v>
      </c>
      <c r="AA1369" t="s">
        <v>64</v>
      </c>
      <c r="AB1369">
        <v>41.166665999999999</v>
      </c>
      <c r="AC1369">
        <v>33.416665999999999</v>
      </c>
      <c r="AD1369">
        <v>7.75</v>
      </c>
      <c r="AE1369">
        <v>1.5166660000000001</v>
      </c>
      <c r="AF1369">
        <v>0</v>
      </c>
      <c r="AG1369">
        <v>6.2333340000000002</v>
      </c>
      <c r="AH1369">
        <v>6.2333340000000002</v>
      </c>
      <c r="AI1369">
        <v>4.516667</v>
      </c>
      <c r="AJ1369">
        <v>1.7166669999999999</v>
      </c>
      <c r="AK1369">
        <v>0</v>
      </c>
      <c r="AL1369" s="76">
        <v>44781</v>
      </c>
      <c r="AM1369" s="75">
        <v>1377</v>
      </c>
      <c r="AN1369" t="s">
        <v>65</v>
      </c>
      <c r="AO1369" t="s">
        <v>3192</v>
      </c>
      <c r="AP1369" t="s">
        <v>67</v>
      </c>
      <c r="AQ1369" t="s">
        <v>68</v>
      </c>
      <c r="AR1369" t="s">
        <v>69</v>
      </c>
      <c r="AT1369" s="82" t="s">
        <v>5821</v>
      </c>
      <c r="AU1369" s="78">
        <v>2026</v>
      </c>
      <c r="AV1369" s="78">
        <v>5</v>
      </c>
      <c r="AW1369" s="78" t="s">
        <v>71</v>
      </c>
      <c r="AX1369" s="78">
        <v>1</v>
      </c>
      <c r="AY1369" s="78">
        <v>0</v>
      </c>
      <c r="BT1369" t="s">
        <v>71</v>
      </c>
      <c r="BU1369">
        <v>1</v>
      </c>
      <c r="BV1369">
        <v>0</v>
      </c>
    </row>
    <row r="1370" spans="1:74" x14ac:dyDescent="0.25">
      <c r="A1370" s="75">
        <v>5964175</v>
      </c>
      <c r="B1370" t="s">
        <v>5827</v>
      </c>
      <c r="C1370" t="s">
        <v>1912</v>
      </c>
      <c r="D1370" t="s">
        <v>527</v>
      </c>
      <c r="E1370" t="s">
        <v>87</v>
      </c>
      <c r="F1370" s="75">
        <v>38</v>
      </c>
      <c r="G1370" s="75">
        <v>275263</v>
      </c>
      <c r="H1370">
        <v>368.16</v>
      </c>
      <c r="I1370" t="s">
        <v>55</v>
      </c>
      <c r="J1370" s="75">
        <v>218791</v>
      </c>
      <c r="K1370" t="s">
        <v>312</v>
      </c>
      <c r="L1370" t="s">
        <v>313</v>
      </c>
      <c r="M1370" s="81">
        <v>46158.875358796293</v>
      </c>
      <c r="N1370" s="81">
        <v>46160.565740740742</v>
      </c>
      <c r="O1370" t="s">
        <v>58</v>
      </c>
      <c r="P1370" t="s">
        <v>59</v>
      </c>
      <c r="Q1370" t="s">
        <v>90</v>
      </c>
      <c r="R1370" t="s">
        <v>60</v>
      </c>
      <c r="S1370" t="s">
        <v>583</v>
      </c>
      <c r="U1370" s="75">
        <v>257327</v>
      </c>
      <c r="V1370" t="s">
        <v>5828</v>
      </c>
      <c r="W1370" t="s">
        <v>5829</v>
      </c>
      <c r="X1370" t="s">
        <v>62</v>
      </c>
      <c r="Y1370" t="s">
        <v>63</v>
      </c>
      <c r="AA1370" t="s">
        <v>416</v>
      </c>
      <c r="AB1370">
        <v>40.483333000000002</v>
      </c>
      <c r="AC1370">
        <v>20.95</v>
      </c>
      <c r="AD1370">
        <v>19.533332999999999</v>
      </c>
      <c r="AE1370">
        <v>1.483333</v>
      </c>
      <c r="AF1370">
        <v>0</v>
      </c>
      <c r="AG1370">
        <v>18.05</v>
      </c>
      <c r="AH1370">
        <v>18.05</v>
      </c>
      <c r="AI1370">
        <v>16.850000000000001</v>
      </c>
      <c r="AJ1370">
        <v>1.2</v>
      </c>
      <c r="AK1370">
        <v>0</v>
      </c>
      <c r="AL1370" s="76">
        <v>44841.391076388893</v>
      </c>
      <c r="AM1370" s="75">
        <v>1317</v>
      </c>
      <c r="AN1370" t="s">
        <v>65</v>
      </c>
      <c r="AO1370" t="s">
        <v>1914</v>
      </c>
      <c r="AP1370" t="s">
        <v>67</v>
      </c>
      <c r="AQ1370" t="s">
        <v>68</v>
      </c>
      <c r="AR1370" t="s">
        <v>69</v>
      </c>
      <c r="AT1370" s="82" t="s">
        <v>5821</v>
      </c>
      <c r="AU1370" s="78">
        <v>2026</v>
      </c>
      <c r="AV1370" s="78">
        <v>5</v>
      </c>
      <c r="AW1370" s="78" t="s">
        <v>71</v>
      </c>
      <c r="AX1370" s="78">
        <v>0</v>
      </c>
      <c r="AY1370" s="78">
        <v>0</v>
      </c>
      <c r="BT1370" t="s">
        <v>71</v>
      </c>
      <c r="BU1370">
        <v>0</v>
      </c>
      <c r="BV1370">
        <v>0</v>
      </c>
    </row>
    <row r="1371" spans="1:74" x14ac:dyDescent="0.25">
      <c r="A1371" s="75">
        <v>5960113</v>
      </c>
      <c r="B1371" t="s">
        <v>5830</v>
      </c>
      <c r="C1371" t="s">
        <v>2688</v>
      </c>
      <c r="D1371" t="s">
        <v>527</v>
      </c>
      <c r="E1371" t="s">
        <v>87</v>
      </c>
      <c r="F1371" s="75">
        <v>267</v>
      </c>
      <c r="G1371" s="75">
        <v>286379</v>
      </c>
      <c r="H1371">
        <v>364.96</v>
      </c>
      <c r="I1371" t="s">
        <v>55</v>
      </c>
      <c r="J1371" s="75">
        <v>218787</v>
      </c>
      <c r="K1371" t="s">
        <v>96</v>
      </c>
      <c r="L1371" t="s">
        <v>97</v>
      </c>
      <c r="M1371" s="81">
        <v>46155.882465277777</v>
      </c>
      <c r="N1371" s="81">
        <v>46160.56590277778</v>
      </c>
      <c r="O1371" t="s">
        <v>58</v>
      </c>
      <c r="P1371" t="s">
        <v>59</v>
      </c>
      <c r="Q1371" t="s">
        <v>98</v>
      </c>
      <c r="R1371" t="s">
        <v>131</v>
      </c>
      <c r="S1371" t="s">
        <v>1273</v>
      </c>
      <c r="U1371" s="75">
        <v>257285</v>
      </c>
      <c r="V1371" t="s">
        <v>5831</v>
      </c>
      <c r="W1371" t="s">
        <v>5831</v>
      </c>
      <c r="X1371" t="s">
        <v>62</v>
      </c>
      <c r="Y1371" t="s">
        <v>63</v>
      </c>
      <c r="AA1371" t="s">
        <v>81</v>
      </c>
      <c r="AB1371">
        <v>112.316667</v>
      </c>
      <c r="AC1371">
        <v>107.583333</v>
      </c>
      <c r="AD1371">
        <v>4.7333340000000002</v>
      </c>
      <c r="AE1371">
        <v>0.78333399999999997</v>
      </c>
      <c r="AF1371">
        <v>0</v>
      </c>
      <c r="AG1371">
        <v>3.95</v>
      </c>
      <c r="AH1371">
        <v>3.95</v>
      </c>
      <c r="AI1371">
        <v>3.75</v>
      </c>
      <c r="AJ1371">
        <v>0.2</v>
      </c>
      <c r="AK1371">
        <v>0</v>
      </c>
      <c r="AL1371" s="76">
        <v>44972</v>
      </c>
      <c r="AM1371" s="75">
        <v>1183</v>
      </c>
      <c r="AN1371" t="s">
        <v>65</v>
      </c>
      <c r="AO1371" t="s">
        <v>2690</v>
      </c>
      <c r="AP1371" t="s">
        <v>67</v>
      </c>
      <c r="AQ1371" t="s">
        <v>68</v>
      </c>
      <c r="AR1371" t="s">
        <v>69</v>
      </c>
      <c r="AT1371" s="82" t="s">
        <v>5821</v>
      </c>
      <c r="AU1371" s="78">
        <v>2026</v>
      </c>
      <c r="AV1371" s="78">
        <v>5</v>
      </c>
      <c r="AW1371" s="78" t="s">
        <v>71</v>
      </c>
      <c r="AX1371" s="78">
        <v>1</v>
      </c>
      <c r="AY1371" s="78">
        <v>0</v>
      </c>
      <c r="BT1371" t="s">
        <v>71</v>
      </c>
      <c r="BU1371">
        <v>1</v>
      </c>
      <c r="BV1371">
        <v>0</v>
      </c>
    </row>
    <row r="1372" spans="1:74" x14ac:dyDescent="0.25">
      <c r="A1372" s="75">
        <v>5963523</v>
      </c>
      <c r="B1372" t="s">
        <v>5832</v>
      </c>
      <c r="C1372" t="s">
        <v>1369</v>
      </c>
      <c r="D1372" t="s">
        <v>527</v>
      </c>
      <c r="E1372" t="s">
        <v>87</v>
      </c>
      <c r="F1372" s="75">
        <v>154</v>
      </c>
      <c r="G1372" s="75">
        <v>285763</v>
      </c>
      <c r="H1372">
        <v>368.16</v>
      </c>
      <c r="I1372" t="s">
        <v>55</v>
      </c>
      <c r="J1372" s="75">
        <v>218791</v>
      </c>
      <c r="K1372" t="s">
        <v>312</v>
      </c>
      <c r="L1372" t="s">
        <v>313</v>
      </c>
      <c r="M1372" s="81">
        <v>46158.305879629632</v>
      </c>
      <c r="N1372" s="81">
        <v>46160.582719907397</v>
      </c>
      <c r="O1372" t="s">
        <v>554</v>
      </c>
      <c r="P1372" t="s">
        <v>59</v>
      </c>
      <c r="Q1372" t="s">
        <v>90</v>
      </c>
      <c r="R1372" t="s">
        <v>99</v>
      </c>
      <c r="S1372" t="s">
        <v>1244</v>
      </c>
      <c r="U1372" s="75">
        <v>257309</v>
      </c>
      <c r="V1372" t="s">
        <v>5833</v>
      </c>
      <c r="X1372" t="s">
        <v>62</v>
      </c>
      <c r="Y1372" t="s">
        <v>63</v>
      </c>
      <c r="AA1372" t="s">
        <v>64</v>
      </c>
      <c r="AB1372">
        <v>54.6</v>
      </c>
      <c r="AC1372">
        <v>47.2</v>
      </c>
      <c r="AD1372">
        <v>7.4</v>
      </c>
      <c r="AE1372">
        <v>0.2</v>
      </c>
      <c r="AF1372">
        <v>0</v>
      </c>
      <c r="AG1372">
        <v>7.2</v>
      </c>
      <c r="AH1372">
        <v>7.2</v>
      </c>
      <c r="AI1372">
        <v>5.6833330000000002</v>
      </c>
      <c r="AJ1372">
        <v>1.516667</v>
      </c>
      <c r="AK1372">
        <v>0</v>
      </c>
      <c r="AL1372" s="76">
        <v>44876.671053240738</v>
      </c>
      <c r="AM1372" s="75">
        <v>1281</v>
      </c>
      <c r="AN1372" t="s">
        <v>65</v>
      </c>
      <c r="AO1372" t="s">
        <v>1372</v>
      </c>
      <c r="AP1372" t="s">
        <v>67</v>
      </c>
      <c r="AQ1372" t="s">
        <v>68</v>
      </c>
      <c r="AR1372" t="s">
        <v>69</v>
      </c>
      <c r="AT1372" s="82" t="s">
        <v>5821</v>
      </c>
      <c r="AU1372" s="78">
        <v>2026</v>
      </c>
      <c r="AV1372" s="78">
        <v>5</v>
      </c>
      <c r="AW1372" s="78" t="s">
        <v>71</v>
      </c>
      <c r="AX1372" s="78">
        <v>1</v>
      </c>
      <c r="AY1372" s="78">
        <v>0</v>
      </c>
      <c r="BT1372" t="s">
        <v>71</v>
      </c>
      <c r="BU1372">
        <v>1</v>
      </c>
      <c r="BV1372">
        <v>0</v>
      </c>
    </row>
    <row r="1373" spans="1:74" x14ac:dyDescent="0.25">
      <c r="A1373" s="75">
        <v>5964313</v>
      </c>
      <c r="B1373" t="s">
        <v>5834</v>
      </c>
      <c r="C1373" t="s">
        <v>693</v>
      </c>
      <c r="D1373" t="s">
        <v>527</v>
      </c>
      <c r="E1373" t="s">
        <v>87</v>
      </c>
      <c r="F1373" s="75">
        <v>402</v>
      </c>
      <c r="G1373" s="75">
        <v>288381</v>
      </c>
      <c r="H1373">
        <v>368.16</v>
      </c>
      <c r="I1373" t="s">
        <v>55</v>
      </c>
      <c r="J1373" s="75">
        <v>218791</v>
      </c>
      <c r="K1373" t="s">
        <v>312</v>
      </c>
      <c r="L1373" t="s">
        <v>313</v>
      </c>
      <c r="M1373" s="81">
        <v>46159.382245370369</v>
      </c>
      <c r="N1373" s="81">
        <v>46160.582870370366</v>
      </c>
      <c r="O1373" t="s">
        <v>554</v>
      </c>
      <c r="P1373" t="s">
        <v>59</v>
      </c>
      <c r="Q1373" t="s">
        <v>90</v>
      </c>
      <c r="R1373" t="s">
        <v>99</v>
      </c>
      <c r="S1373" t="s">
        <v>1244</v>
      </c>
      <c r="U1373" s="75">
        <v>257321</v>
      </c>
      <c r="V1373" t="s">
        <v>5835</v>
      </c>
      <c r="W1373" t="s">
        <v>5836</v>
      </c>
      <c r="X1373" t="s">
        <v>62</v>
      </c>
      <c r="Y1373" t="s">
        <v>63</v>
      </c>
      <c r="AA1373" t="s">
        <v>101</v>
      </c>
      <c r="AB1373">
        <v>28.766665</v>
      </c>
      <c r="AC1373">
        <v>19.866667</v>
      </c>
      <c r="AD1373">
        <v>8.8999980000000001</v>
      </c>
      <c r="AE1373">
        <v>0.23333300000000001</v>
      </c>
      <c r="AF1373">
        <v>0</v>
      </c>
      <c r="AG1373">
        <v>8.6666650000000001</v>
      </c>
      <c r="AH1373">
        <v>8.6666650000000001</v>
      </c>
      <c r="AI1373">
        <v>8.2999989999999997</v>
      </c>
      <c r="AJ1373">
        <v>0.36666599999999999</v>
      </c>
      <c r="AK1373">
        <v>0</v>
      </c>
      <c r="AL1373" s="76">
        <v>44946.44804398148</v>
      </c>
      <c r="AM1373" s="75">
        <v>1212</v>
      </c>
      <c r="AN1373" t="s">
        <v>65</v>
      </c>
      <c r="AO1373" t="s">
        <v>695</v>
      </c>
      <c r="AP1373" t="s">
        <v>67</v>
      </c>
      <c r="AQ1373" t="s">
        <v>68</v>
      </c>
      <c r="AR1373" t="s">
        <v>69</v>
      </c>
      <c r="AT1373" s="82" t="s">
        <v>5821</v>
      </c>
      <c r="AU1373" s="78">
        <v>2026</v>
      </c>
      <c r="AV1373" s="78">
        <v>5</v>
      </c>
      <c r="AW1373" s="78" t="s">
        <v>71</v>
      </c>
      <c r="AX1373" s="78">
        <v>0</v>
      </c>
      <c r="AY1373" s="78">
        <v>0</v>
      </c>
      <c r="BT1373" t="s">
        <v>71</v>
      </c>
      <c r="BU1373">
        <v>0</v>
      </c>
      <c r="BV1373">
        <v>0</v>
      </c>
    </row>
    <row r="1374" spans="1:74" x14ac:dyDescent="0.25">
      <c r="A1374" s="75">
        <v>5963925</v>
      </c>
      <c r="B1374" t="s">
        <v>5837</v>
      </c>
      <c r="C1374" t="s">
        <v>5838</v>
      </c>
      <c r="D1374" t="s">
        <v>527</v>
      </c>
      <c r="E1374" t="s">
        <v>54</v>
      </c>
      <c r="F1374" s="75">
        <v>19</v>
      </c>
      <c r="G1374" s="75">
        <v>333075</v>
      </c>
      <c r="H1374">
        <v>250</v>
      </c>
      <c r="I1374" t="s">
        <v>141</v>
      </c>
      <c r="J1374" s="75">
        <v>88921</v>
      </c>
      <c r="K1374" t="s">
        <v>1177</v>
      </c>
      <c r="L1374" t="s">
        <v>1178</v>
      </c>
      <c r="M1374" s="81">
        <v>46158.613310185188</v>
      </c>
      <c r="N1374" s="81">
        <v>46160.58421296296</v>
      </c>
      <c r="O1374" t="s">
        <v>391</v>
      </c>
      <c r="P1374" t="s">
        <v>59</v>
      </c>
      <c r="Q1374" t="s">
        <v>130</v>
      </c>
      <c r="R1374" t="s">
        <v>60</v>
      </c>
      <c r="S1374" t="s">
        <v>3805</v>
      </c>
      <c r="U1374" s="75">
        <v>256985</v>
      </c>
      <c r="V1374" t="s">
        <v>5839</v>
      </c>
      <c r="W1374" t="s">
        <v>5839</v>
      </c>
      <c r="X1374" t="s">
        <v>62</v>
      </c>
      <c r="Y1374" t="s">
        <v>63</v>
      </c>
      <c r="AA1374" t="s">
        <v>295</v>
      </c>
      <c r="AB1374">
        <v>47.25</v>
      </c>
      <c r="AC1374">
        <v>20.883333</v>
      </c>
      <c r="AD1374">
        <v>26.366667</v>
      </c>
      <c r="AE1374">
        <v>6.6667000000000004E-2</v>
      </c>
      <c r="AF1374">
        <v>0</v>
      </c>
      <c r="AG1374">
        <v>26.3</v>
      </c>
      <c r="AH1374">
        <v>26.3</v>
      </c>
      <c r="AI1374">
        <v>25.366667</v>
      </c>
      <c r="AJ1374">
        <v>0.93333299999999997</v>
      </c>
      <c r="AK1374">
        <v>0</v>
      </c>
      <c r="AL1374" s="76">
        <v>45785.472048611111</v>
      </c>
      <c r="AM1374" s="75">
        <v>373</v>
      </c>
      <c r="AN1374" t="s">
        <v>65</v>
      </c>
      <c r="AO1374" t="s">
        <v>2638</v>
      </c>
      <c r="AP1374" t="s">
        <v>67</v>
      </c>
      <c r="AQ1374" t="s">
        <v>68</v>
      </c>
      <c r="AR1374" t="s">
        <v>69</v>
      </c>
      <c r="AT1374" s="82" t="s">
        <v>5821</v>
      </c>
      <c r="AU1374" s="78">
        <v>2026</v>
      </c>
      <c r="AV1374" s="78">
        <v>5</v>
      </c>
      <c r="AW1374" s="78" t="s">
        <v>71</v>
      </c>
      <c r="AX1374" s="78">
        <v>0</v>
      </c>
      <c r="AY1374" s="78">
        <v>1</v>
      </c>
      <c r="BT1374" t="s">
        <v>71</v>
      </c>
      <c r="BU1374">
        <v>0</v>
      </c>
      <c r="BV1374">
        <v>1</v>
      </c>
    </row>
    <row r="1375" spans="1:74" x14ac:dyDescent="0.25">
      <c r="A1375" s="75">
        <v>5964157</v>
      </c>
      <c r="B1375" t="s">
        <v>5840</v>
      </c>
      <c r="C1375" t="s">
        <v>5841</v>
      </c>
      <c r="D1375" t="s">
        <v>956</v>
      </c>
      <c r="E1375" t="s">
        <v>54</v>
      </c>
      <c r="F1375" s="75">
        <v>9</v>
      </c>
      <c r="G1375" s="75">
        <v>240005</v>
      </c>
      <c r="H1375">
        <v>628.98</v>
      </c>
      <c r="I1375" t="s">
        <v>114</v>
      </c>
      <c r="J1375" s="75">
        <v>201859</v>
      </c>
      <c r="K1375" t="s">
        <v>4124</v>
      </c>
      <c r="L1375" t="s">
        <v>4125</v>
      </c>
      <c r="M1375" s="81">
        <v>46158.845393518517</v>
      </c>
      <c r="N1375" s="81">
        <v>46160.621249999997</v>
      </c>
      <c r="O1375" t="s">
        <v>58</v>
      </c>
      <c r="P1375" t="s">
        <v>59</v>
      </c>
      <c r="Q1375" t="s">
        <v>130</v>
      </c>
      <c r="R1375" t="s">
        <v>60</v>
      </c>
      <c r="S1375" t="s">
        <v>583</v>
      </c>
      <c r="U1375" s="75">
        <v>257029</v>
      </c>
      <c r="V1375" t="s">
        <v>5842</v>
      </c>
      <c r="W1375" t="s">
        <v>5842</v>
      </c>
      <c r="X1375" t="s">
        <v>62</v>
      </c>
      <c r="Y1375" t="s">
        <v>63</v>
      </c>
      <c r="AA1375" t="s">
        <v>64</v>
      </c>
      <c r="AB1375">
        <v>42.566667000000002</v>
      </c>
      <c r="AC1375">
        <v>34.883333</v>
      </c>
      <c r="AD1375">
        <v>7.6833340000000003</v>
      </c>
      <c r="AE1375">
        <v>3.3333000000000002E-2</v>
      </c>
      <c r="AF1375">
        <v>0</v>
      </c>
      <c r="AG1375">
        <v>7.6500009999999996</v>
      </c>
      <c r="AH1375">
        <v>7.6500009999999996</v>
      </c>
      <c r="AI1375">
        <v>4.3166669999999998</v>
      </c>
      <c r="AJ1375">
        <v>3.3333339999999998</v>
      </c>
      <c r="AK1375">
        <v>0</v>
      </c>
      <c r="AL1375" s="76">
        <v>44327</v>
      </c>
      <c r="AM1375" s="75">
        <v>1831</v>
      </c>
      <c r="AN1375" t="s">
        <v>65</v>
      </c>
      <c r="AO1375" t="s">
        <v>4128</v>
      </c>
      <c r="AP1375" t="s">
        <v>67</v>
      </c>
      <c r="AQ1375" t="s">
        <v>68</v>
      </c>
      <c r="AR1375" t="s">
        <v>69</v>
      </c>
      <c r="AT1375" s="82" t="s">
        <v>5821</v>
      </c>
      <c r="AU1375" s="78">
        <v>2026</v>
      </c>
      <c r="AV1375" s="78">
        <v>5</v>
      </c>
      <c r="AW1375" s="78" t="s">
        <v>71</v>
      </c>
      <c r="AX1375" s="78">
        <v>1</v>
      </c>
      <c r="AY1375" s="78">
        <v>0</v>
      </c>
      <c r="BT1375" t="s">
        <v>71</v>
      </c>
      <c r="BU1375">
        <v>1</v>
      </c>
      <c r="BV1375">
        <v>0</v>
      </c>
    </row>
    <row r="1376" spans="1:74" x14ac:dyDescent="0.25">
      <c r="A1376" s="75">
        <v>5964973</v>
      </c>
      <c r="B1376" t="s">
        <v>5843</v>
      </c>
      <c r="C1376" t="s">
        <v>5844</v>
      </c>
      <c r="D1376" t="s">
        <v>809</v>
      </c>
      <c r="E1376" t="s">
        <v>87</v>
      </c>
      <c r="F1376" s="75">
        <v>90</v>
      </c>
      <c r="G1376" s="75">
        <v>280007</v>
      </c>
      <c r="H1376">
        <v>616.59</v>
      </c>
      <c r="I1376" t="s">
        <v>266</v>
      </c>
      <c r="J1376" s="75">
        <v>49495</v>
      </c>
      <c r="K1376" t="s">
        <v>460</v>
      </c>
      <c r="L1376" t="s">
        <v>461</v>
      </c>
      <c r="M1376" s="81">
        <v>46160.319803240738</v>
      </c>
      <c r="N1376" s="81">
        <v>46160.696134259262</v>
      </c>
      <c r="O1376" t="s">
        <v>554</v>
      </c>
      <c r="P1376" t="s">
        <v>59</v>
      </c>
      <c r="Q1376" t="s">
        <v>90</v>
      </c>
      <c r="R1376" t="s">
        <v>99</v>
      </c>
      <c r="S1376" t="s">
        <v>1244</v>
      </c>
      <c r="U1376" s="75">
        <v>257351</v>
      </c>
      <c r="V1376" t="s">
        <v>5845</v>
      </c>
      <c r="W1376" t="s">
        <v>5845</v>
      </c>
      <c r="X1376" t="s">
        <v>62</v>
      </c>
      <c r="Y1376" t="s">
        <v>63</v>
      </c>
      <c r="AA1376" t="s">
        <v>101</v>
      </c>
      <c r="AB1376">
        <v>8.983333</v>
      </c>
      <c r="AC1376">
        <v>0</v>
      </c>
      <c r="AD1376">
        <v>8.983333</v>
      </c>
      <c r="AE1376">
        <v>0.38333299999999998</v>
      </c>
      <c r="AF1376">
        <v>0</v>
      </c>
      <c r="AG1376">
        <v>8.6</v>
      </c>
      <c r="AI1376">
        <v>8.4499999999999993</v>
      </c>
      <c r="AJ1376">
        <v>0.15</v>
      </c>
      <c r="AK1376">
        <v>0</v>
      </c>
      <c r="AL1376" s="76">
        <v>44774</v>
      </c>
      <c r="AM1376" s="75">
        <v>1386</v>
      </c>
      <c r="AN1376" t="s">
        <v>65</v>
      </c>
      <c r="AO1376" t="s">
        <v>551</v>
      </c>
      <c r="AP1376" t="s">
        <v>67</v>
      </c>
      <c r="AQ1376" t="s">
        <v>68</v>
      </c>
      <c r="AR1376" t="s">
        <v>69</v>
      </c>
      <c r="AT1376" s="82" t="s">
        <v>5821</v>
      </c>
      <c r="AU1376" s="78">
        <v>2026</v>
      </c>
      <c r="AV1376" s="78">
        <v>5</v>
      </c>
      <c r="AW1376" s="78" t="s">
        <v>71</v>
      </c>
      <c r="AX1376" s="78">
        <v>0</v>
      </c>
      <c r="AY1376" s="78">
        <v>0</v>
      </c>
      <c r="BT1376" t="s">
        <v>71</v>
      </c>
      <c r="BU1376">
        <v>0</v>
      </c>
      <c r="BV1376">
        <v>0</v>
      </c>
    </row>
    <row r="1377" spans="1:74" x14ac:dyDescent="0.25">
      <c r="A1377" s="75">
        <v>5966147</v>
      </c>
      <c r="B1377" t="s">
        <v>5846</v>
      </c>
      <c r="C1377" t="s">
        <v>5847</v>
      </c>
      <c r="D1377" t="s">
        <v>3560</v>
      </c>
      <c r="E1377" t="s">
        <v>126</v>
      </c>
      <c r="F1377" s="75">
        <v>4</v>
      </c>
      <c r="G1377" s="75">
        <v>354201</v>
      </c>
      <c r="H1377">
        <v>1000</v>
      </c>
      <c r="I1377" t="s">
        <v>141</v>
      </c>
      <c r="J1377" s="75">
        <v>229887</v>
      </c>
      <c r="K1377" t="s">
        <v>5019</v>
      </c>
      <c r="L1377" t="s">
        <v>5020</v>
      </c>
      <c r="M1377" s="81">
        <v>46160.665983796287</v>
      </c>
      <c r="N1377" s="81">
        <v>46160.85297453704</v>
      </c>
      <c r="O1377" t="s">
        <v>277</v>
      </c>
      <c r="P1377" t="s">
        <v>59</v>
      </c>
      <c r="Q1377" t="s">
        <v>130</v>
      </c>
      <c r="R1377" t="s">
        <v>60</v>
      </c>
      <c r="S1377" t="s">
        <v>583</v>
      </c>
      <c r="U1377" s="75">
        <v>258203</v>
      </c>
      <c r="V1377" t="s">
        <v>5848</v>
      </c>
      <c r="W1377" t="s">
        <v>5848</v>
      </c>
      <c r="X1377" t="s">
        <v>62</v>
      </c>
      <c r="Y1377" t="s">
        <v>63</v>
      </c>
      <c r="AA1377" t="s">
        <v>81</v>
      </c>
      <c r="AB1377">
        <v>4.4666670000000002</v>
      </c>
      <c r="AC1377">
        <v>0</v>
      </c>
      <c r="AD1377">
        <v>4.4666670000000002</v>
      </c>
      <c r="AE1377">
        <v>1.1499999999999999</v>
      </c>
      <c r="AF1377">
        <v>0</v>
      </c>
      <c r="AG1377">
        <v>3.3166669999999998</v>
      </c>
      <c r="AI1377">
        <v>3.2</v>
      </c>
      <c r="AJ1377">
        <v>0.11666700000000001</v>
      </c>
      <c r="AK1377">
        <v>0</v>
      </c>
      <c r="AL1377" s="76">
        <v>46076.490104166667</v>
      </c>
      <c r="AM1377" s="75">
        <v>84</v>
      </c>
      <c r="AN1377" t="s">
        <v>65</v>
      </c>
      <c r="AO1377" t="s">
        <v>5022</v>
      </c>
      <c r="AP1377" t="s">
        <v>67</v>
      </c>
      <c r="AQ1377" t="s">
        <v>68</v>
      </c>
      <c r="AR1377" t="s">
        <v>69</v>
      </c>
      <c r="AT1377" s="82" t="s">
        <v>5821</v>
      </c>
      <c r="AU1377" s="78">
        <v>2026</v>
      </c>
      <c r="AV1377" s="78">
        <v>5</v>
      </c>
      <c r="AW1377" s="78" t="s">
        <v>71</v>
      </c>
      <c r="AX1377" s="78">
        <v>1</v>
      </c>
      <c r="AY1377" s="78">
        <v>0</v>
      </c>
      <c r="BT1377" t="s">
        <v>71</v>
      </c>
      <c r="BU1377">
        <v>1</v>
      </c>
      <c r="BV1377">
        <v>0</v>
      </c>
    </row>
    <row r="1378" spans="1:74" x14ac:dyDescent="0.25">
      <c r="A1378" s="75">
        <v>5964153</v>
      </c>
      <c r="B1378" t="s">
        <v>5849</v>
      </c>
      <c r="C1378" t="s">
        <v>5850</v>
      </c>
      <c r="D1378" t="s">
        <v>125</v>
      </c>
      <c r="E1378" t="s">
        <v>54</v>
      </c>
      <c r="F1378" s="75">
        <v>1</v>
      </c>
      <c r="G1378" s="75">
        <v>252091</v>
      </c>
      <c r="H1378">
        <v>1051.3</v>
      </c>
      <c r="I1378" t="s">
        <v>114</v>
      </c>
      <c r="J1378" s="75">
        <v>204697</v>
      </c>
      <c r="K1378" t="s">
        <v>4301</v>
      </c>
      <c r="L1378" t="s">
        <v>4302</v>
      </c>
      <c r="M1378" s="81">
        <v>46158.837708333333</v>
      </c>
      <c r="N1378" s="81">
        <v>46161.322476851848</v>
      </c>
      <c r="O1378" t="s">
        <v>58</v>
      </c>
      <c r="P1378" t="s">
        <v>59</v>
      </c>
      <c r="Q1378" t="s">
        <v>341</v>
      </c>
      <c r="R1378" t="s">
        <v>60</v>
      </c>
      <c r="S1378" t="s">
        <v>583</v>
      </c>
      <c r="U1378" s="75">
        <v>257025</v>
      </c>
      <c r="V1378" t="s">
        <v>5851</v>
      </c>
      <c r="W1378" t="s">
        <v>5851</v>
      </c>
      <c r="X1378" t="s">
        <v>62</v>
      </c>
      <c r="Y1378" t="s">
        <v>63</v>
      </c>
      <c r="AA1378" t="s">
        <v>81</v>
      </c>
      <c r="AB1378">
        <v>59.6</v>
      </c>
      <c r="AC1378">
        <v>56.6</v>
      </c>
      <c r="AD1378">
        <v>3</v>
      </c>
      <c r="AE1378">
        <v>6.6667000000000004E-2</v>
      </c>
      <c r="AF1378">
        <v>0</v>
      </c>
      <c r="AG1378">
        <v>2.9333330000000002</v>
      </c>
      <c r="AH1378">
        <v>2.9333330000000002</v>
      </c>
      <c r="AI1378">
        <v>0</v>
      </c>
      <c r="AJ1378">
        <v>2.9333330000000002</v>
      </c>
      <c r="AK1378">
        <v>0</v>
      </c>
      <c r="AL1378" s="76">
        <v>44725</v>
      </c>
      <c r="AM1378" s="75">
        <v>1433</v>
      </c>
      <c r="AN1378" t="s">
        <v>65</v>
      </c>
      <c r="AO1378" t="s">
        <v>4304</v>
      </c>
      <c r="AP1378" t="s">
        <v>67</v>
      </c>
      <c r="AQ1378" t="s">
        <v>68</v>
      </c>
      <c r="AR1378" t="s">
        <v>69</v>
      </c>
      <c r="AT1378" s="82" t="s">
        <v>5821</v>
      </c>
      <c r="AU1378" s="78">
        <v>2026</v>
      </c>
      <c r="AV1378" s="78">
        <v>5</v>
      </c>
      <c r="AW1378" s="78" t="s">
        <v>71</v>
      </c>
      <c r="AX1378" s="78">
        <v>1</v>
      </c>
      <c r="AY1378" s="78">
        <v>0</v>
      </c>
      <c r="BT1378" t="s">
        <v>71</v>
      </c>
      <c r="BU1378">
        <v>1</v>
      </c>
      <c r="BV1378">
        <v>0</v>
      </c>
    </row>
    <row r="1379" spans="1:74" x14ac:dyDescent="0.25">
      <c r="A1379" s="75">
        <v>5964177</v>
      </c>
      <c r="B1379" t="s">
        <v>5852</v>
      </c>
      <c r="C1379" t="s">
        <v>5853</v>
      </c>
      <c r="D1379" t="s">
        <v>125</v>
      </c>
      <c r="E1379" t="s">
        <v>54</v>
      </c>
      <c r="F1379" s="75">
        <v>2</v>
      </c>
      <c r="G1379" s="75">
        <v>341723</v>
      </c>
      <c r="H1379">
        <v>700</v>
      </c>
      <c r="I1379" t="s">
        <v>203</v>
      </c>
      <c r="J1379" s="75">
        <v>227909</v>
      </c>
      <c r="K1379" t="s">
        <v>1981</v>
      </c>
      <c r="L1379" t="s">
        <v>1982</v>
      </c>
      <c r="M1379" s="81">
        <v>46158.887233796297</v>
      </c>
      <c r="N1379" s="81">
        <v>46161.324178240742</v>
      </c>
      <c r="O1379" t="s">
        <v>58</v>
      </c>
      <c r="P1379" t="s">
        <v>59</v>
      </c>
      <c r="Q1379" t="s">
        <v>130</v>
      </c>
      <c r="R1379" t="s">
        <v>131</v>
      </c>
      <c r="S1379" t="s">
        <v>1316</v>
      </c>
      <c r="U1379" s="75">
        <v>257319</v>
      </c>
      <c r="V1379" t="s">
        <v>5854</v>
      </c>
      <c r="W1379" t="s">
        <v>5855</v>
      </c>
      <c r="X1379" t="s">
        <v>79</v>
      </c>
      <c r="Y1379" t="s">
        <v>224</v>
      </c>
      <c r="AA1379" t="s">
        <v>416</v>
      </c>
      <c r="AB1379">
        <v>58.416666999999997</v>
      </c>
      <c r="AC1379">
        <v>45.45</v>
      </c>
      <c r="AD1379">
        <v>12.966666999999999</v>
      </c>
      <c r="AE1379">
        <v>0.05</v>
      </c>
      <c r="AF1379">
        <v>0</v>
      </c>
      <c r="AG1379">
        <v>12.916667</v>
      </c>
      <c r="AH1379">
        <v>12.916667</v>
      </c>
      <c r="AI1379">
        <v>9.9666669999999993</v>
      </c>
      <c r="AJ1379">
        <v>2.95</v>
      </c>
      <c r="AK1379">
        <v>0</v>
      </c>
      <c r="AL1379" s="76">
        <v>45838.641168981478</v>
      </c>
      <c r="AM1379" s="75">
        <v>320</v>
      </c>
      <c r="AN1379" t="s">
        <v>65</v>
      </c>
      <c r="AO1379" t="s">
        <v>1984</v>
      </c>
      <c r="AP1379" t="s">
        <v>67</v>
      </c>
      <c r="AQ1379" t="s">
        <v>83</v>
      </c>
      <c r="AR1379" t="s">
        <v>69</v>
      </c>
      <c r="AT1379" s="82" t="s">
        <v>5821</v>
      </c>
      <c r="AU1379" s="78">
        <v>2026</v>
      </c>
      <c r="AV1379" s="78">
        <v>5</v>
      </c>
      <c r="AW1379" s="78" t="s">
        <v>226</v>
      </c>
      <c r="AX1379" s="78">
        <v>0</v>
      </c>
      <c r="AY1379" s="78">
        <v>0</v>
      </c>
      <c r="BT1379" t="s">
        <v>226</v>
      </c>
      <c r="BU1379">
        <v>0</v>
      </c>
      <c r="BV1379">
        <v>0</v>
      </c>
    </row>
    <row r="1380" spans="1:74" x14ac:dyDescent="0.25">
      <c r="A1380" s="75">
        <v>5965315</v>
      </c>
      <c r="B1380" t="s">
        <v>5856</v>
      </c>
      <c r="C1380" t="s">
        <v>1893</v>
      </c>
      <c r="D1380" t="s">
        <v>125</v>
      </c>
      <c r="E1380" t="s">
        <v>54</v>
      </c>
      <c r="F1380" s="75">
        <v>81</v>
      </c>
      <c r="G1380" s="75">
        <v>340635</v>
      </c>
      <c r="H1380">
        <v>399</v>
      </c>
      <c r="I1380" t="s">
        <v>203</v>
      </c>
      <c r="J1380" s="75">
        <v>60121</v>
      </c>
      <c r="K1380" t="s">
        <v>481</v>
      </c>
      <c r="L1380" t="s">
        <v>482</v>
      </c>
      <c r="M1380" s="81">
        <v>46160.398784722223</v>
      </c>
      <c r="N1380" s="81">
        <v>46161.347384259258</v>
      </c>
      <c r="O1380" t="s">
        <v>58</v>
      </c>
      <c r="P1380" t="s">
        <v>59</v>
      </c>
      <c r="Q1380" t="s">
        <v>77</v>
      </c>
      <c r="R1380" t="s">
        <v>156</v>
      </c>
      <c r="S1380" t="s">
        <v>1311</v>
      </c>
      <c r="U1380" s="75">
        <v>257941</v>
      </c>
      <c r="V1380" t="s">
        <v>5857</v>
      </c>
      <c r="W1380" t="s">
        <v>5857</v>
      </c>
      <c r="X1380" t="s">
        <v>62</v>
      </c>
      <c r="Y1380" t="s">
        <v>2598</v>
      </c>
      <c r="AA1380" t="s">
        <v>64</v>
      </c>
      <c r="AB1380">
        <v>22.699998999999998</v>
      </c>
      <c r="AC1380">
        <v>15.5</v>
      </c>
      <c r="AD1380">
        <v>7.199999</v>
      </c>
      <c r="AE1380">
        <v>1.483333</v>
      </c>
      <c r="AF1380">
        <v>0</v>
      </c>
      <c r="AG1380">
        <v>5.716666</v>
      </c>
      <c r="AH1380">
        <v>5.716666</v>
      </c>
      <c r="AI1380">
        <v>5.5166659999999998</v>
      </c>
      <c r="AJ1380">
        <v>0.2</v>
      </c>
      <c r="AK1380">
        <v>0</v>
      </c>
      <c r="AL1380" s="76">
        <v>45849</v>
      </c>
      <c r="AM1380" s="75">
        <v>311</v>
      </c>
      <c r="AN1380" t="s">
        <v>65</v>
      </c>
      <c r="AO1380" t="s">
        <v>5858</v>
      </c>
      <c r="AP1380" t="s">
        <v>67</v>
      </c>
      <c r="AQ1380" t="s">
        <v>68</v>
      </c>
      <c r="AR1380" t="s">
        <v>69</v>
      </c>
      <c r="AT1380" s="82" t="s">
        <v>5821</v>
      </c>
      <c r="AU1380" s="78">
        <v>2026</v>
      </c>
      <c r="AV1380" s="78">
        <v>5</v>
      </c>
      <c r="AW1380" s="78" t="s">
        <v>137</v>
      </c>
      <c r="AX1380" s="78">
        <v>1</v>
      </c>
      <c r="AY1380" s="78">
        <v>0</v>
      </c>
      <c r="BT1380" t="s">
        <v>137</v>
      </c>
      <c r="BU1380">
        <v>1</v>
      </c>
      <c r="BV1380">
        <v>0</v>
      </c>
    </row>
    <row r="1381" spans="1:74" x14ac:dyDescent="0.25">
      <c r="A1381" s="75">
        <v>5965587</v>
      </c>
      <c r="B1381" t="s">
        <v>5859</v>
      </c>
      <c r="C1381" t="s">
        <v>5860</v>
      </c>
      <c r="D1381" t="s">
        <v>125</v>
      </c>
      <c r="E1381" t="s">
        <v>87</v>
      </c>
      <c r="F1381" s="75">
        <v>413</v>
      </c>
      <c r="G1381" s="75">
        <v>289231</v>
      </c>
      <c r="H1381">
        <v>398.82</v>
      </c>
      <c r="I1381" t="s">
        <v>55</v>
      </c>
      <c r="J1381" s="75">
        <v>216233</v>
      </c>
      <c r="K1381" t="s">
        <v>88</v>
      </c>
      <c r="L1381" t="s">
        <v>89</v>
      </c>
      <c r="M1381" s="81">
        <v>46160.457743055558</v>
      </c>
      <c r="N1381" s="81">
        <v>46161.353645833333</v>
      </c>
      <c r="O1381" t="s">
        <v>58</v>
      </c>
      <c r="P1381" t="s">
        <v>59</v>
      </c>
      <c r="Q1381" t="s">
        <v>2562</v>
      </c>
      <c r="R1381" t="s">
        <v>60</v>
      </c>
      <c r="S1381" t="s">
        <v>583</v>
      </c>
      <c r="U1381" s="75">
        <v>257985</v>
      </c>
      <c r="V1381" t="s">
        <v>5861</v>
      </c>
      <c r="W1381" t="s">
        <v>5861</v>
      </c>
      <c r="X1381" t="s">
        <v>62</v>
      </c>
      <c r="Y1381" t="s">
        <v>63</v>
      </c>
      <c r="AA1381" t="s">
        <v>64</v>
      </c>
      <c r="AB1381">
        <v>21.449998999999998</v>
      </c>
      <c r="AC1381">
        <v>15.783333000000001</v>
      </c>
      <c r="AD1381">
        <v>5.6666660000000002</v>
      </c>
      <c r="AE1381">
        <v>0.63333300000000003</v>
      </c>
      <c r="AF1381">
        <v>0</v>
      </c>
      <c r="AG1381">
        <v>5.0333329999999998</v>
      </c>
      <c r="AH1381">
        <v>5.0333329999999998</v>
      </c>
      <c r="AI1381">
        <v>4.7666659999999998</v>
      </c>
      <c r="AJ1381">
        <v>0.26666699999999999</v>
      </c>
      <c r="AK1381">
        <v>0</v>
      </c>
      <c r="AL1381" s="76">
        <v>45005</v>
      </c>
      <c r="AM1381" s="75">
        <v>1155</v>
      </c>
      <c r="AN1381" t="s">
        <v>65</v>
      </c>
      <c r="AO1381" t="s">
        <v>5862</v>
      </c>
      <c r="AP1381" t="s">
        <v>67</v>
      </c>
      <c r="AQ1381" t="s">
        <v>68</v>
      </c>
      <c r="AR1381" t="s">
        <v>69</v>
      </c>
      <c r="AT1381" s="82" t="s">
        <v>5821</v>
      </c>
      <c r="AU1381" s="78">
        <v>2026</v>
      </c>
      <c r="AV1381" s="78">
        <v>5</v>
      </c>
      <c r="AW1381" s="78" t="s">
        <v>71</v>
      </c>
      <c r="AX1381" s="78">
        <v>1</v>
      </c>
      <c r="AY1381" s="78">
        <v>0</v>
      </c>
      <c r="BT1381" t="s">
        <v>71</v>
      </c>
      <c r="BU1381">
        <v>1</v>
      </c>
      <c r="BV1381">
        <v>0</v>
      </c>
    </row>
    <row r="1382" spans="1:74" x14ac:dyDescent="0.25">
      <c r="A1382" s="75">
        <v>5966435</v>
      </c>
      <c r="B1382" t="s">
        <v>5863</v>
      </c>
      <c r="C1382" t="s">
        <v>5864</v>
      </c>
      <c r="D1382" t="s">
        <v>527</v>
      </c>
      <c r="E1382" t="s">
        <v>87</v>
      </c>
      <c r="F1382" s="75">
        <v>110</v>
      </c>
      <c r="G1382" s="75">
        <v>100667</v>
      </c>
      <c r="H1382">
        <v>1033.7</v>
      </c>
      <c r="I1382" t="s">
        <v>368</v>
      </c>
      <c r="J1382" s="75">
        <v>6971</v>
      </c>
      <c r="K1382" t="s">
        <v>369</v>
      </c>
      <c r="L1382" t="s">
        <v>370</v>
      </c>
      <c r="M1382" s="81">
        <v>46160.736967592587</v>
      </c>
      <c r="N1382" s="81">
        <v>46161.35396990741</v>
      </c>
      <c r="O1382" t="s">
        <v>58</v>
      </c>
      <c r="P1382" t="s">
        <v>59</v>
      </c>
      <c r="Q1382" t="s">
        <v>90</v>
      </c>
      <c r="R1382" t="s">
        <v>99</v>
      </c>
      <c r="S1382" t="s">
        <v>1244</v>
      </c>
      <c r="U1382" s="75">
        <v>258247</v>
      </c>
      <c r="V1382" t="s">
        <v>5865</v>
      </c>
      <c r="X1382" t="s">
        <v>79</v>
      </c>
      <c r="Y1382" t="s">
        <v>80</v>
      </c>
      <c r="AA1382" t="s">
        <v>81</v>
      </c>
      <c r="AB1382">
        <v>14.766667</v>
      </c>
      <c r="AC1382">
        <v>14.216666999999999</v>
      </c>
      <c r="AD1382">
        <v>0.55000000000000004</v>
      </c>
      <c r="AE1382">
        <v>0.16666600000000001</v>
      </c>
      <c r="AF1382">
        <v>0</v>
      </c>
      <c r="AG1382">
        <v>0.38333400000000001</v>
      </c>
      <c r="AH1382">
        <v>0.38333400000000001</v>
      </c>
      <c r="AI1382">
        <v>0</v>
      </c>
      <c r="AJ1382">
        <v>0.38333400000000001</v>
      </c>
      <c r="AK1382">
        <v>0</v>
      </c>
      <c r="AL1382" s="76">
        <v>43511</v>
      </c>
      <c r="AM1382" s="75">
        <v>2649</v>
      </c>
      <c r="AN1382" t="s">
        <v>65</v>
      </c>
      <c r="AO1382" t="s">
        <v>5866</v>
      </c>
      <c r="AP1382" t="s">
        <v>67</v>
      </c>
      <c r="AQ1382" t="s">
        <v>83</v>
      </c>
      <c r="AR1382" t="s">
        <v>69</v>
      </c>
      <c r="AT1382" s="82" t="s">
        <v>5821</v>
      </c>
      <c r="AU1382" s="78">
        <v>2026</v>
      </c>
      <c r="AV1382" s="78">
        <v>5</v>
      </c>
      <c r="AW1382" s="78" t="s">
        <v>84</v>
      </c>
      <c r="AX1382" s="78">
        <v>1</v>
      </c>
      <c r="AY1382" s="78">
        <v>0</v>
      </c>
      <c r="BT1382" t="s">
        <v>84</v>
      </c>
      <c r="BU1382">
        <v>1</v>
      </c>
      <c r="BV1382">
        <v>0</v>
      </c>
    </row>
    <row r="1383" spans="1:74" x14ac:dyDescent="0.25">
      <c r="A1383" s="75">
        <v>5963255</v>
      </c>
      <c r="B1383" t="s">
        <v>5867</v>
      </c>
      <c r="C1383" t="s">
        <v>2777</v>
      </c>
      <c r="D1383" t="s">
        <v>125</v>
      </c>
      <c r="E1383" t="s">
        <v>87</v>
      </c>
      <c r="F1383" s="75">
        <v>353</v>
      </c>
      <c r="G1383" s="75">
        <v>286727</v>
      </c>
      <c r="H1383">
        <v>364.96</v>
      </c>
      <c r="I1383" t="s">
        <v>55</v>
      </c>
      <c r="J1383" s="75">
        <v>218787</v>
      </c>
      <c r="K1383" t="s">
        <v>96</v>
      </c>
      <c r="L1383" t="s">
        <v>97</v>
      </c>
      <c r="M1383" s="81">
        <v>46157.708738425928</v>
      </c>
      <c r="N1383" s="81">
        <v>46161.355428240742</v>
      </c>
      <c r="O1383" t="s">
        <v>58</v>
      </c>
      <c r="P1383" t="s">
        <v>59</v>
      </c>
      <c r="Q1383" t="s">
        <v>90</v>
      </c>
      <c r="R1383" t="s">
        <v>131</v>
      </c>
      <c r="S1383" t="s">
        <v>1316</v>
      </c>
      <c r="U1383" s="75">
        <v>257299</v>
      </c>
      <c r="V1383" t="s">
        <v>5868</v>
      </c>
      <c r="W1383" t="s">
        <v>5868</v>
      </c>
      <c r="X1383" t="s">
        <v>62</v>
      </c>
      <c r="Y1383" t="s">
        <v>63</v>
      </c>
      <c r="AA1383" t="s">
        <v>101</v>
      </c>
      <c r="AB1383">
        <v>87.466667000000001</v>
      </c>
      <c r="AC1383">
        <v>78.25</v>
      </c>
      <c r="AD1383">
        <v>9.2166669999999993</v>
      </c>
      <c r="AE1383">
        <v>0.68333299999999997</v>
      </c>
      <c r="AF1383">
        <v>0</v>
      </c>
      <c r="AG1383">
        <v>8.533334</v>
      </c>
      <c r="AH1383">
        <v>8.533334</v>
      </c>
      <c r="AI1383">
        <v>7.2166670000000002</v>
      </c>
      <c r="AJ1383">
        <v>1.316667</v>
      </c>
      <c r="AK1383">
        <v>0</v>
      </c>
      <c r="AL1383" s="76">
        <v>44890</v>
      </c>
      <c r="AM1383" s="75">
        <v>1267</v>
      </c>
      <c r="AN1383" t="s">
        <v>65</v>
      </c>
      <c r="AO1383" t="s">
        <v>2780</v>
      </c>
      <c r="AP1383" t="s">
        <v>67</v>
      </c>
      <c r="AQ1383" t="s">
        <v>68</v>
      </c>
      <c r="AR1383" t="s">
        <v>69</v>
      </c>
      <c r="AT1383" s="82" t="s">
        <v>5821</v>
      </c>
      <c r="AU1383" s="78">
        <v>2026</v>
      </c>
      <c r="AV1383" s="78">
        <v>5</v>
      </c>
      <c r="AW1383" s="78" t="s">
        <v>71</v>
      </c>
      <c r="AX1383" s="78">
        <v>0</v>
      </c>
      <c r="AY1383" s="78">
        <v>0</v>
      </c>
      <c r="BT1383" t="s">
        <v>71</v>
      </c>
      <c r="BU1383">
        <v>0</v>
      </c>
      <c r="BV1383">
        <v>0</v>
      </c>
    </row>
    <row r="1384" spans="1:74" x14ac:dyDescent="0.25">
      <c r="A1384" s="75">
        <v>5963419</v>
      </c>
      <c r="B1384" t="s">
        <v>5869</v>
      </c>
      <c r="C1384" t="s">
        <v>4668</v>
      </c>
      <c r="D1384" t="s">
        <v>125</v>
      </c>
      <c r="E1384" t="s">
        <v>87</v>
      </c>
      <c r="F1384" s="75">
        <v>401</v>
      </c>
      <c r="G1384" s="75">
        <v>288379</v>
      </c>
      <c r="H1384">
        <v>382.47</v>
      </c>
      <c r="I1384" t="s">
        <v>55</v>
      </c>
      <c r="J1384" s="75">
        <v>216233</v>
      </c>
      <c r="K1384" t="s">
        <v>88</v>
      </c>
      <c r="L1384" t="s">
        <v>89</v>
      </c>
      <c r="M1384" s="81">
        <v>46157.951793981483</v>
      </c>
      <c r="N1384" s="81">
        <v>46161.357164351852</v>
      </c>
      <c r="O1384" t="s">
        <v>58</v>
      </c>
      <c r="P1384" t="s">
        <v>59</v>
      </c>
      <c r="Q1384" t="s">
        <v>90</v>
      </c>
      <c r="R1384" t="s">
        <v>60</v>
      </c>
      <c r="S1384" t="s">
        <v>583</v>
      </c>
      <c r="U1384" s="75">
        <v>257227</v>
      </c>
      <c r="V1384" t="s">
        <v>5870</v>
      </c>
      <c r="W1384" t="s">
        <v>5871</v>
      </c>
      <c r="X1384" t="s">
        <v>62</v>
      </c>
      <c r="Y1384" t="s">
        <v>63</v>
      </c>
      <c r="AA1384" t="s">
        <v>101</v>
      </c>
      <c r="AB1384">
        <v>81.683333000000005</v>
      </c>
      <c r="AC1384">
        <v>71.349999999999994</v>
      </c>
      <c r="AD1384">
        <v>10.333333</v>
      </c>
      <c r="AE1384">
        <v>0.71666600000000003</v>
      </c>
      <c r="AF1384">
        <v>0</v>
      </c>
      <c r="AG1384">
        <v>9.6166669999999996</v>
      </c>
      <c r="AH1384">
        <v>9.6166669999999996</v>
      </c>
      <c r="AI1384">
        <v>8.8833330000000004</v>
      </c>
      <c r="AJ1384">
        <v>0.73333400000000004</v>
      </c>
      <c r="AK1384">
        <v>0</v>
      </c>
      <c r="AL1384" s="76">
        <v>44950</v>
      </c>
      <c r="AM1384" s="75">
        <v>1207</v>
      </c>
      <c r="AN1384" t="s">
        <v>65</v>
      </c>
      <c r="AO1384" t="s">
        <v>4670</v>
      </c>
      <c r="AP1384" t="s">
        <v>67</v>
      </c>
      <c r="AQ1384" t="s">
        <v>68</v>
      </c>
      <c r="AR1384" t="s">
        <v>69</v>
      </c>
      <c r="AT1384" s="82" t="s">
        <v>5821</v>
      </c>
      <c r="AU1384" s="78">
        <v>2026</v>
      </c>
      <c r="AV1384" s="78">
        <v>5</v>
      </c>
      <c r="AW1384" s="78" t="s">
        <v>71</v>
      </c>
      <c r="AX1384" s="78">
        <v>0</v>
      </c>
      <c r="AY1384" s="78">
        <v>0</v>
      </c>
      <c r="BT1384" t="s">
        <v>71</v>
      </c>
      <c r="BU1384">
        <v>0</v>
      </c>
      <c r="BV1384">
        <v>0</v>
      </c>
    </row>
    <row r="1385" spans="1:74" x14ac:dyDescent="0.25">
      <c r="A1385" s="75">
        <v>5963441</v>
      </c>
      <c r="B1385" t="s">
        <v>5872</v>
      </c>
      <c r="C1385" t="s">
        <v>5873</v>
      </c>
      <c r="D1385" t="s">
        <v>125</v>
      </c>
      <c r="E1385" t="s">
        <v>87</v>
      </c>
      <c r="F1385" s="75">
        <v>52</v>
      </c>
      <c r="G1385" s="75">
        <v>275343</v>
      </c>
      <c r="H1385">
        <v>368.16</v>
      </c>
      <c r="I1385" t="s">
        <v>55</v>
      </c>
      <c r="J1385" s="75">
        <v>218791</v>
      </c>
      <c r="K1385" t="s">
        <v>312</v>
      </c>
      <c r="L1385" t="s">
        <v>313</v>
      </c>
      <c r="M1385" s="81">
        <v>46158.014189814807</v>
      </c>
      <c r="N1385" s="81">
        <v>46161.358530092592</v>
      </c>
      <c r="O1385" t="s">
        <v>58</v>
      </c>
      <c r="P1385" t="s">
        <v>59</v>
      </c>
      <c r="Q1385" t="s">
        <v>90</v>
      </c>
      <c r="R1385" t="s">
        <v>131</v>
      </c>
      <c r="S1385" t="s">
        <v>1273</v>
      </c>
      <c r="U1385" s="75">
        <v>257307</v>
      </c>
      <c r="V1385" t="s">
        <v>5874</v>
      </c>
      <c r="W1385" t="s">
        <v>5875</v>
      </c>
      <c r="X1385" t="s">
        <v>62</v>
      </c>
      <c r="Y1385" t="s">
        <v>2629</v>
      </c>
      <c r="AA1385" t="s">
        <v>64</v>
      </c>
      <c r="AB1385">
        <v>80.2</v>
      </c>
      <c r="AC1385">
        <v>72.900000000000006</v>
      </c>
      <c r="AD1385">
        <v>7.3</v>
      </c>
      <c r="AE1385">
        <v>0.25</v>
      </c>
      <c r="AF1385">
        <v>0</v>
      </c>
      <c r="AG1385">
        <v>7.05</v>
      </c>
      <c r="AH1385">
        <v>7.05</v>
      </c>
      <c r="AI1385">
        <v>6.5666669999999998</v>
      </c>
      <c r="AJ1385">
        <v>0.48333300000000001</v>
      </c>
      <c r="AK1385">
        <v>0</v>
      </c>
      <c r="AL1385" s="76">
        <v>44844.383946759262</v>
      </c>
      <c r="AM1385" s="75">
        <v>1313</v>
      </c>
      <c r="AN1385" t="s">
        <v>65</v>
      </c>
      <c r="AO1385" t="s">
        <v>5876</v>
      </c>
      <c r="AP1385" t="s">
        <v>67</v>
      </c>
      <c r="AQ1385" t="s">
        <v>68</v>
      </c>
      <c r="AR1385" t="s">
        <v>69</v>
      </c>
      <c r="AT1385" s="82" t="s">
        <v>5821</v>
      </c>
      <c r="AU1385" s="78">
        <v>2026</v>
      </c>
      <c r="AV1385" s="78">
        <v>5</v>
      </c>
      <c r="AW1385" s="78" t="s">
        <v>71</v>
      </c>
      <c r="AX1385" s="78">
        <v>1</v>
      </c>
      <c r="AY1385" s="78">
        <v>0</v>
      </c>
      <c r="BT1385" t="s">
        <v>71</v>
      </c>
      <c r="BU1385">
        <v>1</v>
      </c>
      <c r="BV1385">
        <v>0</v>
      </c>
    </row>
    <row r="1386" spans="1:74" x14ac:dyDescent="0.25">
      <c r="A1386" s="75">
        <v>5963933</v>
      </c>
      <c r="B1386" t="s">
        <v>5877</v>
      </c>
      <c r="C1386" t="s">
        <v>5878</v>
      </c>
      <c r="D1386" t="s">
        <v>125</v>
      </c>
      <c r="E1386" t="s">
        <v>87</v>
      </c>
      <c r="F1386" s="75">
        <v>542</v>
      </c>
      <c r="G1386" s="75">
        <v>296669</v>
      </c>
      <c r="H1386">
        <v>382.47</v>
      </c>
      <c r="I1386" t="s">
        <v>55</v>
      </c>
      <c r="J1386" s="75">
        <v>216233</v>
      </c>
      <c r="K1386" t="s">
        <v>88</v>
      </c>
      <c r="L1386" t="s">
        <v>89</v>
      </c>
      <c r="M1386" s="81">
        <v>46158.618414351848</v>
      </c>
      <c r="N1386" s="81">
        <v>46161.359976851847</v>
      </c>
      <c r="O1386" t="s">
        <v>58</v>
      </c>
      <c r="P1386" t="s">
        <v>59</v>
      </c>
      <c r="Q1386" t="s">
        <v>90</v>
      </c>
      <c r="R1386" t="s">
        <v>60</v>
      </c>
      <c r="S1386" t="s">
        <v>583</v>
      </c>
      <c r="U1386" s="75">
        <v>257315</v>
      </c>
      <c r="V1386" t="s">
        <v>5879</v>
      </c>
      <c r="W1386" t="s">
        <v>5879</v>
      </c>
      <c r="X1386" t="s">
        <v>62</v>
      </c>
      <c r="Y1386" t="s">
        <v>63</v>
      </c>
      <c r="AA1386" t="s">
        <v>64</v>
      </c>
      <c r="AB1386">
        <v>65.733333999999999</v>
      </c>
      <c r="AC1386">
        <v>58.266666999999998</v>
      </c>
      <c r="AD1386">
        <v>7.4666670000000002</v>
      </c>
      <c r="AE1386">
        <v>0.38333299999999998</v>
      </c>
      <c r="AF1386">
        <v>0</v>
      </c>
      <c r="AG1386">
        <v>7.0833339999999998</v>
      </c>
      <c r="AH1386">
        <v>7.0833339999999998</v>
      </c>
      <c r="AI1386">
        <v>6.4166670000000003</v>
      </c>
      <c r="AJ1386">
        <v>0.66666700000000001</v>
      </c>
      <c r="AK1386">
        <v>0</v>
      </c>
      <c r="AL1386" s="76">
        <v>45246</v>
      </c>
      <c r="AM1386" s="75">
        <v>912</v>
      </c>
      <c r="AN1386" t="s">
        <v>65</v>
      </c>
      <c r="AO1386" t="s">
        <v>5880</v>
      </c>
      <c r="AP1386" t="s">
        <v>67</v>
      </c>
      <c r="AQ1386" t="s">
        <v>68</v>
      </c>
      <c r="AR1386" t="s">
        <v>69</v>
      </c>
      <c r="AT1386" s="82" t="s">
        <v>5821</v>
      </c>
      <c r="AU1386" s="78">
        <v>2026</v>
      </c>
      <c r="AV1386" s="78">
        <v>5</v>
      </c>
      <c r="AW1386" s="78" t="s">
        <v>71</v>
      </c>
      <c r="AX1386" s="78">
        <v>1</v>
      </c>
      <c r="AY1386" s="78">
        <v>0</v>
      </c>
      <c r="BT1386" t="s">
        <v>71</v>
      </c>
      <c r="BU1386">
        <v>1</v>
      </c>
      <c r="BV1386">
        <v>0</v>
      </c>
    </row>
    <row r="1387" spans="1:74" x14ac:dyDescent="0.25">
      <c r="A1387" s="75">
        <v>5965991</v>
      </c>
      <c r="B1387" t="s">
        <v>5881</v>
      </c>
      <c r="C1387" t="s">
        <v>5882</v>
      </c>
      <c r="D1387" t="s">
        <v>527</v>
      </c>
      <c r="E1387" t="s">
        <v>105</v>
      </c>
      <c r="F1387" s="75">
        <v>605</v>
      </c>
      <c r="G1387" s="75">
        <v>342857</v>
      </c>
      <c r="H1387">
        <v>225</v>
      </c>
      <c r="I1387" t="s">
        <v>163</v>
      </c>
      <c r="J1387" s="75">
        <v>48887</v>
      </c>
      <c r="K1387" t="s">
        <v>164</v>
      </c>
      <c r="L1387" t="s">
        <v>165</v>
      </c>
      <c r="M1387" s="81">
        <v>46160.617708333331</v>
      </c>
      <c r="N1387" s="81">
        <v>46161.368206018517</v>
      </c>
      <c r="O1387" t="s">
        <v>58</v>
      </c>
      <c r="P1387" t="s">
        <v>59</v>
      </c>
      <c r="Q1387" t="s">
        <v>77</v>
      </c>
      <c r="R1387" t="s">
        <v>99</v>
      </c>
      <c r="S1387" t="s">
        <v>1244</v>
      </c>
      <c r="U1387" s="75">
        <v>258185</v>
      </c>
      <c r="V1387" t="s">
        <v>5883</v>
      </c>
      <c r="X1387" t="s">
        <v>62</v>
      </c>
      <c r="Y1387" t="s">
        <v>63</v>
      </c>
      <c r="AA1387" t="s">
        <v>81</v>
      </c>
      <c r="AB1387">
        <v>17.966666</v>
      </c>
      <c r="AC1387">
        <v>15.5</v>
      </c>
      <c r="AD1387">
        <v>2.466666</v>
      </c>
      <c r="AE1387">
        <v>1.3166659999999999</v>
      </c>
      <c r="AF1387">
        <v>0</v>
      </c>
      <c r="AG1387">
        <v>1.1499999999999999</v>
      </c>
      <c r="AH1387">
        <v>1.1499999999999999</v>
      </c>
      <c r="AI1387">
        <v>0</v>
      </c>
      <c r="AJ1387">
        <v>1.1499999999999999</v>
      </c>
      <c r="AK1387">
        <v>0</v>
      </c>
      <c r="AL1387" s="76">
        <v>45888</v>
      </c>
      <c r="AM1387" s="75">
        <v>272</v>
      </c>
      <c r="AN1387" t="s">
        <v>65</v>
      </c>
      <c r="AO1387" t="s">
        <v>2489</v>
      </c>
      <c r="AP1387" t="s">
        <v>67</v>
      </c>
      <c r="AQ1387" t="s">
        <v>68</v>
      </c>
      <c r="AR1387" t="s">
        <v>69</v>
      </c>
      <c r="AT1387" s="82" t="s">
        <v>5821</v>
      </c>
      <c r="AU1387" s="78">
        <v>2026</v>
      </c>
      <c r="AV1387" s="78">
        <v>5</v>
      </c>
      <c r="AW1387" s="78" t="s">
        <v>71</v>
      </c>
      <c r="AX1387" s="78">
        <v>1</v>
      </c>
      <c r="AY1387" s="78">
        <v>0</v>
      </c>
      <c r="BT1387" t="s">
        <v>71</v>
      </c>
      <c r="BU1387">
        <v>1</v>
      </c>
      <c r="BV1387">
        <v>0</v>
      </c>
    </row>
    <row r="1388" spans="1:74" x14ac:dyDescent="0.25">
      <c r="A1388" s="75">
        <v>5966199</v>
      </c>
      <c r="B1388" t="s">
        <v>5884</v>
      </c>
      <c r="C1388" t="s">
        <v>5885</v>
      </c>
      <c r="D1388" t="s">
        <v>809</v>
      </c>
      <c r="E1388" t="s">
        <v>54</v>
      </c>
      <c r="F1388" s="75">
        <v>9</v>
      </c>
      <c r="G1388" s="75">
        <v>240005</v>
      </c>
      <c r="H1388">
        <v>628.98</v>
      </c>
      <c r="I1388" t="s">
        <v>114</v>
      </c>
      <c r="J1388" s="75">
        <v>201859</v>
      </c>
      <c r="K1388" t="s">
        <v>4124</v>
      </c>
      <c r="L1388" t="s">
        <v>4125</v>
      </c>
      <c r="M1388" s="81">
        <v>46160.681030092594</v>
      </c>
      <c r="N1388" s="81">
        <v>46161.404733796298</v>
      </c>
      <c r="O1388" t="s">
        <v>58</v>
      </c>
      <c r="P1388" t="s">
        <v>59</v>
      </c>
      <c r="Q1388" t="s">
        <v>130</v>
      </c>
      <c r="R1388" t="s">
        <v>99</v>
      </c>
      <c r="S1388" t="s">
        <v>1244</v>
      </c>
      <c r="U1388" s="75">
        <v>258421</v>
      </c>
      <c r="V1388" t="s">
        <v>5886</v>
      </c>
      <c r="X1388" t="s">
        <v>62</v>
      </c>
      <c r="Y1388" t="s">
        <v>63</v>
      </c>
      <c r="AA1388" t="s">
        <v>81</v>
      </c>
      <c r="AB1388">
        <v>17.283332000000001</v>
      </c>
      <c r="AC1388">
        <v>15.766666000000001</v>
      </c>
      <c r="AD1388">
        <v>1.5166660000000001</v>
      </c>
      <c r="AE1388">
        <v>6.6667000000000004E-2</v>
      </c>
      <c r="AF1388">
        <v>0</v>
      </c>
      <c r="AG1388">
        <v>1.449999</v>
      </c>
      <c r="AH1388">
        <v>1.449999</v>
      </c>
      <c r="AI1388">
        <v>1.2833330000000001</v>
      </c>
      <c r="AJ1388">
        <v>0.16666600000000001</v>
      </c>
      <c r="AK1388">
        <v>0</v>
      </c>
      <c r="AL1388" s="76">
        <v>44327</v>
      </c>
      <c r="AM1388" s="75">
        <v>1833</v>
      </c>
      <c r="AN1388" t="s">
        <v>65</v>
      </c>
      <c r="AO1388" t="s">
        <v>4128</v>
      </c>
      <c r="AP1388" t="s">
        <v>67</v>
      </c>
      <c r="AQ1388" t="s">
        <v>68</v>
      </c>
      <c r="AR1388" t="s">
        <v>69</v>
      </c>
      <c r="AT1388" s="82" t="s">
        <v>5821</v>
      </c>
      <c r="AU1388" s="78">
        <v>2026</v>
      </c>
      <c r="AV1388" s="78">
        <v>5</v>
      </c>
      <c r="AW1388" s="78" t="s">
        <v>71</v>
      </c>
      <c r="AX1388" s="78">
        <v>1</v>
      </c>
      <c r="AY1388" s="78">
        <v>0</v>
      </c>
      <c r="BT1388" t="s">
        <v>71</v>
      </c>
      <c r="BU1388">
        <v>1</v>
      </c>
      <c r="BV1388">
        <v>0</v>
      </c>
    </row>
    <row r="1389" spans="1:74" x14ac:dyDescent="0.25">
      <c r="A1389" s="75">
        <v>5966089</v>
      </c>
      <c r="B1389" t="s">
        <v>5887</v>
      </c>
      <c r="C1389" t="s">
        <v>3696</v>
      </c>
      <c r="D1389" t="s">
        <v>527</v>
      </c>
      <c r="E1389" t="s">
        <v>87</v>
      </c>
      <c r="F1389" s="75">
        <v>339</v>
      </c>
      <c r="G1389" s="75">
        <v>287741</v>
      </c>
      <c r="H1389">
        <v>154.15</v>
      </c>
      <c r="I1389" t="s">
        <v>853</v>
      </c>
      <c r="J1389" s="75">
        <v>49495</v>
      </c>
      <c r="K1389" t="s">
        <v>460</v>
      </c>
      <c r="L1389" t="s">
        <v>461</v>
      </c>
      <c r="M1389" s="81">
        <v>46160.653171296297</v>
      </c>
      <c r="N1389" s="81">
        <v>46161.444074074083</v>
      </c>
      <c r="O1389" t="s">
        <v>277</v>
      </c>
      <c r="P1389" t="s">
        <v>59</v>
      </c>
      <c r="Q1389" t="s">
        <v>90</v>
      </c>
      <c r="R1389" t="s">
        <v>144</v>
      </c>
      <c r="S1389" t="s">
        <v>1491</v>
      </c>
      <c r="U1389" s="75">
        <v>259017</v>
      </c>
      <c r="V1389" t="s">
        <v>5888</v>
      </c>
      <c r="X1389" t="s">
        <v>62</v>
      </c>
      <c r="Y1389" t="s">
        <v>63</v>
      </c>
      <c r="AA1389" t="s">
        <v>81</v>
      </c>
      <c r="AB1389">
        <v>18.916667</v>
      </c>
      <c r="AC1389">
        <v>15.9</v>
      </c>
      <c r="AD1389">
        <v>3.016667</v>
      </c>
      <c r="AE1389">
        <v>2.033334</v>
      </c>
      <c r="AF1389">
        <v>0</v>
      </c>
      <c r="AG1389">
        <v>0.98333300000000001</v>
      </c>
      <c r="AH1389">
        <v>0.98333300000000001</v>
      </c>
      <c r="AI1389">
        <v>0.63333300000000003</v>
      </c>
      <c r="AJ1389">
        <v>0.35</v>
      </c>
      <c r="AK1389">
        <v>0</v>
      </c>
      <c r="AL1389" s="76">
        <v>45243.721145833333</v>
      </c>
      <c r="AM1389" s="75">
        <v>916</v>
      </c>
      <c r="AN1389" t="s">
        <v>65</v>
      </c>
      <c r="AO1389" t="s">
        <v>3698</v>
      </c>
      <c r="AP1389" t="s">
        <v>67</v>
      </c>
      <c r="AQ1389" t="s">
        <v>68</v>
      </c>
      <c r="AR1389" t="s">
        <v>69</v>
      </c>
      <c r="AT1389" s="82" t="s">
        <v>5821</v>
      </c>
      <c r="AU1389" s="78">
        <v>2026</v>
      </c>
      <c r="AV1389" s="78">
        <v>5</v>
      </c>
      <c r="AW1389" s="78" t="s">
        <v>71</v>
      </c>
      <c r="AX1389" s="78">
        <v>1</v>
      </c>
      <c r="AY1389" s="78">
        <v>0</v>
      </c>
      <c r="BT1389" t="s">
        <v>71</v>
      </c>
      <c r="BU1389">
        <v>1</v>
      </c>
      <c r="BV1389">
        <v>0</v>
      </c>
    </row>
    <row r="1390" spans="1:74" x14ac:dyDescent="0.25">
      <c r="A1390" s="75">
        <v>5963735</v>
      </c>
      <c r="B1390" t="s">
        <v>5889</v>
      </c>
      <c r="C1390" t="s">
        <v>5890</v>
      </c>
      <c r="D1390" t="s">
        <v>125</v>
      </c>
      <c r="E1390" t="s">
        <v>54</v>
      </c>
      <c r="F1390" s="75">
        <v>1</v>
      </c>
      <c r="G1390" s="75">
        <v>266559</v>
      </c>
      <c r="H1390">
        <v>360</v>
      </c>
      <c r="I1390" t="s">
        <v>242</v>
      </c>
      <c r="J1390" s="75">
        <v>213143</v>
      </c>
      <c r="K1390" t="s">
        <v>3645</v>
      </c>
      <c r="L1390" t="s">
        <v>3646</v>
      </c>
      <c r="M1390" s="81">
        <v>46158.469456018523</v>
      </c>
      <c r="N1390" s="81">
        <v>46161.485243055547</v>
      </c>
      <c r="O1390" t="s">
        <v>58</v>
      </c>
      <c r="P1390" t="s">
        <v>59</v>
      </c>
      <c r="Q1390" t="s">
        <v>130</v>
      </c>
      <c r="R1390" t="s">
        <v>156</v>
      </c>
      <c r="S1390" t="s">
        <v>1311</v>
      </c>
      <c r="T1390" t="s">
        <v>970</v>
      </c>
      <c r="U1390" s="75">
        <v>258405</v>
      </c>
      <c r="V1390" t="s">
        <v>5891</v>
      </c>
      <c r="W1390" t="s">
        <v>5891</v>
      </c>
      <c r="X1390" t="s">
        <v>79</v>
      </c>
      <c r="Y1390" t="s">
        <v>224</v>
      </c>
      <c r="AA1390" t="s">
        <v>64</v>
      </c>
      <c r="AB1390">
        <v>72.266666999999998</v>
      </c>
      <c r="AC1390">
        <v>64.200001</v>
      </c>
      <c r="AD1390">
        <v>8.0666659999999997</v>
      </c>
      <c r="AE1390">
        <v>6.6667000000000004E-2</v>
      </c>
      <c r="AF1390">
        <v>0</v>
      </c>
      <c r="AG1390">
        <v>7.9999989999999999</v>
      </c>
      <c r="AH1390">
        <v>7.9999989999999999</v>
      </c>
      <c r="AI1390">
        <v>7.5999990000000004</v>
      </c>
      <c r="AJ1390">
        <v>0.4</v>
      </c>
      <c r="AK1390">
        <v>0</v>
      </c>
      <c r="AL1390" s="76">
        <v>36526</v>
      </c>
      <c r="AM1390" s="75">
        <v>9632</v>
      </c>
      <c r="AN1390" t="s">
        <v>65</v>
      </c>
      <c r="AO1390" t="s">
        <v>3649</v>
      </c>
      <c r="AP1390" t="s">
        <v>67</v>
      </c>
      <c r="AQ1390" t="s">
        <v>83</v>
      </c>
      <c r="AR1390" t="s">
        <v>69</v>
      </c>
      <c r="AT1390" s="82" t="s">
        <v>5821</v>
      </c>
      <c r="AU1390" s="78">
        <v>2026</v>
      </c>
      <c r="AV1390" s="78">
        <v>5</v>
      </c>
      <c r="AW1390" s="78" t="s">
        <v>226</v>
      </c>
      <c r="AX1390" s="78">
        <v>1</v>
      </c>
      <c r="AY1390" s="78">
        <v>0</v>
      </c>
      <c r="BT1390" t="s">
        <v>226</v>
      </c>
      <c r="BU1390">
        <v>1</v>
      </c>
      <c r="BV1390">
        <v>0</v>
      </c>
    </row>
    <row r="1391" spans="1:74" x14ac:dyDescent="0.25">
      <c r="A1391" s="75">
        <v>5966167</v>
      </c>
      <c r="B1391" t="s">
        <v>5892</v>
      </c>
      <c r="C1391" t="s">
        <v>2856</v>
      </c>
      <c r="D1391" t="s">
        <v>956</v>
      </c>
      <c r="E1391" t="s">
        <v>87</v>
      </c>
      <c r="F1391" s="75">
        <v>2</v>
      </c>
      <c r="G1391" s="75">
        <v>291781</v>
      </c>
      <c r="H1391">
        <v>273.22000000000003</v>
      </c>
      <c r="I1391" t="s">
        <v>114</v>
      </c>
      <c r="J1391" s="75">
        <v>217825</v>
      </c>
      <c r="K1391" t="s">
        <v>2857</v>
      </c>
      <c r="L1391" t="s">
        <v>2858</v>
      </c>
      <c r="M1391" s="81">
        <v>46160.670856481483</v>
      </c>
      <c r="N1391" s="81">
        <v>46161.493703703702</v>
      </c>
      <c r="O1391" t="s">
        <v>391</v>
      </c>
      <c r="P1391" t="s">
        <v>59</v>
      </c>
      <c r="Q1391" t="s">
        <v>77</v>
      </c>
      <c r="R1391" t="s">
        <v>99</v>
      </c>
      <c r="S1391" t="s">
        <v>1244</v>
      </c>
      <c r="U1391" s="75">
        <v>258411</v>
      </c>
      <c r="V1391" t="s">
        <v>5893</v>
      </c>
      <c r="X1391" t="s">
        <v>62</v>
      </c>
      <c r="Y1391" t="s">
        <v>63</v>
      </c>
      <c r="AA1391" t="s">
        <v>81</v>
      </c>
      <c r="AB1391">
        <v>19.666667</v>
      </c>
      <c r="AC1391">
        <v>17.866667</v>
      </c>
      <c r="AD1391">
        <v>1.8</v>
      </c>
      <c r="AE1391">
        <v>0.38333299999999998</v>
      </c>
      <c r="AF1391">
        <v>0</v>
      </c>
      <c r="AG1391">
        <v>1.4166669999999999</v>
      </c>
      <c r="AH1391">
        <v>1.4166669999999999</v>
      </c>
      <c r="AI1391">
        <v>0.28333399999999997</v>
      </c>
      <c r="AJ1391">
        <v>1.1333329999999999</v>
      </c>
      <c r="AK1391">
        <v>0</v>
      </c>
      <c r="AL1391" s="76">
        <v>45482</v>
      </c>
      <c r="AM1391" s="75">
        <v>678</v>
      </c>
      <c r="AN1391" t="s">
        <v>65</v>
      </c>
      <c r="AO1391" t="s">
        <v>5894</v>
      </c>
      <c r="AP1391" t="s">
        <v>67</v>
      </c>
      <c r="AQ1391" t="s">
        <v>68</v>
      </c>
      <c r="AR1391" t="s">
        <v>69</v>
      </c>
      <c r="AT1391" s="82" t="s">
        <v>5821</v>
      </c>
      <c r="AU1391" s="78">
        <v>2026</v>
      </c>
      <c r="AV1391" s="78">
        <v>5</v>
      </c>
      <c r="AW1391" s="78" t="s">
        <v>71</v>
      </c>
      <c r="AX1391" s="78">
        <v>1</v>
      </c>
      <c r="AY1391" s="78">
        <v>0</v>
      </c>
      <c r="BT1391" t="s">
        <v>71</v>
      </c>
      <c r="BU1391">
        <v>1</v>
      </c>
      <c r="BV1391">
        <v>0</v>
      </c>
    </row>
    <row r="1392" spans="1:74" x14ac:dyDescent="0.25">
      <c r="A1392" s="75">
        <v>5967387</v>
      </c>
      <c r="B1392" t="s">
        <v>5895</v>
      </c>
      <c r="C1392" t="s">
        <v>5896</v>
      </c>
      <c r="D1392" t="s">
        <v>257</v>
      </c>
      <c r="E1392" t="s">
        <v>105</v>
      </c>
      <c r="F1392" s="75">
        <v>1</v>
      </c>
      <c r="G1392" s="75">
        <v>327353</v>
      </c>
      <c r="H1392">
        <v>580</v>
      </c>
      <c r="I1392" t="s">
        <v>175</v>
      </c>
      <c r="J1392" s="75">
        <v>219039</v>
      </c>
      <c r="K1392" t="s">
        <v>106</v>
      </c>
      <c r="L1392" t="s">
        <v>3749</v>
      </c>
      <c r="M1392" s="81">
        <v>46161.451157407413</v>
      </c>
      <c r="N1392" s="81">
        <v>46161.625925925917</v>
      </c>
      <c r="O1392" t="s">
        <v>475</v>
      </c>
      <c r="P1392" t="s">
        <v>59</v>
      </c>
      <c r="Q1392" t="s">
        <v>130</v>
      </c>
      <c r="R1392" t="s">
        <v>144</v>
      </c>
      <c r="S1392" t="s">
        <v>2121</v>
      </c>
      <c r="U1392" s="75">
        <v>259151</v>
      </c>
      <c r="V1392" t="s">
        <v>5897</v>
      </c>
      <c r="X1392" t="s">
        <v>118</v>
      </c>
      <c r="Y1392" t="s">
        <v>119</v>
      </c>
      <c r="AA1392" t="s">
        <v>81</v>
      </c>
      <c r="AB1392">
        <v>4.1500000000000004</v>
      </c>
      <c r="AC1392">
        <v>0.81666700000000003</v>
      </c>
      <c r="AD1392">
        <v>3.3333330000000001</v>
      </c>
      <c r="AE1392">
        <v>0.283333</v>
      </c>
      <c r="AF1392">
        <v>0</v>
      </c>
      <c r="AG1392">
        <v>3.05</v>
      </c>
      <c r="AH1392">
        <v>3.05</v>
      </c>
      <c r="AI1392">
        <v>3.05</v>
      </c>
      <c r="AJ1392">
        <v>0</v>
      </c>
      <c r="AK1392">
        <v>0</v>
      </c>
      <c r="AL1392" s="76">
        <v>45590.470150462963</v>
      </c>
      <c r="AM1392" s="75">
        <v>570</v>
      </c>
      <c r="AN1392" t="s">
        <v>65</v>
      </c>
      <c r="AO1392" t="s">
        <v>4839</v>
      </c>
      <c r="AP1392" t="s">
        <v>67</v>
      </c>
      <c r="AQ1392" t="s">
        <v>121</v>
      </c>
      <c r="AR1392" t="s">
        <v>69</v>
      </c>
      <c r="AT1392" s="82" t="s">
        <v>5821</v>
      </c>
      <c r="AU1392" s="78">
        <v>2026</v>
      </c>
      <c r="AV1392" s="78">
        <v>5</v>
      </c>
      <c r="AW1392" s="78" t="s">
        <v>122</v>
      </c>
      <c r="AX1392" s="78">
        <v>1</v>
      </c>
      <c r="AY1392" s="78">
        <v>0</v>
      </c>
      <c r="BT1392" t="s">
        <v>122</v>
      </c>
      <c r="BU1392">
        <v>1</v>
      </c>
      <c r="BV1392">
        <v>0</v>
      </c>
    </row>
    <row r="1393" spans="1:74" x14ac:dyDescent="0.25">
      <c r="A1393" s="75">
        <v>5966259</v>
      </c>
      <c r="B1393" t="s">
        <v>5898</v>
      </c>
      <c r="C1393" t="s">
        <v>5899</v>
      </c>
      <c r="D1393" t="s">
        <v>956</v>
      </c>
      <c r="E1393" t="s">
        <v>87</v>
      </c>
      <c r="F1393" s="75">
        <v>828</v>
      </c>
      <c r="G1393" s="75">
        <v>345219</v>
      </c>
      <c r="H1393">
        <v>334.78</v>
      </c>
      <c r="I1393" t="s">
        <v>141</v>
      </c>
      <c r="J1393" s="75">
        <v>6971</v>
      </c>
      <c r="K1393" t="s">
        <v>369</v>
      </c>
      <c r="L1393" t="s">
        <v>370</v>
      </c>
      <c r="M1393" s="81">
        <v>46160.695196759261</v>
      </c>
      <c r="N1393" s="81">
        <v>46161.64266203704</v>
      </c>
      <c r="O1393" t="s">
        <v>58</v>
      </c>
      <c r="P1393" t="s">
        <v>59</v>
      </c>
      <c r="Q1393" t="s">
        <v>90</v>
      </c>
      <c r="R1393" t="s">
        <v>60</v>
      </c>
      <c r="S1393" t="s">
        <v>1268</v>
      </c>
      <c r="U1393" s="75">
        <v>258189</v>
      </c>
      <c r="V1393" t="s">
        <v>5900</v>
      </c>
      <c r="W1393" t="s">
        <v>5900</v>
      </c>
      <c r="X1393" t="s">
        <v>79</v>
      </c>
      <c r="Y1393" t="s">
        <v>224</v>
      </c>
      <c r="AA1393" t="s">
        <v>64</v>
      </c>
      <c r="AB1393">
        <v>22.650001</v>
      </c>
      <c r="AC1393">
        <v>16.883334000000001</v>
      </c>
      <c r="AD1393">
        <v>5.766667</v>
      </c>
      <c r="AE1393">
        <v>0.11666700000000001</v>
      </c>
      <c r="AF1393">
        <v>0</v>
      </c>
      <c r="AG1393">
        <v>5.65</v>
      </c>
      <c r="AH1393">
        <v>5.65</v>
      </c>
      <c r="AI1393">
        <v>5.15</v>
      </c>
      <c r="AJ1393">
        <v>0.5</v>
      </c>
      <c r="AK1393">
        <v>0</v>
      </c>
      <c r="AL1393" s="76">
        <v>46149</v>
      </c>
      <c r="AM1393" s="75">
        <v>11</v>
      </c>
      <c r="AN1393" t="s">
        <v>1220</v>
      </c>
      <c r="AO1393" t="s">
        <v>2649</v>
      </c>
      <c r="AP1393" t="s">
        <v>67</v>
      </c>
      <c r="AQ1393" t="s">
        <v>83</v>
      </c>
      <c r="AR1393" t="s">
        <v>69</v>
      </c>
      <c r="AT1393" s="82" t="s">
        <v>5821</v>
      </c>
      <c r="AU1393" s="78">
        <v>2026</v>
      </c>
      <c r="AV1393" s="78">
        <v>5</v>
      </c>
      <c r="AW1393" s="78" t="s">
        <v>226</v>
      </c>
      <c r="AX1393" s="78">
        <v>1</v>
      </c>
      <c r="AY1393" s="78">
        <v>0</v>
      </c>
      <c r="BT1393" t="s">
        <v>226</v>
      </c>
      <c r="BU1393">
        <v>1</v>
      </c>
      <c r="BV1393">
        <v>0</v>
      </c>
    </row>
    <row r="1394" spans="1:74" x14ac:dyDescent="0.25">
      <c r="A1394" s="75">
        <v>5966281</v>
      </c>
      <c r="B1394" t="s">
        <v>5901</v>
      </c>
      <c r="C1394" t="s">
        <v>5902</v>
      </c>
      <c r="D1394" t="s">
        <v>956</v>
      </c>
      <c r="E1394" t="s">
        <v>87</v>
      </c>
      <c r="F1394" s="75">
        <v>1611</v>
      </c>
      <c r="G1394" s="75">
        <v>349703</v>
      </c>
      <c r="H1394">
        <v>334.78</v>
      </c>
      <c r="I1394" t="s">
        <v>163</v>
      </c>
      <c r="J1394" s="75">
        <v>6971</v>
      </c>
      <c r="K1394" t="s">
        <v>369</v>
      </c>
      <c r="L1394" t="s">
        <v>370</v>
      </c>
      <c r="M1394" s="81">
        <v>46160.708865740737</v>
      </c>
      <c r="N1394" s="81">
        <v>46161.644849537042</v>
      </c>
      <c r="O1394" t="s">
        <v>58</v>
      </c>
      <c r="P1394" t="s">
        <v>59</v>
      </c>
      <c r="Q1394" t="s">
        <v>90</v>
      </c>
      <c r="R1394" t="s">
        <v>60</v>
      </c>
      <c r="S1394" t="s">
        <v>1268</v>
      </c>
      <c r="U1394" s="75">
        <v>258473</v>
      </c>
      <c r="V1394" t="s">
        <v>5903</v>
      </c>
      <c r="W1394" t="s">
        <v>5903</v>
      </c>
      <c r="X1394" t="s">
        <v>79</v>
      </c>
      <c r="Y1394" t="s">
        <v>224</v>
      </c>
      <c r="AA1394" t="s">
        <v>81</v>
      </c>
      <c r="AB1394">
        <v>22.4</v>
      </c>
      <c r="AC1394">
        <v>19.616667</v>
      </c>
      <c r="AD1394">
        <v>2.7833329999999998</v>
      </c>
      <c r="AE1394">
        <v>0.35</v>
      </c>
      <c r="AF1394">
        <v>0</v>
      </c>
      <c r="AG1394">
        <v>2.4333330000000002</v>
      </c>
      <c r="AH1394">
        <v>2.4333330000000002</v>
      </c>
      <c r="AI1394">
        <v>2.2833329999999998</v>
      </c>
      <c r="AJ1394">
        <v>0.15</v>
      </c>
      <c r="AK1394">
        <v>0</v>
      </c>
      <c r="AL1394" s="76">
        <v>46149.725092592591</v>
      </c>
      <c r="AM1394" s="75">
        <v>10</v>
      </c>
      <c r="AN1394" t="s">
        <v>1220</v>
      </c>
      <c r="AO1394" t="s">
        <v>2609</v>
      </c>
      <c r="AP1394" t="s">
        <v>67</v>
      </c>
      <c r="AQ1394" t="s">
        <v>83</v>
      </c>
      <c r="AR1394" t="s">
        <v>69</v>
      </c>
      <c r="AT1394" s="82" t="s">
        <v>5821</v>
      </c>
      <c r="AU1394" s="78">
        <v>2026</v>
      </c>
      <c r="AV1394" s="78">
        <v>5</v>
      </c>
      <c r="AW1394" s="78" t="s">
        <v>226</v>
      </c>
      <c r="AX1394" s="78">
        <v>1</v>
      </c>
      <c r="AY1394" s="78">
        <v>0</v>
      </c>
      <c r="BT1394" t="s">
        <v>226</v>
      </c>
      <c r="BU1394">
        <v>1</v>
      </c>
      <c r="BV1394">
        <v>0</v>
      </c>
    </row>
    <row r="1395" spans="1:74" x14ac:dyDescent="0.25">
      <c r="A1395" s="75">
        <v>5966139</v>
      </c>
      <c r="B1395" t="s">
        <v>5904</v>
      </c>
      <c r="C1395" t="s">
        <v>5905</v>
      </c>
      <c r="D1395" t="s">
        <v>956</v>
      </c>
      <c r="E1395" t="s">
        <v>87</v>
      </c>
      <c r="F1395" s="75">
        <v>270</v>
      </c>
      <c r="G1395" s="75">
        <v>286385</v>
      </c>
      <c r="H1395">
        <v>364.96</v>
      </c>
      <c r="I1395" t="s">
        <v>55</v>
      </c>
      <c r="J1395" s="75">
        <v>218787</v>
      </c>
      <c r="K1395" t="s">
        <v>96</v>
      </c>
      <c r="L1395" t="s">
        <v>97</v>
      </c>
      <c r="M1395" s="81">
        <v>46160.660624999997</v>
      </c>
      <c r="N1395" s="81">
        <v>46161.68378472222</v>
      </c>
      <c r="O1395" t="s">
        <v>58</v>
      </c>
      <c r="P1395" t="s">
        <v>59</v>
      </c>
      <c r="Q1395" t="s">
        <v>90</v>
      </c>
      <c r="R1395" t="s">
        <v>60</v>
      </c>
      <c r="S1395" t="s">
        <v>583</v>
      </c>
      <c r="U1395" s="75">
        <v>258187</v>
      </c>
      <c r="V1395" t="s">
        <v>5906</v>
      </c>
      <c r="W1395" t="s">
        <v>5906</v>
      </c>
      <c r="X1395" t="s">
        <v>62</v>
      </c>
      <c r="Y1395" t="s">
        <v>63</v>
      </c>
      <c r="AA1395" t="s">
        <v>64</v>
      </c>
      <c r="AB1395">
        <v>24.5</v>
      </c>
      <c r="AC1395">
        <v>17.016666000000001</v>
      </c>
      <c r="AD1395">
        <v>7.4833340000000002</v>
      </c>
      <c r="AE1395">
        <v>0.53333299999999995</v>
      </c>
      <c r="AF1395">
        <v>0</v>
      </c>
      <c r="AG1395">
        <v>6.9500010000000003</v>
      </c>
      <c r="AH1395">
        <v>6.9500010000000003</v>
      </c>
      <c r="AI1395">
        <v>5.4666670000000002</v>
      </c>
      <c r="AJ1395">
        <v>1.4833339999999999</v>
      </c>
      <c r="AK1395">
        <v>0</v>
      </c>
      <c r="AL1395" s="76">
        <v>44882</v>
      </c>
      <c r="AM1395" s="75">
        <v>1278</v>
      </c>
      <c r="AN1395" t="s">
        <v>65</v>
      </c>
      <c r="AO1395" t="s">
        <v>5907</v>
      </c>
      <c r="AP1395" t="s">
        <v>67</v>
      </c>
      <c r="AQ1395" t="s">
        <v>68</v>
      </c>
      <c r="AR1395" t="s">
        <v>69</v>
      </c>
      <c r="AT1395" s="82" t="s">
        <v>5821</v>
      </c>
      <c r="AU1395" s="78">
        <v>2026</v>
      </c>
      <c r="AV1395" s="78">
        <v>5</v>
      </c>
      <c r="AW1395" s="78" t="s">
        <v>71</v>
      </c>
      <c r="AX1395" s="78">
        <v>1</v>
      </c>
      <c r="AY1395" s="78">
        <v>0</v>
      </c>
      <c r="BT1395" t="s">
        <v>71</v>
      </c>
      <c r="BU1395">
        <v>1</v>
      </c>
      <c r="BV1395">
        <v>0</v>
      </c>
    </row>
    <row r="1396" spans="1:74" x14ac:dyDescent="0.25">
      <c r="A1396" s="75">
        <v>5965331</v>
      </c>
      <c r="B1396" t="s">
        <v>5908</v>
      </c>
      <c r="C1396" t="s">
        <v>5909</v>
      </c>
      <c r="D1396" t="s">
        <v>2602</v>
      </c>
      <c r="E1396" t="s">
        <v>54</v>
      </c>
      <c r="F1396" s="75">
        <v>1</v>
      </c>
      <c r="G1396" s="75">
        <v>294217</v>
      </c>
      <c r="H1396">
        <v>800</v>
      </c>
      <c r="I1396" t="s">
        <v>114</v>
      </c>
      <c r="J1396" s="75">
        <v>218227</v>
      </c>
      <c r="K1396" t="s">
        <v>1955</v>
      </c>
      <c r="L1396" t="s">
        <v>5910</v>
      </c>
      <c r="M1396" s="81">
        <v>46160.402719907397</v>
      </c>
      <c r="N1396" s="81">
        <v>46161.881226851852</v>
      </c>
      <c r="O1396" t="s">
        <v>58</v>
      </c>
      <c r="P1396" t="s">
        <v>59</v>
      </c>
      <c r="Q1396" t="s">
        <v>130</v>
      </c>
      <c r="R1396" t="s">
        <v>131</v>
      </c>
      <c r="S1396" t="s">
        <v>1273</v>
      </c>
      <c r="U1396" s="75">
        <v>257829</v>
      </c>
      <c r="V1396" t="s">
        <v>5911</v>
      </c>
      <c r="W1396" t="s">
        <v>5911</v>
      </c>
      <c r="X1396" t="s">
        <v>62</v>
      </c>
      <c r="Y1396" t="s">
        <v>63</v>
      </c>
      <c r="AA1396" t="s">
        <v>64</v>
      </c>
      <c r="AB1396">
        <v>35.433334000000002</v>
      </c>
      <c r="AC1396">
        <v>27.933333000000001</v>
      </c>
      <c r="AD1396">
        <v>7.5000010000000001</v>
      </c>
      <c r="AE1396">
        <v>0.466667</v>
      </c>
      <c r="AF1396">
        <v>0</v>
      </c>
      <c r="AG1396">
        <v>7.033334</v>
      </c>
      <c r="AH1396">
        <v>7.033334</v>
      </c>
      <c r="AI1396">
        <v>6.9166670000000003</v>
      </c>
      <c r="AJ1396">
        <v>0.11666700000000001</v>
      </c>
      <c r="AK1396">
        <v>0</v>
      </c>
      <c r="AL1396" s="76">
        <v>45195</v>
      </c>
      <c r="AM1396" s="75">
        <v>965</v>
      </c>
      <c r="AN1396" t="s">
        <v>65</v>
      </c>
      <c r="AO1396" t="s">
        <v>5912</v>
      </c>
      <c r="AP1396" t="s">
        <v>67</v>
      </c>
      <c r="AQ1396" t="s">
        <v>68</v>
      </c>
      <c r="AR1396" t="s">
        <v>69</v>
      </c>
      <c r="AT1396" s="82" t="s">
        <v>5821</v>
      </c>
      <c r="AU1396" s="78">
        <v>2026</v>
      </c>
      <c r="AV1396" s="78">
        <v>5</v>
      </c>
      <c r="AW1396" s="78" t="s">
        <v>71</v>
      </c>
      <c r="AX1396" s="78">
        <v>1</v>
      </c>
      <c r="AY1396" s="78">
        <v>0</v>
      </c>
      <c r="BT1396" t="s">
        <v>71</v>
      </c>
      <c r="BU1396">
        <v>1</v>
      </c>
      <c r="BV1396">
        <v>0</v>
      </c>
    </row>
    <row r="1397" spans="1:74" x14ac:dyDescent="0.25">
      <c r="A1397" s="75">
        <v>5968483</v>
      </c>
      <c r="B1397" t="s">
        <v>5913</v>
      </c>
      <c r="C1397" t="s">
        <v>4512</v>
      </c>
      <c r="D1397" t="s">
        <v>527</v>
      </c>
      <c r="E1397" t="s">
        <v>87</v>
      </c>
      <c r="F1397" s="75">
        <v>371</v>
      </c>
      <c r="G1397" s="75">
        <v>286785</v>
      </c>
      <c r="H1397">
        <v>364.96</v>
      </c>
      <c r="I1397" t="s">
        <v>55</v>
      </c>
      <c r="J1397" s="75">
        <v>218787</v>
      </c>
      <c r="K1397" t="s">
        <v>96</v>
      </c>
      <c r="L1397" t="s">
        <v>97</v>
      </c>
      <c r="M1397" s="81">
        <v>46161.861608796287</v>
      </c>
      <c r="N1397" s="81">
        <v>46162.408032407409</v>
      </c>
      <c r="O1397" t="s">
        <v>277</v>
      </c>
      <c r="P1397" t="s">
        <v>59</v>
      </c>
      <c r="Q1397" t="s">
        <v>90</v>
      </c>
      <c r="R1397" t="s">
        <v>99</v>
      </c>
      <c r="S1397" t="s">
        <v>1244</v>
      </c>
      <c r="U1397" s="75">
        <v>259667</v>
      </c>
      <c r="V1397" t="s">
        <v>5914</v>
      </c>
      <c r="X1397" t="s">
        <v>62</v>
      </c>
      <c r="Y1397" t="s">
        <v>63</v>
      </c>
      <c r="AA1397" t="s">
        <v>81</v>
      </c>
      <c r="AB1397">
        <v>13.050001</v>
      </c>
      <c r="AC1397">
        <v>11.066667000000001</v>
      </c>
      <c r="AD1397">
        <v>1.9833339999999999</v>
      </c>
      <c r="AE1397">
        <v>8.3334000000000005E-2</v>
      </c>
      <c r="AF1397">
        <v>0</v>
      </c>
      <c r="AG1397">
        <v>1.9</v>
      </c>
      <c r="AH1397">
        <v>1.9</v>
      </c>
      <c r="AI1397">
        <v>1.6166670000000001</v>
      </c>
      <c r="AJ1397">
        <v>0.283333</v>
      </c>
      <c r="AK1397">
        <v>0</v>
      </c>
      <c r="AL1397" s="76">
        <v>44942</v>
      </c>
      <c r="AM1397" s="75">
        <v>1219</v>
      </c>
      <c r="AN1397" t="s">
        <v>65</v>
      </c>
      <c r="AO1397" t="s">
        <v>4515</v>
      </c>
      <c r="AP1397" t="s">
        <v>67</v>
      </c>
      <c r="AQ1397" t="s">
        <v>68</v>
      </c>
      <c r="AR1397" t="s">
        <v>69</v>
      </c>
      <c r="AT1397" s="82" t="s">
        <v>5821</v>
      </c>
      <c r="AU1397" s="78">
        <v>2026</v>
      </c>
      <c r="AV1397" s="78">
        <v>5</v>
      </c>
      <c r="AW1397" s="78" t="s">
        <v>71</v>
      </c>
      <c r="AX1397" s="78">
        <v>1</v>
      </c>
      <c r="AY1397" s="78">
        <v>0</v>
      </c>
      <c r="BT1397" t="s">
        <v>71</v>
      </c>
      <c r="BU1397">
        <v>1</v>
      </c>
      <c r="BV1397">
        <v>0</v>
      </c>
    </row>
    <row r="1398" spans="1:74" x14ac:dyDescent="0.25">
      <c r="A1398" s="75">
        <v>5968479</v>
      </c>
      <c r="B1398" t="s">
        <v>5915</v>
      </c>
      <c r="C1398" t="s">
        <v>5916</v>
      </c>
      <c r="D1398" t="s">
        <v>527</v>
      </c>
      <c r="E1398" t="s">
        <v>87</v>
      </c>
      <c r="F1398" s="75">
        <v>363</v>
      </c>
      <c r="G1398" s="75">
        <v>286767</v>
      </c>
      <c r="H1398">
        <v>364.96</v>
      </c>
      <c r="I1398" t="s">
        <v>55</v>
      </c>
      <c r="J1398" s="75">
        <v>218787</v>
      </c>
      <c r="K1398" t="s">
        <v>96</v>
      </c>
      <c r="L1398" t="s">
        <v>97</v>
      </c>
      <c r="M1398" s="81">
        <v>46161.854687500003</v>
      </c>
      <c r="N1398" s="81">
        <v>46162.409444444442</v>
      </c>
      <c r="O1398" t="s">
        <v>277</v>
      </c>
      <c r="P1398" t="s">
        <v>59</v>
      </c>
      <c r="Q1398" t="s">
        <v>90</v>
      </c>
      <c r="R1398" t="s">
        <v>99</v>
      </c>
      <c r="S1398" t="s">
        <v>1244</v>
      </c>
      <c r="U1398" s="75">
        <v>259567</v>
      </c>
      <c r="V1398" t="s">
        <v>5917</v>
      </c>
      <c r="X1398" t="s">
        <v>62</v>
      </c>
      <c r="Y1398" t="s">
        <v>63</v>
      </c>
      <c r="AA1398" t="s">
        <v>81</v>
      </c>
      <c r="AB1398">
        <v>13.266666000000001</v>
      </c>
      <c r="AC1398">
        <v>11.283333000000001</v>
      </c>
      <c r="AD1398">
        <v>1.983333</v>
      </c>
      <c r="AE1398">
        <v>6.6667000000000004E-2</v>
      </c>
      <c r="AF1398">
        <v>0</v>
      </c>
      <c r="AG1398">
        <v>1.916666</v>
      </c>
      <c r="AH1398">
        <v>1.916666</v>
      </c>
      <c r="AI1398">
        <v>1.65</v>
      </c>
      <c r="AJ1398">
        <v>0.26666600000000001</v>
      </c>
      <c r="AK1398">
        <v>0</v>
      </c>
      <c r="AL1398" s="76">
        <v>44980</v>
      </c>
      <c r="AM1398" s="75">
        <v>1181</v>
      </c>
      <c r="AN1398" t="s">
        <v>65</v>
      </c>
      <c r="AO1398" t="s">
        <v>5918</v>
      </c>
      <c r="AP1398" t="s">
        <v>67</v>
      </c>
      <c r="AQ1398" t="s">
        <v>68</v>
      </c>
      <c r="AR1398" t="s">
        <v>69</v>
      </c>
      <c r="AT1398" s="82" t="s">
        <v>5821</v>
      </c>
      <c r="AU1398" s="78">
        <v>2026</v>
      </c>
      <c r="AV1398" s="78">
        <v>5</v>
      </c>
      <c r="AW1398" s="78" t="s">
        <v>71</v>
      </c>
      <c r="AX1398" s="78">
        <v>1</v>
      </c>
      <c r="AY1398" s="78">
        <v>0</v>
      </c>
      <c r="BT1398" t="s">
        <v>71</v>
      </c>
      <c r="BU1398">
        <v>1</v>
      </c>
      <c r="BV1398">
        <v>0</v>
      </c>
    </row>
    <row r="1399" spans="1:74" x14ac:dyDescent="0.25">
      <c r="A1399" s="75">
        <v>5968841</v>
      </c>
      <c r="B1399" t="s">
        <v>5919</v>
      </c>
      <c r="C1399" t="s">
        <v>693</v>
      </c>
      <c r="D1399" t="s">
        <v>527</v>
      </c>
      <c r="E1399" t="s">
        <v>87</v>
      </c>
      <c r="F1399" s="75">
        <v>402</v>
      </c>
      <c r="G1399" s="75">
        <v>288381</v>
      </c>
      <c r="H1399">
        <v>368.16</v>
      </c>
      <c r="I1399" t="s">
        <v>55</v>
      </c>
      <c r="J1399" s="75">
        <v>218791</v>
      </c>
      <c r="K1399" t="s">
        <v>312</v>
      </c>
      <c r="L1399" t="s">
        <v>313</v>
      </c>
      <c r="M1399" s="81">
        <v>46162.361851851849</v>
      </c>
      <c r="N1399" s="81">
        <v>46162.447777777779</v>
      </c>
      <c r="O1399" t="s">
        <v>277</v>
      </c>
      <c r="P1399" t="s">
        <v>59</v>
      </c>
      <c r="Q1399" t="s">
        <v>98</v>
      </c>
      <c r="R1399" t="s">
        <v>99</v>
      </c>
      <c r="S1399" t="s">
        <v>1244</v>
      </c>
      <c r="U1399" s="75">
        <v>259983</v>
      </c>
      <c r="V1399" t="s">
        <v>5920</v>
      </c>
      <c r="X1399" t="s">
        <v>62</v>
      </c>
      <c r="Y1399" t="s">
        <v>63</v>
      </c>
      <c r="AA1399" t="s">
        <v>81</v>
      </c>
      <c r="AB1399">
        <v>2.016667</v>
      </c>
      <c r="AC1399">
        <v>0.15</v>
      </c>
      <c r="AD1399">
        <v>1.8666670000000001</v>
      </c>
      <c r="AE1399">
        <v>0.36666700000000002</v>
      </c>
      <c r="AF1399">
        <v>0</v>
      </c>
      <c r="AG1399">
        <v>1.5</v>
      </c>
      <c r="AI1399">
        <v>1.483333</v>
      </c>
      <c r="AJ1399">
        <v>1.6667000000000001E-2</v>
      </c>
      <c r="AK1399">
        <v>0</v>
      </c>
      <c r="AL1399" s="76">
        <v>44946.44804398148</v>
      </c>
      <c r="AM1399" s="75">
        <v>1215</v>
      </c>
      <c r="AN1399" t="s">
        <v>65</v>
      </c>
      <c r="AO1399" t="s">
        <v>695</v>
      </c>
      <c r="AP1399" t="s">
        <v>67</v>
      </c>
      <c r="AQ1399" t="s">
        <v>68</v>
      </c>
      <c r="AR1399" t="s">
        <v>69</v>
      </c>
      <c r="AT1399" s="82" t="s">
        <v>5821</v>
      </c>
      <c r="AU1399" s="78">
        <v>2026</v>
      </c>
      <c r="AV1399" s="78">
        <v>5</v>
      </c>
      <c r="AW1399" s="78" t="s">
        <v>71</v>
      </c>
      <c r="AX1399" s="78">
        <v>1</v>
      </c>
      <c r="AY1399" s="78">
        <v>0</v>
      </c>
      <c r="BT1399" t="s">
        <v>71</v>
      </c>
      <c r="BU1399">
        <v>1</v>
      </c>
      <c r="BV1399">
        <v>0</v>
      </c>
    </row>
    <row r="1400" spans="1:74" x14ac:dyDescent="0.25">
      <c r="A1400" s="75">
        <v>5969175</v>
      </c>
      <c r="B1400" t="s">
        <v>5921</v>
      </c>
      <c r="C1400" t="s">
        <v>5423</v>
      </c>
      <c r="D1400" t="s">
        <v>527</v>
      </c>
      <c r="E1400" t="s">
        <v>87</v>
      </c>
      <c r="F1400" s="75">
        <v>120</v>
      </c>
      <c r="G1400" s="75">
        <v>285577</v>
      </c>
      <c r="H1400">
        <v>368.16</v>
      </c>
      <c r="I1400" t="s">
        <v>55</v>
      </c>
      <c r="J1400" s="75">
        <v>218791</v>
      </c>
      <c r="K1400" t="s">
        <v>312</v>
      </c>
      <c r="L1400" t="s">
        <v>313</v>
      </c>
      <c r="M1400" s="81">
        <v>46162.445104166669</v>
      </c>
      <c r="N1400" s="81">
        <v>46162.514004629629</v>
      </c>
      <c r="O1400" t="s">
        <v>277</v>
      </c>
      <c r="P1400" t="s">
        <v>59</v>
      </c>
      <c r="Q1400" t="s">
        <v>90</v>
      </c>
      <c r="R1400" t="s">
        <v>99</v>
      </c>
      <c r="S1400" t="s">
        <v>1244</v>
      </c>
      <c r="U1400" s="75">
        <v>260175</v>
      </c>
      <c r="V1400" t="s">
        <v>5922</v>
      </c>
      <c r="X1400" t="s">
        <v>62</v>
      </c>
      <c r="Y1400" t="s">
        <v>63</v>
      </c>
      <c r="AA1400" t="s">
        <v>81</v>
      </c>
      <c r="AB1400">
        <v>1.6166670000000001</v>
      </c>
      <c r="AC1400">
        <v>0</v>
      </c>
      <c r="AD1400">
        <v>1.6166670000000001</v>
      </c>
      <c r="AE1400">
        <v>0.3</v>
      </c>
      <c r="AF1400">
        <v>0</v>
      </c>
      <c r="AG1400">
        <v>1.316667</v>
      </c>
      <c r="AI1400">
        <v>1.2</v>
      </c>
      <c r="AJ1400">
        <v>0.11666700000000001</v>
      </c>
      <c r="AK1400">
        <v>0</v>
      </c>
      <c r="AL1400" s="76">
        <v>44865.68886574074</v>
      </c>
      <c r="AM1400" s="75">
        <v>1296</v>
      </c>
      <c r="AN1400" t="s">
        <v>65</v>
      </c>
      <c r="AO1400" t="s">
        <v>5426</v>
      </c>
      <c r="AP1400" t="s">
        <v>67</v>
      </c>
      <c r="AQ1400" t="s">
        <v>68</v>
      </c>
      <c r="AR1400" t="s">
        <v>69</v>
      </c>
      <c r="AT1400" s="82" t="s">
        <v>5821</v>
      </c>
      <c r="AU1400" s="78">
        <v>2026</v>
      </c>
      <c r="AV1400" s="78">
        <v>5</v>
      </c>
      <c r="AW1400" s="78" t="s">
        <v>71</v>
      </c>
      <c r="AX1400" s="78">
        <v>1</v>
      </c>
      <c r="AY1400" s="78">
        <v>0</v>
      </c>
      <c r="BT1400" t="s">
        <v>71</v>
      </c>
      <c r="BU1400">
        <v>1</v>
      </c>
      <c r="BV1400">
        <v>0</v>
      </c>
    </row>
    <row r="1401" spans="1:74" x14ac:dyDescent="0.25">
      <c r="A1401" s="75">
        <v>5963443</v>
      </c>
      <c r="B1401" t="s">
        <v>5923</v>
      </c>
      <c r="C1401" t="s">
        <v>5924</v>
      </c>
      <c r="D1401" t="s">
        <v>956</v>
      </c>
      <c r="E1401" t="s">
        <v>87</v>
      </c>
      <c r="F1401" s="75">
        <v>365</v>
      </c>
      <c r="G1401" s="75">
        <v>286769</v>
      </c>
      <c r="H1401">
        <v>364.96</v>
      </c>
      <c r="I1401" t="s">
        <v>55</v>
      </c>
      <c r="J1401" s="75">
        <v>218787</v>
      </c>
      <c r="K1401" t="s">
        <v>96</v>
      </c>
      <c r="L1401" t="s">
        <v>97</v>
      </c>
      <c r="M1401" s="81">
        <v>46158.035000000003</v>
      </c>
      <c r="N1401" s="81">
        <v>46162.626307870371</v>
      </c>
      <c r="O1401" t="s">
        <v>58</v>
      </c>
      <c r="P1401" t="s">
        <v>59</v>
      </c>
      <c r="Q1401" t="s">
        <v>90</v>
      </c>
      <c r="R1401" t="s">
        <v>131</v>
      </c>
      <c r="S1401" t="s">
        <v>1316</v>
      </c>
      <c r="U1401" s="75">
        <v>259641</v>
      </c>
      <c r="V1401" t="s">
        <v>5925</v>
      </c>
      <c r="W1401" t="s">
        <v>5926</v>
      </c>
      <c r="X1401" t="s">
        <v>62</v>
      </c>
      <c r="Y1401" t="s">
        <v>63</v>
      </c>
      <c r="AA1401" t="s">
        <v>416</v>
      </c>
      <c r="AB1401">
        <v>110.1</v>
      </c>
      <c r="AC1401">
        <v>90.05</v>
      </c>
      <c r="AD1401">
        <v>20.05</v>
      </c>
      <c r="AE1401">
        <v>0.23333400000000001</v>
      </c>
      <c r="AF1401">
        <v>0</v>
      </c>
      <c r="AG1401">
        <v>19.816666000000001</v>
      </c>
      <c r="AH1401">
        <v>19.816666000000001</v>
      </c>
      <c r="AI1401">
        <v>19.216667000000001</v>
      </c>
      <c r="AJ1401">
        <v>0.59999899999999995</v>
      </c>
      <c r="AK1401">
        <v>0</v>
      </c>
      <c r="AL1401" s="76">
        <v>44985</v>
      </c>
      <c r="AM1401" s="75">
        <v>1173</v>
      </c>
      <c r="AN1401" t="s">
        <v>65</v>
      </c>
      <c r="AO1401" t="s">
        <v>5927</v>
      </c>
      <c r="AP1401" t="s">
        <v>67</v>
      </c>
      <c r="AQ1401" t="s">
        <v>68</v>
      </c>
      <c r="AR1401" t="s">
        <v>69</v>
      </c>
      <c r="AT1401" s="82" t="s">
        <v>5821</v>
      </c>
      <c r="AU1401" s="78">
        <v>2026</v>
      </c>
      <c r="AV1401" s="78">
        <v>5</v>
      </c>
      <c r="AW1401" s="78" t="s">
        <v>71</v>
      </c>
      <c r="AX1401" s="78">
        <v>0</v>
      </c>
      <c r="AY1401" s="78">
        <v>0</v>
      </c>
      <c r="BT1401" t="s">
        <v>71</v>
      </c>
      <c r="BU1401">
        <v>0</v>
      </c>
      <c r="BV1401">
        <v>0</v>
      </c>
    </row>
    <row r="1402" spans="1:74" x14ac:dyDescent="0.25">
      <c r="A1402" s="75">
        <v>5967133</v>
      </c>
      <c r="B1402" t="s">
        <v>5928</v>
      </c>
      <c r="C1402" t="s">
        <v>5929</v>
      </c>
      <c r="D1402" t="s">
        <v>2602</v>
      </c>
      <c r="E1402" t="s">
        <v>87</v>
      </c>
      <c r="F1402" s="75">
        <v>30</v>
      </c>
      <c r="G1402" s="75">
        <v>280871</v>
      </c>
      <c r="H1402">
        <v>312.5</v>
      </c>
      <c r="I1402" t="s">
        <v>114</v>
      </c>
      <c r="J1402" s="75">
        <v>203645</v>
      </c>
      <c r="K1402" t="s">
        <v>520</v>
      </c>
      <c r="L1402" t="s">
        <v>521</v>
      </c>
      <c r="M1402" s="81">
        <v>46161.394652777781</v>
      </c>
      <c r="N1402" s="81">
        <v>46162.85396990741</v>
      </c>
      <c r="O1402" t="s">
        <v>58</v>
      </c>
      <c r="P1402" t="s">
        <v>59</v>
      </c>
      <c r="Q1402" t="s">
        <v>77</v>
      </c>
      <c r="R1402" t="s">
        <v>131</v>
      </c>
      <c r="S1402" t="s">
        <v>1273</v>
      </c>
      <c r="T1402" t="s">
        <v>342</v>
      </c>
      <c r="U1402" s="75">
        <v>259651</v>
      </c>
      <c r="V1402" t="s">
        <v>5930</v>
      </c>
      <c r="W1402" t="s">
        <v>5930</v>
      </c>
      <c r="X1402" t="s">
        <v>118</v>
      </c>
      <c r="Y1402" t="s">
        <v>119</v>
      </c>
      <c r="AA1402" t="s">
        <v>64</v>
      </c>
      <c r="AB1402">
        <v>34.950001</v>
      </c>
      <c r="AC1402">
        <v>24.266667000000002</v>
      </c>
      <c r="AD1402">
        <v>10.683334</v>
      </c>
      <c r="AE1402">
        <v>3.2</v>
      </c>
      <c r="AF1402">
        <v>0</v>
      </c>
      <c r="AG1402">
        <v>7.4833340000000002</v>
      </c>
      <c r="AH1402">
        <v>7.4833340000000002</v>
      </c>
      <c r="AI1402">
        <v>3.8166669999999998</v>
      </c>
      <c r="AJ1402">
        <v>3.6666669999999999</v>
      </c>
      <c r="AK1402">
        <v>0</v>
      </c>
      <c r="AL1402" s="76">
        <v>44834.74796296296</v>
      </c>
      <c r="AM1402" s="75">
        <v>1326</v>
      </c>
      <c r="AN1402" t="s">
        <v>65</v>
      </c>
      <c r="AO1402" t="s">
        <v>5806</v>
      </c>
      <c r="AP1402" t="s">
        <v>67</v>
      </c>
      <c r="AQ1402" t="s">
        <v>121</v>
      </c>
      <c r="AR1402" t="s">
        <v>69</v>
      </c>
      <c r="AT1402" s="82" t="s">
        <v>5821</v>
      </c>
      <c r="AU1402" s="78">
        <v>2026</v>
      </c>
      <c r="AV1402" s="78">
        <v>5</v>
      </c>
      <c r="AW1402" s="78" t="s">
        <v>122</v>
      </c>
      <c r="AX1402" s="78">
        <v>1</v>
      </c>
      <c r="AY1402" s="78">
        <v>0</v>
      </c>
      <c r="BT1402" t="s">
        <v>122</v>
      </c>
      <c r="BU1402">
        <v>1</v>
      </c>
      <c r="BV1402">
        <v>0</v>
      </c>
    </row>
    <row r="1403" spans="1:74" x14ac:dyDescent="0.25">
      <c r="A1403" s="75">
        <v>5966763</v>
      </c>
      <c r="B1403" t="s">
        <v>5931</v>
      </c>
      <c r="C1403" t="s">
        <v>5932</v>
      </c>
      <c r="D1403" t="s">
        <v>2602</v>
      </c>
      <c r="E1403" t="s">
        <v>54</v>
      </c>
      <c r="F1403" s="75">
        <v>1</v>
      </c>
      <c r="G1403" s="75">
        <v>343437</v>
      </c>
      <c r="H1403">
        <v>400</v>
      </c>
      <c r="I1403" t="s">
        <v>141</v>
      </c>
      <c r="J1403" s="75">
        <v>228335</v>
      </c>
      <c r="K1403" t="s">
        <v>5933</v>
      </c>
      <c r="L1403" t="s">
        <v>5934</v>
      </c>
      <c r="M1403" s="81">
        <v>46161.255312499998</v>
      </c>
      <c r="N1403" s="81">
        <v>46162.861932870372</v>
      </c>
      <c r="O1403" t="s">
        <v>58</v>
      </c>
      <c r="P1403" t="s">
        <v>59</v>
      </c>
      <c r="Q1403" t="s">
        <v>130</v>
      </c>
      <c r="R1403" t="s">
        <v>131</v>
      </c>
      <c r="S1403" t="s">
        <v>1273</v>
      </c>
      <c r="U1403" s="75">
        <v>258365</v>
      </c>
      <c r="V1403" t="s">
        <v>5935</v>
      </c>
      <c r="X1403" t="s">
        <v>62</v>
      </c>
      <c r="Y1403" t="s">
        <v>63</v>
      </c>
      <c r="AA1403" t="s">
        <v>101</v>
      </c>
      <c r="AB1403">
        <v>38.466667000000001</v>
      </c>
      <c r="AC1403">
        <v>29.316666999999999</v>
      </c>
      <c r="AD1403">
        <v>9.15</v>
      </c>
      <c r="AE1403">
        <v>3.3333000000000002E-2</v>
      </c>
      <c r="AF1403">
        <v>0</v>
      </c>
      <c r="AG1403">
        <v>9.1166669999999996</v>
      </c>
      <c r="AH1403">
        <v>9.1166669999999996</v>
      </c>
      <c r="AI1403">
        <v>8.6166669999999996</v>
      </c>
      <c r="AJ1403">
        <v>0.5</v>
      </c>
      <c r="AK1403">
        <v>0</v>
      </c>
      <c r="AL1403" s="76">
        <v>45894.433958333328</v>
      </c>
      <c r="AM1403" s="75">
        <v>266</v>
      </c>
      <c r="AN1403" t="s">
        <v>65</v>
      </c>
      <c r="AO1403" t="s">
        <v>5936</v>
      </c>
      <c r="AP1403" t="s">
        <v>67</v>
      </c>
      <c r="AQ1403" t="s">
        <v>68</v>
      </c>
      <c r="AR1403" t="s">
        <v>69</v>
      </c>
      <c r="AT1403" s="82" t="s">
        <v>5821</v>
      </c>
      <c r="AU1403" s="78">
        <v>2026</v>
      </c>
      <c r="AV1403" s="78">
        <v>5</v>
      </c>
      <c r="AW1403" s="78" t="s">
        <v>71</v>
      </c>
      <c r="AX1403" s="78">
        <v>0</v>
      </c>
      <c r="AY1403" s="78">
        <v>0</v>
      </c>
      <c r="BT1403" t="s">
        <v>71</v>
      </c>
      <c r="BU1403">
        <v>0</v>
      </c>
      <c r="BV1403">
        <v>0</v>
      </c>
    </row>
    <row r="1404" spans="1:74" x14ac:dyDescent="0.25">
      <c r="A1404" s="75">
        <v>5961827</v>
      </c>
      <c r="B1404" t="s">
        <v>5937</v>
      </c>
      <c r="C1404" t="s">
        <v>5938</v>
      </c>
      <c r="D1404" t="s">
        <v>2602</v>
      </c>
      <c r="E1404" t="s">
        <v>87</v>
      </c>
      <c r="F1404" s="75">
        <v>67</v>
      </c>
      <c r="G1404" s="75">
        <v>275383</v>
      </c>
      <c r="H1404">
        <v>350</v>
      </c>
      <c r="I1404" t="s">
        <v>55</v>
      </c>
      <c r="J1404" s="75">
        <v>218791</v>
      </c>
      <c r="K1404" t="s">
        <v>312</v>
      </c>
      <c r="L1404" t="s">
        <v>313</v>
      </c>
      <c r="M1404" s="81">
        <v>46156.792048611111</v>
      </c>
      <c r="N1404" s="81">
        <v>46162.873993055553</v>
      </c>
      <c r="O1404" t="s">
        <v>58</v>
      </c>
      <c r="P1404" t="s">
        <v>59</v>
      </c>
      <c r="Q1404" t="s">
        <v>98</v>
      </c>
      <c r="R1404" t="s">
        <v>131</v>
      </c>
      <c r="S1404" t="s">
        <v>1695</v>
      </c>
      <c r="U1404" s="75">
        <v>259289</v>
      </c>
      <c r="V1404" t="s">
        <v>5939</v>
      </c>
      <c r="W1404" t="s">
        <v>5939</v>
      </c>
      <c r="X1404" t="s">
        <v>62</v>
      </c>
      <c r="Y1404" t="s">
        <v>63</v>
      </c>
      <c r="AA1404" t="s">
        <v>416</v>
      </c>
      <c r="AB1404">
        <v>145.866669</v>
      </c>
      <c r="AC1404">
        <v>130.85000099999999</v>
      </c>
      <c r="AD1404">
        <v>15.016667999999999</v>
      </c>
      <c r="AE1404">
        <v>0.76666699999999999</v>
      </c>
      <c r="AF1404">
        <v>0</v>
      </c>
      <c r="AG1404">
        <v>14.250000999999999</v>
      </c>
      <c r="AH1404">
        <v>14.250000999999999</v>
      </c>
      <c r="AI1404">
        <v>13.166667</v>
      </c>
      <c r="AJ1404">
        <v>1.083334</v>
      </c>
      <c r="AK1404">
        <v>0</v>
      </c>
      <c r="AL1404" s="76">
        <v>44879.740682870368</v>
      </c>
      <c r="AM1404" s="75">
        <v>1277</v>
      </c>
      <c r="AN1404" t="s">
        <v>65</v>
      </c>
      <c r="AO1404" t="s">
        <v>5940</v>
      </c>
      <c r="AP1404" t="s">
        <v>67</v>
      </c>
      <c r="AQ1404" t="s">
        <v>68</v>
      </c>
      <c r="AR1404" t="s">
        <v>69</v>
      </c>
      <c r="AT1404" s="82" t="s">
        <v>5821</v>
      </c>
      <c r="AU1404" s="78">
        <v>2026</v>
      </c>
      <c r="AV1404" s="78">
        <v>5</v>
      </c>
      <c r="AW1404" s="78" t="s">
        <v>71</v>
      </c>
      <c r="AX1404" s="78">
        <v>0</v>
      </c>
      <c r="AY1404" s="78">
        <v>0</v>
      </c>
      <c r="BT1404" t="s">
        <v>71</v>
      </c>
      <c r="BU1404">
        <v>0</v>
      </c>
      <c r="BV1404">
        <v>0</v>
      </c>
    </row>
    <row r="1405" spans="1:74" x14ac:dyDescent="0.25">
      <c r="A1405" s="75">
        <v>5969627</v>
      </c>
      <c r="B1405" t="s">
        <v>5941</v>
      </c>
      <c r="C1405" t="s">
        <v>5942</v>
      </c>
      <c r="D1405" t="s">
        <v>527</v>
      </c>
      <c r="E1405" t="s">
        <v>105</v>
      </c>
      <c r="F1405" s="75">
        <v>603</v>
      </c>
      <c r="G1405" s="75">
        <v>342849</v>
      </c>
      <c r="H1405">
        <v>225</v>
      </c>
      <c r="I1405" t="s">
        <v>163</v>
      </c>
      <c r="J1405" s="75">
        <v>48887</v>
      </c>
      <c r="K1405" t="s">
        <v>164</v>
      </c>
      <c r="L1405" t="s">
        <v>165</v>
      </c>
      <c r="M1405" s="81">
        <v>46162.624050925922</v>
      </c>
      <c r="N1405" s="81">
        <v>46163.335138888891</v>
      </c>
      <c r="P1405" t="s">
        <v>59</v>
      </c>
      <c r="Q1405" t="s">
        <v>130</v>
      </c>
      <c r="R1405" t="s">
        <v>99</v>
      </c>
      <c r="S1405" t="s">
        <v>1244</v>
      </c>
      <c r="U1405" s="75">
        <v>260623</v>
      </c>
      <c r="V1405" t="s">
        <v>5943</v>
      </c>
      <c r="W1405" t="s">
        <v>5944</v>
      </c>
      <c r="X1405" t="s">
        <v>62</v>
      </c>
      <c r="Y1405" t="s">
        <v>2297</v>
      </c>
      <c r="AA1405" t="s">
        <v>81</v>
      </c>
      <c r="AB1405">
        <v>17.000001000000001</v>
      </c>
      <c r="AC1405">
        <v>14.783334</v>
      </c>
      <c r="AD1405">
        <v>2.2166670000000002</v>
      </c>
      <c r="AE1405">
        <v>8.3333000000000004E-2</v>
      </c>
      <c r="AF1405">
        <v>0</v>
      </c>
      <c r="AG1405">
        <v>2.1333340000000001</v>
      </c>
      <c r="AH1405">
        <v>2.1333340000000001</v>
      </c>
      <c r="AI1405">
        <v>2.1</v>
      </c>
      <c r="AJ1405">
        <v>3.3334000000000003E-2</v>
      </c>
      <c r="AK1405">
        <v>0</v>
      </c>
      <c r="AL1405" s="76">
        <v>45867</v>
      </c>
      <c r="AM1405" s="75">
        <v>295</v>
      </c>
      <c r="AN1405" t="s">
        <v>65</v>
      </c>
      <c r="AO1405" t="s">
        <v>3741</v>
      </c>
      <c r="AP1405" t="s">
        <v>67</v>
      </c>
      <c r="AQ1405" t="s">
        <v>68</v>
      </c>
      <c r="AR1405" t="s">
        <v>69</v>
      </c>
      <c r="AT1405" s="82" t="s">
        <v>5821</v>
      </c>
      <c r="AU1405" s="78">
        <v>2026</v>
      </c>
      <c r="AV1405" s="78">
        <v>5</v>
      </c>
      <c r="AW1405" s="78" t="s">
        <v>137</v>
      </c>
      <c r="AX1405" s="78">
        <v>1</v>
      </c>
      <c r="AY1405" s="78">
        <v>0</v>
      </c>
      <c r="BT1405" t="s">
        <v>137</v>
      </c>
      <c r="BU1405">
        <v>1</v>
      </c>
      <c r="BV1405">
        <v>0</v>
      </c>
    </row>
    <row r="1406" spans="1:74" x14ac:dyDescent="0.25">
      <c r="A1406" s="75">
        <v>5970131</v>
      </c>
      <c r="B1406" t="s">
        <v>5945</v>
      </c>
      <c r="C1406" t="s">
        <v>5823</v>
      </c>
      <c r="D1406" t="s">
        <v>527</v>
      </c>
      <c r="E1406" t="s">
        <v>87</v>
      </c>
      <c r="F1406" s="75">
        <v>93</v>
      </c>
      <c r="G1406" s="75">
        <v>280013</v>
      </c>
      <c r="H1406">
        <v>616.59</v>
      </c>
      <c r="I1406" t="s">
        <v>266</v>
      </c>
      <c r="J1406" s="75">
        <v>49495</v>
      </c>
      <c r="K1406" t="s">
        <v>460</v>
      </c>
      <c r="L1406" t="s">
        <v>461</v>
      </c>
      <c r="M1406" s="81">
        <v>46162.840543981481</v>
      </c>
      <c r="N1406" s="81">
        <v>46163.357951388891</v>
      </c>
      <c r="P1406" t="s">
        <v>59</v>
      </c>
      <c r="Q1406" t="s">
        <v>90</v>
      </c>
      <c r="R1406" t="s">
        <v>99</v>
      </c>
      <c r="S1406" t="s">
        <v>1244</v>
      </c>
      <c r="U1406" s="75">
        <v>260551</v>
      </c>
      <c r="V1406" t="s">
        <v>5946</v>
      </c>
      <c r="X1406" t="s">
        <v>62</v>
      </c>
      <c r="Y1406" t="s">
        <v>63</v>
      </c>
      <c r="AA1406" t="s">
        <v>81</v>
      </c>
      <c r="AB1406">
        <v>12.366667</v>
      </c>
      <c r="AC1406">
        <v>8.7833330000000007</v>
      </c>
      <c r="AD1406">
        <v>3.5833339999999998</v>
      </c>
      <c r="AE1406">
        <v>2.75</v>
      </c>
      <c r="AF1406">
        <v>0</v>
      </c>
      <c r="AG1406">
        <v>0.83333400000000002</v>
      </c>
      <c r="AH1406">
        <v>0.83333400000000002</v>
      </c>
      <c r="AI1406">
        <v>0</v>
      </c>
      <c r="AJ1406">
        <v>0.83333400000000002</v>
      </c>
      <c r="AK1406">
        <v>0</v>
      </c>
      <c r="AL1406" s="76">
        <v>44774</v>
      </c>
      <c r="AM1406" s="75">
        <v>1388</v>
      </c>
      <c r="AN1406" t="s">
        <v>65</v>
      </c>
      <c r="AO1406" t="s">
        <v>529</v>
      </c>
      <c r="AP1406" t="s">
        <v>67</v>
      </c>
      <c r="AQ1406" t="s">
        <v>68</v>
      </c>
      <c r="AR1406" t="s">
        <v>69</v>
      </c>
      <c r="AT1406" s="82" t="s">
        <v>5821</v>
      </c>
      <c r="AU1406" s="78">
        <v>2026</v>
      </c>
      <c r="AV1406" s="78">
        <v>5</v>
      </c>
      <c r="AW1406" s="78" t="s">
        <v>71</v>
      </c>
      <c r="AX1406" s="78">
        <v>1</v>
      </c>
      <c r="AY1406" s="78">
        <v>0</v>
      </c>
      <c r="BT1406" t="s">
        <v>71</v>
      </c>
      <c r="BU1406">
        <v>1</v>
      </c>
      <c r="BV1406">
        <v>0</v>
      </c>
    </row>
    <row r="1407" spans="1:74" x14ac:dyDescent="0.25">
      <c r="A1407" s="75">
        <v>5969609</v>
      </c>
      <c r="B1407" t="s">
        <v>5947</v>
      </c>
      <c r="C1407" t="s">
        <v>459</v>
      </c>
      <c r="D1407" t="s">
        <v>527</v>
      </c>
      <c r="E1407" t="s">
        <v>87</v>
      </c>
      <c r="F1407" s="75">
        <v>299</v>
      </c>
      <c r="G1407" s="75">
        <v>285731</v>
      </c>
      <c r="H1407">
        <v>512.08000000000004</v>
      </c>
      <c r="I1407" t="s">
        <v>266</v>
      </c>
      <c r="J1407" s="75">
        <v>49495</v>
      </c>
      <c r="K1407" t="s">
        <v>460</v>
      </c>
      <c r="L1407" t="s">
        <v>461</v>
      </c>
      <c r="M1407" s="81">
        <v>46162.618356481478</v>
      </c>
      <c r="N1407" s="81">
        <v>46163.374293981477</v>
      </c>
      <c r="O1407" t="s">
        <v>58</v>
      </c>
      <c r="P1407" t="s">
        <v>59</v>
      </c>
      <c r="Q1407" t="s">
        <v>90</v>
      </c>
      <c r="R1407" t="s">
        <v>99</v>
      </c>
      <c r="S1407" t="s">
        <v>1244</v>
      </c>
      <c r="U1407" s="75">
        <v>260507</v>
      </c>
      <c r="V1407" t="s">
        <v>5948</v>
      </c>
      <c r="X1407" t="s">
        <v>62</v>
      </c>
      <c r="Y1407" t="s">
        <v>63</v>
      </c>
      <c r="AA1407" t="s">
        <v>81</v>
      </c>
      <c r="AB1407">
        <v>18.100000000000001</v>
      </c>
      <c r="AC1407">
        <v>13.85</v>
      </c>
      <c r="AD1407">
        <v>4.25</v>
      </c>
      <c r="AE1407">
        <v>3.25</v>
      </c>
      <c r="AF1407">
        <v>0</v>
      </c>
      <c r="AG1407">
        <v>1</v>
      </c>
      <c r="AH1407">
        <v>1</v>
      </c>
      <c r="AI1407">
        <v>0.55000000000000004</v>
      </c>
      <c r="AJ1407">
        <v>0.45</v>
      </c>
      <c r="AK1407">
        <v>0</v>
      </c>
      <c r="AL1407" s="76">
        <v>44862</v>
      </c>
      <c r="AM1407" s="75">
        <v>1300</v>
      </c>
      <c r="AN1407" t="s">
        <v>65</v>
      </c>
      <c r="AO1407" t="s">
        <v>462</v>
      </c>
      <c r="AP1407" t="s">
        <v>67</v>
      </c>
      <c r="AQ1407" t="s">
        <v>68</v>
      </c>
      <c r="AR1407" t="s">
        <v>69</v>
      </c>
      <c r="AT1407" s="82" t="s">
        <v>5821</v>
      </c>
      <c r="AU1407" s="78">
        <v>2026</v>
      </c>
      <c r="AV1407" s="78">
        <v>5</v>
      </c>
      <c r="AW1407" s="78" t="s">
        <v>71</v>
      </c>
      <c r="AX1407" s="78">
        <v>1</v>
      </c>
      <c r="AY1407" s="78">
        <v>0</v>
      </c>
      <c r="BT1407" t="s">
        <v>71</v>
      </c>
      <c r="BU1407">
        <v>1</v>
      </c>
      <c r="BV1407">
        <v>0</v>
      </c>
    </row>
    <row r="1408" spans="1:74" x14ac:dyDescent="0.25">
      <c r="A1408" s="75">
        <v>5969765</v>
      </c>
      <c r="B1408" t="s">
        <v>5949</v>
      </c>
      <c r="C1408" t="s">
        <v>4163</v>
      </c>
      <c r="D1408" t="s">
        <v>527</v>
      </c>
      <c r="E1408" t="s">
        <v>87</v>
      </c>
      <c r="F1408" s="75">
        <v>34</v>
      </c>
      <c r="G1408" s="75">
        <v>275255</v>
      </c>
      <c r="H1408">
        <v>525.95000000000005</v>
      </c>
      <c r="I1408" t="s">
        <v>55</v>
      </c>
      <c r="J1408" s="75">
        <v>218791</v>
      </c>
      <c r="K1408" t="s">
        <v>312</v>
      </c>
      <c r="L1408" t="s">
        <v>313</v>
      </c>
      <c r="M1408" s="81">
        <v>46162.65347222222</v>
      </c>
      <c r="N1408" s="81">
        <v>46163.376875000002</v>
      </c>
      <c r="O1408" t="s">
        <v>277</v>
      </c>
      <c r="P1408" t="s">
        <v>59</v>
      </c>
      <c r="Q1408" t="s">
        <v>98</v>
      </c>
      <c r="R1408" t="s">
        <v>99</v>
      </c>
      <c r="S1408" t="s">
        <v>1244</v>
      </c>
      <c r="U1408" s="75">
        <v>260635</v>
      </c>
      <c r="V1408" t="s">
        <v>5950</v>
      </c>
      <c r="X1408" t="s">
        <v>62</v>
      </c>
      <c r="Y1408" t="s">
        <v>63</v>
      </c>
      <c r="AA1408" t="s">
        <v>81</v>
      </c>
      <c r="AB1408">
        <v>17.266667000000002</v>
      </c>
      <c r="AC1408">
        <v>15.95</v>
      </c>
      <c r="AD1408">
        <v>1.316667</v>
      </c>
      <c r="AE1408">
        <v>0.183334</v>
      </c>
      <c r="AF1408">
        <v>0</v>
      </c>
      <c r="AG1408">
        <v>1.1333329999999999</v>
      </c>
      <c r="AH1408">
        <v>1.1333329999999999</v>
      </c>
      <c r="AI1408">
        <v>1</v>
      </c>
      <c r="AJ1408">
        <v>0.13333300000000001</v>
      </c>
      <c r="AK1408">
        <v>0</v>
      </c>
      <c r="AL1408" s="76">
        <v>44862.561180555553</v>
      </c>
      <c r="AM1408" s="75">
        <v>1300</v>
      </c>
      <c r="AN1408" t="s">
        <v>65</v>
      </c>
      <c r="AO1408" t="s">
        <v>436</v>
      </c>
      <c r="AP1408" t="s">
        <v>67</v>
      </c>
      <c r="AQ1408" t="s">
        <v>68</v>
      </c>
      <c r="AR1408" t="s">
        <v>69</v>
      </c>
      <c r="AT1408" s="82" t="s">
        <v>5821</v>
      </c>
      <c r="AU1408" s="78">
        <v>2026</v>
      </c>
      <c r="AV1408" s="78">
        <v>5</v>
      </c>
      <c r="AW1408" s="78" t="s">
        <v>71</v>
      </c>
      <c r="AX1408" s="78">
        <v>1</v>
      </c>
      <c r="AY1408" s="78">
        <v>0</v>
      </c>
      <c r="BT1408" t="s">
        <v>71</v>
      </c>
      <c r="BU1408">
        <v>1</v>
      </c>
      <c r="BV1408">
        <v>0</v>
      </c>
    </row>
    <row r="1409" spans="1:74" x14ac:dyDescent="0.25">
      <c r="A1409" s="75">
        <v>5967419</v>
      </c>
      <c r="B1409" t="s">
        <v>5951</v>
      </c>
      <c r="C1409" t="s">
        <v>256</v>
      </c>
      <c r="D1409" t="s">
        <v>527</v>
      </c>
      <c r="E1409" t="s">
        <v>54</v>
      </c>
      <c r="F1409" s="75">
        <v>5</v>
      </c>
      <c r="G1409" s="75">
        <v>295415</v>
      </c>
      <c r="H1409">
        <v>200</v>
      </c>
      <c r="I1409" t="s">
        <v>55</v>
      </c>
      <c r="J1409" s="75">
        <v>218297</v>
      </c>
      <c r="K1409" t="s">
        <v>258</v>
      </c>
      <c r="L1409" t="s">
        <v>259</v>
      </c>
      <c r="M1409" s="81">
        <v>46161.464317129627</v>
      </c>
      <c r="N1409" s="81">
        <v>46163.381053240737</v>
      </c>
      <c r="O1409" t="s">
        <v>58</v>
      </c>
      <c r="P1409" t="s">
        <v>59</v>
      </c>
      <c r="Q1409" t="s">
        <v>77</v>
      </c>
      <c r="R1409" t="s">
        <v>60</v>
      </c>
      <c r="S1409" t="s">
        <v>583</v>
      </c>
      <c r="U1409" s="75">
        <v>259157</v>
      </c>
      <c r="V1409" t="s">
        <v>5952</v>
      </c>
      <c r="W1409" t="s">
        <v>5952</v>
      </c>
      <c r="X1409" t="s">
        <v>62</v>
      </c>
      <c r="Y1409" t="s">
        <v>63</v>
      </c>
      <c r="AA1409" t="s">
        <v>64</v>
      </c>
      <c r="AB1409">
        <v>45.95</v>
      </c>
      <c r="AC1409">
        <v>38.6</v>
      </c>
      <c r="AD1409">
        <v>7.35</v>
      </c>
      <c r="AE1409">
        <v>0.16666700000000001</v>
      </c>
      <c r="AF1409">
        <v>0</v>
      </c>
      <c r="AG1409">
        <v>7.1833330000000002</v>
      </c>
      <c r="AH1409">
        <v>7.1833330000000002</v>
      </c>
      <c r="AI1409">
        <v>7.1333330000000004</v>
      </c>
      <c r="AJ1409">
        <v>0.05</v>
      </c>
      <c r="AK1409">
        <v>0</v>
      </c>
      <c r="AL1409" s="76">
        <v>45243.44908564815</v>
      </c>
      <c r="AM1409" s="75">
        <v>918</v>
      </c>
      <c r="AN1409" t="s">
        <v>65</v>
      </c>
      <c r="AO1409" t="s">
        <v>3607</v>
      </c>
      <c r="AP1409" t="s">
        <v>67</v>
      </c>
      <c r="AQ1409" t="s">
        <v>68</v>
      </c>
      <c r="AR1409" t="s">
        <v>69</v>
      </c>
      <c r="AT1409" s="82" t="s">
        <v>5821</v>
      </c>
      <c r="AU1409" s="78">
        <v>2026</v>
      </c>
      <c r="AV1409" s="78">
        <v>5</v>
      </c>
      <c r="AW1409" s="78" t="s">
        <v>71</v>
      </c>
      <c r="AX1409" s="78">
        <v>1</v>
      </c>
      <c r="AY1409" s="78">
        <v>0</v>
      </c>
      <c r="BT1409" t="s">
        <v>71</v>
      </c>
      <c r="BU1409">
        <v>1</v>
      </c>
      <c r="BV1409">
        <v>0</v>
      </c>
    </row>
    <row r="1410" spans="1:74" x14ac:dyDescent="0.25">
      <c r="A1410" s="75">
        <v>5967849</v>
      </c>
      <c r="B1410" t="s">
        <v>5953</v>
      </c>
      <c r="C1410" t="s">
        <v>5954</v>
      </c>
      <c r="D1410" t="s">
        <v>527</v>
      </c>
      <c r="E1410" t="s">
        <v>54</v>
      </c>
      <c r="F1410" s="75">
        <v>4</v>
      </c>
      <c r="G1410" s="75">
        <v>350941</v>
      </c>
      <c r="H1410">
        <v>1600</v>
      </c>
      <c r="I1410" t="s">
        <v>141</v>
      </c>
      <c r="J1410" s="75">
        <v>227387</v>
      </c>
      <c r="K1410" t="s">
        <v>5955</v>
      </c>
      <c r="L1410" t="s">
        <v>5956</v>
      </c>
      <c r="M1410" s="81">
        <v>46161.606724537043</v>
      </c>
      <c r="N1410" s="81">
        <v>46163.436342592591</v>
      </c>
      <c r="O1410" t="s">
        <v>58</v>
      </c>
      <c r="P1410" t="s">
        <v>59</v>
      </c>
      <c r="Q1410" t="s">
        <v>77</v>
      </c>
      <c r="R1410" t="s">
        <v>60</v>
      </c>
      <c r="S1410" t="s">
        <v>3805</v>
      </c>
      <c r="U1410" s="75">
        <v>259881</v>
      </c>
      <c r="V1410" t="s">
        <v>5957</v>
      </c>
      <c r="W1410" t="s">
        <v>5957</v>
      </c>
      <c r="X1410" t="s">
        <v>62</v>
      </c>
      <c r="Y1410" t="s">
        <v>63</v>
      </c>
      <c r="AA1410" t="s">
        <v>101</v>
      </c>
      <c r="AB1410">
        <v>43.833334000000001</v>
      </c>
      <c r="AC1410">
        <v>31.800001000000002</v>
      </c>
      <c r="AD1410">
        <v>12.033333000000001</v>
      </c>
      <c r="AE1410">
        <v>1</v>
      </c>
      <c r="AF1410">
        <v>0</v>
      </c>
      <c r="AG1410">
        <v>11.033333000000001</v>
      </c>
      <c r="AH1410">
        <v>11.033333000000001</v>
      </c>
      <c r="AI1410">
        <v>10.883333</v>
      </c>
      <c r="AJ1410">
        <v>0.15</v>
      </c>
      <c r="AK1410">
        <v>0</v>
      </c>
      <c r="AL1410" s="76">
        <v>46105.589930555558</v>
      </c>
      <c r="AM1410" s="75">
        <v>56</v>
      </c>
      <c r="AN1410" t="s">
        <v>65</v>
      </c>
      <c r="AO1410" t="s">
        <v>5958</v>
      </c>
      <c r="AP1410" t="s">
        <v>67</v>
      </c>
      <c r="AQ1410" t="s">
        <v>68</v>
      </c>
      <c r="AR1410" t="s">
        <v>69</v>
      </c>
      <c r="AT1410" s="82" t="s">
        <v>5821</v>
      </c>
      <c r="AU1410" s="78">
        <v>2026</v>
      </c>
      <c r="AV1410" s="78">
        <v>5</v>
      </c>
      <c r="AW1410" s="78" t="s">
        <v>71</v>
      </c>
      <c r="AX1410" s="78">
        <v>0</v>
      </c>
      <c r="AY1410" s="78">
        <v>0</v>
      </c>
      <c r="BT1410" t="s">
        <v>71</v>
      </c>
      <c r="BU1410">
        <v>0</v>
      </c>
      <c r="BV1410">
        <v>0</v>
      </c>
    </row>
    <row r="1411" spans="1:74" x14ac:dyDescent="0.25">
      <c r="A1411" s="75">
        <v>5970147</v>
      </c>
      <c r="B1411" t="s">
        <v>5959</v>
      </c>
      <c r="C1411" t="s">
        <v>5960</v>
      </c>
      <c r="D1411" t="s">
        <v>527</v>
      </c>
      <c r="E1411" t="s">
        <v>126</v>
      </c>
      <c r="F1411" s="75">
        <v>1</v>
      </c>
      <c r="G1411" s="75">
        <v>349947</v>
      </c>
      <c r="H1411">
        <v>8000</v>
      </c>
      <c r="I1411" t="s">
        <v>2049</v>
      </c>
      <c r="J1411" s="75">
        <v>229527</v>
      </c>
      <c r="K1411" t="s">
        <v>5961</v>
      </c>
      <c r="L1411" t="s">
        <v>5962</v>
      </c>
      <c r="M1411" s="81">
        <v>46162.853263888886</v>
      </c>
      <c r="N1411" s="81">
        <v>46163.446967592587</v>
      </c>
      <c r="O1411" t="s">
        <v>58</v>
      </c>
      <c r="P1411" t="s">
        <v>59</v>
      </c>
      <c r="Q1411" t="s">
        <v>130</v>
      </c>
      <c r="R1411" t="s">
        <v>99</v>
      </c>
      <c r="S1411" t="s">
        <v>1244</v>
      </c>
      <c r="U1411" s="75">
        <v>260553</v>
      </c>
      <c r="V1411" t="s">
        <v>5963</v>
      </c>
      <c r="W1411" t="s">
        <v>5964</v>
      </c>
      <c r="X1411" t="s">
        <v>118</v>
      </c>
      <c r="Y1411" t="s">
        <v>2376</v>
      </c>
      <c r="AA1411" t="s">
        <v>81</v>
      </c>
      <c r="AB1411">
        <v>14.216668</v>
      </c>
      <c r="AC1411">
        <v>11.216666999999999</v>
      </c>
      <c r="AD1411">
        <v>3.0000010000000001</v>
      </c>
      <c r="AE1411">
        <v>2.6666669999999999</v>
      </c>
      <c r="AF1411">
        <v>0</v>
      </c>
      <c r="AG1411">
        <v>0.33333400000000002</v>
      </c>
      <c r="AH1411">
        <v>0.33333400000000002</v>
      </c>
      <c r="AI1411">
        <v>0.216667</v>
      </c>
      <c r="AJ1411">
        <v>0.11666700000000001</v>
      </c>
      <c r="AK1411">
        <v>0</v>
      </c>
      <c r="AL1411" s="76">
        <v>46003.652592592603</v>
      </c>
      <c r="AM1411" s="75">
        <v>159</v>
      </c>
      <c r="AN1411" t="s">
        <v>65</v>
      </c>
      <c r="AO1411" t="s">
        <v>5965</v>
      </c>
      <c r="AP1411" t="s">
        <v>67</v>
      </c>
      <c r="AQ1411" t="s">
        <v>121</v>
      </c>
      <c r="AR1411" t="s">
        <v>69</v>
      </c>
      <c r="AT1411" s="82" t="s">
        <v>5821</v>
      </c>
      <c r="AU1411" s="78">
        <v>2026</v>
      </c>
      <c r="AV1411" s="78">
        <v>5</v>
      </c>
      <c r="AW1411" s="78" t="s">
        <v>347</v>
      </c>
      <c r="AX1411" s="78">
        <v>1</v>
      </c>
      <c r="AY1411" s="78">
        <v>0</v>
      </c>
      <c r="BT1411" t="s">
        <v>347</v>
      </c>
      <c r="BU1411">
        <v>1</v>
      </c>
      <c r="BV1411">
        <v>0</v>
      </c>
    </row>
    <row r="1412" spans="1:74" x14ac:dyDescent="0.25">
      <c r="A1412" s="75">
        <v>5970507</v>
      </c>
      <c r="B1412" t="s">
        <v>5966</v>
      </c>
      <c r="C1412" t="s">
        <v>5967</v>
      </c>
      <c r="D1412" t="s">
        <v>527</v>
      </c>
      <c r="E1412" t="s">
        <v>54</v>
      </c>
      <c r="F1412" s="75">
        <v>247</v>
      </c>
      <c r="G1412" s="75">
        <v>47575</v>
      </c>
      <c r="H1412">
        <v>1650</v>
      </c>
      <c r="I1412" t="s">
        <v>114</v>
      </c>
      <c r="J1412" s="75">
        <v>70991</v>
      </c>
      <c r="K1412" t="s">
        <v>2397</v>
      </c>
      <c r="L1412" t="s">
        <v>2398</v>
      </c>
      <c r="M1412" s="81">
        <v>46163.257372685177</v>
      </c>
      <c r="N1412" s="81">
        <v>46163.506458333337</v>
      </c>
      <c r="O1412" t="s">
        <v>58</v>
      </c>
      <c r="P1412" t="s">
        <v>59</v>
      </c>
      <c r="Q1412" t="s">
        <v>90</v>
      </c>
      <c r="R1412" t="s">
        <v>60</v>
      </c>
      <c r="S1412" t="s">
        <v>1268</v>
      </c>
      <c r="U1412" s="75">
        <v>260587</v>
      </c>
      <c r="V1412" t="s">
        <v>5968</v>
      </c>
      <c r="W1412" t="s">
        <v>5968</v>
      </c>
      <c r="X1412" t="s">
        <v>79</v>
      </c>
      <c r="Y1412" t="s">
        <v>224</v>
      </c>
      <c r="AA1412" t="s">
        <v>81</v>
      </c>
      <c r="AB1412">
        <v>5.9</v>
      </c>
      <c r="AC1412">
        <v>3.8333339999999998</v>
      </c>
      <c r="AD1412">
        <v>2.0666660000000001</v>
      </c>
      <c r="AE1412">
        <v>0.36666700000000002</v>
      </c>
      <c r="AF1412">
        <v>0</v>
      </c>
      <c r="AG1412">
        <v>1.699999</v>
      </c>
      <c r="AH1412">
        <v>1.699999</v>
      </c>
      <c r="AI1412">
        <v>1.3333330000000001</v>
      </c>
      <c r="AJ1412">
        <v>0.36666599999999999</v>
      </c>
      <c r="AK1412">
        <v>0</v>
      </c>
      <c r="AL1412" s="76">
        <v>42977</v>
      </c>
      <c r="AM1412" s="75">
        <v>3186</v>
      </c>
      <c r="AN1412" t="s">
        <v>65</v>
      </c>
      <c r="AO1412" t="s">
        <v>2401</v>
      </c>
      <c r="AP1412" t="s">
        <v>67</v>
      </c>
      <c r="AQ1412" t="s">
        <v>83</v>
      </c>
      <c r="AR1412" t="s">
        <v>69</v>
      </c>
      <c r="AT1412" s="82" t="s">
        <v>5821</v>
      </c>
      <c r="AU1412" s="78">
        <v>2026</v>
      </c>
      <c r="AV1412" s="78">
        <v>5</v>
      </c>
      <c r="AW1412" s="78" t="s">
        <v>226</v>
      </c>
      <c r="AX1412" s="78">
        <v>1</v>
      </c>
      <c r="AY1412" s="78">
        <v>0</v>
      </c>
      <c r="BT1412" t="s">
        <v>226</v>
      </c>
      <c r="BU1412">
        <v>1</v>
      </c>
      <c r="BV1412">
        <v>0</v>
      </c>
    </row>
    <row r="1413" spans="1:74" x14ac:dyDescent="0.25">
      <c r="A1413" s="75">
        <v>5970189</v>
      </c>
      <c r="B1413" t="s">
        <v>5969</v>
      </c>
      <c r="C1413" t="s">
        <v>5873</v>
      </c>
      <c r="D1413" t="s">
        <v>527</v>
      </c>
      <c r="E1413" t="s">
        <v>87</v>
      </c>
      <c r="F1413" s="75">
        <v>52</v>
      </c>
      <c r="G1413" s="75">
        <v>275343</v>
      </c>
      <c r="H1413">
        <v>368.16</v>
      </c>
      <c r="I1413" t="s">
        <v>55</v>
      </c>
      <c r="J1413" s="75">
        <v>218791</v>
      </c>
      <c r="K1413" t="s">
        <v>312</v>
      </c>
      <c r="L1413" t="s">
        <v>313</v>
      </c>
      <c r="M1413" s="81">
        <v>46162.882349537038</v>
      </c>
      <c r="N1413" s="81">
        <v>46163.526446759257</v>
      </c>
      <c r="O1413" t="s">
        <v>58</v>
      </c>
      <c r="P1413" t="s">
        <v>59</v>
      </c>
      <c r="Q1413" t="s">
        <v>90</v>
      </c>
      <c r="R1413" t="s">
        <v>99</v>
      </c>
      <c r="S1413" t="s">
        <v>1244</v>
      </c>
      <c r="U1413" s="75">
        <v>260547</v>
      </c>
      <c r="V1413" t="s">
        <v>5970</v>
      </c>
      <c r="W1413" t="s">
        <v>5970</v>
      </c>
      <c r="X1413" t="s">
        <v>62</v>
      </c>
      <c r="Y1413" t="s">
        <v>2629</v>
      </c>
      <c r="AA1413" t="s">
        <v>81</v>
      </c>
      <c r="AB1413">
        <v>15.383333</v>
      </c>
      <c r="AC1413">
        <v>13.283333000000001</v>
      </c>
      <c r="AD1413">
        <v>2.1</v>
      </c>
      <c r="AE1413">
        <v>0.41666599999999998</v>
      </c>
      <c r="AF1413">
        <v>0</v>
      </c>
      <c r="AG1413">
        <v>1.6833340000000001</v>
      </c>
      <c r="AH1413">
        <v>1.6833340000000001</v>
      </c>
      <c r="AI1413">
        <v>1.2</v>
      </c>
      <c r="AJ1413">
        <v>0.48333399999999999</v>
      </c>
      <c r="AK1413">
        <v>0</v>
      </c>
      <c r="AL1413" s="76">
        <v>44844.383946759262</v>
      </c>
      <c r="AM1413" s="75">
        <v>1318</v>
      </c>
      <c r="AN1413" t="s">
        <v>65</v>
      </c>
      <c r="AO1413" t="s">
        <v>5876</v>
      </c>
      <c r="AP1413" t="s">
        <v>67</v>
      </c>
      <c r="AQ1413" t="s">
        <v>68</v>
      </c>
      <c r="AR1413" t="s">
        <v>69</v>
      </c>
      <c r="AT1413" s="82" t="s">
        <v>5821</v>
      </c>
      <c r="AU1413" s="78">
        <v>2026</v>
      </c>
      <c r="AV1413" s="78">
        <v>5</v>
      </c>
      <c r="AW1413" s="78" t="s">
        <v>71</v>
      </c>
      <c r="AX1413" s="78">
        <v>1</v>
      </c>
      <c r="AY1413" s="78">
        <v>0</v>
      </c>
      <c r="BT1413" t="s">
        <v>71</v>
      </c>
      <c r="BU1413">
        <v>1</v>
      </c>
      <c r="BV1413">
        <v>0</v>
      </c>
    </row>
    <row r="1414" spans="1:74" x14ac:dyDescent="0.25">
      <c r="A1414" s="75">
        <v>5970187</v>
      </c>
      <c r="B1414" t="s">
        <v>5971</v>
      </c>
      <c r="C1414" t="s">
        <v>3602</v>
      </c>
      <c r="D1414" t="s">
        <v>527</v>
      </c>
      <c r="E1414" t="s">
        <v>87</v>
      </c>
      <c r="F1414" s="75">
        <v>385</v>
      </c>
      <c r="G1414" s="75">
        <v>286823</v>
      </c>
      <c r="H1414">
        <v>364.96</v>
      </c>
      <c r="I1414" t="s">
        <v>55</v>
      </c>
      <c r="J1414" s="75">
        <v>218787</v>
      </c>
      <c r="K1414" t="s">
        <v>96</v>
      </c>
      <c r="L1414" t="s">
        <v>97</v>
      </c>
      <c r="M1414" s="81">
        <v>46162.882291666669</v>
      </c>
      <c r="N1414" s="81">
        <v>46163.526574074072</v>
      </c>
      <c r="O1414" t="s">
        <v>58</v>
      </c>
      <c r="P1414" t="s">
        <v>59</v>
      </c>
      <c r="Q1414" t="s">
        <v>98</v>
      </c>
      <c r="R1414" t="s">
        <v>99</v>
      </c>
      <c r="S1414" t="s">
        <v>1244</v>
      </c>
      <c r="U1414" s="75"/>
      <c r="X1414" t="s">
        <v>62</v>
      </c>
      <c r="Y1414" t="s">
        <v>63</v>
      </c>
      <c r="AA1414" t="s">
        <v>81</v>
      </c>
      <c r="AB1414">
        <v>15.433334</v>
      </c>
      <c r="AC1414">
        <v>14.983333999999999</v>
      </c>
      <c r="AD1414">
        <v>0.45</v>
      </c>
      <c r="AE1414">
        <v>0.31666699999999998</v>
      </c>
      <c r="AF1414">
        <v>0</v>
      </c>
      <c r="AG1414">
        <v>0.13333300000000001</v>
      </c>
      <c r="AH1414">
        <v>0.13333300000000001</v>
      </c>
      <c r="AI1414">
        <v>0</v>
      </c>
      <c r="AJ1414">
        <v>0.13333300000000001</v>
      </c>
      <c r="AK1414">
        <v>0</v>
      </c>
      <c r="AL1414" s="76">
        <v>44981</v>
      </c>
      <c r="AM1414" s="75">
        <v>1181</v>
      </c>
      <c r="AN1414" t="s">
        <v>65</v>
      </c>
      <c r="AO1414" t="s">
        <v>3604</v>
      </c>
      <c r="AP1414" t="s">
        <v>67</v>
      </c>
      <c r="AQ1414" t="s">
        <v>68</v>
      </c>
      <c r="AR1414" t="s">
        <v>69</v>
      </c>
      <c r="AT1414" s="82" t="s">
        <v>5821</v>
      </c>
      <c r="AU1414" s="78">
        <v>2026</v>
      </c>
      <c r="AV1414" s="78">
        <v>5</v>
      </c>
      <c r="AW1414" s="78" t="s">
        <v>71</v>
      </c>
      <c r="AX1414" s="78">
        <v>1</v>
      </c>
      <c r="AY1414" s="78">
        <v>0</v>
      </c>
      <c r="BT1414" t="s">
        <v>71</v>
      </c>
      <c r="BU1414">
        <v>1</v>
      </c>
      <c r="BV1414">
        <v>0</v>
      </c>
    </row>
    <row r="1415" spans="1:74" x14ac:dyDescent="0.25">
      <c r="A1415" s="75">
        <v>5970113</v>
      </c>
      <c r="B1415" t="s">
        <v>5972</v>
      </c>
      <c r="C1415" t="s">
        <v>693</v>
      </c>
      <c r="D1415" t="s">
        <v>527</v>
      </c>
      <c r="E1415" t="s">
        <v>87</v>
      </c>
      <c r="F1415" s="75">
        <v>402</v>
      </c>
      <c r="G1415" s="75">
        <v>288381</v>
      </c>
      <c r="H1415">
        <v>368.16</v>
      </c>
      <c r="I1415" t="s">
        <v>55</v>
      </c>
      <c r="J1415" s="75">
        <v>218791</v>
      </c>
      <c r="K1415" t="s">
        <v>312</v>
      </c>
      <c r="L1415" t="s">
        <v>313</v>
      </c>
      <c r="M1415" s="81">
        <v>46162.826851851853</v>
      </c>
      <c r="N1415" s="81">
        <v>46163.526782407411</v>
      </c>
      <c r="O1415" t="s">
        <v>58</v>
      </c>
      <c r="P1415" t="s">
        <v>59</v>
      </c>
      <c r="Q1415" t="s">
        <v>90</v>
      </c>
      <c r="R1415" t="s">
        <v>99</v>
      </c>
      <c r="S1415" t="s">
        <v>1244</v>
      </c>
      <c r="U1415" s="75"/>
      <c r="X1415" t="s">
        <v>62</v>
      </c>
      <c r="Y1415" t="s">
        <v>63</v>
      </c>
      <c r="AA1415" t="s">
        <v>81</v>
      </c>
      <c r="AB1415">
        <v>16.750001000000001</v>
      </c>
      <c r="AC1415">
        <v>15.883334</v>
      </c>
      <c r="AD1415">
        <v>0.86666699999999997</v>
      </c>
      <c r="AE1415">
        <v>0.16666700000000001</v>
      </c>
      <c r="AF1415">
        <v>0</v>
      </c>
      <c r="AG1415">
        <v>0.7</v>
      </c>
      <c r="AH1415">
        <v>0.7</v>
      </c>
      <c r="AI1415">
        <v>0</v>
      </c>
      <c r="AJ1415">
        <v>0.7</v>
      </c>
      <c r="AK1415">
        <v>0</v>
      </c>
      <c r="AL1415" s="76">
        <v>44946.44804398148</v>
      </c>
      <c r="AM1415" s="75">
        <v>1216</v>
      </c>
      <c r="AN1415" t="s">
        <v>65</v>
      </c>
      <c r="AO1415" t="s">
        <v>695</v>
      </c>
      <c r="AP1415" t="s">
        <v>67</v>
      </c>
      <c r="AQ1415" t="s">
        <v>68</v>
      </c>
      <c r="AR1415" t="s">
        <v>69</v>
      </c>
      <c r="AT1415" s="82" t="s">
        <v>5821</v>
      </c>
      <c r="AU1415" s="78">
        <v>2026</v>
      </c>
      <c r="AV1415" s="78">
        <v>5</v>
      </c>
      <c r="AW1415" s="78" t="s">
        <v>71</v>
      </c>
      <c r="AX1415" s="78">
        <v>1</v>
      </c>
      <c r="AY1415" s="78">
        <v>0</v>
      </c>
      <c r="BT1415" t="s">
        <v>71</v>
      </c>
      <c r="BU1415">
        <v>1</v>
      </c>
      <c r="BV1415">
        <v>0</v>
      </c>
    </row>
    <row r="1416" spans="1:74" x14ac:dyDescent="0.25">
      <c r="A1416" s="75">
        <v>5970095</v>
      </c>
      <c r="B1416" t="s">
        <v>5973</v>
      </c>
      <c r="C1416" t="s">
        <v>5974</v>
      </c>
      <c r="D1416" t="s">
        <v>956</v>
      </c>
      <c r="E1416" t="s">
        <v>87</v>
      </c>
      <c r="F1416" s="75">
        <v>8</v>
      </c>
      <c r="G1416" s="75">
        <v>295749</v>
      </c>
      <c r="H1416">
        <v>1010</v>
      </c>
      <c r="I1416" t="s">
        <v>853</v>
      </c>
      <c r="J1416" s="75">
        <v>202555</v>
      </c>
      <c r="K1416" t="s">
        <v>2216</v>
      </c>
      <c r="L1416" t="s">
        <v>2217</v>
      </c>
      <c r="M1416" s="81">
        <v>46162.812777777777</v>
      </c>
      <c r="N1416" s="81">
        <v>46163.659398148149</v>
      </c>
      <c r="O1416" t="s">
        <v>58</v>
      </c>
      <c r="P1416" t="s">
        <v>59</v>
      </c>
      <c r="Q1416" t="s">
        <v>90</v>
      </c>
      <c r="R1416" t="s">
        <v>131</v>
      </c>
      <c r="S1416" t="s">
        <v>1316</v>
      </c>
      <c r="U1416" s="75">
        <v>260549</v>
      </c>
      <c r="V1416" t="s">
        <v>5975</v>
      </c>
      <c r="W1416" t="s">
        <v>5975</v>
      </c>
      <c r="X1416" t="s">
        <v>62</v>
      </c>
      <c r="Y1416" t="s">
        <v>1358</v>
      </c>
      <c r="AA1416" t="s">
        <v>64</v>
      </c>
      <c r="AB1416">
        <v>20.266667000000002</v>
      </c>
      <c r="AC1416">
        <v>10.866667</v>
      </c>
      <c r="AD1416">
        <v>9.4</v>
      </c>
      <c r="AE1416">
        <v>3.5</v>
      </c>
      <c r="AF1416">
        <v>0</v>
      </c>
      <c r="AG1416">
        <v>5.9</v>
      </c>
      <c r="AH1416">
        <v>5.9</v>
      </c>
      <c r="AI1416">
        <v>4.733333</v>
      </c>
      <c r="AJ1416">
        <v>1.1666669999999999</v>
      </c>
      <c r="AK1416">
        <v>0</v>
      </c>
      <c r="AL1416" s="76">
        <v>45484.98609953704</v>
      </c>
      <c r="AM1416" s="75">
        <v>677</v>
      </c>
      <c r="AN1416" t="s">
        <v>65</v>
      </c>
      <c r="AO1416" t="s">
        <v>5976</v>
      </c>
      <c r="AP1416" t="s">
        <v>67</v>
      </c>
      <c r="AQ1416" t="s">
        <v>68</v>
      </c>
      <c r="AR1416" t="s">
        <v>69</v>
      </c>
      <c r="AT1416" s="82" t="s">
        <v>5821</v>
      </c>
      <c r="AU1416" s="78">
        <v>2026</v>
      </c>
      <c r="AV1416" s="78">
        <v>5</v>
      </c>
      <c r="AW1416" s="78" t="s">
        <v>137</v>
      </c>
      <c r="AX1416" s="78">
        <v>1</v>
      </c>
      <c r="AY1416" s="78">
        <v>0</v>
      </c>
      <c r="BT1416" t="s">
        <v>137</v>
      </c>
      <c r="BU1416">
        <v>1</v>
      </c>
      <c r="BV1416">
        <v>0</v>
      </c>
    </row>
    <row r="1417" spans="1:74" x14ac:dyDescent="0.25">
      <c r="A1417" s="75">
        <v>5969937</v>
      </c>
      <c r="B1417" t="s">
        <v>5977</v>
      </c>
      <c r="C1417" t="s">
        <v>5978</v>
      </c>
      <c r="D1417" t="s">
        <v>1052</v>
      </c>
      <c r="E1417" t="s">
        <v>105</v>
      </c>
      <c r="F1417" s="75">
        <v>1223</v>
      </c>
      <c r="G1417" s="75">
        <v>340855</v>
      </c>
      <c r="H1417">
        <v>442.11</v>
      </c>
      <c r="I1417" t="s">
        <v>175</v>
      </c>
      <c r="J1417" s="75">
        <v>83605</v>
      </c>
      <c r="K1417" t="s">
        <v>844</v>
      </c>
      <c r="L1417" t="s">
        <v>845</v>
      </c>
      <c r="M1417" s="81">
        <v>46162.715879629628</v>
      </c>
      <c r="N1417" s="81">
        <v>46163.8358912037</v>
      </c>
      <c r="O1417" t="s">
        <v>58</v>
      </c>
      <c r="P1417" t="s">
        <v>59</v>
      </c>
      <c r="Q1417" t="s">
        <v>90</v>
      </c>
      <c r="R1417" t="s">
        <v>60</v>
      </c>
      <c r="S1417" t="s">
        <v>583</v>
      </c>
      <c r="U1417" s="75">
        <v>260517</v>
      </c>
      <c r="V1417" t="s">
        <v>5979</v>
      </c>
      <c r="W1417" t="s">
        <v>5979</v>
      </c>
      <c r="X1417" t="s">
        <v>62</v>
      </c>
      <c r="Y1417" t="s">
        <v>63</v>
      </c>
      <c r="AA1417" t="s">
        <v>295</v>
      </c>
      <c r="AB1417">
        <v>26.816666000000001</v>
      </c>
      <c r="AC1417">
        <v>1.35</v>
      </c>
      <c r="AD1417">
        <v>25.466666</v>
      </c>
      <c r="AE1417">
        <v>1.2666660000000001</v>
      </c>
      <c r="AF1417">
        <v>0</v>
      </c>
      <c r="AG1417">
        <v>24.2</v>
      </c>
      <c r="AH1417">
        <v>24.2</v>
      </c>
      <c r="AI1417">
        <v>22.933333000000001</v>
      </c>
      <c r="AJ1417">
        <v>1.266667</v>
      </c>
      <c r="AK1417">
        <v>0</v>
      </c>
      <c r="AL1417" s="76">
        <v>45900</v>
      </c>
      <c r="AM1417" s="75">
        <v>262</v>
      </c>
      <c r="AN1417" t="s">
        <v>65</v>
      </c>
      <c r="AO1417" t="s">
        <v>3338</v>
      </c>
      <c r="AP1417" t="s">
        <v>67</v>
      </c>
      <c r="AQ1417" t="s">
        <v>68</v>
      </c>
      <c r="AR1417" t="s">
        <v>69</v>
      </c>
      <c r="AT1417" s="82" t="s">
        <v>5821</v>
      </c>
      <c r="AU1417" s="78">
        <v>2026</v>
      </c>
      <c r="AV1417" s="78">
        <v>5</v>
      </c>
      <c r="AW1417" s="78" t="s">
        <v>71</v>
      </c>
      <c r="AX1417" s="78">
        <v>0</v>
      </c>
      <c r="AY1417" s="78">
        <v>1</v>
      </c>
      <c r="BT1417" t="s">
        <v>71</v>
      </c>
      <c r="BU1417">
        <v>0</v>
      </c>
      <c r="BV1417">
        <v>1</v>
      </c>
    </row>
    <row r="1418" spans="1:74" x14ac:dyDescent="0.25">
      <c r="A1418" s="75">
        <v>5971113</v>
      </c>
      <c r="B1418" t="s">
        <v>5980</v>
      </c>
      <c r="C1418" t="s">
        <v>5981</v>
      </c>
      <c r="D1418" t="s">
        <v>2602</v>
      </c>
      <c r="E1418" t="s">
        <v>87</v>
      </c>
      <c r="F1418" s="75">
        <v>1613</v>
      </c>
      <c r="G1418" s="75">
        <v>349707</v>
      </c>
      <c r="H1418">
        <v>334.78</v>
      </c>
      <c r="I1418" t="s">
        <v>163</v>
      </c>
      <c r="J1418" s="75">
        <v>6971</v>
      </c>
      <c r="K1418" t="s">
        <v>369</v>
      </c>
      <c r="L1418" t="s">
        <v>370</v>
      </c>
      <c r="M1418" s="81">
        <v>46163.493587962963</v>
      </c>
      <c r="N1418" s="81">
        <v>46163.872743055559</v>
      </c>
      <c r="O1418" t="s">
        <v>58</v>
      </c>
      <c r="P1418" t="s">
        <v>59</v>
      </c>
      <c r="Q1418" t="s">
        <v>90</v>
      </c>
      <c r="R1418" t="s">
        <v>156</v>
      </c>
      <c r="S1418" t="s">
        <v>1320</v>
      </c>
      <c r="U1418" s="75">
        <v>261431</v>
      </c>
      <c r="V1418" t="s">
        <v>5982</v>
      </c>
      <c r="W1418" t="s">
        <v>5982</v>
      </c>
      <c r="X1418" t="s">
        <v>79</v>
      </c>
      <c r="Y1418" t="s">
        <v>224</v>
      </c>
      <c r="AA1418" t="s">
        <v>81</v>
      </c>
      <c r="AB1418">
        <v>9.0500000000000007</v>
      </c>
      <c r="AC1418">
        <v>6.1</v>
      </c>
      <c r="AD1418">
        <v>2.95</v>
      </c>
      <c r="AE1418">
        <v>0.216667</v>
      </c>
      <c r="AF1418">
        <v>0</v>
      </c>
      <c r="AG1418">
        <v>2.733333</v>
      </c>
      <c r="AH1418">
        <v>2.733333</v>
      </c>
      <c r="AI1418">
        <v>2.6666660000000002</v>
      </c>
      <c r="AJ1418">
        <v>6.6667000000000004E-2</v>
      </c>
      <c r="AK1418">
        <v>0</v>
      </c>
      <c r="AL1418" s="76">
        <v>46149.927233796298</v>
      </c>
      <c r="AM1418" s="75">
        <v>13</v>
      </c>
      <c r="AN1418" t="s">
        <v>1220</v>
      </c>
      <c r="AO1418" t="s">
        <v>5647</v>
      </c>
      <c r="AP1418" t="s">
        <v>67</v>
      </c>
      <c r="AQ1418" t="s">
        <v>83</v>
      </c>
      <c r="AR1418" t="s">
        <v>69</v>
      </c>
      <c r="AT1418" s="82" t="s">
        <v>5821</v>
      </c>
      <c r="AU1418" s="78">
        <v>2026</v>
      </c>
      <c r="AV1418" s="78">
        <v>5</v>
      </c>
      <c r="AW1418" s="78" t="s">
        <v>226</v>
      </c>
      <c r="AX1418" s="78">
        <v>1</v>
      </c>
      <c r="AY1418" s="78">
        <v>0</v>
      </c>
      <c r="BT1418" t="s">
        <v>226</v>
      </c>
      <c r="BU1418">
        <v>1</v>
      </c>
      <c r="BV1418">
        <v>0</v>
      </c>
    </row>
    <row r="1419" spans="1:74" x14ac:dyDescent="0.25">
      <c r="A1419" s="75">
        <v>5968443</v>
      </c>
      <c r="B1419" t="s">
        <v>5983</v>
      </c>
      <c r="C1419" t="s">
        <v>5984</v>
      </c>
      <c r="D1419" t="s">
        <v>125</v>
      </c>
      <c r="E1419" t="s">
        <v>126</v>
      </c>
      <c r="F1419" s="75">
        <v>17</v>
      </c>
      <c r="G1419" s="75">
        <v>321289</v>
      </c>
      <c r="H1419">
        <v>4244</v>
      </c>
      <c r="I1419" t="s">
        <v>55</v>
      </c>
      <c r="J1419" s="75">
        <v>19489</v>
      </c>
      <c r="K1419" t="s">
        <v>935</v>
      </c>
      <c r="L1419" t="s">
        <v>936</v>
      </c>
      <c r="M1419" s="81">
        <v>46161.818784722222</v>
      </c>
      <c r="N1419" s="81">
        <v>46164.345185185193</v>
      </c>
      <c r="O1419" t="s">
        <v>391</v>
      </c>
      <c r="P1419" t="s">
        <v>59</v>
      </c>
      <c r="Q1419" t="s">
        <v>130</v>
      </c>
      <c r="R1419" t="s">
        <v>60</v>
      </c>
      <c r="S1419" t="s">
        <v>583</v>
      </c>
      <c r="U1419" s="75">
        <v>260599</v>
      </c>
      <c r="V1419" t="s">
        <v>5985</v>
      </c>
      <c r="W1419" t="s">
        <v>5985</v>
      </c>
      <c r="X1419" t="s">
        <v>62</v>
      </c>
      <c r="Y1419" t="s">
        <v>63</v>
      </c>
      <c r="AA1419" t="s">
        <v>295</v>
      </c>
      <c r="AB1419">
        <v>60.466667999999999</v>
      </c>
      <c r="AC1419">
        <v>20.533334</v>
      </c>
      <c r="AD1419">
        <v>39.933334000000002</v>
      </c>
      <c r="AE1419">
        <v>0.35</v>
      </c>
      <c r="AF1419">
        <v>0</v>
      </c>
      <c r="AG1419">
        <v>39.583334000000001</v>
      </c>
      <c r="AH1419">
        <v>39.583334000000001</v>
      </c>
      <c r="AI1419">
        <v>38.066667000000002</v>
      </c>
      <c r="AJ1419">
        <v>1.516667</v>
      </c>
      <c r="AK1419">
        <v>0</v>
      </c>
      <c r="AL1419" s="76">
        <v>45687</v>
      </c>
      <c r="AM1419" s="75">
        <v>474</v>
      </c>
      <c r="AN1419" t="s">
        <v>65</v>
      </c>
      <c r="AO1419" t="s">
        <v>5352</v>
      </c>
      <c r="AP1419" t="s">
        <v>67</v>
      </c>
      <c r="AQ1419" t="s">
        <v>68</v>
      </c>
      <c r="AR1419" t="s">
        <v>69</v>
      </c>
      <c r="AT1419" s="82" t="s">
        <v>5821</v>
      </c>
      <c r="AU1419" s="78">
        <v>2026</v>
      </c>
      <c r="AV1419" s="78">
        <v>5</v>
      </c>
      <c r="AW1419" s="78" t="s">
        <v>71</v>
      </c>
      <c r="AX1419" s="78">
        <v>0</v>
      </c>
      <c r="AY1419" s="78">
        <v>1</v>
      </c>
      <c r="BT1419" t="s">
        <v>71</v>
      </c>
      <c r="BU1419">
        <v>0</v>
      </c>
      <c r="BV1419">
        <v>1</v>
      </c>
    </row>
    <row r="1420" spans="1:74" x14ac:dyDescent="0.25">
      <c r="A1420" s="75">
        <v>5969329</v>
      </c>
      <c r="B1420" t="s">
        <v>5986</v>
      </c>
      <c r="C1420" t="s">
        <v>5987</v>
      </c>
      <c r="D1420" t="s">
        <v>1052</v>
      </c>
      <c r="E1420" t="s">
        <v>54</v>
      </c>
      <c r="F1420" s="75">
        <v>2</v>
      </c>
      <c r="G1420" s="75">
        <v>350925</v>
      </c>
      <c r="H1420">
        <v>650</v>
      </c>
      <c r="I1420" t="s">
        <v>141</v>
      </c>
      <c r="J1420" s="75">
        <v>227681</v>
      </c>
      <c r="K1420" t="s">
        <v>2153</v>
      </c>
      <c r="L1420" t="s">
        <v>2154</v>
      </c>
      <c r="M1420" s="81">
        <v>46162.500983796293</v>
      </c>
      <c r="N1420" s="81">
        <v>46164.668946759259</v>
      </c>
      <c r="O1420" t="s">
        <v>58</v>
      </c>
      <c r="P1420" t="s">
        <v>59</v>
      </c>
      <c r="Q1420" t="s">
        <v>130</v>
      </c>
      <c r="R1420" t="s">
        <v>60</v>
      </c>
      <c r="S1420" t="s">
        <v>583</v>
      </c>
      <c r="U1420" s="75">
        <v>260533</v>
      </c>
      <c r="V1420" t="s">
        <v>5988</v>
      </c>
      <c r="W1420" t="s">
        <v>5989</v>
      </c>
      <c r="X1420" t="s">
        <v>62</v>
      </c>
      <c r="Y1420" t="s">
        <v>63</v>
      </c>
      <c r="AA1420" t="s">
        <v>416</v>
      </c>
      <c r="AB1420">
        <v>51.95</v>
      </c>
      <c r="AC1420">
        <v>33.033334000000004</v>
      </c>
      <c r="AD1420">
        <v>18.916665999999999</v>
      </c>
      <c r="AE1420">
        <v>0.05</v>
      </c>
      <c r="AF1420">
        <v>0</v>
      </c>
      <c r="AG1420">
        <v>18.866665999999999</v>
      </c>
      <c r="AH1420">
        <v>18.866665999999999</v>
      </c>
      <c r="AI1420">
        <v>18.633333</v>
      </c>
      <c r="AJ1420">
        <v>0.23333300000000001</v>
      </c>
      <c r="AK1420">
        <v>0</v>
      </c>
      <c r="AL1420" s="76">
        <v>46059.394803240742</v>
      </c>
      <c r="AM1420" s="75">
        <v>103</v>
      </c>
      <c r="AN1420" t="s">
        <v>65</v>
      </c>
      <c r="AO1420" t="s">
        <v>3316</v>
      </c>
      <c r="AP1420" t="s">
        <v>67</v>
      </c>
      <c r="AQ1420" t="s">
        <v>68</v>
      </c>
      <c r="AR1420" t="s">
        <v>69</v>
      </c>
      <c r="AT1420" s="82" t="s">
        <v>5821</v>
      </c>
      <c r="AU1420" s="78">
        <v>2026</v>
      </c>
      <c r="AV1420" s="78">
        <v>5</v>
      </c>
      <c r="AW1420" s="78" t="s">
        <v>71</v>
      </c>
      <c r="AX1420" s="78">
        <v>0</v>
      </c>
      <c r="AY1420" s="78">
        <v>0</v>
      </c>
      <c r="BT1420" t="s">
        <v>71</v>
      </c>
      <c r="BU1420">
        <v>0</v>
      </c>
      <c r="BV1420">
        <v>0</v>
      </c>
    </row>
    <row r="1421" spans="1:74" x14ac:dyDescent="0.25">
      <c r="A1421" s="75">
        <v>5973555</v>
      </c>
      <c r="B1421" t="s">
        <v>5990</v>
      </c>
      <c r="C1421" t="s">
        <v>5991</v>
      </c>
      <c r="D1421" t="s">
        <v>1400</v>
      </c>
      <c r="E1421" t="s">
        <v>54</v>
      </c>
      <c r="F1421" s="75">
        <v>7</v>
      </c>
      <c r="G1421" s="75">
        <v>325039</v>
      </c>
      <c r="H1421">
        <v>800</v>
      </c>
      <c r="I1421" t="s">
        <v>114</v>
      </c>
      <c r="J1421" s="75">
        <v>201963</v>
      </c>
      <c r="K1421" t="s">
        <v>3248</v>
      </c>
      <c r="L1421" t="s">
        <v>3249</v>
      </c>
      <c r="M1421" s="81">
        <v>46164.680787037039</v>
      </c>
      <c r="N1421" s="81">
        <v>46164.74114583333</v>
      </c>
      <c r="O1421" t="s">
        <v>277</v>
      </c>
      <c r="P1421" t="s">
        <v>59</v>
      </c>
      <c r="Q1421" t="s">
        <v>130</v>
      </c>
      <c r="R1421" t="s">
        <v>99</v>
      </c>
      <c r="S1421" t="s">
        <v>1244</v>
      </c>
      <c r="U1421" s="75">
        <v>262853</v>
      </c>
      <c r="V1421" t="s">
        <v>5992</v>
      </c>
      <c r="W1421" t="s">
        <v>5992</v>
      </c>
      <c r="X1421" t="s">
        <v>79</v>
      </c>
      <c r="Y1421" t="s">
        <v>224</v>
      </c>
      <c r="AA1421" t="s">
        <v>81</v>
      </c>
      <c r="AB1421">
        <v>1.416666</v>
      </c>
      <c r="AC1421">
        <v>0</v>
      </c>
      <c r="AD1421">
        <v>1.416666</v>
      </c>
      <c r="AE1421">
        <v>8.3333000000000004E-2</v>
      </c>
      <c r="AF1421">
        <v>0</v>
      </c>
      <c r="AG1421">
        <v>1.3333330000000001</v>
      </c>
      <c r="AI1421">
        <v>0.75</v>
      </c>
      <c r="AJ1421">
        <v>0.58333299999999999</v>
      </c>
      <c r="AK1421">
        <v>0</v>
      </c>
      <c r="AL1421" s="76">
        <v>45531.894155092603</v>
      </c>
      <c r="AM1421" s="75">
        <v>632</v>
      </c>
      <c r="AN1421" t="s">
        <v>65</v>
      </c>
      <c r="AO1421" t="s">
        <v>3251</v>
      </c>
      <c r="AP1421" t="s">
        <v>67</v>
      </c>
      <c r="AQ1421" t="s">
        <v>83</v>
      </c>
      <c r="AR1421" t="s">
        <v>69</v>
      </c>
      <c r="AT1421" s="82" t="s">
        <v>5821</v>
      </c>
      <c r="AU1421" s="78">
        <v>2026</v>
      </c>
      <c r="AV1421" s="78">
        <v>5</v>
      </c>
      <c r="AW1421" s="78" t="s">
        <v>226</v>
      </c>
      <c r="AX1421" s="78">
        <v>1</v>
      </c>
      <c r="AY1421" s="78">
        <v>0</v>
      </c>
      <c r="BT1421" t="s">
        <v>226</v>
      </c>
      <c r="BU1421">
        <v>1</v>
      </c>
      <c r="BV1421">
        <v>0</v>
      </c>
    </row>
    <row r="1422" spans="1:74" x14ac:dyDescent="0.25">
      <c r="A1422" s="75">
        <v>5972291</v>
      </c>
      <c r="B1422" t="s">
        <v>5993</v>
      </c>
      <c r="C1422" t="s">
        <v>5994</v>
      </c>
      <c r="D1422" t="s">
        <v>1052</v>
      </c>
      <c r="E1422" t="s">
        <v>105</v>
      </c>
      <c r="F1422" s="75">
        <v>217</v>
      </c>
      <c r="G1422" s="75">
        <v>303281</v>
      </c>
      <c r="H1422">
        <v>1500.8</v>
      </c>
      <c r="I1422" t="s">
        <v>55</v>
      </c>
      <c r="J1422" s="75">
        <v>71001</v>
      </c>
      <c r="K1422" t="s">
        <v>1193</v>
      </c>
      <c r="L1422" t="s">
        <v>1194</v>
      </c>
      <c r="M1422" s="81">
        <v>46164.354895833327</v>
      </c>
      <c r="N1422" s="81">
        <v>46164.984143518523</v>
      </c>
      <c r="O1422" t="s">
        <v>58</v>
      </c>
      <c r="P1422" t="s">
        <v>59</v>
      </c>
      <c r="Q1422" t="s">
        <v>90</v>
      </c>
      <c r="R1422" t="s">
        <v>60</v>
      </c>
      <c r="S1422" t="s">
        <v>583</v>
      </c>
      <c r="U1422" s="75">
        <v>262319</v>
      </c>
      <c r="V1422" t="s">
        <v>5995</v>
      </c>
      <c r="W1422" t="s">
        <v>5995</v>
      </c>
      <c r="X1422" t="s">
        <v>118</v>
      </c>
      <c r="Y1422" t="s">
        <v>119</v>
      </c>
      <c r="AA1422" t="s">
        <v>81</v>
      </c>
      <c r="AB1422">
        <v>15.033332</v>
      </c>
      <c r="AC1422">
        <v>10.483333</v>
      </c>
      <c r="AD1422">
        <v>4.5499989999999997</v>
      </c>
      <c r="AE1422">
        <v>0.566666</v>
      </c>
      <c r="AF1422">
        <v>0</v>
      </c>
      <c r="AG1422">
        <v>3.983333</v>
      </c>
      <c r="AH1422">
        <v>3.983333</v>
      </c>
      <c r="AI1422">
        <v>3.9166660000000002</v>
      </c>
      <c r="AJ1422">
        <v>6.6667000000000004E-2</v>
      </c>
      <c r="AK1422">
        <v>0</v>
      </c>
      <c r="AL1422" s="76">
        <v>45583</v>
      </c>
      <c r="AM1422" s="75">
        <v>581</v>
      </c>
      <c r="AN1422" t="s">
        <v>65</v>
      </c>
      <c r="AO1422" t="s">
        <v>2623</v>
      </c>
      <c r="AP1422" t="s">
        <v>67</v>
      </c>
      <c r="AQ1422" t="s">
        <v>121</v>
      </c>
      <c r="AR1422" t="s">
        <v>69</v>
      </c>
      <c r="AT1422" s="82" t="s">
        <v>5821</v>
      </c>
      <c r="AU1422" s="78">
        <v>2026</v>
      </c>
      <c r="AV1422" s="78">
        <v>5</v>
      </c>
      <c r="AW1422" s="78" t="s">
        <v>122</v>
      </c>
      <c r="AX1422" s="78">
        <v>1</v>
      </c>
      <c r="AY1422" s="78">
        <v>0</v>
      </c>
      <c r="BT1422" t="s">
        <v>122</v>
      </c>
      <c r="BU1422">
        <v>1</v>
      </c>
      <c r="BV1422">
        <v>0</v>
      </c>
    </row>
    <row r="1423" spans="1:74" x14ac:dyDescent="0.25">
      <c r="A1423" s="75">
        <v>5973177</v>
      </c>
      <c r="B1423" t="s">
        <v>5996</v>
      </c>
      <c r="C1423" t="s">
        <v>5997</v>
      </c>
      <c r="D1423" t="s">
        <v>125</v>
      </c>
      <c r="E1423" t="s">
        <v>87</v>
      </c>
      <c r="F1423" s="75">
        <v>395</v>
      </c>
      <c r="G1423" s="75">
        <v>286895</v>
      </c>
      <c r="H1423">
        <v>350</v>
      </c>
      <c r="I1423" t="s">
        <v>55</v>
      </c>
      <c r="J1423" s="75">
        <v>218787</v>
      </c>
      <c r="K1423" t="s">
        <v>96</v>
      </c>
      <c r="L1423" t="s">
        <v>97</v>
      </c>
      <c r="M1423" s="81">
        <v>46164.576990740738</v>
      </c>
      <c r="N1423" s="81">
        <v>46165.377465277779</v>
      </c>
      <c r="O1423" t="s">
        <v>624</v>
      </c>
      <c r="P1423" t="s">
        <v>59</v>
      </c>
      <c r="Q1423" t="s">
        <v>90</v>
      </c>
      <c r="R1423" t="s">
        <v>99</v>
      </c>
      <c r="S1423" t="s">
        <v>1244</v>
      </c>
      <c r="U1423" s="75"/>
      <c r="X1423" t="s">
        <v>62</v>
      </c>
      <c r="Y1423" t="s">
        <v>63</v>
      </c>
      <c r="AA1423" t="s">
        <v>81</v>
      </c>
      <c r="AB1423">
        <v>19.166667</v>
      </c>
      <c r="AC1423">
        <v>16.116667</v>
      </c>
      <c r="AD1423">
        <v>3.05</v>
      </c>
      <c r="AE1423">
        <v>0.16666700000000001</v>
      </c>
      <c r="AF1423">
        <v>0</v>
      </c>
      <c r="AG1423">
        <v>2.8833329999999999</v>
      </c>
      <c r="AH1423">
        <v>2.8833329999999999</v>
      </c>
      <c r="AI1423">
        <v>1.7</v>
      </c>
      <c r="AJ1423">
        <v>1.183333</v>
      </c>
      <c r="AK1423">
        <v>0</v>
      </c>
      <c r="AL1423" s="76">
        <v>44971.691979166673</v>
      </c>
      <c r="AM1423" s="75">
        <v>1192</v>
      </c>
      <c r="AN1423" t="s">
        <v>65</v>
      </c>
      <c r="AO1423" t="s">
        <v>5998</v>
      </c>
      <c r="AP1423" t="s">
        <v>67</v>
      </c>
      <c r="AQ1423" t="s">
        <v>68</v>
      </c>
      <c r="AR1423" t="s">
        <v>69</v>
      </c>
      <c r="AT1423" s="82" t="s">
        <v>5821</v>
      </c>
      <c r="AU1423" s="78">
        <v>2026</v>
      </c>
      <c r="AV1423" s="78">
        <v>5</v>
      </c>
      <c r="AW1423" s="78" t="s">
        <v>71</v>
      </c>
      <c r="AX1423" s="78">
        <v>1</v>
      </c>
      <c r="AY1423" s="78">
        <v>0</v>
      </c>
      <c r="BT1423" t="s">
        <v>71</v>
      </c>
      <c r="BU1423">
        <v>1</v>
      </c>
      <c r="BV1423">
        <v>0</v>
      </c>
    </row>
    <row r="1424" spans="1:74" x14ac:dyDescent="0.25">
      <c r="A1424" s="75">
        <v>5969323</v>
      </c>
      <c r="B1424" t="s">
        <v>5999</v>
      </c>
      <c r="C1424" t="s">
        <v>6000</v>
      </c>
      <c r="D1424" t="s">
        <v>125</v>
      </c>
      <c r="E1424" t="s">
        <v>87</v>
      </c>
      <c r="F1424" s="75">
        <v>59</v>
      </c>
      <c r="G1424" s="75">
        <v>275361</v>
      </c>
      <c r="H1424">
        <v>398.82</v>
      </c>
      <c r="I1424" t="s">
        <v>55</v>
      </c>
      <c r="J1424" s="75">
        <v>216233</v>
      </c>
      <c r="K1424" t="s">
        <v>88</v>
      </c>
      <c r="L1424" t="s">
        <v>89</v>
      </c>
      <c r="M1424" s="81">
        <v>46162.500787037039</v>
      </c>
      <c r="N1424" s="81">
        <v>46165.416435185187</v>
      </c>
      <c r="O1424" t="s">
        <v>58</v>
      </c>
      <c r="P1424" t="s">
        <v>59</v>
      </c>
      <c r="Q1424" t="s">
        <v>90</v>
      </c>
      <c r="R1424" t="s">
        <v>60</v>
      </c>
      <c r="S1424" t="s">
        <v>583</v>
      </c>
      <c r="U1424" s="75">
        <v>260259</v>
      </c>
      <c r="V1424" t="s">
        <v>6001</v>
      </c>
      <c r="W1424" t="s">
        <v>6002</v>
      </c>
      <c r="X1424" t="s">
        <v>62</v>
      </c>
      <c r="Y1424" t="s">
        <v>63</v>
      </c>
      <c r="AA1424" t="s">
        <v>416</v>
      </c>
      <c r="AB1424">
        <v>69.899997999999997</v>
      </c>
      <c r="AC1424">
        <v>51.066665999999998</v>
      </c>
      <c r="AD1424">
        <v>18.833331999999999</v>
      </c>
      <c r="AE1424">
        <v>0.7</v>
      </c>
      <c r="AF1424">
        <v>0</v>
      </c>
      <c r="AG1424">
        <v>18.133331999999999</v>
      </c>
      <c r="AH1424">
        <v>18.133331999999999</v>
      </c>
      <c r="AI1424">
        <v>17.799999</v>
      </c>
      <c r="AJ1424">
        <v>0.33333299999999999</v>
      </c>
      <c r="AK1424">
        <v>0</v>
      </c>
      <c r="AL1424" s="76">
        <v>44875</v>
      </c>
      <c r="AM1424" s="75">
        <v>1287</v>
      </c>
      <c r="AN1424" t="s">
        <v>65</v>
      </c>
      <c r="AO1424" t="s">
        <v>6003</v>
      </c>
      <c r="AP1424" t="s">
        <v>67</v>
      </c>
      <c r="AQ1424" t="s">
        <v>68</v>
      </c>
      <c r="AR1424" t="s">
        <v>69</v>
      </c>
      <c r="AT1424" s="82" t="s">
        <v>5821</v>
      </c>
      <c r="AU1424" s="78">
        <v>2026</v>
      </c>
      <c r="AV1424" s="78">
        <v>5</v>
      </c>
      <c r="AW1424" s="78" t="s">
        <v>71</v>
      </c>
      <c r="AX1424" s="78">
        <v>0</v>
      </c>
      <c r="AY1424" s="78">
        <v>0</v>
      </c>
      <c r="BT1424" t="s">
        <v>71</v>
      </c>
      <c r="BU1424">
        <v>0</v>
      </c>
      <c r="BV1424">
        <v>0</v>
      </c>
    </row>
    <row r="1425" spans="1:74" x14ac:dyDescent="0.25">
      <c r="A1425" s="75">
        <v>5969215</v>
      </c>
      <c r="B1425" t="s">
        <v>6004</v>
      </c>
      <c r="C1425" t="s">
        <v>838</v>
      </c>
      <c r="D1425" t="s">
        <v>125</v>
      </c>
      <c r="E1425" t="s">
        <v>87</v>
      </c>
      <c r="F1425" s="75">
        <v>26</v>
      </c>
      <c r="G1425" s="75">
        <v>275239</v>
      </c>
      <c r="H1425">
        <v>398.82</v>
      </c>
      <c r="I1425" t="s">
        <v>55</v>
      </c>
      <c r="J1425" s="75">
        <v>216233</v>
      </c>
      <c r="K1425" t="s">
        <v>88</v>
      </c>
      <c r="L1425" t="s">
        <v>89</v>
      </c>
      <c r="M1425" s="81">
        <v>46162.459224537037</v>
      </c>
      <c r="N1425" s="81">
        <v>46165.416655092587</v>
      </c>
      <c r="O1425" t="s">
        <v>58</v>
      </c>
      <c r="P1425" t="s">
        <v>59</v>
      </c>
      <c r="Q1425" t="s">
        <v>90</v>
      </c>
      <c r="R1425" t="s">
        <v>60</v>
      </c>
      <c r="S1425" t="s">
        <v>583</v>
      </c>
      <c r="U1425" s="75">
        <v>260603</v>
      </c>
      <c r="V1425" t="s">
        <v>6005</v>
      </c>
      <c r="W1425" t="s">
        <v>6005</v>
      </c>
      <c r="X1425" t="s">
        <v>62</v>
      </c>
      <c r="Y1425" t="s">
        <v>63</v>
      </c>
      <c r="AA1425" t="s">
        <v>101</v>
      </c>
      <c r="AB1425">
        <v>70.916666000000006</v>
      </c>
      <c r="AC1425">
        <v>62.2</v>
      </c>
      <c r="AD1425">
        <v>8.716666</v>
      </c>
      <c r="AE1425">
        <v>0.26666600000000001</v>
      </c>
      <c r="AF1425">
        <v>0</v>
      </c>
      <c r="AG1425">
        <v>8.4499999999999993</v>
      </c>
      <c r="AH1425">
        <v>8.4499999999999993</v>
      </c>
      <c r="AI1425">
        <v>8.233333</v>
      </c>
      <c r="AJ1425">
        <v>0.216667</v>
      </c>
      <c r="AK1425">
        <v>0</v>
      </c>
      <c r="AL1425" s="76">
        <v>44866</v>
      </c>
      <c r="AM1425" s="75">
        <v>1296</v>
      </c>
      <c r="AN1425" t="s">
        <v>65</v>
      </c>
      <c r="AO1425" t="s">
        <v>841</v>
      </c>
      <c r="AP1425" t="s">
        <v>67</v>
      </c>
      <c r="AQ1425" t="s">
        <v>68</v>
      </c>
      <c r="AR1425" t="s">
        <v>69</v>
      </c>
      <c r="AT1425" s="82" t="s">
        <v>5821</v>
      </c>
      <c r="AU1425" s="78">
        <v>2026</v>
      </c>
      <c r="AV1425" s="78">
        <v>5</v>
      </c>
      <c r="AW1425" s="78" t="s">
        <v>71</v>
      </c>
      <c r="AX1425" s="78">
        <v>0</v>
      </c>
      <c r="AY1425" s="78">
        <v>0</v>
      </c>
      <c r="BT1425" t="s">
        <v>71</v>
      </c>
      <c r="BU1425">
        <v>0</v>
      </c>
      <c r="BV1425">
        <v>0</v>
      </c>
    </row>
    <row r="1426" spans="1:74" x14ac:dyDescent="0.25">
      <c r="A1426" s="75">
        <v>5968395</v>
      </c>
      <c r="B1426" t="s">
        <v>6006</v>
      </c>
      <c r="C1426" t="s">
        <v>4528</v>
      </c>
      <c r="D1426" t="s">
        <v>125</v>
      </c>
      <c r="E1426" t="s">
        <v>87</v>
      </c>
      <c r="F1426" s="75">
        <v>446</v>
      </c>
      <c r="G1426" s="75">
        <v>289321</v>
      </c>
      <c r="H1426">
        <v>368.16</v>
      </c>
      <c r="I1426" t="s">
        <v>55</v>
      </c>
      <c r="J1426" s="75">
        <v>218791</v>
      </c>
      <c r="K1426" t="s">
        <v>312</v>
      </c>
      <c r="L1426" t="s">
        <v>313</v>
      </c>
      <c r="M1426" s="81">
        <v>46161.785381944443</v>
      </c>
      <c r="N1426" s="81">
        <v>46165.418078703697</v>
      </c>
      <c r="O1426" t="s">
        <v>58</v>
      </c>
      <c r="P1426" t="s">
        <v>59</v>
      </c>
      <c r="Q1426" t="s">
        <v>90</v>
      </c>
      <c r="R1426" t="s">
        <v>60</v>
      </c>
      <c r="S1426" t="s">
        <v>583</v>
      </c>
      <c r="U1426" s="75">
        <v>259663</v>
      </c>
      <c r="V1426" t="s">
        <v>6007</v>
      </c>
      <c r="W1426" t="s">
        <v>6007</v>
      </c>
      <c r="X1426" t="s">
        <v>62</v>
      </c>
      <c r="Y1426" t="s">
        <v>63</v>
      </c>
      <c r="AA1426" t="s">
        <v>101</v>
      </c>
      <c r="AB1426">
        <v>87.116665999999995</v>
      </c>
      <c r="AC1426">
        <v>75.316665999999998</v>
      </c>
      <c r="AD1426">
        <v>11.8</v>
      </c>
      <c r="AE1426">
        <v>0.25</v>
      </c>
      <c r="AF1426">
        <v>0</v>
      </c>
      <c r="AG1426">
        <v>11.55</v>
      </c>
      <c r="AH1426">
        <v>11.55</v>
      </c>
      <c r="AI1426">
        <v>11.05</v>
      </c>
      <c r="AJ1426">
        <v>0.5</v>
      </c>
      <c r="AK1426">
        <v>0</v>
      </c>
      <c r="AL1426" s="76">
        <v>45000.39675925926</v>
      </c>
      <c r="AM1426" s="75">
        <v>1161</v>
      </c>
      <c r="AN1426" t="s">
        <v>65</v>
      </c>
      <c r="AO1426" t="s">
        <v>4530</v>
      </c>
      <c r="AP1426" t="s">
        <v>67</v>
      </c>
      <c r="AQ1426" t="s">
        <v>68</v>
      </c>
      <c r="AR1426" t="s">
        <v>69</v>
      </c>
      <c r="AT1426" s="82" t="s">
        <v>5821</v>
      </c>
      <c r="AU1426" s="78">
        <v>2026</v>
      </c>
      <c r="AV1426" s="78">
        <v>5</v>
      </c>
      <c r="AW1426" s="78" t="s">
        <v>71</v>
      </c>
      <c r="AX1426" s="78">
        <v>0</v>
      </c>
      <c r="AY1426" s="78">
        <v>0</v>
      </c>
      <c r="BT1426" t="s">
        <v>71</v>
      </c>
      <c r="BU1426">
        <v>0</v>
      </c>
      <c r="BV1426">
        <v>0</v>
      </c>
    </row>
    <row r="1427" spans="1:74" x14ac:dyDescent="0.25">
      <c r="A1427" s="75">
        <v>5971091</v>
      </c>
      <c r="B1427" t="s">
        <v>6008</v>
      </c>
      <c r="C1427" t="s">
        <v>6009</v>
      </c>
      <c r="D1427" t="s">
        <v>125</v>
      </c>
      <c r="E1427" t="s">
        <v>54</v>
      </c>
      <c r="F1427" s="75">
        <v>8</v>
      </c>
      <c r="G1427" s="75">
        <v>337747</v>
      </c>
      <c r="H1427">
        <v>1120.0999999999999</v>
      </c>
      <c r="I1427" t="s">
        <v>203</v>
      </c>
      <c r="J1427" s="75">
        <v>204817</v>
      </c>
      <c r="K1427" t="s">
        <v>949</v>
      </c>
      <c r="L1427" t="s">
        <v>950</v>
      </c>
      <c r="M1427" s="81">
        <v>46163.488078703696</v>
      </c>
      <c r="N1427" s="81">
        <v>46165.421666666669</v>
      </c>
      <c r="O1427" t="s">
        <v>58</v>
      </c>
      <c r="P1427" t="s">
        <v>59</v>
      </c>
      <c r="Q1427" t="s">
        <v>130</v>
      </c>
      <c r="R1427" t="s">
        <v>60</v>
      </c>
      <c r="S1427" t="s">
        <v>583</v>
      </c>
      <c r="U1427" s="75">
        <v>262617</v>
      </c>
      <c r="V1427" t="s">
        <v>6010</v>
      </c>
      <c r="X1427" t="s">
        <v>62</v>
      </c>
      <c r="Y1427" t="s">
        <v>63</v>
      </c>
      <c r="AA1427" t="s">
        <v>416</v>
      </c>
      <c r="AB1427">
        <v>46.35</v>
      </c>
      <c r="AC1427">
        <v>28.783332999999999</v>
      </c>
      <c r="AD1427">
        <v>17.566666999999999</v>
      </c>
      <c r="AE1427">
        <v>0.71666700000000005</v>
      </c>
      <c r="AF1427">
        <v>0</v>
      </c>
      <c r="AG1427">
        <v>16.850000000000001</v>
      </c>
      <c r="AH1427">
        <v>16.850000000000001</v>
      </c>
      <c r="AI1427">
        <v>15.933332999999999</v>
      </c>
      <c r="AJ1427">
        <v>0.91666700000000001</v>
      </c>
      <c r="AK1427">
        <v>0</v>
      </c>
      <c r="AL1427" s="76">
        <v>45874</v>
      </c>
      <c r="AM1427" s="75">
        <v>289</v>
      </c>
      <c r="AN1427" t="s">
        <v>65</v>
      </c>
      <c r="AO1427" t="s">
        <v>6011</v>
      </c>
      <c r="AP1427" t="s">
        <v>67</v>
      </c>
      <c r="AQ1427" t="s">
        <v>68</v>
      </c>
      <c r="AR1427" t="s">
        <v>69</v>
      </c>
      <c r="AT1427" s="82" t="s">
        <v>5821</v>
      </c>
      <c r="AU1427" s="78">
        <v>2026</v>
      </c>
      <c r="AV1427" s="78">
        <v>5</v>
      </c>
      <c r="AW1427" s="78" t="s">
        <v>71</v>
      </c>
      <c r="AX1427" s="78">
        <v>0</v>
      </c>
      <c r="AY1427" s="78">
        <v>0</v>
      </c>
      <c r="BT1427" t="s">
        <v>71</v>
      </c>
      <c r="BU1427">
        <v>0</v>
      </c>
      <c r="BV1427">
        <v>0</v>
      </c>
    </row>
    <row r="1428" spans="1:74" x14ac:dyDescent="0.25">
      <c r="A1428" s="75">
        <v>5971111</v>
      </c>
      <c r="B1428" t="s">
        <v>6012</v>
      </c>
      <c r="C1428" t="s">
        <v>6013</v>
      </c>
      <c r="D1428" t="s">
        <v>125</v>
      </c>
      <c r="E1428" t="s">
        <v>87</v>
      </c>
      <c r="F1428" s="75">
        <v>825</v>
      </c>
      <c r="G1428" s="75">
        <v>345209</v>
      </c>
      <c r="H1428">
        <v>334.78</v>
      </c>
      <c r="I1428" t="s">
        <v>141</v>
      </c>
      <c r="J1428" s="75">
        <v>6971</v>
      </c>
      <c r="K1428" t="s">
        <v>369</v>
      </c>
      <c r="L1428" t="s">
        <v>370</v>
      </c>
      <c r="M1428" s="81">
        <v>46163.49355324074</v>
      </c>
      <c r="N1428" s="81">
        <v>46165.42224537037</v>
      </c>
      <c r="O1428" t="s">
        <v>58</v>
      </c>
      <c r="P1428" t="s">
        <v>59</v>
      </c>
      <c r="Q1428" t="s">
        <v>90</v>
      </c>
      <c r="R1428" t="s">
        <v>144</v>
      </c>
      <c r="S1428" t="s">
        <v>1794</v>
      </c>
      <c r="U1428" s="75">
        <v>261443</v>
      </c>
      <c r="V1428" t="s">
        <v>6014</v>
      </c>
      <c r="W1428" t="s">
        <v>6014</v>
      </c>
      <c r="X1428" t="s">
        <v>79</v>
      </c>
      <c r="Y1428" t="s">
        <v>224</v>
      </c>
      <c r="AA1428" t="s">
        <v>81</v>
      </c>
      <c r="AB1428">
        <v>46.266666000000001</v>
      </c>
      <c r="AC1428">
        <v>43.35</v>
      </c>
      <c r="AD1428">
        <v>2.9166660000000002</v>
      </c>
      <c r="AE1428">
        <v>0.183333</v>
      </c>
      <c r="AF1428">
        <v>0</v>
      </c>
      <c r="AG1428">
        <v>2.733333</v>
      </c>
      <c r="AH1428">
        <v>2.733333</v>
      </c>
      <c r="AI1428">
        <v>2.3833329999999999</v>
      </c>
      <c r="AJ1428">
        <v>0.35</v>
      </c>
      <c r="AK1428">
        <v>0</v>
      </c>
      <c r="AL1428" s="76">
        <v>46149</v>
      </c>
      <c r="AM1428" s="75">
        <v>14</v>
      </c>
      <c r="AN1428" t="s">
        <v>1220</v>
      </c>
      <c r="AO1428" t="s">
        <v>1437</v>
      </c>
      <c r="AP1428" t="s">
        <v>67</v>
      </c>
      <c r="AQ1428" t="s">
        <v>83</v>
      </c>
      <c r="AR1428" t="s">
        <v>69</v>
      </c>
      <c r="AT1428" s="82" t="s">
        <v>5821</v>
      </c>
      <c r="AU1428" s="78">
        <v>2026</v>
      </c>
      <c r="AV1428" s="78">
        <v>5</v>
      </c>
      <c r="AW1428" s="78" t="s">
        <v>226</v>
      </c>
      <c r="AX1428" s="78">
        <v>1</v>
      </c>
      <c r="AY1428" s="78">
        <v>0</v>
      </c>
      <c r="BT1428" t="s">
        <v>226</v>
      </c>
      <c r="BU1428">
        <v>1</v>
      </c>
      <c r="BV1428">
        <v>0</v>
      </c>
    </row>
    <row r="1429" spans="1:74" x14ac:dyDescent="0.25">
      <c r="A1429" s="75">
        <v>5971697</v>
      </c>
      <c r="B1429" t="s">
        <v>6015</v>
      </c>
      <c r="C1429" t="s">
        <v>897</v>
      </c>
      <c r="D1429" t="s">
        <v>125</v>
      </c>
      <c r="E1429" t="s">
        <v>54</v>
      </c>
      <c r="F1429" s="75">
        <v>1</v>
      </c>
      <c r="G1429" s="75">
        <v>320963</v>
      </c>
      <c r="H1429">
        <v>624</v>
      </c>
      <c r="I1429" t="s">
        <v>114</v>
      </c>
      <c r="J1429" s="75">
        <v>223133</v>
      </c>
      <c r="K1429" t="s">
        <v>6016</v>
      </c>
      <c r="L1429" t="s">
        <v>6017</v>
      </c>
      <c r="M1429" s="81">
        <v>46163.706388888888</v>
      </c>
      <c r="N1429" s="81">
        <v>46165.423171296286</v>
      </c>
      <c r="O1429" t="s">
        <v>58</v>
      </c>
      <c r="P1429" t="s">
        <v>59</v>
      </c>
      <c r="Q1429" t="s">
        <v>77</v>
      </c>
      <c r="R1429" t="s">
        <v>99</v>
      </c>
      <c r="S1429" t="s">
        <v>1244</v>
      </c>
      <c r="U1429" s="75">
        <v>262427</v>
      </c>
      <c r="V1429" t="s">
        <v>6018</v>
      </c>
      <c r="X1429" t="s">
        <v>392</v>
      </c>
      <c r="Y1429" t="s">
        <v>393</v>
      </c>
      <c r="AA1429" t="s">
        <v>64</v>
      </c>
      <c r="AB1429">
        <v>41.15</v>
      </c>
      <c r="AC1429">
        <v>31.783334</v>
      </c>
      <c r="AD1429">
        <v>9.3666660000000004</v>
      </c>
      <c r="AE1429">
        <v>1.55</v>
      </c>
      <c r="AF1429">
        <v>0</v>
      </c>
      <c r="AG1429">
        <v>7.8166659999999997</v>
      </c>
      <c r="AH1429">
        <v>7.8166659999999997</v>
      </c>
      <c r="AI1429">
        <v>7.7833329999999998</v>
      </c>
      <c r="AJ1429">
        <v>3.3333000000000002E-2</v>
      </c>
      <c r="AK1429">
        <v>0</v>
      </c>
      <c r="AL1429" s="76">
        <v>45478</v>
      </c>
      <c r="AM1429" s="75">
        <v>685</v>
      </c>
      <c r="AN1429" t="s">
        <v>65</v>
      </c>
      <c r="AO1429" t="s">
        <v>6019</v>
      </c>
      <c r="AP1429" t="s">
        <v>67</v>
      </c>
      <c r="AQ1429" t="s">
        <v>121</v>
      </c>
      <c r="AR1429" t="s">
        <v>69</v>
      </c>
      <c r="AT1429" s="82" t="s">
        <v>5821</v>
      </c>
      <c r="AU1429" s="78">
        <v>2026</v>
      </c>
      <c r="AV1429" s="78">
        <v>5</v>
      </c>
      <c r="AW1429" s="78" t="s">
        <v>392</v>
      </c>
      <c r="AX1429" s="78">
        <v>1</v>
      </c>
      <c r="AY1429" s="78">
        <v>0</v>
      </c>
      <c r="BT1429" t="s">
        <v>392</v>
      </c>
      <c r="BU1429">
        <v>1</v>
      </c>
      <c r="BV1429">
        <v>0</v>
      </c>
    </row>
    <row r="1430" spans="1:74" x14ac:dyDescent="0.25">
      <c r="A1430" s="75">
        <v>5971953</v>
      </c>
      <c r="B1430" t="s">
        <v>6020</v>
      </c>
      <c r="C1430" t="s">
        <v>693</v>
      </c>
      <c r="D1430" t="s">
        <v>125</v>
      </c>
      <c r="E1430" t="s">
        <v>87</v>
      </c>
      <c r="F1430" s="75">
        <v>402</v>
      </c>
      <c r="G1430" s="75">
        <v>288381</v>
      </c>
      <c r="H1430">
        <v>368.16</v>
      </c>
      <c r="I1430" t="s">
        <v>55</v>
      </c>
      <c r="J1430" s="75">
        <v>218791</v>
      </c>
      <c r="K1430" t="s">
        <v>312</v>
      </c>
      <c r="L1430" t="s">
        <v>313</v>
      </c>
      <c r="M1430" s="81">
        <v>46163.84783564815</v>
      </c>
      <c r="N1430" s="81">
        <v>46165.429537037038</v>
      </c>
      <c r="O1430" t="s">
        <v>58</v>
      </c>
      <c r="P1430" t="s">
        <v>59</v>
      </c>
      <c r="Q1430" t="s">
        <v>90</v>
      </c>
      <c r="R1430" t="s">
        <v>99</v>
      </c>
      <c r="S1430" t="s">
        <v>1244</v>
      </c>
      <c r="U1430" s="75">
        <v>261837</v>
      </c>
      <c r="V1430" t="s">
        <v>6021</v>
      </c>
      <c r="X1430" t="s">
        <v>62</v>
      </c>
      <c r="Y1430" t="s">
        <v>63</v>
      </c>
      <c r="AA1430" t="s">
        <v>81</v>
      </c>
      <c r="AB1430">
        <v>37.916665999999999</v>
      </c>
      <c r="AC1430">
        <v>35.799999999999997</v>
      </c>
      <c r="AD1430">
        <v>2.1166659999999999</v>
      </c>
      <c r="AE1430">
        <v>0.23333300000000001</v>
      </c>
      <c r="AF1430">
        <v>0</v>
      </c>
      <c r="AG1430">
        <v>1.8833329999999999</v>
      </c>
      <c r="AH1430">
        <v>1.8833329999999999</v>
      </c>
      <c r="AI1430">
        <v>0.93333299999999997</v>
      </c>
      <c r="AJ1430">
        <v>0.95</v>
      </c>
      <c r="AK1430">
        <v>0</v>
      </c>
      <c r="AL1430" s="76">
        <v>44946.44804398148</v>
      </c>
      <c r="AM1430" s="75">
        <v>1217</v>
      </c>
      <c r="AN1430" t="s">
        <v>65</v>
      </c>
      <c r="AO1430" t="s">
        <v>695</v>
      </c>
      <c r="AP1430" t="s">
        <v>67</v>
      </c>
      <c r="AQ1430" t="s">
        <v>68</v>
      </c>
      <c r="AR1430" t="s">
        <v>69</v>
      </c>
      <c r="AT1430" s="82" t="s">
        <v>5821</v>
      </c>
      <c r="AU1430" s="78">
        <v>2026</v>
      </c>
      <c r="AV1430" s="78">
        <v>5</v>
      </c>
      <c r="AW1430" s="78" t="s">
        <v>71</v>
      </c>
      <c r="AX1430" s="78">
        <v>1</v>
      </c>
      <c r="AY1430" s="78">
        <v>0</v>
      </c>
      <c r="BT1430" t="s">
        <v>71</v>
      </c>
      <c r="BU1430">
        <v>1</v>
      </c>
      <c r="BV1430">
        <v>0</v>
      </c>
    </row>
    <row r="1431" spans="1:74" x14ac:dyDescent="0.25">
      <c r="A1431" s="75">
        <v>5971969</v>
      </c>
      <c r="B1431" t="s">
        <v>6022</v>
      </c>
      <c r="C1431" t="s">
        <v>5916</v>
      </c>
      <c r="D1431" t="s">
        <v>125</v>
      </c>
      <c r="E1431" t="s">
        <v>87</v>
      </c>
      <c r="F1431" s="75">
        <v>363</v>
      </c>
      <c r="G1431" s="75">
        <v>286767</v>
      </c>
      <c r="H1431">
        <v>364.96</v>
      </c>
      <c r="I1431" t="s">
        <v>55</v>
      </c>
      <c r="J1431" s="75">
        <v>218787</v>
      </c>
      <c r="K1431" t="s">
        <v>96</v>
      </c>
      <c r="L1431" t="s">
        <v>97</v>
      </c>
      <c r="M1431" s="81">
        <v>46163.882511574076</v>
      </c>
      <c r="N1431" s="81">
        <v>46165.429756944453</v>
      </c>
      <c r="O1431" t="s">
        <v>58</v>
      </c>
      <c r="P1431" t="s">
        <v>59</v>
      </c>
      <c r="Q1431" t="s">
        <v>90</v>
      </c>
      <c r="R1431" t="s">
        <v>99</v>
      </c>
      <c r="S1431" t="s">
        <v>1244</v>
      </c>
      <c r="U1431" s="75">
        <v>261845</v>
      </c>
      <c r="V1431" t="s">
        <v>6023</v>
      </c>
      <c r="X1431" t="s">
        <v>62</v>
      </c>
      <c r="Y1431" t="s">
        <v>63</v>
      </c>
      <c r="AA1431" t="s">
        <v>81</v>
      </c>
      <c r="AB1431">
        <v>37.066668</v>
      </c>
      <c r="AC1431">
        <v>34.933334000000002</v>
      </c>
      <c r="AD1431">
        <v>2.1333340000000001</v>
      </c>
      <c r="AE1431">
        <v>0.31666699999999998</v>
      </c>
      <c r="AF1431">
        <v>0</v>
      </c>
      <c r="AG1431">
        <v>1.816667</v>
      </c>
      <c r="AH1431">
        <v>1.816667</v>
      </c>
      <c r="AI1431">
        <v>1.483333</v>
      </c>
      <c r="AJ1431">
        <v>0.33333400000000002</v>
      </c>
      <c r="AK1431">
        <v>0</v>
      </c>
      <c r="AL1431" s="76">
        <v>44980</v>
      </c>
      <c r="AM1431" s="75">
        <v>1183</v>
      </c>
      <c r="AN1431" t="s">
        <v>65</v>
      </c>
      <c r="AO1431" t="s">
        <v>5918</v>
      </c>
      <c r="AP1431" t="s">
        <v>67</v>
      </c>
      <c r="AQ1431" t="s">
        <v>68</v>
      </c>
      <c r="AR1431" t="s">
        <v>69</v>
      </c>
      <c r="AT1431" s="82" t="s">
        <v>5821</v>
      </c>
      <c r="AU1431" s="78">
        <v>2026</v>
      </c>
      <c r="AV1431" s="78">
        <v>5</v>
      </c>
      <c r="AW1431" s="78" t="s">
        <v>71</v>
      </c>
      <c r="AX1431" s="78">
        <v>1</v>
      </c>
      <c r="AY1431" s="78">
        <v>0</v>
      </c>
      <c r="BT1431" t="s">
        <v>71</v>
      </c>
      <c r="BU1431">
        <v>1</v>
      </c>
      <c r="BV1431">
        <v>0</v>
      </c>
    </row>
    <row r="1432" spans="1:74" x14ac:dyDescent="0.25">
      <c r="A1432" s="75">
        <v>5971983</v>
      </c>
      <c r="B1432" t="s">
        <v>6024</v>
      </c>
      <c r="C1432" t="s">
        <v>3602</v>
      </c>
      <c r="D1432" t="s">
        <v>125</v>
      </c>
      <c r="E1432" t="s">
        <v>87</v>
      </c>
      <c r="F1432" s="75">
        <v>385</v>
      </c>
      <c r="G1432" s="75">
        <v>286823</v>
      </c>
      <c r="H1432">
        <v>364.96</v>
      </c>
      <c r="I1432" t="s">
        <v>55</v>
      </c>
      <c r="J1432" s="75">
        <v>218787</v>
      </c>
      <c r="K1432" t="s">
        <v>96</v>
      </c>
      <c r="L1432" t="s">
        <v>97</v>
      </c>
      <c r="M1432" s="81">
        <v>46163.896562499998</v>
      </c>
      <c r="N1432" s="81">
        <v>46165.429976851847</v>
      </c>
      <c r="O1432" t="s">
        <v>58</v>
      </c>
      <c r="P1432" t="s">
        <v>59</v>
      </c>
      <c r="Q1432" t="s">
        <v>90</v>
      </c>
      <c r="R1432" t="s">
        <v>99</v>
      </c>
      <c r="S1432" t="s">
        <v>1244</v>
      </c>
      <c r="U1432" s="75">
        <v>261851</v>
      </c>
      <c r="V1432" t="s">
        <v>6025</v>
      </c>
      <c r="W1432" t="s">
        <v>6025</v>
      </c>
      <c r="X1432" t="s">
        <v>62</v>
      </c>
      <c r="Y1432" t="s">
        <v>63</v>
      </c>
      <c r="AA1432" t="s">
        <v>81</v>
      </c>
      <c r="AB1432">
        <v>36.733333000000002</v>
      </c>
      <c r="AC1432">
        <v>34.700000000000003</v>
      </c>
      <c r="AD1432">
        <v>2.0333329999999998</v>
      </c>
      <c r="AE1432">
        <v>0.26666600000000001</v>
      </c>
      <c r="AF1432">
        <v>0</v>
      </c>
      <c r="AG1432">
        <v>1.766667</v>
      </c>
      <c r="AH1432">
        <v>1.766667</v>
      </c>
      <c r="AI1432">
        <v>1.4</v>
      </c>
      <c r="AJ1432">
        <v>0.36666700000000002</v>
      </c>
      <c r="AK1432">
        <v>0</v>
      </c>
      <c r="AL1432" s="76">
        <v>44981</v>
      </c>
      <c r="AM1432" s="75">
        <v>1182</v>
      </c>
      <c r="AN1432" t="s">
        <v>65</v>
      </c>
      <c r="AO1432" t="s">
        <v>3604</v>
      </c>
      <c r="AP1432" t="s">
        <v>67</v>
      </c>
      <c r="AQ1432" t="s">
        <v>68</v>
      </c>
      <c r="AR1432" t="s">
        <v>69</v>
      </c>
      <c r="AT1432" s="82" t="s">
        <v>5821</v>
      </c>
      <c r="AU1432" s="78">
        <v>2026</v>
      </c>
      <c r="AV1432" s="78">
        <v>5</v>
      </c>
      <c r="AW1432" s="78" t="s">
        <v>71</v>
      </c>
      <c r="AX1432" s="78">
        <v>1</v>
      </c>
      <c r="AY1432" s="78">
        <v>0</v>
      </c>
      <c r="BT1432" t="s">
        <v>71</v>
      </c>
      <c r="BU1432">
        <v>1</v>
      </c>
      <c r="BV1432">
        <v>0</v>
      </c>
    </row>
    <row r="1433" spans="1:74" x14ac:dyDescent="0.25">
      <c r="A1433" s="75">
        <v>5971985</v>
      </c>
      <c r="B1433" t="s">
        <v>6026</v>
      </c>
      <c r="C1433" t="s">
        <v>6027</v>
      </c>
      <c r="D1433" t="s">
        <v>125</v>
      </c>
      <c r="E1433" t="s">
        <v>87</v>
      </c>
      <c r="F1433" s="75">
        <v>443</v>
      </c>
      <c r="G1433" s="75">
        <v>289315</v>
      </c>
      <c r="H1433">
        <v>368.16</v>
      </c>
      <c r="I1433" t="s">
        <v>55</v>
      </c>
      <c r="J1433" s="75">
        <v>218791</v>
      </c>
      <c r="K1433" t="s">
        <v>312</v>
      </c>
      <c r="L1433" t="s">
        <v>313</v>
      </c>
      <c r="M1433" s="81">
        <v>46163.896597222221</v>
      </c>
      <c r="N1433" s="81">
        <v>46165.430173611108</v>
      </c>
      <c r="O1433" t="s">
        <v>58</v>
      </c>
      <c r="P1433" t="s">
        <v>59</v>
      </c>
      <c r="Q1433" t="s">
        <v>90</v>
      </c>
      <c r="R1433" t="s">
        <v>99</v>
      </c>
      <c r="S1433" t="s">
        <v>1244</v>
      </c>
      <c r="U1433" s="75">
        <v>261849</v>
      </c>
      <c r="V1433" t="s">
        <v>6028</v>
      </c>
      <c r="W1433" t="s">
        <v>6028</v>
      </c>
      <c r="X1433" t="s">
        <v>62</v>
      </c>
      <c r="Y1433" t="s">
        <v>63</v>
      </c>
      <c r="AA1433" t="s">
        <v>81</v>
      </c>
      <c r="AB1433">
        <v>36.766666000000001</v>
      </c>
      <c r="AC1433">
        <v>34.733333000000002</v>
      </c>
      <c r="AD1433">
        <v>2.0333329999999998</v>
      </c>
      <c r="AE1433">
        <v>0.2</v>
      </c>
      <c r="AF1433">
        <v>0</v>
      </c>
      <c r="AG1433">
        <v>1.8333330000000001</v>
      </c>
      <c r="AH1433">
        <v>1.8333330000000001</v>
      </c>
      <c r="AI1433">
        <v>1.433333</v>
      </c>
      <c r="AJ1433">
        <v>0.4</v>
      </c>
      <c r="AK1433">
        <v>0</v>
      </c>
      <c r="AL1433" s="76">
        <v>45012.757280092592</v>
      </c>
      <c r="AM1433" s="75">
        <v>1151</v>
      </c>
      <c r="AN1433" t="s">
        <v>65</v>
      </c>
      <c r="AO1433" t="s">
        <v>3547</v>
      </c>
      <c r="AP1433" t="s">
        <v>67</v>
      </c>
      <c r="AQ1433" t="s">
        <v>68</v>
      </c>
      <c r="AR1433" t="s">
        <v>69</v>
      </c>
      <c r="AT1433" s="82" t="s">
        <v>5821</v>
      </c>
      <c r="AU1433" s="78">
        <v>2026</v>
      </c>
      <c r="AV1433" s="78">
        <v>5</v>
      </c>
      <c r="AW1433" s="78" t="s">
        <v>71</v>
      </c>
      <c r="AX1433" s="78">
        <v>1</v>
      </c>
      <c r="AY1433" s="78">
        <v>0</v>
      </c>
      <c r="BT1433" t="s">
        <v>71</v>
      </c>
      <c r="BU1433">
        <v>1</v>
      </c>
      <c r="BV1433">
        <v>0</v>
      </c>
    </row>
    <row r="1434" spans="1:74" x14ac:dyDescent="0.25">
      <c r="A1434" s="75">
        <v>5969673</v>
      </c>
      <c r="B1434" t="s">
        <v>6029</v>
      </c>
      <c r="C1434" t="s">
        <v>6030</v>
      </c>
      <c r="D1434" t="s">
        <v>125</v>
      </c>
      <c r="E1434" t="s">
        <v>87</v>
      </c>
      <c r="F1434" s="75">
        <v>28</v>
      </c>
      <c r="G1434" s="75">
        <v>275243</v>
      </c>
      <c r="H1434">
        <v>569.71</v>
      </c>
      <c r="I1434" t="s">
        <v>55</v>
      </c>
      <c r="J1434" s="75">
        <v>216233</v>
      </c>
      <c r="K1434" t="s">
        <v>88</v>
      </c>
      <c r="L1434" t="s">
        <v>89</v>
      </c>
      <c r="M1434" s="81">
        <v>46162.6327662037</v>
      </c>
      <c r="N1434" s="81">
        <v>46165.433969907397</v>
      </c>
      <c r="O1434" t="s">
        <v>58</v>
      </c>
      <c r="P1434" t="s">
        <v>59</v>
      </c>
      <c r="Q1434" t="s">
        <v>90</v>
      </c>
      <c r="R1434" t="s">
        <v>131</v>
      </c>
      <c r="S1434" t="s">
        <v>1316</v>
      </c>
      <c r="U1434" s="75">
        <v>260625</v>
      </c>
      <c r="V1434" t="s">
        <v>6031</v>
      </c>
      <c r="W1434" t="s">
        <v>6032</v>
      </c>
      <c r="X1434" t="s">
        <v>62</v>
      </c>
      <c r="Y1434" t="s">
        <v>63</v>
      </c>
      <c r="AA1434" t="s">
        <v>416</v>
      </c>
      <c r="AB1434">
        <v>67.133332999999993</v>
      </c>
      <c r="AC1434">
        <v>54</v>
      </c>
      <c r="AD1434">
        <v>13.133333</v>
      </c>
      <c r="AE1434">
        <v>0.81666700000000003</v>
      </c>
      <c r="AF1434">
        <v>0</v>
      </c>
      <c r="AG1434">
        <v>12.316666</v>
      </c>
      <c r="AH1434">
        <v>12.316666</v>
      </c>
      <c r="AI1434">
        <v>11.633333</v>
      </c>
      <c r="AJ1434">
        <v>0.68333299999999997</v>
      </c>
      <c r="AK1434">
        <v>0</v>
      </c>
      <c r="AL1434" s="76">
        <v>44981</v>
      </c>
      <c r="AM1434" s="75">
        <v>1181</v>
      </c>
      <c r="AN1434" t="s">
        <v>65</v>
      </c>
      <c r="AO1434" t="s">
        <v>6033</v>
      </c>
      <c r="AP1434" t="s">
        <v>67</v>
      </c>
      <c r="AQ1434" t="s">
        <v>68</v>
      </c>
      <c r="AR1434" t="s">
        <v>69</v>
      </c>
      <c r="AT1434" s="82" t="s">
        <v>5821</v>
      </c>
      <c r="AU1434" s="78">
        <v>2026</v>
      </c>
      <c r="AV1434" s="78">
        <v>5</v>
      </c>
      <c r="AW1434" s="78" t="s">
        <v>71</v>
      </c>
      <c r="AX1434" s="78">
        <v>0</v>
      </c>
      <c r="AY1434" s="78">
        <v>0</v>
      </c>
      <c r="BT1434" t="s">
        <v>71</v>
      </c>
      <c r="BU1434">
        <v>0</v>
      </c>
      <c r="BV1434">
        <v>0</v>
      </c>
    </row>
    <row r="1435" spans="1:74" x14ac:dyDescent="0.25">
      <c r="A1435" s="75">
        <v>5968651</v>
      </c>
      <c r="B1435" t="s">
        <v>6034</v>
      </c>
      <c r="C1435" t="s">
        <v>6035</v>
      </c>
      <c r="D1435" t="s">
        <v>125</v>
      </c>
      <c r="E1435" t="s">
        <v>87</v>
      </c>
      <c r="F1435" s="75">
        <v>24</v>
      </c>
      <c r="G1435" s="75">
        <v>290963</v>
      </c>
      <c r="H1435">
        <v>2914.74</v>
      </c>
      <c r="I1435" t="s">
        <v>114</v>
      </c>
      <c r="J1435" s="75">
        <v>52957</v>
      </c>
      <c r="K1435" t="s">
        <v>575</v>
      </c>
      <c r="L1435" t="s">
        <v>576</v>
      </c>
      <c r="M1435" s="81">
        <v>46162.250335648147</v>
      </c>
      <c r="N1435" s="81">
        <v>46165.435127314813</v>
      </c>
      <c r="O1435" t="s">
        <v>58</v>
      </c>
      <c r="P1435" t="s">
        <v>59</v>
      </c>
      <c r="Q1435" t="s">
        <v>90</v>
      </c>
      <c r="R1435" t="s">
        <v>60</v>
      </c>
      <c r="S1435" t="s">
        <v>583</v>
      </c>
      <c r="U1435" s="75">
        <v>260601</v>
      </c>
      <c r="V1435" t="s">
        <v>6036</v>
      </c>
      <c r="W1435" t="s">
        <v>6037</v>
      </c>
      <c r="X1435" t="s">
        <v>118</v>
      </c>
      <c r="Y1435" t="s">
        <v>1468</v>
      </c>
      <c r="AA1435" t="s">
        <v>416</v>
      </c>
      <c r="AB1435">
        <v>76.350001000000006</v>
      </c>
      <c r="AC1435">
        <v>57.8</v>
      </c>
      <c r="AD1435">
        <v>18.550001000000002</v>
      </c>
      <c r="AE1435">
        <v>1.533334</v>
      </c>
      <c r="AF1435">
        <v>0</v>
      </c>
      <c r="AG1435">
        <v>17.016667000000002</v>
      </c>
      <c r="AH1435">
        <v>17.016667000000002</v>
      </c>
      <c r="AI1435">
        <v>16.466667000000001</v>
      </c>
      <c r="AJ1435">
        <v>0.55000000000000004</v>
      </c>
      <c r="AK1435">
        <v>0</v>
      </c>
      <c r="AL1435" s="76">
        <v>45168</v>
      </c>
      <c r="AM1435" s="75">
        <v>994</v>
      </c>
      <c r="AN1435" t="s">
        <v>65</v>
      </c>
      <c r="AO1435" t="s">
        <v>6038</v>
      </c>
      <c r="AP1435" t="s">
        <v>67</v>
      </c>
      <c r="AQ1435" t="s">
        <v>121</v>
      </c>
      <c r="AR1435" t="s">
        <v>69</v>
      </c>
      <c r="AT1435" s="82" t="s">
        <v>5821</v>
      </c>
      <c r="AU1435" s="78">
        <v>2026</v>
      </c>
      <c r="AV1435" s="78">
        <v>5</v>
      </c>
      <c r="AW1435" s="78" t="s">
        <v>347</v>
      </c>
      <c r="AX1435" s="78">
        <v>0</v>
      </c>
      <c r="AY1435" s="78">
        <v>0</v>
      </c>
      <c r="BT1435" t="s">
        <v>347</v>
      </c>
      <c r="BU1435">
        <v>0</v>
      </c>
      <c r="BV1435">
        <v>0</v>
      </c>
    </row>
    <row r="1436" spans="1:74" x14ac:dyDescent="0.25">
      <c r="A1436" s="75">
        <v>5972953</v>
      </c>
      <c r="B1436" t="s">
        <v>6039</v>
      </c>
      <c r="C1436" t="s">
        <v>6040</v>
      </c>
      <c r="D1436" t="s">
        <v>125</v>
      </c>
      <c r="E1436" t="s">
        <v>87</v>
      </c>
      <c r="F1436" s="75">
        <v>393</v>
      </c>
      <c r="G1436" s="75">
        <v>286891</v>
      </c>
      <c r="H1436">
        <v>364.96</v>
      </c>
      <c r="I1436" t="s">
        <v>55</v>
      </c>
      <c r="J1436" s="75">
        <v>218787</v>
      </c>
      <c r="K1436" t="s">
        <v>96</v>
      </c>
      <c r="L1436" t="s">
        <v>97</v>
      </c>
      <c r="M1436" s="81">
        <v>46164.491111111107</v>
      </c>
      <c r="N1436" s="81">
        <v>46165.466817129629</v>
      </c>
      <c r="O1436" t="s">
        <v>58</v>
      </c>
      <c r="P1436" t="s">
        <v>59</v>
      </c>
      <c r="Q1436" t="s">
        <v>2562</v>
      </c>
      <c r="R1436" t="s">
        <v>60</v>
      </c>
      <c r="S1436" t="s">
        <v>583</v>
      </c>
      <c r="U1436" s="75">
        <v>262649</v>
      </c>
      <c r="V1436" t="s">
        <v>6041</v>
      </c>
      <c r="W1436" t="s">
        <v>6041</v>
      </c>
      <c r="X1436" t="s">
        <v>62</v>
      </c>
      <c r="Y1436" t="s">
        <v>63</v>
      </c>
      <c r="AA1436" t="s">
        <v>64</v>
      </c>
      <c r="AB1436">
        <v>23.366665999999999</v>
      </c>
      <c r="AC1436">
        <v>17.850000000000001</v>
      </c>
      <c r="AD1436">
        <v>5.5166659999999998</v>
      </c>
      <c r="AE1436">
        <v>0.5</v>
      </c>
      <c r="AF1436">
        <v>0</v>
      </c>
      <c r="AG1436">
        <v>5.0166659999999998</v>
      </c>
      <c r="AH1436">
        <v>5.0166659999999998</v>
      </c>
      <c r="AI1436">
        <v>4.5833329999999997</v>
      </c>
      <c r="AJ1436">
        <v>0.43333300000000002</v>
      </c>
      <c r="AK1436">
        <v>0</v>
      </c>
      <c r="AL1436" s="76">
        <v>44974</v>
      </c>
      <c r="AM1436" s="75">
        <v>1190</v>
      </c>
      <c r="AN1436" t="s">
        <v>65</v>
      </c>
      <c r="AO1436" t="s">
        <v>328</v>
      </c>
      <c r="AP1436" t="s">
        <v>67</v>
      </c>
      <c r="AQ1436" t="s">
        <v>68</v>
      </c>
      <c r="AR1436" t="s">
        <v>69</v>
      </c>
      <c r="AT1436" s="82" t="s">
        <v>5821</v>
      </c>
      <c r="AU1436" s="78">
        <v>2026</v>
      </c>
      <c r="AV1436" s="78">
        <v>5</v>
      </c>
      <c r="AW1436" s="78" t="s">
        <v>71</v>
      </c>
      <c r="AX1436" s="78">
        <v>1</v>
      </c>
      <c r="AY1436" s="78">
        <v>0</v>
      </c>
      <c r="BT1436" t="s">
        <v>71</v>
      </c>
      <c r="BU1436">
        <v>1</v>
      </c>
      <c r="BV1436">
        <v>0</v>
      </c>
    </row>
    <row r="1437" spans="1:74" x14ac:dyDescent="0.25">
      <c r="A1437" s="75">
        <v>5973835</v>
      </c>
      <c r="B1437" t="s">
        <v>6042</v>
      </c>
      <c r="C1437" t="s">
        <v>6043</v>
      </c>
      <c r="D1437" t="s">
        <v>2379</v>
      </c>
      <c r="E1437" t="s">
        <v>105</v>
      </c>
      <c r="F1437" s="75">
        <v>1222</v>
      </c>
      <c r="G1437" s="75">
        <v>340853</v>
      </c>
      <c r="H1437">
        <v>442.11</v>
      </c>
      <c r="I1437" t="s">
        <v>175</v>
      </c>
      <c r="J1437" s="75">
        <v>83605</v>
      </c>
      <c r="K1437" t="s">
        <v>844</v>
      </c>
      <c r="L1437" t="s">
        <v>845</v>
      </c>
      <c r="M1437" s="81">
        <v>46164.805960648147</v>
      </c>
      <c r="N1437" s="81">
        <v>46165.519247685188</v>
      </c>
      <c r="O1437" t="s">
        <v>58</v>
      </c>
      <c r="P1437" t="s">
        <v>59</v>
      </c>
      <c r="Q1437" t="s">
        <v>90</v>
      </c>
      <c r="R1437" t="s">
        <v>60</v>
      </c>
      <c r="S1437" t="s">
        <v>583</v>
      </c>
      <c r="U1437" s="75">
        <v>262931</v>
      </c>
      <c r="V1437" t="s">
        <v>6044</v>
      </c>
      <c r="W1437" t="s">
        <v>6045</v>
      </c>
      <c r="X1437" t="s">
        <v>62</v>
      </c>
      <c r="Y1437" t="s">
        <v>63</v>
      </c>
      <c r="AA1437" t="s">
        <v>81</v>
      </c>
      <c r="AB1437">
        <v>17.066666999999999</v>
      </c>
      <c r="AC1437">
        <v>13.883333</v>
      </c>
      <c r="AD1437">
        <v>3.1833339999999999</v>
      </c>
      <c r="AE1437">
        <v>0.36666700000000002</v>
      </c>
      <c r="AF1437">
        <v>0</v>
      </c>
      <c r="AG1437">
        <v>2.8166669999999998</v>
      </c>
      <c r="AH1437">
        <v>2.8166669999999998</v>
      </c>
      <c r="AI1437">
        <v>2.766667</v>
      </c>
      <c r="AJ1437">
        <v>0.05</v>
      </c>
      <c r="AK1437">
        <v>0</v>
      </c>
      <c r="AL1437" s="76">
        <v>45869.70894675926</v>
      </c>
      <c r="AM1437" s="75">
        <v>295</v>
      </c>
      <c r="AN1437" t="s">
        <v>65</v>
      </c>
      <c r="AO1437" t="s">
        <v>3777</v>
      </c>
      <c r="AP1437" t="s">
        <v>67</v>
      </c>
      <c r="AQ1437" t="s">
        <v>68</v>
      </c>
      <c r="AR1437" t="s">
        <v>69</v>
      </c>
      <c r="AT1437" s="82" t="s">
        <v>5821</v>
      </c>
      <c r="AU1437" s="78">
        <v>2026</v>
      </c>
      <c r="AV1437" s="78">
        <v>5</v>
      </c>
      <c r="AW1437" s="78" t="s">
        <v>71</v>
      </c>
      <c r="AX1437" s="78">
        <v>1</v>
      </c>
      <c r="AY1437" s="78">
        <v>0</v>
      </c>
      <c r="BT1437" t="s">
        <v>71</v>
      </c>
      <c r="BU1437">
        <v>1</v>
      </c>
      <c r="BV1437">
        <v>0</v>
      </c>
    </row>
    <row r="1438" spans="1:74" x14ac:dyDescent="0.25">
      <c r="A1438" s="75">
        <v>5975663</v>
      </c>
      <c r="B1438" t="s">
        <v>6046</v>
      </c>
      <c r="C1438" t="s">
        <v>6047</v>
      </c>
      <c r="D1438" t="s">
        <v>527</v>
      </c>
      <c r="E1438" t="s">
        <v>87</v>
      </c>
      <c r="F1438" s="75">
        <v>545</v>
      </c>
      <c r="G1438" s="75">
        <v>298909</v>
      </c>
      <c r="H1438">
        <v>0.01</v>
      </c>
      <c r="I1438" t="s">
        <v>1405</v>
      </c>
      <c r="J1438" s="75">
        <v>216233</v>
      </c>
      <c r="K1438" t="s">
        <v>88</v>
      </c>
      <c r="L1438" t="s">
        <v>89</v>
      </c>
      <c r="M1438" s="81">
        <v>46166.697083333333</v>
      </c>
      <c r="N1438" s="81">
        <v>46167.297060185178</v>
      </c>
      <c r="O1438" t="s">
        <v>277</v>
      </c>
      <c r="P1438" t="s">
        <v>59</v>
      </c>
      <c r="Q1438" t="s">
        <v>905</v>
      </c>
      <c r="R1438" t="s">
        <v>99</v>
      </c>
      <c r="S1438" t="s">
        <v>1244</v>
      </c>
      <c r="U1438" s="75">
        <v>263315</v>
      </c>
      <c r="V1438" t="s">
        <v>6048</v>
      </c>
      <c r="X1438" t="s">
        <v>62</v>
      </c>
      <c r="Y1438" t="s">
        <v>63</v>
      </c>
      <c r="AA1438" t="s">
        <v>416</v>
      </c>
      <c r="AB1438">
        <v>14.333333</v>
      </c>
      <c r="AC1438">
        <v>0</v>
      </c>
      <c r="AD1438">
        <v>14.333333</v>
      </c>
      <c r="AE1438">
        <v>0.216666</v>
      </c>
      <c r="AF1438">
        <v>0.13333300000000001</v>
      </c>
      <c r="AG1438">
        <v>14.116667</v>
      </c>
      <c r="AI1438">
        <v>13.9</v>
      </c>
      <c r="AJ1438">
        <v>0.216667</v>
      </c>
      <c r="AK1438">
        <v>0</v>
      </c>
      <c r="AL1438" s="76">
        <v>45742.36855324074</v>
      </c>
      <c r="AM1438" s="75">
        <v>424</v>
      </c>
      <c r="AN1438" t="s">
        <v>65</v>
      </c>
      <c r="AO1438" t="s">
        <v>2303</v>
      </c>
      <c r="AP1438" t="s">
        <v>67</v>
      </c>
      <c r="AQ1438" t="s">
        <v>68</v>
      </c>
      <c r="AR1438" t="s">
        <v>69</v>
      </c>
      <c r="AT1438" s="82" t="s">
        <v>6049</v>
      </c>
      <c r="AU1438" s="78">
        <v>2026</v>
      </c>
      <c r="AV1438" s="78">
        <v>5</v>
      </c>
      <c r="AW1438" s="78" t="s">
        <v>71</v>
      </c>
      <c r="AX1438" s="78">
        <v>0</v>
      </c>
      <c r="AY1438" s="78">
        <v>0</v>
      </c>
      <c r="BT1438" t="s">
        <v>71</v>
      </c>
      <c r="BU1438">
        <v>0</v>
      </c>
      <c r="BV1438">
        <v>0</v>
      </c>
    </row>
    <row r="1439" spans="1:74" x14ac:dyDescent="0.25">
      <c r="A1439" s="75">
        <v>5974325</v>
      </c>
      <c r="B1439" t="s">
        <v>6050</v>
      </c>
      <c r="C1439" t="s">
        <v>6051</v>
      </c>
      <c r="D1439" t="s">
        <v>527</v>
      </c>
      <c r="E1439" t="s">
        <v>87</v>
      </c>
      <c r="F1439" s="75">
        <v>1</v>
      </c>
      <c r="G1439" s="75">
        <v>250369</v>
      </c>
      <c r="H1439">
        <v>1175</v>
      </c>
      <c r="I1439" t="s">
        <v>114</v>
      </c>
      <c r="J1439" s="75">
        <v>204303</v>
      </c>
      <c r="K1439" t="s">
        <v>1877</v>
      </c>
      <c r="L1439" t="s">
        <v>1878</v>
      </c>
      <c r="M1439" s="81">
        <v>46165.472592592603</v>
      </c>
      <c r="N1439" s="81">
        <v>46167.338958333326</v>
      </c>
      <c r="O1439" t="s">
        <v>624</v>
      </c>
      <c r="P1439" t="s">
        <v>59</v>
      </c>
      <c r="Q1439" t="s">
        <v>90</v>
      </c>
      <c r="R1439" t="s">
        <v>99</v>
      </c>
      <c r="S1439" t="s">
        <v>1244</v>
      </c>
      <c r="U1439" s="75"/>
      <c r="X1439" t="s">
        <v>118</v>
      </c>
      <c r="Y1439" t="s">
        <v>119</v>
      </c>
      <c r="AA1439" t="s">
        <v>81</v>
      </c>
      <c r="AB1439">
        <v>44.750000999999997</v>
      </c>
      <c r="AC1439">
        <v>43.5</v>
      </c>
      <c r="AD1439">
        <v>1.2500009999999999</v>
      </c>
      <c r="AE1439">
        <v>0.98333400000000004</v>
      </c>
      <c r="AF1439">
        <v>0</v>
      </c>
      <c r="AG1439">
        <v>0.26666699999999999</v>
      </c>
      <c r="AH1439">
        <v>0.26666699999999999</v>
      </c>
      <c r="AI1439">
        <v>0</v>
      </c>
      <c r="AJ1439">
        <v>0.26666699999999999</v>
      </c>
      <c r="AK1439">
        <v>0</v>
      </c>
      <c r="AL1439" s="76">
        <v>44606</v>
      </c>
      <c r="AM1439" s="75">
        <v>1559</v>
      </c>
      <c r="AN1439" t="s">
        <v>65</v>
      </c>
      <c r="AO1439" t="s">
        <v>6052</v>
      </c>
      <c r="AP1439" t="s">
        <v>67</v>
      </c>
      <c r="AQ1439" t="s">
        <v>121</v>
      </c>
      <c r="AR1439" t="s">
        <v>69</v>
      </c>
      <c r="AT1439" s="82" t="s">
        <v>6049</v>
      </c>
      <c r="AU1439" s="78">
        <v>2026</v>
      </c>
      <c r="AV1439" s="78">
        <v>5</v>
      </c>
      <c r="AW1439" s="78" t="s">
        <v>122</v>
      </c>
      <c r="AX1439" s="78">
        <v>1</v>
      </c>
      <c r="AY1439" s="78">
        <v>0</v>
      </c>
      <c r="BT1439" t="s">
        <v>122</v>
      </c>
      <c r="BU1439">
        <v>1</v>
      </c>
      <c r="BV1439">
        <v>0</v>
      </c>
    </row>
    <row r="1440" spans="1:74" x14ac:dyDescent="0.25">
      <c r="A1440" s="75">
        <v>5974327</v>
      </c>
      <c r="B1440" t="s">
        <v>6053</v>
      </c>
      <c r="C1440" t="s">
        <v>5782</v>
      </c>
      <c r="D1440" t="s">
        <v>527</v>
      </c>
      <c r="E1440" t="s">
        <v>87</v>
      </c>
      <c r="F1440" s="75">
        <v>12</v>
      </c>
      <c r="G1440" s="75">
        <v>250805</v>
      </c>
      <c r="H1440">
        <v>2083.33</v>
      </c>
      <c r="I1440" t="s">
        <v>114</v>
      </c>
      <c r="J1440" s="75">
        <v>203391</v>
      </c>
      <c r="K1440" t="s">
        <v>622</v>
      </c>
      <c r="L1440" t="s">
        <v>623</v>
      </c>
      <c r="M1440" s="81">
        <v>46165.472604166673</v>
      </c>
      <c r="N1440" s="81">
        <v>46167.339097222219</v>
      </c>
      <c r="O1440" t="s">
        <v>624</v>
      </c>
      <c r="P1440" t="s">
        <v>59</v>
      </c>
      <c r="Q1440" t="s">
        <v>90</v>
      </c>
      <c r="R1440" t="s">
        <v>99</v>
      </c>
      <c r="S1440" t="s">
        <v>1244</v>
      </c>
      <c r="U1440" s="75"/>
      <c r="X1440" t="s">
        <v>118</v>
      </c>
      <c r="Y1440" t="s">
        <v>119</v>
      </c>
      <c r="AA1440" t="s">
        <v>81</v>
      </c>
      <c r="AB1440">
        <v>44.766668000000003</v>
      </c>
      <c r="AC1440">
        <v>43.516666999999998</v>
      </c>
      <c r="AD1440">
        <v>1.2500009999999999</v>
      </c>
      <c r="AE1440">
        <v>0.98333400000000004</v>
      </c>
      <c r="AF1440">
        <v>0</v>
      </c>
      <c r="AG1440">
        <v>0.26666699999999999</v>
      </c>
      <c r="AH1440">
        <v>0.26666699999999999</v>
      </c>
      <c r="AI1440">
        <v>0</v>
      </c>
      <c r="AJ1440">
        <v>0.26666699999999999</v>
      </c>
      <c r="AK1440">
        <v>0</v>
      </c>
      <c r="AL1440" s="76">
        <v>44624</v>
      </c>
      <c r="AM1440" s="75">
        <v>1541</v>
      </c>
      <c r="AN1440" t="s">
        <v>65</v>
      </c>
      <c r="AO1440" t="s">
        <v>5784</v>
      </c>
      <c r="AP1440" t="s">
        <v>67</v>
      </c>
      <c r="AQ1440" t="s">
        <v>121</v>
      </c>
      <c r="AR1440" t="s">
        <v>69</v>
      </c>
      <c r="AT1440" s="82" t="s">
        <v>6049</v>
      </c>
      <c r="AU1440" s="78">
        <v>2026</v>
      </c>
      <c r="AV1440" s="78">
        <v>5</v>
      </c>
      <c r="AW1440" s="78" t="s">
        <v>122</v>
      </c>
      <c r="AX1440" s="78">
        <v>1</v>
      </c>
      <c r="AY1440" s="78">
        <v>0</v>
      </c>
      <c r="BT1440" t="s">
        <v>122</v>
      </c>
      <c r="BU1440">
        <v>1</v>
      </c>
      <c r="BV1440">
        <v>0</v>
      </c>
    </row>
    <row r="1441" spans="1:74" x14ac:dyDescent="0.25">
      <c r="A1441" s="75">
        <v>5973841</v>
      </c>
      <c r="B1441" t="s">
        <v>6054</v>
      </c>
      <c r="C1441" t="s">
        <v>6055</v>
      </c>
      <c r="D1441" t="s">
        <v>527</v>
      </c>
      <c r="E1441" t="s">
        <v>54</v>
      </c>
      <c r="F1441" s="75">
        <v>163</v>
      </c>
      <c r="G1441" s="75">
        <v>332635</v>
      </c>
      <c r="H1441">
        <v>300</v>
      </c>
      <c r="I1441" t="s">
        <v>5470</v>
      </c>
      <c r="J1441" s="75">
        <v>13955</v>
      </c>
      <c r="K1441" t="s">
        <v>75</v>
      </c>
      <c r="L1441" t="s">
        <v>76</v>
      </c>
      <c r="M1441" s="81">
        <v>46164.812800925924</v>
      </c>
      <c r="N1441" s="81">
        <v>46167.428935185177</v>
      </c>
      <c r="O1441" t="s">
        <v>58</v>
      </c>
      <c r="P1441" t="s">
        <v>59</v>
      </c>
      <c r="Q1441" t="s">
        <v>90</v>
      </c>
      <c r="R1441" t="s">
        <v>60</v>
      </c>
      <c r="S1441" t="s">
        <v>583</v>
      </c>
      <c r="U1441" s="75">
        <v>262929</v>
      </c>
      <c r="V1441" t="s">
        <v>6056</v>
      </c>
      <c r="W1441" t="s">
        <v>6056</v>
      </c>
      <c r="X1441" t="s">
        <v>118</v>
      </c>
      <c r="Y1441" t="s">
        <v>119</v>
      </c>
      <c r="AA1441" t="s">
        <v>81</v>
      </c>
      <c r="AB1441">
        <v>62.75</v>
      </c>
      <c r="AC1441">
        <v>57.583334000000001</v>
      </c>
      <c r="AD1441">
        <v>5.1666660000000002</v>
      </c>
      <c r="AE1441">
        <v>2.733333</v>
      </c>
      <c r="AF1441">
        <v>0</v>
      </c>
      <c r="AG1441">
        <v>2.4333330000000002</v>
      </c>
      <c r="AH1441">
        <v>2.4333330000000002</v>
      </c>
      <c r="AI1441">
        <v>2.0833330000000001</v>
      </c>
      <c r="AJ1441">
        <v>0.35</v>
      </c>
      <c r="AK1441">
        <v>0</v>
      </c>
      <c r="AL1441" s="76">
        <v>45869.662905092591</v>
      </c>
      <c r="AM1441" s="75">
        <v>295</v>
      </c>
      <c r="AN1441" t="s">
        <v>65</v>
      </c>
      <c r="AO1441" t="s">
        <v>6057</v>
      </c>
      <c r="AP1441" t="s">
        <v>67</v>
      </c>
      <c r="AQ1441" t="s">
        <v>121</v>
      </c>
      <c r="AR1441" t="s">
        <v>69</v>
      </c>
      <c r="AT1441" s="82" t="s">
        <v>6049</v>
      </c>
      <c r="AU1441" s="78">
        <v>2026</v>
      </c>
      <c r="AV1441" s="78">
        <v>5</v>
      </c>
      <c r="AW1441" s="78" t="s">
        <v>122</v>
      </c>
      <c r="AX1441" s="78">
        <v>1</v>
      </c>
      <c r="AY1441" s="78">
        <v>0</v>
      </c>
      <c r="BT1441" t="s">
        <v>122</v>
      </c>
      <c r="BU1441">
        <v>1</v>
      </c>
      <c r="BV1441">
        <v>0</v>
      </c>
    </row>
    <row r="1442" spans="1:74" x14ac:dyDescent="0.25">
      <c r="A1442" s="75">
        <v>5974113</v>
      </c>
      <c r="B1442" t="s">
        <v>6058</v>
      </c>
      <c r="C1442" t="s">
        <v>6059</v>
      </c>
      <c r="D1442" t="s">
        <v>527</v>
      </c>
      <c r="E1442" t="s">
        <v>105</v>
      </c>
      <c r="F1442" s="75">
        <v>68</v>
      </c>
      <c r="G1442" s="75">
        <v>341605</v>
      </c>
      <c r="H1442">
        <v>1419</v>
      </c>
      <c r="I1442" t="s">
        <v>141</v>
      </c>
      <c r="J1442" s="75">
        <v>214913</v>
      </c>
      <c r="K1442" t="s">
        <v>1057</v>
      </c>
      <c r="L1442" t="s">
        <v>1058</v>
      </c>
      <c r="M1442" s="81">
        <v>46165.171597222223</v>
      </c>
      <c r="N1442" s="81">
        <v>46167.430474537039</v>
      </c>
      <c r="O1442" t="s">
        <v>58</v>
      </c>
      <c r="P1442" t="s">
        <v>59</v>
      </c>
      <c r="Q1442" t="s">
        <v>905</v>
      </c>
      <c r="R1442" t="s">
        <v>60</v>
      </c>
      <c r="S1442" t="s">
        <v>583</v>
      </c>
      <c r="U1442" s="75">
        <v>263043</v>
      </c>
      <c r="V1442" t="s">
        <v>6060</v>
      </c>
      <c r="W1442" t="s">
        <v>6060</v>
      </c>
      <c r="X1442" t="s">
        <v>62</v>
      </c>
      <c r="Y1442" t="s">
        <v>63</v>
      </c>
      <c r="AA1442" t="s">
        <v>101</v>
      </c>
      <c r="AB1442">
        <v>54.083333000000003</v>
      </c>
      <c r="AC1442">
        <v>43.416666999999997</v>
      </c>
      <c r="AD1442">
        <v>10.666665999999999</v>
      </c>
      <c r="AE1442">
        <v>0.95</v>
      </c>
      <c r="AF1442">
        <v>0</v>
      </c>
      <c r="AG1442">
        <v>9.716666</v>
      </c>
      <c r="AH1442">
        <v>9.716666</v>
      </c>
      <c r="AI1442">
        <v>8.266667</v>
      </c>
      <c r="AJ1442">
        <v>1.449999</v>
      </c>
      <c r="AK1442">
        <v>0</v>
      </c>
      <c r="AL1442" s="76">
        <v>45975.575995370367</v>
      </c>
      <c r="AM1442" s="75">
        <v>189</v>
      </c>
      <c r="AN1442" t="s">
        <v>65</v>
      </c>
      <c r="AO1442" t="s">
        <v>1164</v>
      </c>
      <c r="AP1442" t="s">
        <v>67</v>
      </c>
      <c r="AQ1442" t="s">
        <v>68</v>
      </c>
      <c r="AR1442" t="s">
        <v>69</v>
      </c>
      <c r="AT1442" s="82" t="s">
        <v>6049</v>
      </c>
      <c r="AU1442" s="78">
        <v>2026</v>
      </c>
      <c r="AV1442" s="78">
        <v>5</v>
      </c>
      <c r="AW1442" s="78" t="s">
        <v>71</v>
      </c>
      <c r="AX1442" s="78">
        <v>0</v>
      </c>
      <c r="AY1442" s="78">
        <v>0</v>
      </c>
      <c r="BT1442" t="s">
        <v>71</v>
      </c>
      <c r="BU1442">
        <v>0</v>
      </c>
      <c r="BV1442">
        <v>0</v>
      </c>
    </row>
    <row r="1443" spans="1:74" x14ac:dyDescent="0.25">
      <c r="A1443" s="75">
        <v>5972177</v>
      </c>
      <c r="B1443" t="s">
        <v>6061</v>
      </c>
      <c r="C1443" t="s">
        <v>2803</v>
      </c>
      <c r="D1443" t="s">
        <v>527</v>
      </c>
      <c r="E1443" t="s">
        <v>54</v>
      </c>
      <c r="F1443" s="75">
        <v>1</v>
      </c>
      <c r="G1443" s="75">
        <v>133665</v>
      </c>
      <c r="H1443">
        <v>990</v>
      </c>
      <c r="I1443" t="s">
        <v>114</v>
      </c>
      <c r="J1443" s="75">
        <v>100019</v>
      </c>
      <c r="K1443" t="s">
        <v>2804</v>
      </c>
      <c r="L1443" t="s">
        <v>2805</v>
      </c>
      <c r="M1443" s="81">
        <v>46164.20171296296</v>
      </c>
      <c r="N1443" s="81">
        <v>46167.458969907413</v>
      </c>
      <c r="O1443" t="s">
        <v>475</v>
      </c>
      <c r="P1443" t="s">
        <v>59</v>
      </c>
      <c r="Q1443" t="s">
        <v>90</v>
      </c>
      <c r="R1443" t="s">
        <v>476</v>
      </c>
      <c r="S1443" t="s">
        <v>2707</v>
      </c>
      <c r="U1443" s="75">
        <v>261929</v>
      </c>
      <c r="V1443" t="s">
        <v>6062</v>
      </c>
      <c r="X1443" t="s">
        <v>79</v>
      </c>
      <c r="Y1443" t="s">
        <v>224</v>
      </c>
      <c r="AA1443" t="s">
        <v>81</v>
      </c>
      <c r="AB1443">
        <v>78.150000000000006</v>
      </c>
      <c r="AC1443">
        <v>75.383332999999993</v>
      </c>
      <c r="AD1443">
        <v>2.766667</v>
      </c>
      <c r="AE1443">
        <v>8.3334000000000005E-2</v>
      </c>
      <c r="AF1443">
        <v>0</v>
      </c>
      <c r="AG1443">
        <v>2.6833330000000002</v>
      </c>
      <c r="AH1443">
        <v>2.6833330000000002</v>
      </c>
      <c r="AI1443">
        <v>2.2833329999999998</v>
      </c>
      <c r="AJ1443">
        <v>0.4</v>
      </c>
      <c r="AK1443">
        <v>0</v>
      </c>
      <c r="AL1443" s="76">
        <v>43740</v>
      </c>
      <c r="AM1443" s="75">
        <v>2424</v>
      </c>
      <c r="AN1443" t="s">
        <v>65</v>
      </c>
      <c r="AO1443" t="s">
        <v>2807</v>
      </c>
      <c r="AP1443" t="s">
        <v>67</v>
      </c>
      <c r="AQ1443" t="s">
        <v>83</v>
      </c>
      <c r="AR1443" t="s">
        <v>69</v>
      </c>
      <c r="AT1443" s="82" t="s">
        <v>6049</v>
      </c>
      <c r="AU1443" s="78">
        <v>2026</v>
      </c>
      <c r="AV1443" s="78">
        <v>5</v>
      </c>
      <c r="AW1443" s="78" t="s">
        <v>226</v>
      </c>
      <c r="AX1443" s="78">
        <v>1</v>
      </c>
      <c r="AY1443" s="78">
        <v>0</v>
      </c>
      <c r="BT1443" t="s">
        <v>226</v>
      </c>
      <c r="BU1443">
        <v>1</v>
      </c>
      <c r="BV1443">
        <v>0</v>
      </c>
    </row>
    <row r="1444" spans="1:74" x14ac:dyDescent="0.25">
      <c r="A1444" s="75">
        <v>5966525</v>
      </c>
      <c r="B1444" t="s">
        <v>6063</v>
      </c>
      <c r="C1444" t="s">
        <v>6064</v>
      </c>
      <c r="D1444" t="s">
        <v>527</v>
      </c>
      <c r="E1444" t="s">
        <v>54</v>
      </c>
      <c r="F1444" s="75">
        <v>11</v>
      </c>
      <c r="G1444" s="75">
        <v>302005</v>
      </c>
      <c r="H1444">
        <v>800</v>
      </c>
      <c r="I1444" t="s">
        <v>114</v>
      </c>
      <c r="J1444" s="75">
        <v>219343</v>
      </c>
      <c r="K1444" t="s">
        <v>828</v>
      </c>
      <c r="L1444" t="s">
        <v>829</v>
      </c>
      <c r="M1444" s="81">
        <v>46160.837037037039</v>
      </c>
      <c r="N1444" s="81">
        <v>46168.420393518521</v>
      </c>
      <c r="O1444" t="s">
        <v>58</v>
      </c>
      <c r="P1444" t="s">
        <v>59</v>
      </c>
      <c r="Q1444" t="s">
        <v>98</v>
      </c>
      <c r="R1444" t="s">
        <v>99</v>
      </c>
      <c r="S1444" t="s">
        <v>1244</v>
      </c>
      <c r="U1444" s="75">
        <v>263365</v>
      </c>
      <c r="V1444" t="s">
        <v>6065</v>
      </c>
      <c r="X1444" t="s">
        <v>62</v>
      </c>
      <c r="Y1444" t="s">
        <v>63</v>
      </c>
      <c r="AA1444" t="s">
        <v>416</v>
      </c>
      <c r="AB1444">
        <v>181.83333400000001</v>
      </c>
      <c r="AC1444">
        <v>165.08333500000001</v>
      </c>
      <c r="AD1444">
        <v>16.749998999999999</v>
      </c>
      <c r="AE1444">
        <v>0.61666600000000005</v>
      </c>
      <c r="AF1444">
        <v>0</v>
      </c>
      <c r="AG1444">
        <v>16.133333</v>
      </c>
      <c r="AH1444">
        <v>16.133333</v>
      </c>
      <c r="AI1444">
        <v>15.333333</v>
      </c>
      <c r="AJ1444">
        <v>0.8</v>
      </c>
      <c r="AK1444">
        <v>0</v>
      </c>
      <c r="AL1444" s="76">
        <v>45436</v>
      </c>
      <c r="AM1444" s="75">
        <v>724</v>
      </c>
      <c r="AN1444" t="s">
        <v>65</v>
      </c>
      <c r="AO1444" t="s">
        <v>831</v>
      </c>
      <c r="AP1444" t="s">
        <v>67</v>
      </c>
      <c r="AQ1444" t="s">
        <v>68</v>
      </c>
      <c r="AR1444" t="s">
        <v>69</v>
      </c>
      <c r="AT1444" s="82" t="s">
        <v>6049</v>
      </c>
      <c r="AU1444" s="78">
        <v>2026</v>
      </c>
      <c r="AV1444" s="78">
        <v>5</v>
      </c>
      <c r="AW1444" s="78" t="s">
        <v>71</v>
      </c>
      <c r="AX1444" s="78">
        <v>0</v>
      </c>
      <c r="AY1444" s="78">
        <v>0</v>
      </c>
      <c r="BT1444" t="s">
        <v>71</v>
      </c>
      <c r="BU1444">
        <v>0</v>
      </c>
      <c r="BV1444">
        <v>0</v>
      </c>
    </row>
    <row r="1445" spans="1:74" x14ac:dyDescent="0.25">
      <c r="A1445" s="75">
        <v>5971541</v>
      </c>
      <c r="B1445" t="s">
        <v>6066</v>
      </c>
      <c r="C1445" t="s">
        <v>6067</v>
      </c>
      <c r="D1445" t="s">
        <v>527</v>
      </c>
      <c r="E1445" t="s">
        <v>87</v>
      </c>
      <c r="F1445" s="75">
        <v>9</v>
      </c>
      <c r="G1445" s="75">
        <v>280141</v>
      </c>
      <c r="H1445">
        <v>1200</v>
      </c>
      <c r="I1445" t="s">
        <v>266</v>
      </c>
      <c r="J1445" s="75">
        <v>201809</v>
      </c>
      <c r="K1445" t="s">
        <v>505</v>
      </c>
      <c r="L1445" t="s">
        <v>506</v>
      </c>
      <c r="M1445" s="81">
        <v>46163.660196759258</v>
      </c>
      <c r="N1445" s="81">
        <v>46168.430300925917</v>
      </c>
      <c r="O1445" t="s">
        <v>58</v>
      </c>
      <c r="P1445" t="s">
        <v>59</v>
      </c>
      <c r="Q1445" t="s">
        <v>90</v>
      </c>
      <c r="R1445" t="s">
        <v>60</v>
      </c>
      <c r="S1445" t="s">
        <v>583</v>
      </c>
      <c r="U1445" s="75">
        <v>263389</v>
      </c>
      <c r="V1445" t="s">
        <v>6068</v>
      </c>
      <c r="W1445" t="s">
        <v>6069</v>
      </c>
      <c r="X1445" t="s">
        <v>62</v>
      </c>
      <c r="Y1445" t="s">
        <v>63</v>
      </c>
      <c r="AA1445" t="s">
        <v>101</v>
      </c>
      <c r="AB1445">
        <v>114.383334</v>
      </c>
      <c r="AC1445">
        <v>103.533333</v>
      </c>
      <c r="AD1445">
        <v>10.850001000000001</v>
      </c>
      <c r="AE1445">
        <v>0.683334</v>
      </c>
      <c r="AF1445">
        <v>0</v>
      </c>
      <c r="AG1445">
        <v>10.166667</v>
      </c>
      <c r="AH1445">
        <v>10.166667</v>
      </c>
      <c r="AI1445">
        <v>9.4</v>
      </c>
      <c r="AJ1445">
        <v>0.76666699999999999</v>
      </c>
      <c r="AK1445">
        <v>0</v>
      </c>
      <c r="AL1445" s="76">
        <v>44357</v>
      </c>
      <c r="AM1445" s="75">
        <v>1806</v>
      </c>
      <c r="AN1445" t="s">
        <v>65</v>
      </c>
      <c r="AO1445" t="s">
        <v>562</v>
      </c>
      <c r="AP1445" t="s">
        <v>67</v>
      </c>
      <c r="AQ1445" t="s">
        <v>68</v>
      </c>
      <c r="AR1445" t="s">
        <v>69</v>
      </c>
      <c r="AT1445" s="82" t="s">
        <v>6049</v>
      </c>
      <c r="AU1445" s="78">
        <v>2026</v>
      </c>
      <c r="AV1445" s="78">
        <v>5</v>
      </c>
      <c r="AW1445" s="78" t="s">
        <v>71</v>
      </c>
      <c r="AX1445" s="78">
        <v>0</v>
      </c>
      <c r="AY1445" s="78">
        <v>0</v>
      </c>
      <c r="BT1445" t="s">
        <v>71</v>
      </c>
      <c r="BU1445">
        <v>0</v>
      </c>
      <c r="BV1445">
        <v>0</v>
      </c>
    </row>
    <row r="1446" spans="1:74" x14ac:dyDescent="0.25">
      <c r="A1446" s="75">
        <v>5978439</v>
      </c>
      <c r="B1446" t="s">
        <v>6070</v>
      </c>
      <c r="C1446" t="s">
        <v>6071</v>
      </c>
      <c r="D1446" t="s">
        <v>527</v>
      </c>
      <c r="E1446" t="s">
        <v>87</v>
      </c>
      <c r="F1446" s="75">
        <v>33</v>
      </c>
      <c r="G1446" s="75">
        <v>187665</v>
      </c>
      <c r="H1446">
        <v>573</v>
      </c>
      <c r="I1446" t="s">
        <v>114</v>
      </c>
      <c r="J1446" s="75">
        <v>6971</v>
      </c>
      <c r="K1446" t="s">
        <v>369</v>
      </c>
      <c r="L1446" t="s">
        <v>370</v>
      </c>
      <c r="M1446" s="81">
        <v>46167.701840277783</v>
      </c>
      <c r="N1446" s="81">
        <v>46168.433333333327</v>
      </c>
      <c r="P1446" t="s">
        <v>59</v>
      </c>
      <c r="Q1446" t="s">
        <v>90</v>
      </c>
      <c r="R1446" t="s">
        <v>99</v>
      </c>
      <c r="S1446" t="s">
        <v>1244</v>
      </c>
      <c r="U1446" s="75">
        <v>264961</v>
      </c>
      <c r="V1446" t="s">
        <v>6072</v>
      </c>
      <c r="X1446" t="s">
        <v>79</v>
      </c>
      <c r="Y1446" t="s">
        <v>3139</v>
      </c>
      <c r="AA1446" t="s">
        <v>81</v>
      </c>
      <c r="AB1446">
        <v>17.516667000000002</v>
      </c>
      <c r="AC1446">
        <v>16.566666999999999</v>
      </c>
      <c r="AD1446">
        <v>0.95</v>
      </c>
      <c r="AE1446">
        <v>0.183333</v>
      </c>
      <c r="AF1446">
        <v>0</v>
      </c>
      <c r="AG1446">
        <v>0.76666699999999999</v>
      </c>
      <c r="AH1446">
        <v>0.76666699999999999</v>
      </c>
      <c r="AI1446">
        <v>0</v>
      </c>
      <c r="AJ1446">
        <v>0.76666699999999999</v>
      </c>
      <c r="AK1446">
        <v>0</v>
      </c>
      <c r="AL1446" s="76">
        <v>44105</v>
      </c>
      <c r="AM1446" s="75">
        <v>2062</v>
      </c>
      <c r="AN1446" t="s">
        <v>65</v>
      </c>
      <c r="AO1446" t="s">
        <v>6073</v>
      </c>
      <c r="AP1446" t="s">
        <v>67</v>
      </c>
      <c r="AQ1446" t="s">
        <v>83</v>
      </c>
      <c r="AR1446" t="s">
        <v>69</v>
      </c>
      <c r="AT1446" s="82" t="s">
        <v>6049</v>
      </c>
      <c r="AU1446" s="78">
        <v>2026</v>
      </c>
      <c r="AV1446" s="78">
        <v>5</v>
      </c>
      <c r="AW1446" s="78" t="s">
        <v>84</v>
      </c>
      <c r="AX1446" s="78">
        <v>1</v>
      </c>
      <c r="AY1446" s="78">
        <v>0</v>
      </c>
      <c r="BT1446" t="s">
        <v>84</v>
      </c>
      <c r="BU1446">
        <v>1</v>
      </c>
      <c r="BV1446">
        <v>0</v>
      </c>
    </row>
    <row r="1447" spans="1:74" x14ac:dyDescent="0.25">
      <c r="A1447" s="75">
        <v>5977401</v>
      </c>
      <c r="B1447" t="s">
        <v>6074</v>
      </c>
      <c r="C1447" t="s">
        <v>6075</v>
      </c>
      <c r="D1447" t="s">
        <v>527</v>
      </c>
      <c r="E1447" t="s">
        <v>87</v>
      </c>
      <c r="F1447" s="75">
        <v>44</v>
      </c>
      <c r="G1447" s="75">
        <v>172951</v>
      </c>
      <c r="H1447">
        <v>1033.7</v>
      </c>
      <c r="I1447" t="s">
        <v>368</v>
      </c>
      <c r="J1447" s="75">
        <v>6971</v>
      </c>
      <c r="K1447" t="s">
        <v>369</v>
      </c>
      <c r="L1447" t="s">
        <v>370</v>
      </c>
      <c r="M1447" s="81">
        <v>46167.392881944441</v>
      </c>
      <c r="N1447" s="81">
        <v>46168.448483796303</v>
      </c>
      <c r="O1447" t="s">
        <v>58</v>
      </c>
      <c r="P1447" t="s">
        <v>59</v>
      </c>
      <c r="Q1447" t="s">
        <v>77</v>
      </c>
      <c r="R1447" t="s">
        <v>99</v>
      </c>
      <c r="S1447" t="s">
        <v>1244</v>
      </c>
      <c r="T1447" t="s">
        <v>6076</v>
      </c>
      <c r="U1447" s="75">
        <v>264523</v>
      </c>
      <c r="V1447" t="s">
        <v>6077</v>
      </c>
      <c r="W1447" t="s">
        <v>6077</v>
      </c>
      <c r="X1447" t="s">
        <v>62</v>
      </c>
      <c r="Y1447" t="s">
        <v>233</v>
      </c>
      <c r="AA1447" t="s">
        <v>64</v>
      </c>
      <c r="AB1447">
        <v>25.266666000000001</v>
      </c>
      <c r="AC1447">
        <v>17.416667</v>
      </c>
      <c r="AD1447">
        <v>7.8499990000000004</v>
      </c>
      <c r="AE1447">
        <v>1.05</v>
      </c>
      <c r="AF1447">
        <v>0</v>
      </c>
      <c r="AG1447">
        <v>6.7999989999999997</v>
      </c>
      <c r="AH1447">
        <v>6.7999989999999997</v>
      </c>
      <c r="AI1447">
        <v>2.5499999999999998</v>
      </c>
      <c r="AJ1447">
        <v>4.2499989999999999</v>
      </c>
      <c r="AK1447">
        <v>0</v>
      </c>
      <c r="AL1447" s="76">
        <v>43956</v>
      </c>
      <c r="AM1447" s="75">
        <v>2211</v>
      </c>
      <c r="AN1447" t="s">
        <v>65</v>
      </c>
      <c r="AO1447" t="s">
        <v>6078</v>
      </c>
      <c r="AP1447" t="s">
        <v>67</v>
      </c>
      <c r="AQ1447" t="s">
        <v>68</v>
      </c>
      <c r="AR1447" t="s">
        <v>69</v>
      </c>
      <c r="AT1447" s="82" t="s">
        <v>6049</v>
      </c>
      <c r="AU1447" s="78">
        <v>2026</v>
      </c>
      <c r="AV1447" s="78">
        <v>5</v>
      </c>
      <c r="AW1447" s="78" t="s">
        <v>137</v>
      </c>
      <c r="AX1447" s="78">
        <v>1</v>
      </c>
      <c r="AY1447" s="78">
        <v>0</v>
      </c>
      <c r="BT1447" t="s">
        <v>137</v>
      </c>
      <c r="BU1447">
        <v>1</v>
      </c>
      <c r="BV1447">
        <v>0</v>
      </c>
    </row>
    <row r="1448" spans="1:74" x14ac:dyDescent="0.25">
      <c r="A1448" s="75">
        <v>5977443</v>
      </c>
      <c r="B1448" t="s">
        <v>6079</v>
      </c>
      <c r="C1448" t="s">
        <v>4856</v>
      </c>
      <c r="D1448" t="s">
        <v>527</v>
      </c>
      <c r="E1448" t="s">
        <v>54</v>
      </c>
      <c r="F1448" s="75">
        <v>1</v>
      </c>
      <c r="G1448" s="75">
        <v>287639</v>
      </c>
      <c r="H1448">
        <v>600</v>
      </c>
      <c r="I1448" t="s">
        <v>114</v>
      </c>
      <c r="J1448" s="75">
        <v>217119</v>
      </c>
      <c r="K1448" t="s">
        <v>4857</v>
      </c>
      <c r="L1448" t="s">
        <v>4858</v>
      </c>
      <c r="M1448" s="81">
        <v>46167.39980324074</v>
      </c>
      <c r="N1448" s="81">
        <v>46168.450578703712</v>
      </c>
      <c r="O1448" t="s">
        <v>58</v>
      </c>
      <c r="P1448" t="s">
        <v>59</v>
      </c>
      <c r="Q1448" t="s">
        <v>130</v>
      </c>
      <c r="R1448" t="s">
        <v>60</v>
      </c>
      <c r="S1448" t="s">
        <v>583</v>
      </c>
      <c r="U1448" s="75">
        <v>264111</v>
      </c>
      <c r="V1448" t="s">
        <v>6080</v>
      </c>
      <c r="W1448" t="s">
        <v>6080</v>
      </c>
      <c r="X1448" t="s">
        <v>62</v>
      </c>
      <c r="Y1448" t="s">
        <v>63</v>
      </c>
      <c r="AA1448" t="s">
        <v>64</v>
      </c>
      <c r="AB1448">
        <v>25.166667</v>
      </c>
      <c r="AC1448">
        <v>17.95</v>
      </c>
      <c r="AD1448">
        <v>7.2166670000000002</v>
      </c>
      <c r="AE1448">
        <v>0.1</v>
      </c>
      <c r="AF1448">
        <v>0</v>
      </c>
      <c r="AG1448">
        <v>7.1166669999999996</v>
      </c>
      <c r="AH1448">
        <v>7.1166669999999996</v>
      </c>
      <c r="AI1448">
        <v>7.05</v>
      </c>
      <c r="AJ1448">
        <v>6.6667000000000004E-2</v>
      </c>
      <c r="AK1448">
        <v>0</v>
      </c>
      <c r="AL1448" s="76">
        <v>44942</v>
      </c>
      <c r="AM1448" s="75">
        <v>1225</v>
      </c>
      <c r="AN1448" t="s">
        <v>65</v>
      </c>
      <c r="AO1448" t="s">
        <v>4861</v>
      </c>
      <c r="AP1448" t="s">
        <v>67</v>
      </c>
      <c r="AQ1448" t="s">
        <v>68</v>
      </c>
      <c r="AR1448" t="s">
        <v>69</v>
      </c>
      <c r="AT1448" s="82" t="s">
        <v>6049</v>
      </c>
      <c r="AU1448" s="78">
        <v>2026</v>
      </c>
      <c r="AV1448" s="78">
        <v>5</v>
      </c>
      <c r="AW1448" s="78" t="s">
        <v>71</v>
      </c>
      <c r="AX1448" s="78">
        <v>1</v>
      </c>
      <c r="AY1448" s="78">
        <v>0</v>
      </c>
      <c r="BT1448" t="s">
        <v>71</v>
      </c>
      <c r="BU1448">
        <v>1</v>
      </c>
      <c r="BV1448">
        <v>0</v>
      </c>
    </row>
    <row r="1449" spans="1:74" x14ac:dyDescent="0.25">
      <c r="A1449" s="75">
        <v>5974297</v>
      </c>
      <c r="B1449" t="s">
        <v>6081</v>
      </c>
      <c r="C1449" t="s">
        <v>3407</v>
      </c>
      <c r="D1449" t="s">
        <v>527</v>
      </c>
      <c r="E1449" t="s">
        <v>87</v>
      </c>
      <c r="F1449" s="75">
        <v>155</v>
      </c>
      <c r="G1449" s="75">
        <v>285767</v>
      </c>
      <c r="H1449">
        <v>382.47</v>
      </c>
      <c r="I1449" t="s">
        <v>55</v>
      </c>
      <c r="J1449" s="75">
        <v>216233</v>
      </c>
      <c r="K1449" t="s">
        <v>88</v>
      </c>
      <c r="L1449" t="s">
        <v>89</v>
      </c>
      <c r="M1449" s="81">
        <v>46165.437962962962</v>
      </c>
      <c r="N1449" s="81">
        <v>46168.457407407397</v>
      </c>
      <c r="O1449" t="s">
        <v>58</v>
      </c>
      <c r="P1449" t="s">
        <v>59</v>
      </c>
      <c r="Q1449" t="s">
        <v>90</v>
      </c>
      <c r="R1449" t="s">
        <v>131</v>
      </c>
      <c r="S1449" t="s">
        <v>1273</v>
      </c>
      <c r="U1449" s="75">
        <v>263499</v>
      </c>
      <c r="V1449" t="s">
        <v>6082</v>
      </c>
      <c r="W1449" t="s">
        <v>6082</v>
      </c>
      <c r="X1449" t="s">
        <v>62</v>
      </c>
      <c r="Y1449" t="s">
        <v>63</v>
      </c>
      <c r="AA1449" t="s">
        <v>81</v>
      </c>
      <c r="AB1449">
        <v>72.400000000000006</v>
      </c>
      <c r="AC1449">
        <v>68.983333000000002</v>
      </c>
      <c r="AD1449">
        <v>3.4166669999999999</v>
      </c>
      <c r="AE1449">
        <v>0.28333399999999997</v>
      </c>
      <c r="AF1449">
        <v>0</v>
      </c>
      <c r="AG1449">
        <v>3.1333329999999999</v>
      </c>
      <c r="AH1449">
        <v>3.1333329999999999</v>
      </c>
      <c r="AI1449">
        <v>2.4333330000000002</v>
      </c>
      <c r="AJ1449">
        <v>0.7</v>
      </c>
      <c r="AK1449">
        <v>0</v>
      </c>
      <c r="AL1449" s="76">
        <v>44946</v>
      </c>
      <c r="AM1449" s="75">
        <v>1219</v>
      </c>
      <c r="AN1449" t="s">
        <v>65</v>
      </c>
      <c r="AO1449" t="s">
        <v>646</v>
      </c>
      <c r="AP1449" t="s">
        <v>67</v>
      </c>
      <c r="AQ1449" t="s">
        <v>68</v>
      </c>
      <c r="AR1449" t="s">
        <v>69</v>
      </c>
      <c r="AT1449" s="82" t="s">
        <v>6049</v>
      </c>
      <c r="AU1449" s="78">
        <v>2026</v>
      </c>
      <c r="AV1449" s="78">
        <v>5</v>
      </c>
      <c r="AW1449" s="78" t="s">
        <v>71</v>
      </c>
      <c r="AX1449" s="78">
        <v>1</v>
      </c>
      <c r="AY1449" s="78">
        <v>0</v>
      </c>
      <c r="BT1449" t="s">
        <v>71</v>
      </c>
      <c r="BU1449">
        <v>1</v>
      </c>
      <c r="BV1449">
        <v>0</v>
      </c>
    </row>
    <row r="1450" spans="1:74" x14ac:dyDescent="0.25">
      <c r="A1450" s="75">
        <v>5974115</v>
      </c>
      <c r="B1450" t="s">
        <v>6083</v>
      </c>
      <c r="C1450" t="s">
        <v>6084</v>
      </c>
      <c r="D1450" t="s">
        <v>527</v>
      </c>
      <c r="E1450" t="s">
        <v>87</v>
      </c>
      <c r="F1450" s="75">
        <v>1580</v>
      </c>
      <c r="G1450" s="75">
        <v>349613</v>
      </c>
      <c r="H1450">
        <v>557.47</v>
      </c>
      <c r="I1450" t="s">
        <v>163</v>
      </c>
      <c r="J1450" s="75">
        <v>6971</v>
      </c>
      <c r="K1450" t="s">
        <v>369</v>
      </c>
      <c r="L1450" t="s">
        <v>370</v>
      </c>
      <c r="M1450" s="81">
        <v>46165.180833333332</v>
      </c>
      <c r="N1450" s="81">
        <v>46168.542870370373</v>
      </c>
      <c r="O1450" t="s">
        <v>58</v>
      </c>
      <c r="P1450" t="s">
        <v>59</v>
      </c>
      <c r="Q1450" t="s">
        <v>90</v>
      </c>
      <c r="R1450" t="s">
        <v>60</v>
      </c>
      <c r="S1450" t="s">
        <v>583</v>
      </c>
      <c r="U1450" s="75">
        <v>263471</v>
      </c>
      <c r="V1450" t="s">
        <v>6085</v>
      </c>
      <c r="W1450" t="s">
        <v>6086</v>
      </c>
      <c r="X1450" t="s">
        <v>62</v>
      </c>
      <c r="Y1450" t="s">
        <v>824</v>
      </c>
      <c r="AA1450" t="s">
        <v>64</v>
      </c>
      <c r="AB1450">
        <v>80.616668000000004</v>
      </c>
      <c r="AC1450">
        <v>71.133334000000005</v>
      </c>
      <c r="AD1450">
        <v>9.4833339999999993</v>
      </c>
      <c r="AE1450">
        <v>1.516667</v>
      </c>
      <c r="AF1450">
        <v>0</v>
      </c>
      <c r="AG1450">
        <v>7.9666670000000002</v>
      </c>
      <c r="AH1450">
        <v>7.9666670000000002</v>
      </c>
      <c r="AI1450">
        <v>7.3333329999999997</v>
      </c>
      <c r="AJ1450">
        <v>0.63333399999999995</v>
      </c>
      <c r="AK1450">
        <v>0</v>
      </c>
      <c r="AL1450" s="76"/>
      <c r="AM1450" s="75"/>
      <c r="AN1450" t="s">
        <v>135</v>
      </c>
      <c r="AO1450" t="s">
        <v>6087</v>
      </c>
      <c r="AP1450" t="s">
        <v>67</v>
      </c>
      <c r="AQ1450" t="s">
        <v>68</v>
      </c>
      <c r="AR1450" t="s">
        <v>69</v>
      </c>
      <c r="AT1450" s="82" t="s">
        <v>6049</v>
      </c>
      <c r="AU1450" s="78">
        <v>2026</v>
      </c>
      <c r="AV1450" s="78">
        <v>5</v>
      </c>
      <c r="AW1450" s="78" t="s">
        <v>137</v>
      </c>
      <c r="AX1450" s="78">
        <v>1</v>
      </c>
      <c r="AY1450" s="78">
        <v>0</v>
      </c>
      <c r="BT1450" t="s">
        <v>137</v>
      </c>
      <c r="BU1450">
        <v>1</v>
      </c>
      <c r="BV1450">
        <v>0</v>
      </c>
    </row>
    <row r="1451" spans="1:74" x14ac:dyDescent="0.25">
      <c r="A1451" s="75">
        <v>5969033</v>
      </c>
      <c r="B1451" t="s">
        <v>6088</v>
      </c>
      <c r="C1451" t="s">
        <v>6089</v>
      </c>
      <c r="D1451" t="s">
        <v>527</v>
      </c>
      <c r="E1451" t="s">
        <v>87</v>
      </c>
      <c r="F1451" s="75">
        <v>43</v>
      </c>
      <c r="G1451" s="75">
        <v>279717</v>
      </c>
      <c r="H1451">
        <v>516.22</v>
      </c>
      <c r="I1451" t="s">
        <v>266</v>
      </c>
      <c r="J1451" s="75">
        <v>149307</v>
      </c>
      <c r="K1451" t="s">
        <v>350</v>
      </c>
      <c r="L1451" t="s">
        <v>351</v>
      </c>
      <c r="M1451" s="81">
        <v>46162.406134259261</v>
      </c>
      <c r="N1451" s="81">
        <v>46168.546909722223</v>
      </c>
      <c r="O1451" t="s">
        <v>58</v>
      </c>
      <c r="P1451" t="s">
        <v>59</v>
      </c>
      <c r="Q1451" t="s">
        <v>905</v>
      </c>
      <c r="R1451" t="s">
        <v>60</v>
      </c>
      <c r="S1451" t="s">
        <v>583</v>
      </c>
      <c r="T1451" t="s">
        <v>1781</v>
      </c>
      <c r="U1451" s="75">
        <v>264771</v>
      </c>
      <c r="V1451" t="s">
        <v>6090</v>
      </c>
      <c r="W1451" t="s">
        <v>6090</v>
      </c>
      <c r="X1451" t="s">
        <v>62</v>
      </c>
      <c r="Y1451" t="s">
        <v>6091</v>
      </c>
      <c r="AA1451" t="s">
        <v>295</v>
      </c>
      <c r="AB1451">
        <v>147.216667</v>
      </c>
      <c r="AC1451">
        <v>111.966667</v>
      </c>
      <c r="AD1451">
        <v>35.25</v>
      </c>
      <c r="AE1451">
        <v>7.2</v>
      </c>
      <c r="AF1451">
        <v>0</v>
      </c>
      <c r="AG1451">
        <v>28.05</v>
      </c>
      <c r="AH1451">
        <v>28.05</v>
      </c>
      <c r="AI1451">
        <v>2.95</v>
      </c>
      <c r="AJ1451">
        <v>25.1</v>
      </c>
      <c r="AK1451">
        <v>0</v>
      </c>
      <c r="AL1451" s="76">
        <v>44734</v>
      </c>
      <c r="AM1451" s="75">
        <v>1428</v>
      </c>
      <c r="AN1451" t="s">
        <v>65</v>
      </c>
      <c r="AO1451" t="s">
        <v>6092</v>
      </c>
      <c r="AP1451" t="s">
        <v>67</v>
      </c>
      <c r="AQ1451" t="s">
        <v>68</v>
      </c>
      <c r="AR1451" t="s">
        <v>69</v>
      </c>
      <c r="AT1451" s="82" t="s">
        <v>6049</v>
      </c>
      <c r="AU1451" s="78">
        <v>2026</v>
      </c>
      <c r="AV1451" s="78">
        <v>5</v>
      </c>
      <c r="AW1451" s="78" t="s">
        <v>137</v>
      </c>
      <c r="AX1451" s="78">
        <v>0</v>
      </c>
      <c r="AY1451" s="78">
        <v>1</v>
      </c>
      <c r="BT1451" t="s">
        <v>137</v>
      </c>
      <c r="BU1451">
        <v>0</v>
      </c>
      <c r="BV1451">
        <v>1</v>
      </c>
    </row>
    <row r="1452" spans="1:74" x14ac:dyDescent="0.25">
      <c r="A1452" s="75">
        <v>5974159</v>
      </c>
      <c r="B1452" t="s">
        <v>6093</v>
      </c>
      <c r="C1452" t="s">
        <v>1033</v>
      </c>
      <c r="D1452" t="s">
        <v>527</v>
      </c>
      <c r="E1452" t="s">
        <v>87</v>
      </c>
      <c r="F1452" s="75">
        <v>1</v>
      </c>
      <c r="G1452" s="75">
        <v>255313</v>
      </c>
      <c r="H1452">
        <v>7075</v>
      </c>
      <c r="I1452" t="s">
        <v>880</v>
      </c>
      <c r="J1452" s="75">
        <v>204713</v>
      </c>
      <c r="K1452" t="s">
        <v>1034</v>
      </c>
      <c r="L1452" t="s">
        <v>1035</v>
      </c>
      <c r="M1452" s="81">
        <v>46165.292013888888</v>
      </c>
      <c r="N1452" s="81">
        <v>46168.612766203703</v>
      </c>
      <c r="O1452" t="s">
        <v>554</v>
      </c>
      <c r="P1452" t="s">
        <v>59</v>
      </c>
      <c r="Q1452" t="s">
        <v>90</v>
      </c>
      <c r="R1452" t="s">
        <v>60</v>
      </c>
      <c r="S1452" t="s">
        <v>583</v>
      </c>
      <c r="U1452" s="75">
        <v>263481</v>
      </c>
      <c r="V1452" t="s">
        <v>6094</v>
      </c>
      <c r="W1452" t="s">
        <v>6094</v>
      </c>
      <c r="X1452" t="s">
        <v>118</v>
      </c>
      <c r="Y1452" t="s">
        <v>119</v>
      </c>
      <c r="AA1452" t="s">
        <v>416</v>
      </c>
      <c r="AB1452">
        <v>79.583332999999996</v>
      </c>
      <c r="AC1452">
        <v>61.733333000000002</v>
      </c>
      <c r="AD1452">
        <v>17.850000000000001</v>
      </c>
      <c r="AE1452">
        <v>0.35</v>
      </c>
      <c r="AF1452">
        <v>0</v>
      </c>
      <c r="AG1452">
        <v>17.5</v>
      </c>
      <c r="AH1452">
        <v>17.5</v>
      </c>
      <c r="AI1452">
        <v>16.683333000000001</v>
      </c>
      <c r="AJ1452">
        <v>0.81666700000000003</v>
      </c>
      <c r="AK1452">
        <v>0</v>
      </c>
      <c r="AL1452" s="76">
        <v>45160.595625000002</v>
      </c>
      <c r="AM1452" s="75">
        <v>1004</v>
      </c>
      <c r="AN1452" t="s">
        <v>65</v>
      </c>
      <c r="AO1452" t="s">
        <v>1037</v>
      </c>
      <c r="AP1452" t="s">
        <v>67</v>
      </c>
      <c r="AQ1452" t="s">
        <v>121</v>
      </c>
      <c r="AR1452" t="s">
        <v>69</v>
      </c>
      <c r="AT1452" s="82" t="s">
        <v>6049</v>
      </c>
      <c r="AU1452" s="78">
        <v>2026</v>
      </c>
      <c r="AV1452" s="78">
        <v>5</v>
      </c>
      <c r="AW1452" s="78" t="s">
        <v>122</v>
      </c>
      <c r="AX1452" s="78">
        <v>0</v>
      </c>
      <c r="AY1452" s="78">
        <v>0</v>
      </c>
      <c r="BT1452" t="s">
        <v>122</v>
      </c>
      <c r="BU1452">
        <v>0</v>
      </c>
      <c r="BV1452">
        <v>0</v>
      </c>
    </row>
    <row r="1453" spans="1:74" x14ac:dyDescent="0.25">
      <c r="A1453" s="75">
        <v>5978797</v>
      </c>
      <c r="B1453" t="s">
        <v>6095</v>
      </c>
      <c r="C1453" t="s">
        <v>6096</v>
      </c>
      <c r="D1453" t="s">
        <v>1400</v>
      </c>
      <c r="E1453" t="s">
        <v>126</v>
      </c>
      <c r="F1453" s="75">
        <v>6</v>
      </c>
      <c r="G1453" s="75">
        <v>300673</v>
      </c>
      <c r="H1453">
        <v>0.01</v>
      </c>
      <c r="I1453" t="s">
        <v>6097</v>
      </c>
      <c r="J1453" s="75">
        <v>19481</v>
      </c>
      <c r="K1453" t="s">
        <v>6098</v>
      </c>
      <c r="L1453" t="s">
        <v>6099</v>
      </c>
      <c r="M1453" s="81">
        <v>46167.868657407409</v>
      </c>
      <c r="N1453" s="81">
        <v>46168.677337962959</v>
      </c>
      <c r="O1453" t="s">
        <v>58</v>
      </c>
      <c r="P1453" t="s">
        <v>59</v>
      </c>
      <c r="Q1453" t="s">
        <v>130</v>
      </c>
      <c r="R1453" t="s">
        <v>99</v>
      </c>
      <c r="S1453" t="s">
        <v>1244</v>
      </c>
      <c r="U1453" s="75">
        <v>264723</v>
      </c>
      <c r="V1453" t="s">
        <v>6100</v>
      </c>
      <c r="W1453" t="s">
        <v>6100</v>
      </c>
      <c r="X1453" t="s">
        <v>62</v>
      </c>
      <c r="Y1453" t="s">
        <v>63</v>
      </c>
      <c r="AA1453" t="s">
        <v>416</v>
      </c>
      <c r="AB1453">
        <v>19.350000000000001</v>
      </c>
      <c r="AC1453">
        <v>7.1166669999999996</v>
      </c>
      <c r="AD1453">
        <v>12.233333</v>
      </c>
      <c r="AE1453">
        <v>0.11666700000000001</v>
      </c>
      <c r="AF1453">
        <v>0</v>
      </c>
      <c r="AG1453">
        <v>12.116666</v>
      </c>
      <c r="AH1453">
        <v>12.116666</v>
      </c>
      <c r="AI1453">
        <v>7.3</v>
      </c>
      <c r="AJ1453">
        <v>4.8166659999999997</v>
      </c>
      <c r="AK1453">
        <v>0</v>
      </c>
      <c r="AL1453" s="76">
        <v>45362.747418981482</v>
      </c>
      <c r="AM1453" s="75">
        <v>805</v>
      </c>
      <c r="AN1453" t="s">
        <v>65</v>
      </c>
      <c r="AO1453" t="s">
        <v>6101</v>
      </c>
      <c r="AP1453" t="s">
        <v>67</v>
      </c>
      <c r="AQ1453" t="s">
        <v>68</v>
      </c>
      <c r="AR1453" t="s">
        <v>69</v>
      </c>
      <c r="AT1453" s="82" t="s">
        <v>6049</v>
      </c>
      <c r="AU1453" s="78">
        <v>2026</v>
      </c>
      <c r="AV1453" s="78">
        <v>5</v>
      </c>
      <c r="AW1453" s="78" t="s">
        <v>71</v>
      </c>
      <c r="AX1453" s="78">
        <v>0</v>
      </c>
      <c r="AY1453" s="78">
        <v>0</v>
      </c>
      <c r="BT1453" t="s">
        <v>71</v>
      </c>
      <c r="BU1453">
        <v>0</v>
      </c>
      <c r="BV1453">
        <v>0</v>
      </c>
    </row>
    <row r="1454" spans="1:74" x14ac:dyDescent="0.25">
      <c r="A1454" s="75">
        <v>5953885</v>
      </c>
      <c r="B1454" t="s">
        <v>6102</v>
      </c>
      <c r="C1454" t="s">
        <v>6103</v>
      </c>
      <c r="D1454" t="s">
        <v>527</v>
      </c>
      <c r="E1454" t="s">
        <v>87</v>
      </c>
      <c r="F1454" s="75">
        <v>797</v>
      </c>
      <c r="G1454" s="75">
        <v>345143</v>
      </c>
      <c r="H1454">
        <v>334.78</v>
      </c>
      <c r="I1454" t="s">
        <v>163</v>
      </c>
      <c r="J1454" s="75">
        <v>6971</v>
      </c>
      <c r="K1454" t="s">
        <v>369</v>
      </c>
      <c r="L1454" t="s">
        <v>370</v>
      </c>
      <c r="M1454" s="81">
        <v>46152.646238425928</v>
      </c>
      <c r="N1454" s="81">
        <v>46169.379629629628</v>
      </c>
      <c r="O1454" t="s">
        <v>58</v>
      </c>
      <c r="P1454" t="s">
        <v>59</v>
      </c>
      <c r="Q1454" t="s">
        <v>90</v>
      </c>
      <c r="R1454" t="s">
        <v>131</v>
      </c>
      <c r="S1454" t="s">
        <v>1316</v>
      </c>
      <c r="U1454" s="75">
        <v>264751</v>
      </c>
      <c r="V1454" t="s">
        <v>6104</v>
      </c>
      <c r="W1454" t="s">
        <v>6105</v>
      </c>
      <c r="X1454" t="s">
        <v>62</v>
      </c>
      <c r="Y1454" t="s">
        <v>1313</v>
      </c>
      <c r="AA1454" t="s">
        <v>295</v>
      </c>
      <c r="AB1454">
        <v>401.33333399999998</v>
      </c>
      <c r="AC1454">
        <v>372.38333399999999</v>
      </c>
      <c r="AD1454">
        <v>28.95</v>
      </c>
      <c r="AE1454">
        <v>0.4</v>
      </c>
      <c r="AF1454">
        <v>0</v>
      </c>
      <c r="AG1454">
        <v>28.55</v>
      </c>
      <c r="AH1454">
        <v>28.55</v>
      </c>
      <c r="AI1454">
        <v>22.216667000000001</v>
      </c>
      <c r="AJ1454">
        <v>6.3333329999999997</v>
      </c>
      <c r="AK1454">
        <v>0</v>
      </c>
      <c r="AL1454" s="76">
        <v>46149.725092592591</v>
      </c>
      <c r="AM1454" s="75">
        <v>2</v>
      </c>
      <c r="AN1454" t="s">
        <v>1220</v>
      </c>
      <c r="AO1454" t="s">
        <v>6106</v>
      </c>
      <c r="AP1454" t="s">
        <v>67</v>
      </c>
      <c r="AQ1454" t="s">
        <v>68</v>
      </c>
      <c r="AR1454" t="s">
        <v>69</v>
      </c>
      <c r="AT1454" s="82" t="s">
        <v>6049</v>
      </c>
      <c r="AU1454" s="78">
        <v>2026</v>
      </c>
      <c r="AV1454" s="78">
        <v>5</v>
      </c>
      <c r="AW1454" s="78" t="s">
        <v>137</v>
      </c>
      <c r="AX1454" s="78">
        <v>0</v>
      </c>
      <c r="AY1454" s="78">
        <v>1</v>
      </c>
      <c r="BT1454" t="s">
        <v>137</v>
      </c>
      <c r="BU1454">
        <v>0</v>
      </c>
      <c r="BV1454">
        <v>1</v>
      </c>
    </row>
    <row r="1455" spans="1:74" x14ac:dyDescent="0.25">
      <c r="A1455" s="75">
        <v>5970861</v>
      </c>
      <c r="B1455" t="s">
        <v>6107</v>
      </c>
      <c r="C1455" t="s">
        <v>6108</v>
      </c>
      <c r="D1455" t="s">
        <v>527</v>
      </c>
      <c r="E1455" t="s">
        <v>54</v>
      </c>
      <c r="F1455" s="75">
        <v>11</v>
      </c>
      <c r="G1455" s="75">
        <v>289451</v>
      </c>
      <c r="H1455">
        <v>550</v>
      </c>
      <c r="I1455" t="s">
        <v>55</v>
      </c>
      <c r="J1455" s="75">
        <v>202197</v>
      </c>
      <c r="K1455" t="s">
        <v>305</v>
      </c>
      <c r="L1455" t="s">
        <v>306</v>
      </c>
      <c r="M1455" s="81">
        <v>46163.410300925927</v>
      </c>
      <c r="N1455" s="81">
        <v>46169.383344907408</v>
      </c>
      <c r="O1455" t="s">
        <v>58</v>
      </c>
      <c r="P1455" t="s">
        <v>59</v>
      </c>
      <c r="Q1455" t="s">
        <v>90</v>
      </c>
      <c r="R1455" t="s">
        <v>131</v>
      </c>
      <c r="S1455" t="s">
        <v>1316</v>
      </c>
      <c r="U1455" s="75">
        <v>265509</v>
      </c>
      <c r="V1455" t="s">
        <v>6109</v>
      </c>
      <c r="W1455" t="s">
        <v>6110</v>
      </c>
      <c r="X1455" t="s">
        <v>79</v>
      </c>
      <c r="Y1455" t="s">
        <v>224</v>
      </c>
      <c r="Z1455" t="s">
        <v>6111</v>
      </c>
      <c r="AA1455" t="s">
        <v>101</v>
      </c>
      <c r="AB1455">
        <v>143.216666</v>
      </c>
      <c r="AC1455">
        <v>35.816667000000002</v>
      </c>
      <c r="AD1455">
        <v>107.39999899999999</v>
      </c>
      <c r="AE1455">
        <v>96.333332999999996</v>
      </c>
      <c r="AF1455">
        <v>95.616665999999995</v>
      </c>
      <c r="AG1455">
        <v>11.066666</v>
      </c>
      <c r="AH1455">
        <v>106.68333199999999</v>
      </c>
      <c r="AI1455">
        <v>10.633333</v>
      </c>
      <c r="AJ1455">
        <v>0.43333300000000002</v>
      </c>
      <c r="AK1455">
        <v>0</v>
      </c>
      <c r="AL1455" s="76">
        <v>45001</v>
      </c>
      <c r="AM1455" s="75">
        <v>1162</v>
      </c>
      <c r="AN1455" t="s">
        <v>65</v>
      </c>
      <c r="AO1455" t="s">
        <v>6112</v>
      </c>
      <c r="AP1455" t="s">
        <v>67</v>
      </c>
      <c r="AQ1455" t="s">
        <v>83</v>
      </c>
      <c r="AR1455" t="s">
        <v>69</v>
      </c>
      <c r="AT1455" s="82" t="s">
        <v>6049</v>
      </c>
      <c r="AU1455" s="78">
        <v>2026</v>
      </c>
      <c r="AV1455" s="78">
        <v>5</v>
      </c>
      <c r="AW1455" s="78" t="s">
        <v>226</v>
      </c>
      <c r="AX1455" s="78">
        <v>0</v>
      </c>
      <c r="AY1455" s="78">
        <v>0</v>
      </c>
      <c r="BT1455" t="s">
        <v>226</v>
      </c>
      <c r="BU1455">
        <v>0</v>
      </c>
      <c r="BV1455">
        <v>0</v>
      </c>
    </row>
    <row r="1456" spans="1:74" x14ac:dyDescent="0.25">
      <c r="A1456" s="75">
        <v>5975383</v>
      </c>
      <c r="B1456" t="s">
        <v>6113</v>
      </c>
      <c r="C1456" t="s">
        <v>6114</v>
      </c>
      <c r="D1456" t="s">
        <v>527</v>
      </c>
      <c r="E1456" t="s">
        <v>105</v>
      </c>
      <c r="F1456" s="75">
        <v>66</v>
      </c>
      <c r="G1456" s="75">
        <v>345623</v>
      </c>
      <c r="H1456">
        <v>1590</v>
      </c>
      <c r="I1456" t="s">
        <v>175</v>
      </c>
      <c r="J1456" s="75">
        <v>204139</v>
      </c>
      <c r="K1456" t="s">
        <v>1000</v>
      </c>
      <c r="L1456" t="s">
        <v>1001</v>
      </c>
      <c r="M1456" s="81">
        <v>46166.569930555554</v>
      </c>
      <c r="N1456" s="81">
        <v>46169.385717592602</v>
      </c>
      <c r="O1456" t="s">
        <v>58</v>
      </c>
      <c r="P1456" t="s">
        <v>59</v>
      </c>
      <c r="Q1456" t="s">
        <v>90</v>
      </c>
      <c r="R1456" t="s">
        <v>99</v>
      </c>
      <c r="S1456" t="s">
        <v>1244</v>
      </c>
      <c r="U1456" s="75">
        <v>263567</v>
      </c>
      <c r="V1456" t="s">
        <v>6115</v>
      </c>
      <c r="X1456" t="s">
        <v>62</v>
      </c>
      <c r="Y1456" t="s">
        <v>271</v>
      </c>
      <c r="AA1456" t="s">
        <v>416</v>
      </c>
      <c r="AB1456">
        <v>67.5</v>
      </c>
      <c r="AC1456">
        <v>41.1</v>
      </c>
      <c r="AD1456">
        <v>26.4</v>
      </c>
      <c r="AE1456">
        <v>4.75</v>
      </c>
      <c r="AF1456">
        <v>0</v>
      </c>
      <c r="AG1456">
        <v>21.65</v>
      </c>
      <c r="AH1456">
        <v>21.65</v>
      </c>
      <c r="AI1456">
        <v>19.716667000000001</v>
      </c>
      <c r="AJ1456">
        <v>1.933333</v>
      </c>
      <c r="AK1456">
        <v>0</v>
      </c>
      <c r="AL1456" s="76">
        <v>44641</v>
      </c>
      <c r="AM1456" s="75">
        <v>1525</v>
      </c>
      <c r="AN1456" t="s">
        <v>65</v>
      </c>
      <c r="AO1456" t="s">
        <v>1003</v>
      </c>
      <c r="AP1456" t="s">
        <v>67</v>
      </c>
      <c r="AQ1456" t="s">
        <v>68</v>
      </c>
      <c r="AR1456" t="s">
        <v>69</v>
      </c>
      <c r="AT1456" s="82" t="s">
        <v>6049</v>
      </c>
      <c r="AU1456" s="78">
        <v>2026</v>
      </c>
      <c r="AV1456" s="78">
        <v>5</v>
      </c>
      <c r="AW1456" s="78" t="s">
        <v>137</v>
      </c>
      <c r="AX1456" s="78">
        <v>0</v>
      </c>
      <c r="AY1456" s="78">
        <v>0</v>
      </c>
      <c r="BT1456" t="s">
        <v>137</v>
      </c>
      <c r="BU1456">
        <v>0</v>
      </c>
      <c r="BV1456">
        <v>0</v>
      </c>
    </row>
    <row r="1457" spans="1:74" x14ac:dyDescent="0.25">
      <c r="A1457" s="75">
        <v>5977437</v>
      </c>
      <c r="B1457" t="s">
        <v>6116</v>
      </c>
      <c r="C1457" t="s">
        <v>519</v>
      </c>
      <c r="D1457" t="s">
        <v>527</v>
      </c>
      <c r="E1457" t="s">
        <v>87</v>
      </c>
      <c r="F1457" s="75">
        <v>39</v>
      </c>
      <c r="G1457" s="75">
        <v>320983</v>
      </c>
      <c r="H1457">
        <v>312.5</v>
      </c>
      <c r="I1457" t="s">
        <v>114</v>
      </c>
      <c r="J1457" s="75">
        <v>203645</v>
      </c>
      <c r="K1457" t="s">
        <v>520</v>
      </c>
      <c r="L1457" t="s">
        <v>521</v>
      </c>
      <c r="M1457" s="81">
        <v>46167.398680555547</v>
      </c>
      <c r="N1457" s="81">
        <v>46169.412187499998</v>
      </c>
      <c r="P1457" t="s">
        <v>59</v>
      </c>
      <c r="Q1457" t="s">
        <v>77</v>
      </c>
      <c r="R1457" t="s">
        <v>60</v>
      </c>
      <c r="S1457" t="s">
        <v>583</v>
      </c>
      <c r="U1457" s="75">
        <v>264179</v>
      </c>
      <c r="V1457" t="s">
        <v>6117</v>
      </c>
      <c r="W1457" t="s">
        <v>6117</v>
      </c>
      <c r="X1457" t="s">
        <v>118</v>
      </c>
      <c r="Y1457" t="s">
        <v>119</v>
      </c>
      <c r="AA1457" t="s">
        <v>416</v>
      </c>
      <c r="AB1457">
        <v>48.266666000000001</v>
      </c>
      <c r="AC1457">
        <v>31.95</v>
      </c>
      <c r="AD1457">
        <v>16.316666000000001</v>
      </c>
      <c r="AE1457">
        <v>0.43333300000000002</v>
      </c>
      <c r="AF1457">
        <v>0</v>
      </c>
      <c r="AG1457">
        <v>15.883333</v>
      </c>
      <c r="AH1457">
        <v>15.883333</v>
      </c>
      <c r="AI1457">
        <v>15.233333</v>
      </c>
      <c r="AJ1457">
        <v>0.65</v>
      </c>
      <c r="AK1457">
        <v>0</v>
      </c>
      <c r="AL1457" s="76">
        <v>45448.397847222222</v>
      </c>
      <c r="AM1457" s="75">
        <v>719</v>
      </c>
      <c r="AN1457" t="s">
        <v>65</v>
      </c>
      <c r="AO1457" t="s">
        <v>6118</v>
      </c>
      <c r="AP1457" t="s">
        <v>67</v>
      </c>
      <c r="AQ1457" t="s">
        <v>121</v>
      </c>
      <c r="AR1457" t="s">
        <v>69</v>
      </c>
      <c r="AT1457" s="82" t="s">
        <v>6049</v>
      </c>
      <c r="AU1457" s="78">
        <v>2026</v>
      </c>
      <c r="AV1457" s="78">
        <v>5</v>
      </c>
      <c r="AW1457" s="78" t="s">
        <v>122</v>
      </c>
      <c r="AX1457" s="78">
        <v>0</v>
      </c>
      <c r="AY1457" s="78">
        <v>0</v>
      </c>
      <c r="BT1457" t="s">
        <v>122</v>
      </c>
      <c r="BU1457">
        <v>0</v>
      </c>
      <c r="BV1457">
        <v>0</v>
      </c>
    </row>
    <row r="1458" spans="1:74" x14ac:dyDescent="0.25">
      <c r="A1458" s="75">
        <v>5978879</v>
      </c>
      <c r="B1458" t="s">
        <v>6119</v>
      </c>
      <c r="C1458" t="s">
        <v>6120</v>
      </c>
      <c r="D1458" t="s">
        <v>527</v>
      </c>
      <c r="E1458" t="s">
        <v>105</v>
      </c>
      <c r="F1458" s="75">
        <v>1225</v>
      </c>
      <c r="G1458" s="75">
        <v>340859</v>
      </c>
      <c r="H1458">
        <v>442.11</v>
      </c>
      <c r="I1458" t="s">
        <v>175</v>
      </c>
      <c r="J1458" s="75">
        <v>83605</v>
      </c>
      <c r="K1458" t="s">
        <v>844</v>
      </c>
      <c r="L1458" t="s">
        <v>845</v>
      </c>
      <c r="M1458" s="81">
        <v>46168.114432870367</v>
      </c>
      <c r="N1458" s="81">
        <v>46169.441666666673</v>
      </c>
      <c r="O1458" t="s">
        <v>58</v>
      </c>
      <c r="P1458" t="s">
        <v>59</v>
      </c>
      <c r="Q1458" t="s">
        <v>130</v>
      </c>
      <c r="R1458" t="s">
        <v>60</v>
      </c>
      <c r="S1458" t="s">
        <v>3805</v>
      </c>
      <c r="U1458" s="75">
        <v>264745</v>
      </c>
      <c r="V1458" t="s">
        <v>6121</v>
      </c>
      <c r="W1458" t="s">
        <v>6121</v>
      </c>
      <c r="X1458" t="s">
        <v>62</v>
      </c>
      <c r="Y1458" t="s">
        <v>63</v>
      </c>
      <c r="AA1458" t="s">
        <v>101</v>
      </c>
      <c r="AB1458">
        <v>31.783334</v>
      </c>
      <c r="AC1458">
        <v>23.15</v>
      </c>
      <c r="AD1458">
        <v>8.6333339999999996</v>
      </c>
      <c r="AE1458">
        <v>0.26666699999999999</v>
      </c>
      <c r="AF1458">
        <v>0</v>
      </c>
      <c r="AG1458">
        <v>8.3666669999999996</v>
      </c>
      <c r="AH1458">
        <v>8.3666669999999996</v>
      </c>
      <c r="AI1458">
        <v>7.233333</v>
      </c>
      <c r="AJ1458">
        <v>1.1333340000000001</v>
      </c>
      <c r="AK1458">
        <v>0</v>
      </c>
      <c r="AL1458" s="76">
        <v>45869.70894675926</v>
      </c>
      <c r="AM1458" s="75">
        <v>298</v>
      </c>
      <c r="AN1458" t="s">
        <v>65</v>
      </c>
      <c r="AO1458" t="s">
        <v>6122</v>
      </c>
      <c r="AP1458" t="s">
        <v>67</v>
      </c>
      <c r="AQ1458" t="s">
        <v>68</v>
      </c>
      <c r="AR1458" t="s">
        <v>69</v>
      </c>
      <c r="AT1458" s="82" t="s">
        <v>6049</v>
      </c>
      <c r="AU1458" s="78">
        <v>2026</v>
      </c>
      <c r="AV1458" s="78">
        <v>5</v>
      </c>
      <c r="AW1458" s="78" t="s">
        <v>71</v>
      </c>
      <c r="AX1458" s="78">
        <v>0</v>
      </c>
      <c r="AY1458" s="78">
        <v>0</v>
      </c>
      <c r="BT1458" t="s">
        <v>71</v>
      </c>
      <c r="BU1458">
        <v>0</v>
      </c>
      <c r="BV1458">
        <v>0</v>
      </c>
    </row>
    <row r="1459" spans="1:74" x14ac:dyDescent="0.25">
      <c r="A1459" s="75">
        <v>5979521</v>
      </c>
      <c r="B1459" t="s">
        <v>6123</v>
      </c>
      <c r="C1459" t="s">
        <v>60</v>
      </c>
      <c r="D1459" t="s">
        <v>527</v>
      </c>
      <c r="E1459" t="s">
        <v>54</v>
      </c>
      <c r="F1459" s="75">
        <v>16</v>
      </c>
      <c r="G1459" s="75">
        <v>333207</v>
      </c>
      <c r="H1459">
        <v>260</v>
      </c>
      <c r="I1459" t="s">
        <v>163</v>
      </c>
      <c r="J1459" s="75">
        <v>93027</v>
      </c>
      <c r="K1459" t="s">
        <v>3685</v>
      </c>
      <c r="L1459" t="s">
        <v>3686</v>
      </c>
      <c r="M1459" s="81">
        <v>46168.48300925926</v>
      </c>
      <c r="N1459" s="81">
        <v>46169.461574074077</v>
      </c>
      <c r="P1459" t="s">
        <v>59</v>
      </c>
      <c r="Q1459" t="s">
        <v>77</v>
      </c>
      <c r="R1459" t="s">
        <v>60</v>
      </c>
      <c r="S1459" t="s">
        <v>1268</v>
      </c>
      <c r="U1459" s="75">
        <v>265615</v>
      </c>
      <c r="V1459" t="s">
        <v>6124</v>
      </c>
      <c r="W1459" t="s">
        <v>6124</v>
      </c>
      <c r="X1459" t="s">
        <v>62</v>
      </c>
      <c r="Y1459" t="s">
        <v>287</v>
      </c>
      <c r="AA1459" t="s">
        <v>101</v>
      </c>
      <c r="AB1459">
        <v>23.416667</v>
      </c>
      <c r="AC1459">
        <v>14.8</v>
      </c>
      <c r="AD1459">
        <v>8.6166669999999996</v>
      </c>
      <c r="AE1459">
        <v>0.33333400000000002</v>
      </c>
      <c r="AF1459">
        <v>0</v>
      </c>
      <c r="AG1459">
        <v>8.2833330000000007</v>
      </c>
      <c r="AH1459">
        <v>8.2833330000000007</v>
      </c>
      <c r="AI1459">
        <v>7.9333330000000002</v>
      </c>
      <c r="AJ1459">
        <v>0.35</v>
      </c>
      <c r="AK1459">
        <v>0</v>
      </c>
      <c r="AL1459" s="76">
        <v>45741.752881944441</v>
      </c>
      <c r="AM1459" s="75">
        <v>426</v>
      </c>
      <c r="AN1459" t="s">
        <v>65</v>
      </c>
      <c r="AO1459" t="s">
        <v>5130</v>
      </c>
      <c r="AP1459" t="s">
        <v>67</v>
      </c>
      <c r="AQ1459" t="s">
        <v>68</v>
      </c>
      <c r="AR1459" t="s">
        <v>69</v>
      </c>
      <c r="AT1459" s="82" t="s">
        <v>6049</v>
      </c>
      <c r="AU1459" s="78">
        <v>2026</v>
      </c>
      <c r="AV1459" s="78">
        <v>5</v>
      </c>
      <c r="AW1459" s="78" t="s">
        <v>137</v>
      </c>
      <c r="AX1459" s="78">
        <v>0</v>
      </c>
      <c r="AY1459" s="78">
        <v>0</v>
      </c>
      <c r="BT1459" t="s">
        <v>137</v>
      </c>
      <c r="BU1459">
        <v>0</v>
      </c>
      <c r="BV1459">
        <v>0</v>
      </c>
    </row>
    <row r="1460" spans="1:74" x14ac:dyDescent="0.25">
      <c r="A1460" s="75">
        <v>5977343</v>
      </c>
      <c r="B1460" t="s">
        <v>6125</v>
      </c>
      <c r="C1460" t="s">
        <v>6126</v>
      </c>
      <c r="D1460" t="s">
        <v>527</v>
      </c>
      <c r="E1460" t="s">
        <v>87</v>
      </c>
      <c r="F1460" s="75">
        <v>66</v>
      </c>
      <c r="G1460" s="75">
        <v>288591</v>
      </c>
      <c r="H1460">
        <v>623.5</v>
      </c>
      <c r="I1460" t="s">
        <v>55</v>
      </c>
      <c r="J1460" s="75">
        <v>203659</v>
      </c>
      <c r="K1460" t="s">
        <v>1090</v>
      </c>
      <c r="L1460" t="s">
        <v>1091</v>
      </c>
      <c r="M1460" s="81">
        <v>46167.381354166668</v>
      </c>
      <c r="N1460" s="81">
        <v>46169.528553240743</v>
      </c>
      <c r="O1460" t="s">
        <v>58</v>
      </c>
      <c r="P1460" t="s">
        <v>59</v>
      </c>
      <c r="Q1460" t="s">
        <v>77</v>
      </c>
      <c r="R1460" t="s">
        <v>60</v>
      </c>
      <c r="S1460" t="s">
        <v>583</v>
      </c>
      <c r="U1460" s="75">
        <v>264891</v>
      </c>
      <c r="V1460" t="s">
        <v>6127</v>
      </c>
      <c r="W1460" t="s">
        <v>6128</v>
      </c>
      <c r="X1460" t="s">
        <v>62</v>
      </c>
      <c r="Y1460" t="s">
        <v>63</v>
      </c>
      <c r="AA1460" t="s">
        <v>416</v>
      </c>
      <c r="AB1460">
        <v>51.450001</v>
      </c>
      <c r="AC1460">
        <v>33.866667</v>
      </c>
      <c r="AD1460">
        <v>17.583334000000001</v>
      </c>
      <c r="AE1460">
        <v>1.05</v>
      </c>
      <c r="AF1460">
        <v>0</v>
      </c>
      <c r="AG1460">
        <v>16.533334</v>
      </c>
      <c r="AH1460">
        <v>16.533334</v>
      </c>
      <c r="AI1460">
        <v>15.766667</v>
      </c>
      <c r="AJ1460">
        <v>0.76666699999999999</v>
      </c>
      <c r="AK1460">
        <v>0</v>
      </c>
      <c r="AL1460" s="76">
        <v>44995</v>
      </c>
      <c r="AM1460" s="75">
        <v>1172</v>
      </c>
      <c r="AN1460" t="s">
        <v>65</v>
      </c>
      <c r="AO1460" t="s">
        <v>6129</v>
      </c>
      <c r="AP1460" t="s">
        <v>67</v>
      </c>
      <c r="AQ1460" t="s">
        <v>68</v>
      </c>
      <c r="AR1460" t="s">
        <v>69</v>
      </c>
      <c r="AT1460" s="82" t="s">
        <v>6049</v>
      </c>
      <c r="AU1460" s="78">
        <v>2026</v>
      </c>
      <c r="AV1460" s="78">
        <v>5</v>
      </c>
      <c r="AW1460" s="78" t="s">
        <v>71</v>
      </c>
      <c r="AX1460" s="78">
        <v>0</v>
      </c>
      <c r="AY1460" s="78">
        <v>0</v>
      </c>
      <c r="BT1460" t="s">
        <v>71</v>
      </c>
      <c r="BU1460">
        <v>0</v>
      </c>
      <c r="BV1460">
        <v>0</v>
      </c>
    </row>
    <row r="1461" spans="1:74" x14ac:dyDescent="0.25">
      <c r="A1461" s="75">
        <v>5975111</v>
      </c>
      <c r="B1461" t="s">
        <v>6130</v>
      </c>
      <c r="C1461" t="s">
        <v>3475</v>
      </c>
      <c r="D1461" t="s">
        <v>527</v>
      </c>
      <c r="E1461" t="s">
        <v>87</v>
      </c>
      <c r="F1461" s="75">
        <v>356</v>
      </c>
      <c r="G1461" s="75">
        <v>286741</v>
      </c>
      <c r="H1461">
        <v>364.96</v>
      </c>
      <c r="I1461" t="s">
        <v>55</v>
      </c>
      <c r="J1461" s="75">
        <v>218787</v>
      </c>
      <c r="K1461" t="s">
        <v>96</v>
      </c>
      <c r="L1461" t="s">
        <v>97</v>
      </c>
      <c r="M1461" s="81">
        <v>46166.333819444437</v>
      </c>
      <c r="N1461" s="81">
        <v>46169.528807870367</v>
      </c>
      <c r="O1461" t="s">
        <v>58</v>
      </c>
      <c r="P1461" t="s">
        <v>59</v>
      </c>
      <c r="Q1461" t="s">
        <v>90</v>
      </c>
      <c r="R1461" t="s">
        <v>60</v>
      </c>
      <c r="S1461" t="s">
        <v>583</v>
      </c>
      <c r="U1461" s="75">
        <v>263553</v>
      </c>
      <c r="V1461" t="s">
        <v>6131</v>
      </c>
      <c r="W1461" t="s">
        <v>6131</v>
      </c>
      <c r="X1461" t="s">
        <v>62</v>
      </c>
      <c r="Y1461" t="s">
        <v>63</v>
      </c>
      <c r="AA1461" t="s">
        <v>416</v>
      </c>
      <c r="AB1461">
        <v>76.583331999999999</v>
      </c>
      <c r="AC1461">
        <v>57.833333000000003</v>
      </c>
      <c r="AD1461">
        <v>18.749998999999999</v>
      </c>
      <c r="AE1461">
        <v>0.61666699999999997</v>
      </c>
      <c r="AF1461">
        <v>0</v>
      </c>
      <c r="AG1461">
        <v>18.133331999999999</v>
      </c>
      <c r="AH1461">
        <v>18.133331999999999</v>
      </c>
      <c r="AI1461">
        <v>16.833333</v>
      </c>
      <c r="AJ1461">
        <v>1.2999989999999999</v>
      </c>
      <c r="AK1461">
        <v>0</v>
      </c>
      <c r="AL1461" s="76">
        <v>44981</v>
      </c>
      <c r="AM1461" s="75">
        <v>1185</v>
      </c>
      <c r="AN1461" t="s">
        <v>65</v>
      </c>
      <c r="AO1461" t="s">
        <v>3477</v>
      </c>
      <c r="AP1461" t="s">
        <v>67</v>
      </c>
      <c r="AQ1461" t="s">
        <v>68</v>
      </c>
      <c r="AR1461" t="s">
        <v>69</v>
      </c>
      <c r="AT1461" s="82" t="s">
        <v>6049</v>
      </c>
      <c r="AU1461" s="78">
        <v>2026</v>
      </c>
      <c r="AV1461" s="78">
        <v>5</v>
      </c>
      <c r="AW1461" s="78" t="s">
        <v>71</v>
      </c>
      <c r="AX1461" s="78">
        <v>0</v>
      </c>
      <c r="AY1461" s="78">
        <v>0</v>
      </c>
      <c r="BT1461" t="s">
        <v>71</v>
      </c>
      <c r="BU1461">
        <v>0</v>
      </c>
      <c r="BV1461">
        <v>0</v>
      </c>
    </row>
    <row r="1462" spans="1:74" x14ac:dyDescent="0.25">
      <c r="A1462" s="75">
        <v>5977067</v>
      </c>
      <c r="B1462" t="s">
        <v>6132</v>
      </c>
      <c r="C1462" t="s">
        <v>3594</v>
      </c>
      <c r="D1462" t="s">
        <v>527</v>
      </c>
      <c r="E1462" t="s">
        <v>87</v>
      </c>
      <c r="F1462" s="75">
        <v>522</v>
      </c>
      <c r="G1462" s="75">
        <v>293437</v>
      </c>
      <c r="H1462">
        <v>398.82</v>
      </c>
      <c r="I1462" t="s">
        <v>55</v>
      </c>
      <c r="J1462" s="75">
        <v>216233</v>
      </c>
      <c r="K1462" t="s">
        <v>88</v>
      </c>
      <c r="L1462" t="s">
        <v>89</v>
      </c>
      <c r="M1462" s="81">
        <v>46167.357129629629</v>
      </c>
      <c r="N1462" s="81">
        <v>46169.528958333343</v>
      </c>
      <c r="O1462" t="s">
        <v>58</v>
      </c>
      <c r="P1462" t="s">
        <v>59</v>
      </c>
      <c r="Q1462" t="s">
        <v>90</v>
      </c>
      <c r="R1462" t="s">
        <v>60</v>
      </c>
      <c r="S1462" t="s">
        <v>583</v>
      </c>
      <c r="U1462" s="75">
        <v>264877</v>
      </c>
      <c r="V1462" t="s">
        <v>6133</v>
      </c>
      <c r="W1462" t="s">
        <v>6134</v>
      </c>
      <c r="X1462" t="s">
        <v>62</v>
      </c>
      <c r="Y1462" t="s">
        <v>63</v>
      </c>
      <c r="AA1462" t="s">
        <v>416</v>
      </c>
      <c r="AB1462">
        <v>52.016666999999998</v>
      </c>
      <c r="AC1462">
        <v>33.1</v>
      </c>
      <c r="AD1462">
        <v>18.916667</v>
      </c>
      <c r="AE1462">
        <v>0.4</v>
      </c>
      <c r="AF1462">
        <v>0</v>
      </c>
      <c r="AG1462">
        <v>18.516667000000002</v>
      </c>
      <c r="AH1462">
        <v>18.516667000000002</v>
      </c>
      <c r="AI1462">
        <v>17.666667</v>
      </c>
      <c r="AJ1462">
        <v>0.85</v>
      </c>
      <c r="AK1462">
        <v>0</v>
      </c>
      <c r="AL1462" s="76">
        <v>45152</v>
      </c>
      <c r="AM1462" s="75">
        <v>1015</v>
      </c>
      <c r="AN1462" t="s">
        <v>65</v>
      </c>
      <c r="AO1462" t="s">
        <v>3596</v>
      </c>
      <c r="AP1462" t="s">
        <v>67</v>
      </c>
      <c r="AQ1462" t="s">
        <v>68</v>
      </c>
      <c r="AR1462" t="s">
        <v>69</v>
      </c>
      <c r="AT1462" s="82" t="s">
        <v>6049</v>
      </c>
      <c r="AU1462" s="78">
        <v>2026</v>
      </c>
      <c r="AV1462" s="78">
        <v>5</v>
      </c>
      <c r="AW1462" s="78" t="s">
        <v>71</v>
      </c>
      <c r="AX1462" s="78">
        <v>0</v>
      </c>
      <c r="AY1462" s="78">
        <v>0</v>
      </c>
      <c r="BT1462" t="s">
        <v>71</v>
      </c>
      <c r="BU1462">
        <v>0</v>
      </c>
      <c r="BV1462">
        <v>0</v>
      </c>
    </row>
    <row r="1463" spans="1:74" x14ac:dyDescent="0.25">
      <c r="A1463" s="75">
        <v>5977453</v>
      </c>
      <c r="B1463" t="s">
        <v>6135</v>
      </c>
      <c r="C1463" t="s">
        <v>6136</v>
      </c>
      <c r="D1463" t="s">
        <v>527</v>
      </c>
      <c r="E1463" t="s">
        <v>87</v>
      </c>
      <c r="F1463" s="75">
        <v>163</v>
      </c>
      <c r="G1463" s="75">
        <v>285799</v>
      </c>
      <c r="H1463">
        <v>365.94</v>
      </c>
      <c r="I1463" t="s">
        <v>55</v>
      </c>
      <c r="J1463" s="75">
        <v>218787</v>
      </c>
      <c r="K1463" t="s">
        <v>96</v>
      </c>
      <c r="L1463" t="s">
        <v>97</v>
      </c>
      <c r="M1463" s="81">
        <v>46167.403275462973</v>
      </c>
      <c r="N1463" s="81">
        <v>46169.529108796298</v>
      </c>
      <c r="O1463" t="s">
        <v>58</v>
      </c>
      <c r="P1463" t="s">
        <v>59</v>
      </c>
      <c r="Q1463" t="s">
        <v>90</v>
      </c>
      <c r="R1463" t="s">
        <v>60</v>
      </c>
      <c r="S1463" t="s">
        <v>583</v>
      </c>
      <c r="U1463" s="75">
        <v>264107</v>
      </c>
      <c r="V1463" t="s">
        <v>6137</v>
      </c>
      <c r="W1463" t="s">
        <v>6137</v>
      </c>
      <c r="X1463" t="s">
        <v>62</v>
      </c>
      <c r="Y1463" t="s">
        <v>63</v>
      </c>
      <c r="AA1463" t="s">
        <v>416</v>
      </c>
      <c r="AB1463">
        <v>50.933332999999998</v>
      </c>
      <c r="AC1463">
        <v>31.916665999999999</v>
      </c>
      <c r="AD1463">
        <v>19.016667000000002</v>
      </c>
      <c r="AE1463">
        <v>0.15</v>
      </c>
      <c r="AF1463">
        <v>0</v>
      </c>
      <c r="AG1463">
        <v>18.866667</v>
      </c>
      <c r="AH1463">
        <v>18.866667</v>
      </c>
      <c r="AI1463">
        <v>18.133333</v>
      </c>
      <c r="AJ1463">
        <v>0.73333400000000004</v>
      </c>
      <c r="AK1463">
        <v>0</v>
      </c>
      <c r="AL1463" s="76">
        <v>44869</v>
      </c>
      <c r="AM1463" s="75">
        <v>1298</v>
      </c>
      <c r="AN1463" t="s">
        <v>65</v>
      </c>
      <c r="AO1463" t="s">
        <v>6138</v>
      </c>
      <c r="AP1463" t="s">
        <v>67</v>
      </c>
      <c r="AQ1463" t="s">
        <v>68</v>
      </c>
      <c r="AR1463" t="s">
        <v>69</v>
      </c>
      <c r="AT1463" s="82" t="s">
        <v>6049</v>
      </c>
      <c r="AU1463" s="78">
        <v>2026</v>
      </c>
      <c r="AV1463" s="78">
        <v>5</v>
      </c>
      <c r="AW1463" s="78" t="s">
        <v>71</v>
      </c>
      <c r="AX1463" s="78">
        <v>0</v>
      </c>
      <c r="AY1463" s="78">
        <v>0</v>
      </c>
      <c r="BT1463" t="s">
        <v>71</v>
      </c>
      <c r="BU1463">
        <v>0</v>
      </c>
      <c r="BV1463">
        <v>0</v>
      </c>
    </row>
    <row r="1464" spans="1:74" x14ac:dyDescent="0.25">
      <c r="A1464" s="75">
        <v>5973173</v>
      </c>
      <c r="B1464" t="s">
        <v>6139</v>
      </c>
      <c r="C1464" t="s">
        <v>3661</v>
      </c>
      <c r="D1464" t="s">
        <v>527</v>
      </c>
      <c r="E1464" t="s">
        <v>87</v>
      </c>
      <c r="F1464" s="75">
        <v>368</v>
      </c>
      <c r="G1464" s="75">
        <v>286777</v>
      </c>
      <c r="H1464">
        <v>364.96</v>
      </c>
      <c r="I1464" t="s">
        <v>55</v>
      </c>
      <c r="J1464" s="75">
        <v>218787</v>
      </c>
      <c r="K1464" t="s">
        <v>96</v>
      </c>
      <c r="L1464" t="s">
        <v>97</v>
      </c>
      <c r="M1464" s="81">
        <v>46164.576956018522</v>
      </c>
      <c r="N1464" s="81">
        <v>46169.5468287037</v>
      </c>
      <c r="O1464" t="s">
        <v>554</v>
      </c>
      <c r="P1464" t="s">
        <v>59</v>
      </c>
      <c r="Q1464" t="s">
        <v>90</v>
      </c>
      <c r="R1464" t="s">
        <v>156</v>
      </c>
      <c r="S1464" t="s">
        <v>1320</v>
      </c>
      <c r="U1464" s="75">
        <v>266091</v>
      </c>
      <c r="V1464" t="s">
        <v>6140</v>
      </c>
      <c r="W1464" t="s">
        <v>6141</v>
      </c>
      <c r="X1464" t="s">
        <v>62</v>
      </c>
      <c r="Y1464" t="s">
        <v>63</v>
      </c>
      <c r="AA1464" t="s">
        <v>295</v>
      </c>
      <c r="AB1464">
        <v>119.133336</v>
      </c>
      <c r="AC1464">
        <v>93.300000999999995</v>
      </c>
      <c r="AD1464">
        <v>25.833335000000002</v>
      </c>
      <c r="AE1464">
        <v>0.88333399999999995</v>
      </c>
      <c r="AF1464">
        <v>0</v>
      </c>
      <c r="AG1464">
        <v>24.950001</v>
      </c>
      <c r="AH1464">
        <v>24.950001</v>
      </c>
      <c r="AI1464">
        <v>23.166667</v>
      </c>
      <c r="AJ1464">
        <v>1.783334</v>
      </c>
      <c r="AK1464">
        <v>0</v>
      </c>
      <c r="AL1464" s="76">
        <v>44984</v>
      </c>
      <c r="AM1464" s="75">
        <v>1180</v>
      </c>
      <c r="AN1464" t="s">
        <v>65</v>
      </c>
      <c r="AO1464" t="s">
        <v>3663</v>
      </c>
      <c r="AP1464" t="s">
        <v>67</v>
      </c>
      <c r="AQ1464" t="s">
        <v>68</v>
      </c>
      <c r="AR1464" t="s">
        <v>69</v>
      </c>
      <c r="AT1464" s="82" t="s">
        <v>6049</v>
      </c>
      <c r="AU1464" s="78">
        <v>2026</v>
      </c>
      <c r="AV1464" s="78">
        <v>5</v>
      </c>
      <c r="AW1464" s="78" t="s">
        <v>71</v>
      </c>
      <c r="AX1464" s="78">
        <v>0</v>
      </c>
      <c r="AY1464" s="78">
        <v>1</v>
      </c>
      <c r="BT1464" t="s">
        <v>71</v>
      </c>
      <c r="BU1464">
        <v>0</v>
      </c>
      <c r="BV1464">
        <v>1</v>
      </c>
    </row>
    <row r="1465" spans="1:74" x14ac:dyDescent="0.25">
      <c r="A1465" s="75">
        <v>5981297</v>
      </c>
      <c r="B1465" t="s">
        <v>6142</v>
      </c>
      <c r="C1465" t="s">
        <v>6143</v>
      </c>
      <c r="D1465" t="s">
        <v>809</v>
      </c>
      <c r="E1465" t="s">
        <v>54</v>
      </c>
      <c r="F1465" s="75">
        <v>32</v>
      </c>
      <c r="G1465" s="75">
        <v>335861</v>
      </c>
      <c r="H1465">
        <v>99.9</v>
      </c>
      <c r="I1465" t="s">
        <v>1591</v>
      </c>
      <c r="J1465" s="75">
        <v>88921</v>
      </c>
      <c r="K1465" t="s">
        <v>1177</v>
      </c>
      <c r="L1465" t="s">
        <v>1178</v>
      </c>
      <c r="M1465" s="81">
        <v>46169.387766203698</v>
      </c>
      <c r="N1465" s="81">
        <v>46169.639560185176</v>
      </c>
      <c r="O1465" t="s">
        <v>58</v>
      </c>
      <c r="P1465" t="s">
        <v>59</v>
      </c>
      <c r="Q1465" t="s">
        <v>130</v>
      </c>
      <c r="R1465" t="s">
        <v>99</v>
      </c>
      <c r="S1465" t="s">
        <v>1244</v>
      </c>
      <c r="U1465" s="75"/>
      <c r="X1465" t="s">
        <v>62</v>
      </c>
      <c r="Y1465" t="s">
        <v>1447</v>
      </c>
      <c r="AA1465" t="s">
        <v>64</v>
      </c>
      <c r="AB1465">
        <v>5.983333</v>
      </c>
      <c r="AC1465">
        <v>0.3</v>
      </c>
      <c r="AD1465">
        <v>5.6833330000000002</v>
      </c>
      <c r="AE1465">
        <v>8.3333000000000004E-2</v>
      </c>
      <c r="AF1465">
        <v>0</v>
      </c>
      <c r="AG1465">
        <v>5.6</v>
      </c>
      <c r="AH1465">
        <v>5.6</v>
      </c>
      <c r="AI1465">
        <v>5.35</v>
      </c>
      <c r="AJ1465">
        <v>0.25</v>
      </c>
      <c r="AK1465">
        <v>0</v>
      </c>
      <c r="AL1465" s="76"/>
      <c r="AM1465" s="75"/>
      <c r="AN1465" t="s">
        <v>135</v>
      </c>
      <c r="AO1465" t="s">
        <v>2019</v>
      </c>
      <c r="AP1465" t="s">
        <v>67</v>
      </c>
      <c r="AQ1465" t="s">
        <v>68</v>
      </c>
      <c r="AR1465" t="s">
        <v>69</v>
      </c>
      <c r="AT1465" s="82" t="s">
        <v>6049</v>
      </c>
      <c r="AU1465" s="78">
        <v>2026</v>
      </c>
      <c r="AV1465" s="78">
        <v>5</v>
      </c>
      <c r="AW1465" s="78" t="s">
        <v>137</v>
      </c>
      <c r="AX1465" s="78">
        <v>1</v>
      </c>
      <c r="AY1465" s="78">
        <v>0</v>
      </c>
      <c r="BT1465" t="s">
        <v>137</v>
      </c>
      <c r="BU1465">
        <v>1</v>
      </c>
      <c r="BV1465">
        <v>0</v>
      </c>
    </row>
    <row r="1466" spans="1:74" x14ac:dyDescent="0.25">
      <c r="A1466" s="75">
        <v>5980333</v>
      </c>
      <c r="B1466" t="s">
        <v>6144</v>
      </c>
      <c r="C1466" t="s">
        <v>6145</v>
      </c>
      <c r="D1466" t="s">
        <v>2602</v>
      </c>
      <c r="E1466" t="s">
        <v>105</v>
      </c>
      <c r="F1466" s="75">
        <v>1120</v>
      </c>
      <c r="G1466" s="75">
        <v>296591</v>
      </c>
      <c r="H1466">
        <v>0.01</v>
      </c>
      <c r="I1466" t="s">
        <v>55</v>
      </c>
      <c r="J1466" s="75">
        <v>49331</v>
      </c>
      <c r="K1466" t="s">
        <v>1266</v>
      </c>
      <c r="L1466" t="s">
        <v>1267</v>
      </c>
      <c r="M1466" s="81">
        <v>46168.649062500001</v>
      </c>
      <c r="N1466" s="81">
        <v>46169.871180555558</v>
      </c>
      <c r="O1466" t="s">
        <v>58</v>
      </c>
      <c r="P1466" t="s">
        <v>59</v>
      </c>
      <c r="Q1466" t="s">
        <v>130</v>
      </c>
      <c r="R1466" t="s">
        <v>60</v>
      </c>
      <c r="S1466" t="s">
        <v>583</v>
      </c>
      <c r="U1466" s="75">
        <v>266163</v>
      </c>
      <c r="V1466" t="s">
        <v>6146</v>
      </c>
      <c r="W1466" t="s">
        <v>6146</v>
      </c>
      <c r="X1466" t="s">
        <v>118</v>
      </c>
      <c r="Y1466" t="s">
        <v>119</v>
      </c>
      <c r="AA1466" t="s">
        <v>101</v>
      </c>
      <c r="AB1466">
        <v>29.25</v>
      </c>
      <c r="AC1466">
        <v>17.433333000000001</v>
      </c>
      <c r="AD1466">
        <v>11.816667000000001</v>
      </c>
      <c r="AE1466">
        <v>0.216667</v>
      </c>
      <c r="AF1466">
        <v>0</v>
      </c>
      <c r="AG1466">
        <v>11.6</v>
      </c>
      <c r="AH1466">
        <v>11.6</v>
      </c>
      <c r="AI1466">
        <v>10.050000000000001</v>
      </c>
      <c r="AJ1466">
        <v>1.55</v>
      </c>
      <c r="AK1466">
        <v>0</v>
      </c>
      <c r="AL1466" s="76"/>
      <c r="AM1466" s="75"/>
      <c r="AN1466" t="s">
        <v>135</v>
      </c>
      <c r="AP1466" t="s">
        <v>67</v>
      </c>
      <c r="AQ1466" t="s">
        <v>121</v>
      </c>
      <c r="AR1466" t="s">
        <v>69</v>
      </c>
      <c r="AT1466" s="82" t="s">
        <v>6049</v>
      </c>
      <c r="AU1466" s="78">
        <v>2026</v>
      </c>
      <c r="AV1466" s="78">
        <v>5</v>
      </c>
      <c r="AW1466" s="78" t="s">
        <v>122</v>
      </c>
      <c r="AX1466" s="78">
        <v>0</v>
      </c>
      <c r="AY1466" s="78">
        <v>0</v>
      </c>
      <c r="BT1466" t="s">
        <v>122</v>
      </c>
      <c r="BU1466">
        <v>0</v>
      </c>
      <c r="BV1466">
        <v>0</v>
      </c>
    </row>
    <row r="1467" spans="1:74" x14ac:dyDescent="0.25">
      <c r="A1467" s="75">
        <v>5977305</v>
      </c>
      <c r="B1467" t="s">
        <v>6147</v>
      </c>
      <c r="C1467" t="s">
        <v>6148</v>
      </c>
      <c r="D1467" t="s">
        <v>2602</v>
      </c>
      <c r="E1467" t="s">
        <v>54</v>
      </c>
      <c r="F1467" s="75">
        <v>11</v>
      </c>
      <c r="G1467" s="75">
        <v>63109</v>
      </c>
      <c r="H1467">
        <v>381.28</v>
      </c>
      <c r="I1467" t="s">
        <v>114</v>
      </c>
      <c r="J1467" s="75">
        <v>56161</v>
      </c>
      <c r="K1467" t="s">
        <v>275</v>
      </c>
      <c r="L1467" t="s">
        <v>3999</v>
      </c>
      <c r="M1467" s="81">
        <v>46167.373900462961</v>
      </c>
      <c r="N1467" s="81">
        <v>46169.904050925928</v>
      </c>
      <c r="O1467" t="s">
        <v>58</v>
      </c>
      <c r="P1467" t="s">
        <v>59</v>
      </c>
      <c r="R1467" t="s">
        <v>60</v>
      </c>
      <c r="S1467" t="s">
        <v>583</v>
      </c>
      <c r="U1467" s="75">
        <v>264881</v>
      </c>
      <c r="V1467" t="s">
        <v>6149</v>
      </c>
      <c r="W1467" t="s">
        <v>6150</v>
      </c>
      <c r="X1467" t="s">
        <v>62</v>
      </c>
      <c r="Y1467" t="s">
        <v>63</v>
      </c>
      <c r="AA1467" t="s">
        <v>295</v>
      </c>
      <c r="AB1467">
        <v>60.650001000000003</v>
      </c>
      <c r="AC1467">
        <v>28.500001000000001</v>
      </c>
      <c r="AD1467">
        <v>32.15</v>
      </c>
      <c r="AE1467">
        <v>3.3333000000000002E-2</v>
      </c>
      <c r="AF1467">
        <v>0</v>
      </c>
      <c r="AG1467">
        <v>32.116667</v>
      </c>
      <c r="AH1467">
        <v>32.116667</v>
      </c>
      <c r="AI1467">
        <v>31.266667000000002</v>
      </c>
      <c r="AJ1467">
        <v>0.85</v>
      </c>
      <c r="AK1467">
        <v>0</v>
      </c>
      <c r="AL1467" s="76">
        <v>43053.695162037038</v>
      </c>
      <c r="AM1467" s="75">
        <v>3113</v>
      </c>
      <c r="AN1467" t="s">
        <v>65</v>
      </c>
      <c r="AO1467" t="s">
        <v>4001</v>
      </c>
      <c r="AP1467" t="s">
        <v>67</v>
      </c>
      <c r="AQ1467" t="s">
        <v>68</v>
      </c>
      <c r="AR1467" t="s">
        <v>69</v>
      </c>
      <c r="AT1467" s="82" t="s">
        <v>6049</v>
      </c>
      <c r="AU1467" s="78">
        <v>2026</v>
      </c>
      <c r="AV1467" s="78">
        <v>5</v>
      </c>
      <c r="AW1467" s="78" t="s">
        <v>71</v>
      </c>
      <c r="AX1467" s="78">
        <v>0</v>
      </c>
      <c r="AY1467" s="78">
        <v>1</v>
      </c>
      <c r="BT1467" t="s">
        <v>71</v>
      </c>
      <c r="BU1467">
        <v>0</v>
      </c>
      <c r="BV1467">
        <v>1</v>
      </c>
    </row>
    <row r="1468" spans="1:74" x14ac:dyDescent="0.25">
      <c r="A1468" s="75">
        <v>5981465</v>
      </c>
      <c r="B1468" t="s">
        <v>6151</v>
      </c>
      <c r="C1468" t="s">
        <v>6152</v>
      </c>
      <c r="D1468" t="s">
        <v>527</v>
      </c>
      <c r="E1468" t="s">
        <v>87</v>
      </c>
      <c r="F1468" s="75">
        <v>2</v>
      </c>
      <c r="G1468" s="75">
        <v>280825</v>
      </c>
      <c r="H1468">
        <v>831.72</v>
      </c>
      <c r="I1468" t="s">
        <v>242</v>
      </c>
      <c r="J1468" s="75">
        <v>216065</v>
      </c>
      <c r="K1468" t="s">
        <v>3470</v>
      </c>
      <c r="L1468" t="s">
        <v>3471</v>
      </c>
      <c r="M1468" s="81">
        <v>46169.424155092587</v>
      </c>
      <c r="N1468" s="81">
        <v>46170.392766203702</v>
      </c>
      <c r="O1468" t="s">
        <v>58</v>
      </c>
      <c r="P1468" t="s">
        <v>59</v>
      </c>
      <c r="Q1468" t="s">
        <v>905</v>
      </c>
      <c r="R1468" t="s">
        <v>99</v>
      </c>
      <c r="S1468" t="s">
        <v>1244</v>
      </c>
      <c r="T1468" t="s">
        <v>231</v>
      </c>
      <c r="U1468" s="75"/>
      <c r="X1468" t="s">
        <v>62</v>
      </c>
      <c r="Y1468" t="s">
        <v>702</v>
      </c>
      <c r="AA1468" t="s">
        <v>64</v>
      </c>
      <c r="AB1468">
        <v>23.216666</v>
      </c>
      <c r="AC1468">
        <v>16.316666000000001</v>
      </c>
      <c r="AD1468">
        <v>6.9</v>
      </c>
      <c r="AE1468">
        <v>0.183333</v>
      </c>
      <c r="AF1468">
        <v>0</v>
      </c>
      <c r="AG1468">
        <v>6.7166670000000002</v>
      </c>
      <c r="AH1468">
        <v>6.7166670000000002</v>
      </c>
      <c r="AI1468">
        <v>6.2166670000000002</v>
      </c>
      <c r="AJ1468">
        <v>0.5</v>
      </c>
      <c r="AK1468">
        <v>0</v>
      </c>
      <c r="AL1468" s="76">
        <v>44834</v>
      </c>
      <c r="AM1468" s="75">
        <v>1335</v>
      </c>
      <c r="AN1468" t="s">
        <v>65</v>
      </c>
      <c r="AO1468" t="s">
        <v>6153</v>
      </c>
      <c r="AP1468" t="s">
        <v>67</v>
      </c>
      <c r="AQ1468" t="s">
        <v>68</v>
      </c>
      <c r="AR1468" t="s">
        <v>69</v>
      </c>
      <c r="AT1468" s="82" t="s">
        <v>6049</v>
      </c>
      <c r="AU1468" s="78">
        <v>2026</v>
      </c>
      <c r="AV1468" s="78">
        <v>5</v>
      </c>
      <c r="AW1468" s="78" t="s">
        <v>137</v>
      </c>
      <c r="AX1468" s="78">
        <v>1</v>
      </c>
      <c r="AY1468" s="78">
        <v>0</v>
      </c>
      <c r="BT1468" t="s">
        <v>137</v>
      </c>
      <c r="BU1468">
        <v>1</v>
      </c>
      <c r="BV1468">
        <v>0</v>
      </c>
    </row>
    <row r="1469" spans="1:74" x14ac:dyDescent="0.25">
      <c r="A1469" s="75">
        <v>5981589</v>
      </c>
      <c r="B1469" t="s">
        <v>6154</v>
      </c>
      <c r="C1469" t="s">
        <v>1099</v>
      </c>
      <c r="D1469" t="s">
        <v>527</v>
      </c>
      <c r="E1469" t="s">
        <v>87</v>
      </c>
      <c r="F1469" s="75">
        <v>172</v>
      </c>
      <c r="G1469" s="75">
        <v>285847</v>
      </c>
      <c r="H1469">
        <v>364.95</v>
      </c>
      <c r="I1469" t="s">
        <v>55</v>
      </c>
      <c r="J1469" s="75">
        <v>218787</v>
      </c>
      <c r="K1469" t="s">
        <v>96</v>
      </c>
      <c r="L1469" t="s">
        <v>97</v>
      </c>
      <c r="M1469" s="81">
        <v>46169.46603009259</v>
      </c>
      <c r="N1469" s="81">
        <v>46170.399722222217</v>
      </c>
      <c r="O1469" t="s">
        <v>58</v>
      </c>
      <c r="P1469" t="s">
        <v>59</v>
      </c>
      <c r="Q1469" t="s">
        <v>90</v>
      </c>
      <c r="R1469" t="s">
        <v>131</v>
      </c>
      <c r="S1469" t="s">
        <v>1316</v>
      </c>
      <c r="U1469" s="75">
        <v>266851</v>
      </c>
      <c r="V1469" t="s">
        <v>6155</v>
      </c>
      <c r="W1469" t="s">
        <v>6155</v>
      </c>
      <c r="X1469" t="s">
        <v>62</v>
      </c>
      <c r="Y1469" t="s">
        <v>63</v>
      </c>
      <c r="AA1469" t="s">
        <v>64</v>
      </c>
      <c r="AB1469">
        <v>22.35</v>
      </c>
      <c r="AC1469">
        <v>16.75</v>
      </c>
      <c r="AD1469">
        <v>5.6</v>
      </c>
      <c r="AE1469">
        <v>0.33333299999999999</v>
      </c>
      <c r="AF1469">
        <v>0</v>
      </c>
      <c r="AG1469">
        <v>5.266667</v>
      </c>
      <c r="AH1469">
        <v>5.266667</v>
      </c>
      <c r="AI1469">
        <v>4.55</v>
      </c>
      <c r="AJ1469">
        <v>0.71666700000000005</v>
      </c>
      <c r="AK1469">
        <v>0</v>
      </c>
      <c r="AL1469" s="76">
        <v>44873</v>
      </c>
      <c r="AM1469" s="75">
        <v>1296</v>
      </c>
      <c r="AN1469" t="s">
        <v>65</v>
      </c>
      <c r="AO1469" t="s">
        <v>1102</v>
      </c>
      <c r="AP1469" t="s">
        <v>67</v>
      </c>
      <c r="AQ1469" t="s">
        <v>68</v>
      </c>
      <c r="AR1469" t="s">
        <v>69</v>
      </c>
      <c r="AT1469" s="82" t="s">
        <v>6049</v>
      </c>
      <c r="AU1469" s="78">
        <v>2026</v>
      </c>
      <c r="AV1469" s="78">
        <v>5</v>
      </c>
      <c r="AW1469" s="78" t="s">
        <v>71</v>
      </c>
      <c r="AX1469" s="78">
        <v>1</v>
      </c>
      <c r="AY1469" s="78">
        <v>0</v>
      </c>
      <c r="BT1469" t="s">
        <v>71</v>
      </c>
      <c r="BU1469">
        <v>1</v>
      </c>
      <c r="BV1469">
        <v>0</v>
      </c>
    </row>
    <row r="1470" spans="1:74" x14ac:dyDescent="0.25">
      <c r="A1470" s="75">
        <v>5980609</v>
      </c>
      <c r="B1470" t="s">
        <v>6156</v>
      </c>
      <c r="C1470" t="s">
        <v>3602</v>
      </c>
      <c r="D1470" t="s">
        <v>527</v>
      </c>
      <c r="E1470" t="s">
        <v>87</v>
      </c>
      <c r="F1470" s="75">
        <v>385</v>
      </c>
      <c r="G1470" s="75">
        <v>286823</v>
      </c>
      <c r="H1470">
        <v>364.96</v>
      </c>
      <c r="I1470" t="s">
        <v>55</v>
      </c>
      <c r="J1470" s="75">
        <v>218787</v>
      </c>
      <c r="K1470" t="s">
        <v>96</v>
      </c>
      <c r="L1470" t="s">
        <v>97</v>
      </c>
      <c r="M1470" s="81">
        <v>46168.729837962957</v>
      </c>
      <c r="N1470" s="81">
        <v>46170.399872685193</v>
      </c>
      <c r="O1470" t="s">
        <v>58</v>
      </c>
      <c r="P1470" t="s">
        <v>59</v>
      </c>
      <c r="Q1470" t="s">
        <v>98</v>
      </c>
      <c r="R1470" t="s">
        <v>99</v>
      </c>
      <c r="S1470" t="s">
        <v>1244</v>
      </c>
      <c r="U1470" s="75"/>
      <c r="X1470" t="s">
        <v>62</v>
      </c>
      <c r="Y1470" t="s">
        <v>63</v>
      </c>
      <c r="AA1470" t="s">
        <v>81</v>
      </c>
      <c r="AB1470">
        <v>39.950001</v>
      </c>
      <c r="AC1470">
        <v>37.200000000000003</v>
      </c>
      <c r="AD1470">
        <v>2.7500010000000001</v>
      </c>
      <c r="AE1470">
        <v>1.9833339999999999</v>
      </c>
      <c r="AF1470">
        <v>0</v>
      </c>
      <c r="AG1470">
        <v>0.76666699999999999</v>
      </c>
      <c r="AH1470">
        <v>0.76666699999999999</v>
      </c>
      <c r="AI1470">
        <v>0</v>
      </c>
      <c r="AJ1470">
        <v>0.76666699999999999</v>
      </c>
      <c r="AK1470">
        <v>0</v>
      </c>
      <c r="AL1470" s="76">
        <v>44981</v>
      </c>
      <c r="AM1470" s="75">
        <v>1187</v>
      </c>
      <c r="AN1470" t="s">
        <v>65</v>
      </c>
      <c r="AO1470" t="s">
        <v>3604</v>
      </c>
      <c r="AP1470" t="s">
        <v>67</v>
      </c>
      <c r="AQ1470" t="s">
        <v>68</v>
      </c>
      <c r="AR1470" t="s">
        <v>69</v>
      </c>
      <c r="AT1470" s="82" t="s">
        <v>6049</v>
      </c>
      <c r="AU1470" s="78">
        <v>2026</v>
      </c>
      <c r="AV1470" s="78">
        <v>5</v>
      </c>
      <c r="AW1470" s="78" t="s">
        <v>71</v>
      </c>
      <c r="AX1470" s="78">
        <v>1</v>
      </c>
      <c r="AY1470" s="78">
        <v>0</v>
      </c>
      <c r="BT1470" t="s">
        <v>71</v>
      </c>
      <c r="BU1470">
        <v>1</v>
      </c>
      <c r="BV1470">
        <v>0</v>
      </c>
    </row>
    <row r="1471" spans="1:74" x14ac:dyDescent="0.25">
      <c r="A1471" s="75">
        <v>5980449</v>
      </c>
      <c r="B1471" t="s">
        <v>6157</v>
      </c>
      <c r="C1471" t="s">
        <v>693</v>
      </c>
      <c r="D1471" t="s">
        <v>527</v>
      </c>
      <c r="E1471" t="s">
        <v>87</v>
      </c>
      <c r="F1471" s="75">
        <v>402</v>
      </c>
      <c r="G1471" s="75">
        <v>288381</v>
      </c>
      <c r="H1471">
        <v>368.16</v>
      </c>
      <c r="I1471" t="s">
        <v>55</v>
      </c>
      <c r="J1471" s="75">
        <v>218791</v>
      </c>
      <c r="K1471" t="s">
        <v>312</v>
      </c>
      <c r="L1471" t="s">
        <v>313</v>
      </c>
      <c r="M1471" s="81">
        <v>46168.674201388887</v>
      </c>
      <c r="N1471" s="81">
        <v>46170.400011574071</v>
      </c>
      <c r="O1471" t="s">
        <v>58</v>
      </c>
      <c r="P1471" t="s">
        <v>59</v>
      </c>
      <c r="Q1471" t="s">
        <v>98</v>
      </c>
      <c r="R1471" t="s">
        <v>99</v>
      </c>
      <c r="S1471" t="s">
        <v>1244</v>
      </c>
      <c r="U1471" s="75"/>
      <c r="X1471" t="s">
        <v>62</v>
      </c>
      <c r="Y1471" t="s">
        <v>63</v>
      </c>
      <c r="AA1471" t="s">
        <v>81</v>
      </c>
      <c r="AB1471">
        <v>41.383333999999998</v>
      </c>
      <c r="AC1471">
        <v>29.15</v>
      </c>
      <c r="AD1471">
        <v>12.233333999999999</v>
      </c>
      <c r="AE1471">
        <v>11.333334000000001</v>
      </c>
      <c r="AF1471">
        <v>0</v>
      </c>
      <c r="AG1471">
        <v>0.9</v>
      </c>
      <c r="AH1471">
        <v>0.9</v>
      </c>
      <c r="AI1471">
        <v>0</v>
      </c>
      <c r="AJ1471">
        <v>0.9</v>
      </c>
      <c r="AK1471">
        <v>0</v>
      </c>
      <c r="AL1471" s="76">
        <v>44946.44804398148</v>
      </c>
      <c r="AM1471" s="75">
        <v>1222</v>
      </c>
      <c r="AN1471" t="s">
        <v>65</v>
      </c>
      <c r="AO1471" t="s">
        <v>695</v>
      </c>
      <c r="AP1471" t="s">
        <v>67</v>
      </c>
      <c r="AQ1471" t="s">
        <v>68</v>
      </c>
      <c r="AR1471" t="s">
        <v>69</v>
      </c>
      <c r="AT1471" s="82" t="s">
        <v>6049</v>
      </c>
      <c r="AU1471" s="78">
        <v>2026</v>
      </c>
      <c r="AV1471" s="78">
        <v>5</v>
      </c>
      <c r="AW1471" s="78" t="s">
        <v>71</v>
      </c>
      <c r="AX1471" s="78">
        <v>1</v>
      </c>
      <c r="AY1471" s="78">
        <v>0</v>
      </c>
      <c r="BT1471" t="s">
        <v>71</v>
      </c>
      <c r="BU1471">
        <v>1</v>
      </c>
      <c r="BV1471">
        <v>0</v>
      </c>
    </row>
    <row r="1472" spans="1:74" x14ac:dyDescent="0.25">
      <c r="A1472" s="75">
        <v>5977345</v>
      </c>
      <c r="B1472" t="s">
        <v>6158</v>
      </c>
      <c r="C1472" t="s">
        <v>6159</v>
      </c>
      <c r="D1472" t="s">
        <v>527</v>
      </c>
      <c r="E1472" t="s">
        <v>87</v>
      </c>
      <c r="F1472" s="75">
        <v>11</v>
      </c>
      <c r="G1472" s="75">
        <v>293731</v>
      </c>
      <c r="H1472">
        <v>1349.54</v>
      </c>
      <c r="I1472" t="s">
        <v>114</v>
      </c>
      <c r="J1472" s="75">
        <v>216065</v>
      </c>
      <c r="K1472" t="s">
        <v>3470</v>
      </c>
      <c r="L1472" t="s">
        <v>3471</v>
      </c>
      <c r="M1472" s="81">
        <v>46167.382002314807</v>
      </c>
      <c r="N1472" s="81">
        <v>46170.400219907409</v>
      </c>
      <c r="O1472" t="s">
        <v>58</v>
      </c>
      <c r="P1472" t="s">
        <v>59</v>
      </c>
      <c r="Q1472" t="s">
        <v>77</v>
      </c>
      <c r="R1472" t="s">
        <v>60</v>
      </c>
      <c r="S1472" t="s">
        <v>1268</v>
      </c>
      <c r="U1472" s="75">
        <v>266019</v>
      </c>
      <c r="V1472" t="s">
        <v>6160</v>
      </c>
      <c r="W1472" t="s">
        <v>6161</v>
      </c>
      <c r="X1472" t="s">
        <v>62</v>
      </c>
      <c r="Y1472" t="s">
        <v>63</v>
      </c>
      <c r="AA1472" t="s">
        <v>416</v>
      </c>
      <c r="AB1472">
        <v>72.316666999999995</v>
      </c>
      <c r="AC1472">
        <v>45.866667</v>
      </c>
      <c r="AD1472">
        <v>26.45</v>
      </c>
      <c r="AE1472">
        <v>2.7</v>
      </c>
      <c r="AF1472">
        <v>0</v>
      </c>
      <c r="AG1472">
        <v>23.75</v>
      </c>
      <c r="AH1472">
        <v>23.75</v>
      </c>
      <c r="AI1472">
        <v>22.366667</v>
      </c>
      <c r="AJ1472">
        <v>1.3833329999999999</v>
      </c>
      <c r="AK1472">
        <v>0</v>
      </c>
      <c r="AL1472" s="76">
        <v>45175</v>
      </c>
      <c r="AM1472" s="75">
        <v>992</v>
      </c>
      <c r="AN1472" t="s">
        <v>65</v>
      </c>
      <c r="AO1472" t="s">
        <v>6162</v>
      </c>
      <c r="AP1472" t="s">
        <v>67</v>
      </c>
      <c r="AQ1472" t="s">
        <v>68</v>
      </c>
      <c r="AR1472" t="s">
        <v>69</v>
      </c>
      <c r="AT1472" s="82" t="s">
        <v>6049</v>
      </c>
      <c r="AU1472" s="78">
        <v>2026</v>
      </c>
      <c r="AV1472" s="78">
        <v>5</v>
      </c>
      <c r="AW1472" s="78" t="s">
        <v>71</v>
      </c>
      <c r="AX1472" s="78">
        <v>0</v>
      </c>
      <c r="AY1472" s="78">
        <v>0</v>
      </c>
      <c r="BT1472" t="s">
        <v>71</v>
      </c>
      <c r="BU1472">
        <v>0</v>
      </c>
      <c r="BV1472">
        <v>0</v>
      </c>
    </row>
    <row r="1473" spans="1:74" x14ac:dyDescent="0.25">
      <c r="A1473" s="75">
        <v>5977049</v>
      </c>
      <c r="B1473" t="s">
        <v>6163</v>
      </c>
      <c r="C1473" t="s">
        <v>6164</v>
      </c>
      <c r="D1473" t="s">
        <v>527</v>
      </c>
      <c r="E1473" t="s">
        <v>87</v>
      </c>
      <c r="F1473" s="75">
        <v>29</v>
      </c>
      <c r="G1473" s="75">
        <v>275245</v>
      </c>
      <c r="H1473">
        <v>368.16</v>
      </c>
      <c r="I1473" t="s">
        <v>55</v>
      </c>
      <c r="J1473" s="75">
        <v>218791</v>
      </c>
      <c r="K1473" t="s">
        <v>312</v>
      </c>
      <c r="L1473" t="s">
        <v>313</v>
      </c>
      <c r="M1473" s="81">
        <v>46167.356909722221</v>
      </c>
      <c r="N1473" s="81">
        <v>46170.400393518517</v>
      </c>
      <c r="O1473" t="s">
        <v>58</v>
      </c>
      <c r="P1473" t="s">
        <v>59</v>
      </c>
      <c r="Q1473" t="s">
        <v>90</v>
      </c>
      <c r="R1473" t="s">
        <v>60</v>
      </c>
      <c r="S1473" t="s">
        <v>583</v>
      </c>
      <c r="U1473" s="75">
        <v>266115</v>
      </c>
      <c r="V1473" t="s">
        <v>6165</v>
      </c>
      <c r="W1473" t="s">
        <v>6165</v>
      </c>
      <c r="X1473" t="s">
        <v>62</v>
      </c>
      <c r="Y1473" t="s">
        <v>63</v>
      </c>
      <c r="AA1473" t="s">
        <v>416</v>
      </c>
      <c r="AB1473">
        <v>72.966666000000004</v>
      </c>
      <c r="AC1473">
        <v>31.383333</v>
      </c>
      <c r="AD1473">
        <v>41.583333000000003</v>
      </c>
      <c r="AE1473">
        <v>26.166665999999999</v>
      </c>
      <c r="AF1473">
        <v>24.966666</v>
      </c>
      <c r="AG1473">
        <v>15.416667</v>
      </c>
      <c r="AH1473">
        <v>40.383333</v>
      </c>
      <c r="AI1473">
        <v>14.616667</v>
      </c>
      <c r="AJ1473">
        <v>0.8</v>
      </c>
      <c r="AK1473">
        <v>0</v>
      </c>
      <c r="AL1473" s="76">
        <v>44861.686574074083</v>
      </c>
      <c r="AM1473" s="75">
        <v>1305</v>
      </c>
      <c r="AN1473" t="s">
        <v>65</v>
      </c>
      <c r="AO1473" t="s">
        <v>6166</v>
      </c>
      <c r="AP1473" t="s">
        <v>67</v>
      </c>
      <c r="AQ1473" t="s">
        <v>68</v>
      </c>
      <c r="AR1473" t="s">
        <v>69</v>
      </c>
      <c r="AT1473" s="82" t="s">
        <v>6049</v>
      </c>
      <c r="AU1473" s="78">
        <v>2026</v>
      </c>
      <c r="AV1473" s="78">
        <v>5</v>
      </c>
      <c r="AW1473" s="78" t="s">
        <v>71</v>
      </c>
      <c r="AX1473" s="78">
        <v>0</v>
      </c>
      <c r="AY1473" s="78">
        <v>0</v>
      </c>
      <c r="BT1473" t="s">
        <v>71</v>
      </c>
      <c r="BU1473">
        <v>0</v>
      </c>
      <c r="BV1473">
        <v>0</v>
      </c>
    </row>
    <row r="1474" spans="1:74" x14ac:dyDescent="0.25">
      <c r="A1474" s="75">
        <v>5977029</v>
      </c>
      <c r="B1474" t="s">
        <v>6167</v>
      </c>
      <c r="C1474" t="s">
        <v>4107</v>
      </c>
      <c r="D1474" t="s">
        <v>527</v>
      </c>
      <c r="E1474" t="s">
        <v>87</v>
      </c>
      <c r="F1474" s="75">
        <v>225</v>
      </c>
      <c r="G1474" s="75">
        <v>286247</v>
      </c>
      <c r="H1474">
        <v>368.16</v>
      </c>
      <c r="I1474" t="s">
        <v>55</v>
      </c>
      <c r="J1474" s="75">
        <v>218791</v>
      </c>
      <c r="K1474" t="s">
        <v>312</v>
      </c>
      <c r="L1474" t="s">
        <v>313</v>
      </c>
      <c r="M1474" s="81">
        <v>46167.356608796297</v>
      </c>
      <c r="N1474" s="81">
        <v>46170.400590277779</v>
      </c>
      <c r="O1474" t="s">
        <v>58</v>
      </c>
      <c r="P1474" t="s">
        <v>59</v>
      </c>
      <c r="Q1474" t="s">
        <v>98</v>
      </c>
      <c r="R1474" t="s">
        <v>60</v>
      </c>
      <c r="S1474" t="s">
        <v>1268</v>
      </c>
      <c r="U1474" s="75">
        <v>266041</v>
      </c>
      <c r="V1474" t="s">
        <v>6168</v>
      </c>
      <c r="W1474" t="s">
        <v>6168</v>
      </c>
      <c r="X1474" t="s">
        <v>62</v>
      </c>
      <c r="Y1474" t="s">
        <v>63</v>
      </c>
      <c r="AA1474" t="s">
        <v>101</v>
      </c>
      <c r="AB1474">
        <v>72.95</v>
      </c>
      <c r="AC1474">
        <v>59.583333000000003</v>
      </c>
      <c r="AD1474">
        <v>13.366667</v>
      </c>
      <c r="AE1474">
        <v>3.25</v>
      </c>
      <c r="AF1474">
        <v>0</v>
      </c>
      <c r="AG1474">
        <v>10.116667</v>
      </c>
      <c r="AH1474">
        <v>10.116667</v>
      </c>
      <c r="AI1474">
        <v>9.4499999999999993</v>
      </c>
      <c r="AJ1474">
        <v>0.66666700000000001</v>
      </c>
      <c r="AK1474">
        <v>0</v>
      </c>
      <c r="AL1474" s="76">
        <v>44876.622743055559</v>
      </c>
      <c r="AM1474" s="75">
        <v>1290</v>
      </c>
      <c r="AN1474" t="s">
        <v>65</v>
      </c>
      <c r="AO1474" t="s">
        <v>660</v>
      </c>
      <c r="AP1474" t="s">
        <v>67</v>
      </c>
      <c r="AQ1474" t="s">
        <v>68</v>
      </c>
      <c r="AR1474" t="s">
        <v>69</v>
      </c>
      <c r="AT1474" s="82" t="s">
        <v>6049</v>
      </c>
      <c r="AU1474" s="78">
        <v>2026</v>
      </c>
      <c r="AV1474" s="78">
        <v>5</v>
      </c>
      <c r="AW1474" s="78" t="s">
        <v>71</v>
      </c>
      <c r="AX1474" s="78">
        <v>0</v>
      </c>
      <c r="AY1474" s="78">
        <v>0</v>
      </c>
      <c r="BT1474" t="s">
        <v>71</v>
      </c>
      <c r="BU1474">
        <v>0</v>
      </c>
      <c r="BV1474">
        <v>0</v>
      </c>
    </row>
    <row r="1475" spans="1:74" x14ac:dyDescent="0.25">
      <c r="A1475" s="75">
        <v>5975445</v>
      </c>
      <c r="B1475" t="s">
        <v>6169</v>
      </c>
      <c r="C1475" t="s">
        <v>6170</v>
      </c>
      <c r="D1475" t="s">
        <v>527</v>
      </c>
      <c r="E1475" t="s">
        <v>87</v>
      </c>
      <c r="F1475" s="75">
        <v>493</v>
      </c>
      <c r="G1475" s="75">
        <v>290883</v>
      </c>
      <c r="H1475">
        <v>364.95</v>
      </c>
      <c r="I1475" t="s">
        <v>55</v>
      </c>
      <c r="J1475" s="75">
        <v>218787</v>
      </c>
      <c r="K1475" t="s">
        <v>96</v>
      </c>
      <c r="L1475" t="s">
        <v>97</v>
      </c>
      <c r="M1475" s="81">
        <v>46166.667546296303</v>
      </c>
      <c r="N1475" s="81">
        <v>46170.401435185187</v>
      </c>
      <c r="O1475" t="s">
        <v>58</v>
      </c>
      <c r="P1475" t="s">
        <v>59</v>
      </c>
      <c r="Q1475" t="s">
        <v>90</v>
      </c>
      <c r="R1475" t="s">
        <v>60</v>
      </c>
      <c r="S1475" t="s">
        <v>583</v>
      </c>
      <c r="U1475" s="75">
        <v>263319</v>
      </c>
      <c r="V1475" t="s">
        <v>6171</v>
      </c>
      <c r="X1475" t="s">
        <v>62</v>
      </c>
      <c r="Y1475" t="s">
        <v>63</v>
      </c>
      <c r="AA1475" t="s">
        <v>295</v>
      </c>
      <c r="AB1475">
        <v>89.483333000000002</v>
      </c>
      <c r="AC1475">
        <v>57.433332999999998</v>
      </c>
      <c r="AD1475">
        <v>32.049999999999997</v>
      </c>
      <c r="AE1475">
        <v>0.88333300000000003</v>
      </c>
      <c r="AF1475">
        <v>0</v>
      </c>
      <c r="AG1475">
        <v>31.166667</v>
      </c>
      <c r="AH1475">
        <v>31.166667</v>
      </c>
      <c r="AI1475">
        <v>29.933333000000001</v>
      </c>
      <c r="AJ1475">
        <v>1.2333339999999999</v>
      </c>
      <c r="AK1475">
        <v>0</v>
      </c>
      <c r="AL1475" s="76">
        <v>45086</v>
      </c>
      <c r="AM1475" s="75">
        <v>1080</v>
      </c>
      <c r="AN1475" t="s">
        <v>65</v>
      </c>
      <c r="AO1475" t="s">
        <v>6172</v>
      </c>
      <c r="AP1475" t="s">
        <v>67</v>
      </c>
      <c r="AQ1475" t="s">
        <v>68</v>
      </c>
      <c r="AR1475" t="s">
        <v>69</v>
      </c>
      <c r="AT1475" s="82" t="s">
        <v>6049</v>
      </c>
      <c r="AU1475" s="78">
        <v>2026</v>
      </c>
      <c r="AV1475" s="78">
        <v>5</v>
      </c>
      <c r="AW1475" s="78" t="s">
        <v>71</v>
      </c>
      <c r="AX1475" s="78">
        <v>0</v>
      </c>
      <c r="AY1475" s="78">
        <v>1</v>
      </c>
      <c r="BT1475" t="s">
        <v>71</v>
      </c>
      <c r="BU1475">
        <v>0</v>
      </c>
      <c r="BV1475">
        <v>1</v>
      </c>
    </row>
    <row r="1476" spans="1:74" x14ac:dyDescent="0.25">
      <c r="A1476" s="75">
        <v>5982155</v>
      </c>
      <c r="B1476" t="s">
        <v>6173</v>
      </c>
      <c r="C1476" t="s">
        <v>1099</v>
      </c>
      <c r="D1476" t="s">
        <v>527</v>
      </c>
      <c r="E1476" t="s">
        <v>87</v>
      </c>
      <c r="F1476" s="75">
        <v>172</v>
      </c>
      <c r="G1476" s="75">
        <v>285847</v>
      </c>
      <c r="H1476">
        <v>364.95</v>
      </c>
      <c r="I1476" t="s">
        <v>55</v>
      </c>
      <c r="J1476" s="75">
        <v>218787</v>
      </c>
      <c r="K1476" t="s">
        <v>96</v>
      </c>
      <c r="L1476" t="s">
        <v>97</v>
      </c>
      <c r="M1476" s="81">
        <v>46169.681145833332</v>
      </c>
      <c r="N1476" s="81">
        <v>46170.402372685188</v>
      </c>
      <c r="O1476" t="s">
        <v>58</v>
      </c>
      <c r="P1476" t="s">
        <v>59</v>
      </c>
      <c r="Q1476" t="s">
        <v>90</v>
      </c>
      <c r="R1476" t="s">
        <v>99</v>
      </c>
      <c r="S1476" t="s">
        <v>1244</v>
      </c>
      <c r="U1476" s="75"/>
      <c r="X1476" t="s">
        <v>62</v>
      </c>
      <c r="Y1476" t="s">
        <v>63</v>
      </c>
      <c r="AA1476" t="s">
        <v>81</v>
      </c>
      <c r="AB1476">
        <v>17.266667000000002</v>
      </c>
      <c r="AC1476">
        <v>14.083333</v>
      </c>
      <c r="AD1476">
        <v>3.1833339999999999</v>
      </c>
      <c r="AE1476">
        <v>1.9333340000000001</v>
      </c>
      <c r="AF1476">
        <v>0</v>
      </c>
      <c r="AG1476">
        <v>1.25</v>
      </c>
      <c r="AH1476">
        <v>1.25</v>
      </c>
      <c r="AI1476">
        <v>0</v>
      </c>
      <c r="AJ1476">
        <v>1.25</v>
      </c>
      <c r="AK1476">
        <v>0</v>
      </c>
      <c r="AL1476" s="76">
        <v>44873</v>
      </c>
      <c r="AM1476" s="75">
        <v>1296</v>
      </c>
      <c r="AN1476" t="s">
        <v>65</v>
      </c>
      <c r="AO1476" t="s">
        <v>1102</v>
      </c>
      <c r="AP1476" t="s">
        <v>67</v>
      </c>
      <c r="AQ1476" t="s">
        <v>68</v>
      </c>
      <c r="AR1476" t="s">
        <v>69</v>
      </c>
      <c r="AT1476" s="82" t="s">
        <v>6049</v>
      </c>
      <c r="AU1476" s="78">
        <v>2026</v>
      </c>
      <c r="AV1476" s="78">
        <v>5</v>
      </c>
      <c r="AW1476" s="78" t="s">
        <v>71</v>
      </c>
      <c r="AX1476" s="78">
        <v>1</v>
      </c>
      <c r="AY1476" s="78">
        <v>0</v>
      </c>
      <c r="BT1476" t="s">
        <v>71</v>
      </c>
      <c r="BU1476">
        <v>1</v>
      </c>
      <c r="BV1476">
        <v>0</v>
      </c>
    </row>
    <row r="1477" spans="1:74" x14ac:dyDescent="0.25">
      <c r="A1477" s="75">
        <v>5979511</v>
      </c>
      <c r="B1477" t="s">
        <v>6174</v>
      </c>
      <c r="C1477" t="s">
        <v>6175</v>
      </c>
      <c r="D1477" t="s">
        <v>527</v>
      </c>
      <c r="E1477" t="s">
        <v>54</v>
      </c>
      <c r="F1477" s="75">
        <v>96</v>
      </c>
      <c r="G1477" s="75">
        <v>347079</v>
      </c>
      <c r="H1477">
        <v>299.89999999999998</v>
      </c>
      <c r="I1477" t="s">
        <v>203</v>
      </c>
      <c r="J1477" s="75">
        <v>130651</v>
      </c>
      <c r="K1477" t="s">
        <v>3942</v>
      </c>
      <c r="L1477" t="s">
        <v>3943</v>
      </c>
      <c r="M1477" s="81">
        <v>46168.47991898148</v>
      </c>
      <c r="N1477" s="81">
        <v>46170.409409722219</v>
      </c>
      <c r="O1477" t="s">
        <v>58</v>
      </c>
      <c r="P1477" t="s">
        <v>59</v>
      </c>
      <c r="Q1477" t="s">
        <v>90</v>
      </c>
      <c r="R1477" t="s">
        <v>131</v>
      </c>
      <c r="S1477" t="s">
        <v>1316</v>
      </c>
      <c r="U1477" s="75">
        <v>266131</v>
      </c>
      <c r="V1477" t="s">
        <v>6176</v>
      </c>
      <c r="W1477" t="s">
        <v>6177</v>
      </c>
      <c r="X1477" t="s">
        <v>62</v>
      </c>
      <c r="Y1477" t="s">
        <v>63</v>
      </c>
      <c r="AA1477" t="s">
        <v>101</v>
      </c>
      <c r="AB1477">
        <v>46.233333999999999</v>
      </c>
      <c r="AC1477">
        <v>31.966666</v>
      </c>
      <c r="AD1477">
        <v>14.266667999999999</v>
      </c>
      <c r="AE1477">
        <v>3.1666669999999999</v>
      </c>
      <c r="AF1477">
        <v>0</v>
      </c>
      <c r="AG1477">
        <v>11.100001000000001</v>
      </c>
      <c r="AH1477">
        <v>11.100001000000001</v>
      </c>
      <c r="AI1477">
        <v>10.016667</v>
      </c>
      <c r="AJ1477">
        <v>1.083334</v>
      </c>
      <c r="AK1477">
        <v>0</v>
      </c>
      <c r="AL1477" s="76">
        <v>45975.578217592592</v>
      </c>
      <c r="AM1477" s="75">
        <v>192</v>
      </c>
      <c r="AN1477" t="s">
        <v>65</v>
      </c>
      <c r="AO1477" t="s">
        <v>3944</v>
      </c>
      <c r="AP1477" t="s">
        <v>67</v>
      </c>
      <c r="AQ1477" t="s">
        <v>68</v>
      </c>
      <c r="AR1477" t="s">
        <v>69</v>
      </c>
      <c r="AT1477" s="82" t="s">
        <v>6049</v>
      </c>
      <c r="AU1477" s="78">
        <v>2026</v>
      </c>
      <c r="AV1477" s="78">
        <v>5</v>
      </c>
      <c r="AW1477" s="78" t="s">
        <v>71</v>
      </c>
      <c r="AX1477" s="78">
        <v>0</v>
      </c>
      <c r="AY1477" s="78">
        <v>0</v>
      </c>
      <c r="BT1477" t="s">
        <v>71</v>
      </c>
      <c r="BU1477">
        <v>0</v>
      </c>
      <c r="BV1477">
        <v>0</v>
      </c>
    </row>
    <row r="1478" spans="1:74" x14ac:dyDescent="0.25">
      <c r="A1478" s="75">
        <v>5981291</v>
      </c>
      <c r="B1478" t="s">
        <v>6178</v>
      </c>
      <c r="C1478" t="s">
        <v>6179</v>
      </c>
      <c r="D1478" t="s">
        <v>527</v>
      </c>
      <c r="E1478" t="s">
        <v>87</v>
      </c>
      <c r="F1478" s="75">
        <v>106</v>
      </c>
      <c r="G1478" s="75">
        <v>100651</v>
      </c>
      <c r="H1478">
        <v>824.65</v>
      </c>
      <c r="I1478" t="s">
        <v>368</v>
      </c>
      <c r="J1478" s="75">
        <v>6971</v>
      </c>
      <c r="K1478" t="s">
        <v>369</v>
      </c>
      <c r="L1478" t="s">
        <v>370</v>
      </c>
      <c r="M1478" s="81">
        <v>46169.386458333327</v>
      </c>
      <c r="N1478" s="81">
        <v>46170.431597222218</v>
      </c>
      <c r="O1478" t="s">
        <v>58</v>
      </c>
      <c r="P1478" t="s">
        <v>59</v>
      </c>
      <c r="Q1478" t="s">
        <v>77</v>
      </c>
      <c r="R1478" t="s">
        <v>99</v>
      </c>
      <c r="S1478" t="s">
        <v>1244</v>
      </c>
      <c r="T1478" t="s">
        <v>6180</v>
      </c>
      <c r="U1478" s="75">
        <v>266617</v>
      </c>
      <c r="V1478" t="s">
        <v>6181</v>
      </c>
      <c r="W1478" t="s">
        <v>6181</v>
      </c>
      <c r="X1478" t="s">
        <v>79</v>
      </c>
      <c r="Y1478" t="s">
        <v>246</v>
      </c>
      <c r="AA1478" t="s">
        <v>101</v>
      </c>
      <c r="AB1478">
        <v>25.016667000000002</v>
      </c>
      <c r="AC1478">
        <v>16.399999999999999</v>
      </c>
      <c r="AD1478">
        <v>8.6166669999999996</v>
      </c>
      <c r="AE1478">
        <v>0.55000000000000004</v>
      </c>
      <c r="AF1478">
        <v>0</v>
      </c>
      <c r="AG1478">
        <v>8.0666670000000007</v>
      </c>
      <c r="AH1478">
        <v>8.0666670000000007</v>
      </c>
      <c r="AI1478">
        <v>7.1833330000000002</v>
      </c>
      <c r="AJ1478">
        <v>0.88333399999999995</v>
      </c>
      <c r="AK1478">
        <v>0</v>
      </c>
      <c r="AL1478" s="76">
        <v>43551</v>
      </c>
      <c r="AM1478" s="75">
        <v>2618</v>
      </c>
      <c r="AN1478" t="s">
        <v>65</v>
      </c>
      <c r="AO1478" t="s">
        <v>6182</v>
      </c>
      <c r="AP1478" t="s">
        <v>67</v>
      </c>
      <c r="AQ1478" t="s">
        <v>83</v>
      </c>
      <c r="AR1478" t="s">
        <v>69</v>
      </c>
      <c r="AT1478" s="82" t="s">
        <v>6049</v>
      </c>
      <c r="AU1478" s="78">
        <v>2026</v>
      </c>
      <c r="AV1478" s="78">
        <v>5</v>
      </c>
      <c r="AW1478" s="78" t="s">
        <v>84</v>
      </c>
      <c r="AX1478" s="78">
        <v>0</v>
      </c>
      <c r="AY1478" s="78">
        <v>0</v>
      </c>
      <c r="BT1478" t="s">
        <v>84</v>
      </c>
      <c r="BU1478">
        <v>0</v>
      </c>
      <c r="BV1478">
        <v>0</v>
      </c>
    </row>
    <row r="1479" spans="1:74" x14ac:dyDescent="0.25">
      <c r="A1479" s="75">
        <v>5976729</v>
      </c>
      <c r="B1479" t="s">
        <v>6183</v>
      </c>
      <c r="C1479" t="s">
        <v>6184</v>
      </c>
      <c r="D1479" t="s">
        <v>527</v>
      </c>
      <c r="E1479" t="s">
        <v>105</v>
      </c>
      <c r="F1479" s="75">
        <v>1070</v>
      </c>
      <c r="G1479" s="75">
        <v>332937</v>
      </c>
      <c r="H1479">
        <v>674.25</v>
      </c>
      <c r="I1479" t="s">
        <v>141</v>
      </c>
      <c r="J1479" s="75">
        <v>15269</v>
      </c>
      <c r="K1479" t="s">
        <v>1193</v>
      </c>
      <c r="L1479" t="s">
        <v>4266</v>
      </c>
      <c r="M1479" s="81">
        <v>46166.847685185188</v>
      </c>
      <c r="N1479" s="81">
        <v>46170.453368055547</v>
      </c>
      <c r="O1479" t="s">
        <v>58</v>
      </c>
      <c r="P1479" t="s">
        <v>59</v>
      </c>
      <c r="Q1479" t="s">
        <v>90</v>
      </c>
      <c r="R1479" t="s">
        <v>60</v>
      </c>
      <c r="S1479" t="s">
        <v>1268</v>
      </c>
      <c r="U1479" s="75">
        <v>264867</v>
      </c>
      <c r="V1479" t="s">
        <v>6185</v>
      </c>
      <c r="W1479" t="s">
        <v>6186</v>
      </c>
      <c r="X1479" t="s">
        <v>62</v>
      </c>
      <c r="Y1479" t="s">
        <v>63</v>
      </c>
      <c r="AA1479" t="s">
        <v>295</v>
      </c>
      <c r="AB1479">
        <v>86.433331999999993</v>
      </c>
      <c r="AC1479">
        <v>46.716665999999996</v>
      </c>
      <c r="AD1479">
        <v>39.716665999999996</v>
      </c>
      <c r="AE1479">
        <v>0.58333299999999999</v>
      </c>
      <c r="AF1479">
        <v>0</v>
      </c>
      <c r="AG1479">
        <v>39.133333</v>
      </c>
      <c r="AH1479">
        <v>39.133333</v>
      </c>
      <c r="AI1479">
        <v>38.4</v>
      </c>
      <c r="AJ1479">
        <v>0.73333300000000001</v>
      </c>
      <c r="AK1479">
        <v>0</v>
      </c>
      <c r="AL1479" s="76">
        <v>45796.435601851852</v>
      </c>
      <c r="AM1479" s="75">
        <v>370</v>
      </c>
      <c r="AN1479" t="s">
        <v>65</v>
      </c>
      <c r="AO1479" t="s">
        <v>4269</v>
      </c>
      <c r="AP1479" t="s">
        <v>67</v>
      </c>
      <c r="AQ1479" t="s">
        <v>68</v>
      </c>
      <c r="AR1479" t="s">
        <v>69</v>
      </c>
      <c r="AT1479" s="82" t="s">
        <v>6049</v>
      </c>
      <c r="AU1479" s="78">
        <v>2026</v>
      </c>
      <c r="AV1479" s="78">
        <v>5</v>
      </c>
      <c r="AW1479" s="78" t="s">
        <v>71</v>
      </c>
      <c r="AX1479" s="78">
        <v>0</v>
      </c>
      <c r="AY1479" s="78">
        <v>1</v>
      </c>
      <c r="BT1479" t="s">
        <v>71</v>
      </c>
      <c r="BU1479">
        <v>0</v>
      </c>
      <c r="BV1479">
        <v>1</v>
      </c>
    </row>
    <row r="1480" spans="1:74" x14ac:dyDescent="0.25">
      <c r="A1480" s="75">
        <v>5975295</v>
      </c>
      <c r="B1480" t="s">
        <v>6187</v>
      </c>
      <c r="C1480" t="s">
        <v>6188</v>
      </c>
      <c r="D1480" t="s">
        <v>527</v>
      </c>
      <c r="E1480" t="s">
        <v>54</v>
      </c>
      <c r="F1480" s="75">
        <v>20</v>
      </c>
      <c r="G1480" s="75">
        <v>277843</v>
      </c>
      <c r="H1480">
        <v>628.98</v>
      </c>
      <c r="I1480" t="s">
        <v>242</v>
      </c>
      <c r="J1480" s="75">
        <v>229641</v>
      </c>
      <c r="K1480" t="s">
        <v>3975</v>
      </c>
      <c r="L1480" t="s">
        <v>3976</v>
      </c>
      <c r="M1480" s="81">
        <v>46166.449826388889</v>
      </c>
      <c r="N1480" s="81">
        <v>46170.456064814818</v>
      </c>
      <c r="O1480" t="s">
        <v>58</v>
      </c>
      <c r="P1480" t="s">
        <v>59</v>
      </c>
      <c r="Q1480" t="s">
        <v>130</v>
      </c>
      <c r="R1480" t="s">
        <v>60</v>
      </c>
      <c r="S1480" t="s">
        <v>583</v>
      </c>
      <c r="T1480" t="s">
        <v>507</v>
      </c>
      <c r="U1480" s="75">
        <v>264847</v>
      </c>
      <c r="V1480" t="s">
        <v>6189</v>
      </c>
      <c r="W1480" t="s">
        <v>6190</v>
      </c>
      <c r="X1480" t="s">
        <v>62</v>
      </c>
      <c r="Y1480" t="s">
        <v>63</v>
      </c>
      <c r="AA1480" t="s">
        <v>295</v>
      </c>
      <c r="AB1480">
        <v>96.033332999999999</v>
      </c>
      <c r="AC1480">
        <v>61.55</v>
      </c>
      <c r="AD1480">
        <v>34.483333000000002</v>
      </c>
      <c r="AE1480">
        <v>0.1</v>
      </c>
      <c r="AF1480">
        <v>0</v>
      </c>
      <c r="AG1480">
        <v>34.383333</v>
      </c>
      <c r="AH1480">
        <v>34.383333</v>
      </c>
      <c r="AI1480">
        <v>33.4</v>
      </c>
      <c r="AJ1480">
        <v>0.98333300000000001</v>
      </c>
      <c r="AK1480">
        <v>0</v>
      </c>
      <c r="AL1480" s="76">
        <v>44477</v>
      </c>
      <c r="AM1480" s="75">
        <v>1689</v>
      </c>
      <c r="AN1480" t="s">
        <v>65</v>
      </c>
      <c r="AO1480" t="s">
        <v>3979</v>
      </c>
      <c r="AP1480" t="s">
        <v>67</v>
      </c>
      <c r="AQ1480" t="s">
        <v>68</v>
      </c>
      <c r="AR1480" t="s">
        <v>69</v>
      </c>
      <c r="AT1480" s="82" t="s">
        <v>6049</v>
      </c>
      <c r="AU1480" s="78">
        <v>2026</v>
      </c>
      <c r="AV1480" s="78">
        <v>5</v>
      </c>
      <c r="AW1480" s="78" t="s">
        <v>71</v>
      </c>
      <c r="AX1480" s="78">
        <v>0</v>
      </c>
      <c r="AY1480" s="78">
        <v>1</v>
      </c>
      <c r="BT1480" t="s">
        <v>71</v>
      </c>
      <c r="BU1480">
        <v>0</v>
      </c>
      <c r="BV1480">
        <v>1</v>
      </c>
    </row>
    <row r="1481" spans="1:74" x14ac:dyDescent="0.25">
      <c r="A1481" s="75">
        <v>5976823</v>
      </c>
      <c r="B1481" t="s">
        <v>6191</v>
      </c>
      <c r="C1481" t="s">
        <v>6192</v>
      </c>
      <c r="D1481" t="s">
        <v>527</v>
      </c>
      <c r="E1481" t="s">
        <v>54</v>
      </c>
      <c r="F1481" s="75">
        <v>871</v>
      </c>
      <c r="G1481" s="75">
        <v>328167</v>
      </c>
      <c r="H1481">
        <v>450</v>
      </c>
      <c r="I1481" t="s">
        <v>175</v>
      </c>
      <c r="J1481" s="75">
        <v>218497</v>
      </c>
      <c r="K1481" t="s">
        <v>56</v>
      </c>
      <c r="L1481" t="s">
        <v>57</v>
      </c>
      <c r="M1481" s="81">
        <v>46167.191516203697</v>
      </c>
      <c r="N1481" s="81">
        <v>46170.462326388893</v>
      </c>
      <c r="O1481" t="s">
        <v>58</v>
      </c>
      <c r="P1481" t="s">
        <v>59</v>
      </c>
      <c r="Q1481" t="s">
        <v>130</v>
      </c>
      <c r="R1481" t="s">
        <v>60</v>
      </c>
      <c r="S1481" t="s">
        <v>583</v>
      </c>
      <c r="U1481" s="75">
        <v>264871</v>
      </c>
      <c r="V1481" t="s">
        <v>6193</v>
      </c>
      <c r="W1481" t="s">
        <v>6194</v>
      </c>
      <c r="X1481" t="s">
        <v>62</v>
      </c>
      <c r="Y1481" t="s">
        <v>63</v>
      </c>
      <c r="AA1481" t="s">
        <v>295</v>
      </c>
      <c r="AB1481">
        <v>78.383331999999996</v>
      </c>
      <c r="AC1481">
        <v>36.733331999999997</v>
      </c>
      <c r="AD1481">
        <v>41.65</v>
      </c>
      <c r="AE1481">
        <v>0.05</v>
      </c>
      <c r="AF1481">
        <v>0</v>
      </c>
      <c r="AG1481">
        <v>41.6</v>
      </c>
      <c r="AH1481">
        <v>41.6</v>
      </c>
      <c r="AI1481">
        <v>39</v>
      </c>
      <c r="AJ1481">
        <v>2.6</v>
      </c>
      <c r="AK1481">
        <v>0</v>
      </c>
      <c r="AL1481" s="76">
        <v>45621</v>
      </c>
      <c r="AM1481" s="75">
        <v>546</v>
      </c>
      <c r="AN1481" t="s">
        <v>65</v>
      </c>
      <c r="AO1481" t="s">
        <v>1120</v>
      </c>
      <c r="AP1481" t="s">
        <v>67</v>
      </c>
      <c r="AQ1481" t="s">
        <v>68</v>
      </c>
      <c r="AR1481" t="s">
        <v>69</v>
      </c>
      <c r="AT1481" s="82" t="s">
        <v>6049</v>
      </c>
      <c r="AU1481" s="78">
        <v>2026</v>
      </c>
      <c r="AV1481" s="78">
        <v>5</v>
      </c>
      <c r="AW1481" s="78" t="s">
        <v>71</v>
      </c>
      <c r="AX1481" s="78">
        <v>0</v>
      </c>
      <c r="AY1481" s="78">
        <v>1</v>
      </c>
      <c r="BT1481" t="s">
        <v>71</v>
      </c>
      <c r="BU1481">
        <v>0</v>
      </c>
      <c r="BV1481">
        <v>1</v>
      </c>
    </row>
    <row r="1482" spans="1:74" x14ac:dyDescent="0.25">
      <c r="A1482" s="75">
        <v>5981391</v>
      </c>
      <c r="B1482" t="s">
        <v>6195</v>
      </c>
      <c r="C1482" t="s">
        <v>519</v>
      </c>
      <c r="D1482" t="s">
        <v>809</v>
      </c>
      <c r="E1482" t="s">
        <v>87</v>
      </c>
      <c r="F1482" s="75">
        <v>26</v>
      </c>
      <c r="G1482" s="75">
        <v>251439</v>
      </c>
      <c r="H1482">
        <v>510</v>
      </c>
      <c r="I1482" t="s">
        <v>114</v>
      </c>
      <c r="J1482" s="75">
        <v>203645</v>
      </c>
      <c r="K1482" t="s">
        <v>520</v>
      </c>
      <c r="L1482" t="s">
        <v>521</v>
      </c>
      <c r="M1482" s="81">
        <v>46169.404189814813</v>
      </c>
      <c r="N1482" s="81">
        <v>46170.540081018517</v>
      </c>
      <c r="P1482" t="s">
        <v>59</v>
      </c>
      <c r="Q1482" t="s">
        <v>77</v>
      </c>
      <c r="R1482" t="s">
        <v>60</v>
      </c>
      <c r="S1482" t="s">
        <v>583</v>
      </c>
      <c r="U1482" s="75">
        <v>266609</v>
      </c>
      <c r="V1482" t="s">
        <v>6196</v>
      </c>
      <c r="W1482" t="s">
        <v>6196</v>
      </c>
      <c r="X1482" t="s">
        <v>118</v>
      </c>
      <c r="Y1482" t="s">
        <v>119</v>
      </c>
      <c r="AA1482" t="s">
        <v>101</v>
      </c>
      <c r="AB1482">
        <v>27.2</v>
      </c>
      <c r="AC1482">
        <v>16.45</v>
      </c>
      <c r="AD1482">
        <v>10.75</v>
      </c>
      <c r="AE1482">
        <v>0.13333300000000001</v>
      </c>
      <c r="AF1482">
        <v>0</v>
      </c>
      <c r="AG1482">
        <v>10.616667</v>
      </c>
      <c r="AH1482">
        <v>10.616667</v>
      </c>
      <c r="AI1482">
        <v>9.4499999999999993</v>
      </c>
      <c r="AJ1482">
        <v>1.1666669999999999</v>
      </c>
      <c r="AK1482">
        <v>0</v>
      </c>
      <c r="AL1482" s="76">
        <v>44959.733136574083</v>
      </c>
      <c r="AM1482" s="75">
        <v>1209</v>
      </c>
      <c r="AN1482" t="s">
        <v>65</v>
      </c>
      <c r="AO1482" t="s">
        <v>6197</v>
      </c>
      <c r="AP1482" t="s">
        <v>67</v>
      </c>
      <c r="AQ1482" t="s">
        <v>121</v>
      </c>
      <c r="AR1482" t="s">
        <v>69</v>
      </c>
      <c r="AT1482" s="82" t="s">
        <v>6049</v>
      </c>
      <c r="AU1482" s="78">
        <v>2026</v>
      </c>
      <c r="AV1482" s="78">
        <v>5</v>
      </c>
      <c r="AW1482" s="78" t="s">
        <v>122</v>
      </c>
      <c r="AX1482" s="78">
        <v>0</v>
      </c>
      <c r="AY1482" s="78">
        <v>0</v>
      </c>
      <c r="BT1482" t="s">
        <v>122</v>
      </c>
      <c r="BU1482">
        <v>0</v>
      </c>
      <c r="BV1482">
        <v>0</v>
      </c>
    </row>
    <row r="1483" spans="1:74" x14ac:dyDescent="0.25">
      <c r="A1483" s="75">
        <v>5980133</v>
      </c>
      <c r="B1483" t="s">
        <v>6198</v>
      </c>
      <c r="C1483" t="s">
        <v>2258</v>
      </c>
      <c r="D1483" t="s">
        <v>527</v>
      </c>
      <c r="E1483" t="s">
        <v>87</v>
      </c>
      <c r="F1483" s="75">
        <v>316</v>
      </c>
      <c r="G1483" s="75">
        <v>286579</v>
      </c>
      <c r="H1483">
        <v>364.96</v>
      </c>
      <c r="I1483" t="s">
        <v>55</v>
      </c>
      <c r="J1483" s="75">
        <v>218787</v>
      </c>
      <c r="K1483" t="s">
        <v>96</v>
      </c>
      <c r="L1483" t="s">
        <v>97</v>
      </c>
      <c r="M1483" s="81">
        <v>46168.584328703713</v>
      </c>
      <c r="N1483" s="81">
        <v>46170.599444444437</v>
      </c>
      <c r="O1483" t="s">
        <v>58</v>
      </c>
      <c r="P1483" t="s">
        <v>59</v>
      </c>
      <c r="Q1483" t="s">
        <v>90</v>
      </c>
      <c r="R1483" t="s">
        <v>60</v>
      </c>
      <c r="S1483" t="s">
        <v>583</v>
      </c>
      <c r="U1483" s="75">
        <v>265819</v>
      </c>
      <c r="V1483" t="s">
        <v>6199</v>
      </c>
      <c r="W1483" t="s">
        <v>6199</v>
      </c>
      <c r="X1483" t="s">
        <v>62</v>
      </c>
      <c r="Y1483" t="s">
        <v>63</v>
      </c>
      <c r="AA1483" t="s">
        <v>416</v>
      </c>
      <c r="AB1483">
        <v>48.283335000000001</v>
      </c>
      <c r="AC1483">
        <v>28.75</v>
      </c>
      <c r="AD1483">
        <v>19.533335000000001</v>
      </c>
      <c r="AE1483">
        <v>0.183334</v>
      </c>
      <c r="AF1483">
        <v>0</v>
      </c>
      <c r="AG1483">
        <v>19.350000999999999</v>
      </c>
      <c r="AH1483">
        <v>19.350000999999999</v>
      </c>
      <c r="AI1483">
        <v>16.816666999999999</v>
      </c>
      <c r="AJ1483">
        <v>2.533334</v>
      </c>
      <c r="AK1483">
        <v>0</v>
      </c>
      <c r="AL1483" s="76">
        <v>44911</v>
      </c>
      <c r="AM1483" s="75">
        <v>1257</v>
      </c>
      <c r="AN1483" t="s">
        <v>65</v>
      </c>
      <c r="AO1483" t="s">
        <v>2260</v>
      </c>
      <c r="AP1483" t="s">
        <v>67</v>
      </c>
      <c r="AQ1483" t="s">
        <v>68</v>
      </c>
      <c r="AR1483" t="s">
        <v>69</v>
      </c>
      <c r="AT1483" s="82" t="s">
        <v>6049</v>
      </c>
      <c r="AU1483" s="78">
        <v>2026</v>
      </c>
      <c r="AV1483" s="78">
        <v>5</v>
      </c>
      <c r="AW1483" s="78" t="s">
        <v>71</v>
      </c>
      <c r="AX1483" s="78">
        <v>0</v>
      </c>
      <c r="AY1483" s="78">
        <v>0</v>
      </c>
      <c r="BT1483" t="s">
        <v>71</v>
      </c>
      <c r="BU1483">
        <v>0</v>
      </c>
      <c r="BV1483">
        <v>0</v>
      </c>
    </row>
    <row r="1484" spans="1:74" x14ac:dyDescent="0.25">
      <c r="A1484" s="75">
        <v>5978821</v>
      </c>
      <c r="B1484" t="s">
        <v>6200</v>
      </c>
      <c r="C1484" t="s">
        <v>2688</v>
      </c>
      <c r="D1484" t="s">
        <v>527</v>
      </c>
      <c r="E1484" t="s">
        <v>87</v>
      </c>
      <c r="F1484" s="75">
        <v>267</v>
      </c>
      <c r="G1484" s="75">
        <v>286379</v>
      </c>
      <c r="H1484">
        <v>364.96</v>
      </c>
      <c r="I1484" t="s">
        <v>55</v>
      </c>
      <c r="J1484" s="75">
        <v>218787</v>
      </c>
      <c r="K1484" t="s">
        <v>96</v>
      </c>
      <c r="L1484" t="s">
        <v>97</v>
      </c>
      <c r="M1484" s="81">
        <v>46167.889699074083</v>
      </c>
      <c r="N1484" s="81">
        <v>46170.599583333344</v>
      </c>
      <c r="O1484" t="s">
        <v>58</v>
      </c>
      <c r="P1484" t="s">
        <v>59</v>
      </c>
      <c r="Q1484" t="s">
        <v>90</v>
      </c>
      <c r="R1484" t="s">
        <v>131</v>
      </c>
      <c r="S1484" t="s">
        <v>1273</v>
      </c>
      <c r="U1484" s="75">
        <v>267279</v>
      </c>
      <c r="V1484" t="s">
        <v>6201</v>
      </c>
      <c r="W1484" t="s">
        <v>6202</v>
      </c>
      <c r="X1484" t="s">
        <v>62</v>
      </c>
      <c r="Y1484" t="s">
        <v>63</v>
      </c>
      <c r="AA1484" t="s">
        <v>295</v>
      </c>
      <c r="AB1484">
        <v>64.900000000000006</v>
      </c>
      <c r="AC1484">
        <v>36.416665999999999</v>
      </c>
      <c r="AD1484">
        <v>28.483333999999999</v>
      </c>
      <c r="AE1484">
        <v>2.533334</v>
      </c>
      <c r="AF1484">
        <v>0</v>
      </c>
      <c r="AG1484">
        <v>25.95</v>
      </c>
      <c r="AH1484">
        <v>25.95</v>
      </c>
      <c r="AI1484">
        <v>21.716667000000001</v>
      </c>
      <c r="AJ1484">
        <v>4.233333</v>
      </c>
      <c r="AK1484">
        <v>0</v>
      </c>
      <c r="AL1484" s="76">
        <v>44972</v>
      </c>
      <c r="AM1484" s="75">
        <v>1195</v>
      </c>
      <c r="AN1484" t="s">
        <v>65</v>
      </c>
      <c r="AO1484" t="s">
        <v>2690</v>
      </c>
      <c r="AP1484" t="s">
        <v>67</v>
      </c>
      <c r="AQ1484" t="s">
        <v>68</v>
      </c>
      <c r="AR1484" t="s">
        <v>69</v>
      </c>
      <c r="AT1484" s="82" t="s">
        <v>6049</v>
      </c>
      <c r="AU1484" s="78">
        <v>2026</v>
      </c>
      <c r="AV1484" s="78">
        <v>5</v>
      </c>
      <c r="AW1484" s="78" t="s">
        <v>71</v>
      </c>
      <c r="AX1484" s="78">
        <v>0</v>
      </c>
      <c r="AY1484" s="78">
        <v>1</v>
      </c>
      <c r="BT1484" t="s">
        <v>71</v>
      </c>
      <c r="BU1484">
        <v>0</v>
      </c>
      <c r="BV1484">
        <v>1</v>
      </c>
    </row>
    <row r="1485" spans="1:74" x14ac:dyDescent="0.25">
      <c r="A1485" s="75">
        <v>5979229</v>
      </c>
      <c r="B1485" t="s">
        <v>6203</v>
      </c>
      <c r="C1485" t="s">
        <v>1893</v>
      </c>
      <c r="D1485" t="s">
        <v>527</v>
      </c>
      <c r="E1485" t="s">
        <v>54</v>
      </c>
      <c r="F1485" s="75">
        <v>70</v>
      </c>
      <c r="G1485" s="75">
        <v>321997</v>
      </c>
      <c r="H1485">
        <v>399</v>
      </c>
      <c r="I1485" t="s">
        <v>114</v>
      </c>
      <c r="J1485" s="75">
        <v>60121</v>
      </c>
      <c r="K1485" t="s">
        <v>481</v>
      </c>
      <c r="L1485" t="s">
        <v>482</v>
      </c>
      <c r="M1485" s="81">
        <v>46168.393518518518</v>
      </c>
      <c r="N1485" s="81">
        <v>46170.609710648147</v>
      </c>
      <c r="O1485" t="s">
        <v>58</v>
      </c>
      <c r="P1485" t="s">
        <v>59</v>
      </c>
      <c r="Q1485" t="s">
        <v>77</v>
      </c>
      <c r="R1485" t="s">
        <v>144</v>
      </c>
      <c r="S1485" t="s">
        <v>2121</v>
      </c>
      <c r="U1485" s="75">
        <v>266865</v>
      </c>
      <c r="V1485" t="s">
        <v>6204</v>
      </c>
      <c r="W1485" t="s">
        <v>6204</v>
      </c>
      <c r="X1485" t="s">
        <v>118</v>
      </c>
      <c r="Y1485" t="s">
        <v>119</v>
      </c>
      <c r="AA1485" t="s">
        <v>101</v>
      </c>
      <c r="AB1485">
        <v>53.083334000000001</v>
      </c>
      <c r="AC1485">
        <v>42.183332999999998</v>
      </c>
      <c r="AD1485">
        <v>10.900001</v>
      </c>
      <c r="AE1485">
        <v>1.3333330000000001</v>
      </c>
      <c r="AF1485">
        <v>0</v>
      </c>
      <c r="AG1485">
        <v>9.5666679999999999</v>
      </c>
      <c r="AH1485">
        <v>9.5666679999999999</v>
      </c>
      <c r="AI1485">
        <v>6.5166680000000001</v>
      </c>
      <c r="AJ1485">
        <v>3.05</v>
      </c>
      <c r="AK1485">
        <v>0</v>
      </c>
      <c r="AL1485" s="76">
        <v>45538</v>
      </c>
      <c r="AM1485" s="75">
        <v>630</v>
      </c>
      <c r="AN1485" t="s">
        <v>65</v>
      </c>
      <c r="AO1485" t="s">
        <v>2394</v>
      </c>
      <c r="AP1485" t="s">
        <v>67</v>
      </c>
      <c r="AQ1485" t="s">
        <v>121</v>
      </c>
      <c r="AR1485" t="s">
        <v>69</v>
      </c>
      <c r="AT1485" s="82" t="s">
        <v>6049</v>
      </c>
      <c r="AU1485" s="78">
        <v>2026</v>
      </c>
      <c r="AV1485" s="78">
        <v>5</v>
      </c>
      <c r="AW1485" s="78" t="s">
        <v>122</v>
      </c>
      <c r="AX1485" s="78">
        <v>0</v>
      </c>
      <c r="AY1485" s="78">
        <v>0</v>
      </c>
      <c r="BT1485" t="s">
        <v>122</v>
      </c>
      <c r="BU1485">
        <v>0</v>
      </c>
      <c r="BV1485">
        <v>0</v>
      </c>
    </row>
    <row r="1486" spans="1:74" x14ac:dyDescent="0.25">
      <c r="A1486" s="75">
        <v>5977847</v>
      </c>
      <c r="B1486" t="s">
        <v>6205</v>
      </c>
      <c r="C1486" t="s">
        <v>6206</v>
      </c>
      <c r="D1486" t="s">
        <v>2602</v>
      </c>
      <c r="E1486" t="s">
        <v>126</v>
      </c>
      <c r="F1486" s="75">
        <v>1</v>
      </c>
      <c r="G1486" s="75">
        <v>350427</v>
      </c>
      <c r="H1486">
        <v>1750</v>
      </c>
      <c r="I1486" t="s">
        <v>141</v>
      </c>
      <c r="J1486" s="75">
        <v>229727</v>
      </c>
      <c r="K1486" t="s">
        <v>6207</v>
      </c>
      <c r="L1486" t="s">
        <v>6208</v>
      </c>
      <c r="M1486" s="81">
        <v>46167.503981481481</v>
      </c>
      <c r="N1486" s="81">
        <v>46170.868159722217</v>
      </c>
      <c r="O1486" t="s">
        <v>475</v>
      </c>
      <c r="P1486" t="s">
        <v>59</v>
      </c>
      <c r="Q1486" t="s">
        <v>130</v>
      </c>
      <c r="R1486" t="s">
        <v>60</v>
      </c>
      <c r="S1486" t="s">
        <v>583</v>
      </c>
      <c r="U1486" s="75">
        <v>264743</v>
      </c>
      <c r="V1486" t="s">
        <v>6209</v>
      </c>
      <c r="W1486" t="s">
        <v>6209</v>
      </c>
      <c r="X1486" t="s">
        <v>118</v>
      </c>
      <c r="Y1486" t="s">
        <v>400</v>
      </c>
      <c r="AA1486" t="s">
        <v>295</v>
      </c>
      <c r="AB1486">
        <v>80.649998999999994</v>
      </c>
      <c r="AC1486">
        <v>38.866666000000002</v>
      </c>
      <c r="AD1486">
        <v>41.783332999999999</v>
      </c>
      <c r="AE1486">
        <v>14.133333</v>
      </c>
      <c r="AF1486">
        <v>0</v>
      </c>
      <c r="AG1486">
        <v>27.65</v>
      </c>
      <c r="AH1486">
        <v>27.65</v>
      </c>
      <c r="AI1486">
        <v>27.1</v>
      </c>
      <c r="AJ1486">
        <v>0.55000000000000004</v>
      </c>
      <c r="AK1486">
        <v>0</v>
      </c>
      <c r="AL1486" s="76">
        <v>46015</v>
      </c>
      <c r="AM1486" s="75">
        <v>152</v>
      </c>
      <c r="AN1486" t="s">
        <v>65</v>
      </c>
      <c r="AO1486" t="s">
        <v>6210</v>
      </c>
      <c r="AP1486" t="s">
        <v>67</v>
      </c>
      <c r="AQ1486" t="s">
        <v>121</v>
      </c>
      <c r="AR1486" t="s">
        <v>69</v>
      </c>
      <c r="AT1486" s="82" t="s">
        <v>6049</v>
      </c>
      <c r="AU1486" s="78">
        <v>2026</v>
      </c>
      <c r="AV1486" s="78">
        <v>5</v>
      </c>
      <c r="AW1486" s="78" t="s">
        <v>122</v>
      </c>
      <c r="AX1486" s="78">
        <v>0</v>
      </c>
      <c r="AY1486" s="78">
        <v>1</v>
      </c>
      <c r="BT1486" t="s">
        <v>122</v>
      </c>
      <c r="BU1486">
        <v>0</v>
      </c>
      <c r="BV1486">
        <v>1</v>
      </c>
    </row>
    <row r="1487" spans="1:74" x14ac:dyDescent="0.25">
      <c r="A1487" s="75">
        <v>5970019</v>
      </c>
      <c r="B1487" t="s">
        <v>6211</v>
      </c>
      <c r="C1487" t="s">
        <v>1907</v>
      </c>
      <c r="D1487" t="s">
        <v>2602</v>
      </c>
      <c r="E1487" t="s">
        <v>87</v>
      </c>
      <c r="F1487" s="75">
        <v>272</v>
      </c>
      <c r="G1487" s="75">
        <v>286389</v>
      </c>
      <c r="H1487">
        <v>364.96</v>
      </c>
      <c r="I1487" t="s">
        <v>55</v>
      </c>
      <c r="J1487" s="75">
        <v>218787</v>
      </c>
      <c r="K1487" t="s">
        <v>96</v>
      </c>
      <c r="L1487" t="s">
        <v>97</v>
      </c>
      <c r="M1487" s="81">
        <v>46162.757627314822</v>
      </c>
      <c r="N1487" s="81">
        <v>46170.869131944448</v>
      </c>
      <c r="O1487" t="s">
        <v>58</v>
      </c>
      <c r="P1487" t="s">
        <v>59</v>
      </c>
      <c r="Q1487" t="s">
        <v>90</v>
      </c>
      <c r="R1487" t="s">
        <v>60</v>
      </c>
      <c r="S1487" t="s">
        <v>583</v>
      </c>
      <c r="U1487" s="75">
        <v>267249</v>
      </c>
      <c r="V1487" t="s">
        <v>6212</v>
      </c>
      <c r="W1487" t="s">
        <v>6213</v>
      </c>
      <c r="X1487" t="s">
        <v>62</v>
      </c>
      <c r="Y1487" t="s">
        <v>63</v>
      </c>
      <c r="AA1487" t="s">
        <v>295</v>
      </c>
      <c r="AB1487">
        <v>194.433334</v>
      </c>
      <c r="AC1487">
        <v>154.61666600000001</v>
      </c>
      <c r="AD1487">
        <v>39.816668</v>
      </c>
      <c r="AE1487">
        <v>0.2</v>
      </c>
      <c r="AF1487">
        <v>0</v>
      </c>
      <c r="AG1487">
        <v>39.616667999999997</v>
      </c>
      <c r="AH1487">
        <v>39.616667999999997</v>
      </c>
      <c r="AI1487">
        <v>35.783334000000004</v>
      </c>
      <c r="AJ1487">
        <v>3.8333339999999998</v>
      </c>
      <c r="AK1487">
        <v>0</v>
      </c>
      <c r="AL1487" s="76">
        <v>44972</v>
      </c>
      <c r="AM1487" s="75">
        <v>1190</v>
      </c>
      <c r="AN1487" t="s">
        <v>65</v>
      </c>
      <c r="AO1487" t="s">
        <v>1910</v>
      </c>
      <c r="AP1487" t="s">
        <v>67</v>
      </c>
      <c r="AQ1487" t="s">
        <v>68</v>
      </c>
      <c r="AR1487" t="s">
        <v>69</v>
      </c>
      <c r="AT1487" s="82" t="s">
        <v>6049</v>
      </c>
      <c r="AU1487" s="78">
        <v>2026</v>
      </c>
      <c r="AV1487" s="78">
        <v>5</v>
      </c>
      <c r="AW1487" s="78" t="s">
        <v>71</v>
      </c>
      <c r="AX1487" s="78">
        <v>0</v>
      </c>
      <c r="AY1487" s="78">
        <v>1</v>
      </c>
      <c r="BT1487" t="s">
        <v>71</v>
      </c>
      <c r="BU1487">
        <v>0</v>
      </c>
      <c r="BV1487">
        <v>1</v>
      </c>
    </row>
    <row r="1488" spans="1:74" x14ac:dyDescent="0.25">
      <c r="A1488" s="75">
        <v>5980397</v>
      </c>
      <c r="B1488" t="s">
        <v>6214</v>
      </c>
      <c r="C1488" t="s">
        <v>6215</v>
      </c>
      <c r="D1488" t="s">
        <v>2602</v>
      </c>
      <c r="E1488" t="s">
        <v>54</v>
      </c>
      <c r="F1488" s="75">
        <v>69</v>
      </c>
      <c r="G1488" s="75">
        <v>277793</v>
      </c>
      <c r="H1488">
        <v>367.96</v>
      </c>
      <c r="I1488" t="s">
        <v>242</v>
      </c>
      <c r="J1488" s="75">
        <v>212603</v>
      </c>
      <c r="K1488" t="s">
        <v>538</v>
      </c>
      <c r="L1488" t="s">
        <v>539</v>
      </c>
      <c r="M1488" s="81">
        <v>46168.660543981481</v>
      </c>
      <c r="N1488" s="81">
        <v>46170.887361111112</v>
      </c>
      <c r="O1488" t="s">
        <v>58</v>
      </c>
      <c r="P1488" t="s">
        <v>59</v>
      </c>
      <c r="Q1488" t="s">
        <v>90</v>
      </c>
      <c r="R1488" t="s">
        <v>60</v>
      </c>
      <c r="S1488" t="s">
        <v>583</v>
      </c>
      <c r="U1488" s="75">
        <v>266175</v>
      </c>
      <c r="V1488" t="s">
        <v>6216</v>
      </c>
      <c r="W1488" t="s">
        <v>6216</v>
      </c>
      <c r="X1488" t="s">
        <v>118</v>
      </c>
      <c r="Y1488" t="s">
        <v>400</v>
      </c>
      <c r="AA1488" t="s">
        <v>101</v>
      </c>
      <c r="AB1488">
        <v>53.383333</v>
      </c>
      <c r="AC1488">
        <v>41.266666999999998</v>
      </c>
      <c r="AD1488">
        <v>12.116666</v>
      </c>
      <c r="AE1488">
        <v>1.216666</v>
      </c>
      <c r="AF1488">
        <v>0</v>
      </c>
      <c r="AG1488">
        <v>10.9</v>
      </c>
      <c r="AH1488">
        <v>10.9</v>
      </c>
      <c r="AI1488">
        <v>9.6999999999999993</v>
      </c>
      <c r="AJ1488">
        <v>1.2</v>
      </c>
      <c r="AK1488">
        <v>0</v>
      </c>
      <c r="AL1488" s="76">
        <v>43963</v>
      </c>
      <c r="AM1488" s="75">
        <v>2205</v>
      </c>
      <c r="AN1488" t="s">
        <v>65</v>
      </c>
      <c r="AO1488" t="s">
        <v>6217</v>
      </c>
      <c r="AP1488" t="s">
        <v>67</v>
      </c>
      <c r="AQ1488" t="s">
        <v>121</v>
      </c>
      <c r="AR1488" t="s">
        <v>69</v>
      </c>
      <c r="AT1488" s="82" t="s">
        <v>6049</v>
      </c>
      <c r="AU1488" s="78">
        <v>2026</v>
      </c>
      <c r="AV1488" s="78">
        <v>5</v>
      </c>
      <c r="AW1488" s="78" t="s">
        <v>122</v>
      </c>
      <c r="AX1488" s="78">
        <v>0</v>
      </c>
      <c r="AY1488" s="78">
        <v>0</v>
      </c>
      <c r="BT1488" t="s">
        <v>122</v>
      </c>
      <c r="BU1488">
        <v>0</v>
      </c>
      <c r="BV1488">
        <v>0</v>
      </c>
    </row>
    <row r="1489" spans="1:74" x14ac:dyDescent="0.25">
      <c r="A1489" s="75">
        <v>5980545</v>
      </c>
      <c r="B1489" t="s">
        <v>6218</v>
      </c>
      <c r="C1489" t="s">
        <v>6219</v>
      </c>
      <c r="D1489" t="s">
        <v>2602</v>
      </c>
      <c r="E1489" t="s">
        <v>87</v>
      </c>
      <c r="F1489" s="75">
        <v>1</v>
      </c>
      <c r="G1489" s="75">
        <v>254805</v>
      </c>
      <c r="H1489">
        <v>0.01</v>
      </c>
      <c r="I1489" t="s">
        <v>114</v>
      </c>
      <c r="J1489" s="75">
        <v>204531</v>
      </c>
      <c r="K1489" t="s">
        <v>3061</v>
      </c>
      <c r="L1489" t="s">
        <v>3062</v>
      </c>
      <c r="M1489" s="81">
        <v>46168.709062499998</v>
      </c>
      <c r="N1489" s="81">
        <v>46170.889074074083</v>
      </c>
      <c r="O1489" t="s">
        <v>58</v>
      </c>
      <c r="P1489" t="s">
        <v>59</v>
      </c>
      <c r="R1489" t="s">
        <v>60</v>
      </c>
      <c r="S1489" t="s">
        <v>583</v>
      </c>
      <c r="U1489" s="75">
        <v>266185</v>
      </c>
      <c r="V1489" t="s">
        <v>6220</v>
      </c>
      <c r="W1489" t="s">
        <v>6220</v>
      </c>
      <c r="X1489" t="s">
        <v>79</v>
      </c>
      <c r="Y1489" t="s">
        <v>224</v>
      </c>
      <c r="AA1489" t="s">
        <v>64</v>
      </c>
      <c r="AB1489">
        <v>52.250000999999997</v>
      </c>
      <c r="AC1489">
        <v>48.216667000000001</v>
      </c>
      <c r="AD1489">
        <v>4.033334</v>
      </c>
      <c r="AE1489">
        <v>0</v>
      </c>
      <c r="AF1489">
        <v>0</v>
      </c>
      <c r="AG1489">
        <v>4.033334</v>
      </c>
      <c r="AH1489">
        <v>4.033334</v>
      </c>
      <c r="AI1489">
        <v>3.7166670000000002</v>
      </c>
      <c r="AJ1489">
        <v>0.31666699999999998</v>
      </c>
      <c r="AK1489">
        <v>0</v>
      </c>
      <c r="AL1489" s="76">
        <v>44858.594537037039</v>
      </c>
      <c r="AM1489" s="75">
        <v>1310</v>
      </c>
      <c r="AN1489" t="s">
        <v>65</v>
      </c>
      <c r="AO1489" t="s">
        <v>3638</v>
      </c>
      <c r="AP1489" t="s">
        <v>67</v>
      </c>
      <c r="AQ1489" t="s">
        <v>83</v>
      </c>
      <c r="AR1489" t="s">
        <v>69</v>
      </c>
      <c r="AT1489" s="82" t="s">
        <v>6049</v>
      </c>
      <c r="AU1489" s="78">
        <v>2026</v>
      </c>
      <c r="AV1489" s="78">
        <v>5</v>
      </c>
      <c r="AW1489" s="78" t="s">
        <v>226</v>
      </c>
      <c r="AX1489" s="78">
        <v>1</v>
      </c>
      <c r="AY1489" s="78">
        <v>0</v>
      </c>
      <c r="BT1489" t="s">
        <v>226</v>
      </c>
      <c r="BU1489">
        <v>1</v>
      </c>
      <c r="BV1489">
        <v>0</v>
      </c>
    </row>
    <row r="1490" spans="1:74" x14ac:dyDescent="0.25">
      <c r="A1490" s="75">
        <v>5982293</v>
      </c>
      <c r="B1490" t="s">
        <v>6221</v>
      </c>
      <c r="C1490" t="s">
        <v>6222</v>
      </c>
      <c r="D1490" t="s">
        <v>2602</v>
      </c>
      <c r="E1490" t="s">
        <v>126</v>
      </c>
      <c r="F1490" s="75">
        <v>1</v>
      </c>
      <c r="G1490" s="75">
        <v>343293</v>
      </c>
      <c r="H1490">
        <v>1400</v>
      </c>
      <c r="I1490" t="s">
        <v>141</v>
      </c>
      <c r="J1490" s="75">
        <v>228277</v>
      </c>
      <c r="K1490" t="s">
        <v>4475</v>
      </c>
      <c r="L1490" t="s">
        <v>4476</v>
      </c>
      <c r="M1490" s="81">
        <v>46169.749780092592</v>
      </c>
      <c r="N1490" s="81">
        <v>46170.909178240741</v>
      </c>
      <c r="O1490" t="s">
        <v>58</v>
      </c>
      <c r="P1490" t="s">
        <v>59</v>
      </c>
      <c r="Q1490" t="s">
        <v>77</v>
      </c>
      <c r="R1490" t="s">
        <v>60</v>
      </c>
      <c r="S1490" t="s">
        <v>583</v>
      </c>
      <c r="U1490" s="75">
        <v>267201</v>
      </c>
      <c r="V1490" t="s">
        <v>6223</v>
      </c>
      <c r="W1490" t="s">
        <v>6223</v>
      </c>
      <c r="X1490" t="s">
        <v>118</v>
      </c>
      <c r="Y1490" t="s">
        <v>1678</v>
      </c>
      <c r="AA1490" t="s">
        <v>81</v>
      </c>
      <c r="AB1490">
        <v>27.8</v>
      </c>
      <c r="AC1490">
        <v>25.55</v>
      </c>
      <c r="AD1490">
        <v>2.25</v>
      </c>
      <c r="AE1490">
        <v>0.35</v>
      </c>
      <c r="AF1490">
        <v>0</v>
      </c>
      <c r="AG1490">
        <v>1.9</v>
      </c>
      <c r="AH1490">
        <v>1.9</v>
      </c>
      <c r="AI1490">
        <v>1.0333330000000001</v>
      </c>
      <c r="AJ1490">
        <v>0.86666699999999997</v>
      </c>
      <c r="AK1490">
        <v>0</v>
      </c>
      <c r="AL1490" s="76">
        <v>45877.445740740739</v>
      </c>
      <c r="AM1490" s="75">
        <v>292</v>
      </c>
      <c r="AN1490" t="s">
        <v>65</v>
      </c>
      <c r="AO1490" t="s">
        <v>4478</v>
      </c>
      <c r="AP1490" t="s">
        <v>67</v>
      </c>
      <c r="AQ1490" t="s">
        <v>121</v>
      </c>
      <c r="AR1490" t="s">
        <v>69</v>
      </c>
      <c r="AT1490" s="82" t="s">
        <v>6049</v>
      </c>
      <c r="AU1490" s="78">
        <v>2026</v>
      </c>
      <c r="AV1490" s="78">
        <v>5</v>
      </c>
      <c r="AW1490" s="78" t="s">
        <v>347</v>
      </c>
      <c r="AX1490" s="78">
        <v>1</v>
      </c>
      <c r="AY1490" s="78">
        <v>0</v>
      </c>
      <c r="BT1490" t="s">
        <v>347</v>
      </c>
      <c r="BU1490">
        <v>1</v>
      </c>
      <c r="BV1490">
        <v>0</v>
      </c>
    </row>
    <row r="1491" spans="1:74" x14ac:dyDescent="0.25">
      <c r="A1491" s="75">
        <v>5981213</v>
      </c>
      <c r="B1491" t="s">
        <v>6224</v>
      </c>
      <c r="C1491" t="s">
        <v>1893</v>
      </c>
      <c r="D1491" t="s">
        <v>2602</v>
      </c>
      <c r="E1491" t="s">
        <v>87</v>
      </c>
      <c r="F1491" s="75">
        <v>1</v>
      </c>
      <c r="G1491" s="75">
        <v>255313</v>
      </c>
      <c r="H1491">
        <v>7075</v>
      </c>
      <c r="I1491" t="s">
        <v>880</v>
      </c>
      <c r="J1491" s="75">
        <v>204713</v>
      </c>
      <c r="K1491" t="s">
        <v>1034</v>
      </c>
      <c r="L1491" t="s">
        <v>1035</v>
      </c>
      <c r="M1491" s="81">
        <v>46169.367488425924</v>
      </c>
      <c r="N1491" s="81">
        <v>46170.914733796293</v>
      </c>
      <c r="O1491" t="s">
        <v>58</v>
      </c>
      <c r="P1491" t="s">
        <v>59</v>
      </c>
      <c r="Q1491" t="s">
        <v>77</v>
      </c>
      <c r="R1491" t="s">
        <v>60</v>
      </c>
      <c r="S1491" t="s">
        <v>583</v>
      </c>
      <c r="U1491" s="75">
        <v>266855</v>
      </c>
      <c r="V1491" t="s">
        <v>6225</v>
      </c>
      <c r="W1491" t="s">
        <v>6225</v>
      </c>
      <c r="X1491" t="s">
        <v>118</v>
      </c>
      <c r="Y1491" t="s">
        <v>119</v>
      </c>
      <c r="AA1491" t="s">
        <v>64</v>
      </c>
      <c r="AB1491">
        <v>37.033335000000001</v>
      </c>
      <c r="AC1491">
        <v>29.983333999999999</v>
      </c>
      <c r="AD1491">
        <v>7.050001</v>
      </c>
      <c r="AE1491">
        <v>0.61666699999999997</v>
      </c>
      <c r="AF1491">
        <v>0</v>
      </c>
      <c r="AG1491">
        <v>6.4333340000000003</v>
      </c>
      <c r="AH1491">
        <v>6.4333340000000003</v>
      </c>
      <c r="AI1491">
        <v>5.4833340000000002</v>
      </c>
      <c r="AJ1491">
        <v>0.95</v>
      </c>
      <c r="AK1491">
        <v>0</v>
      </c>
      <c r="AL1491" s="76">
        <v>45160.595625000002</v>
      </c>
      <c r="AM1491" s="75">
        <v>1008</v>
      </c>
      <c r="AN1491" t="s">
        <v>65</v>
      </c>
      <c r="AO1491" t="s">
        <v>1037</v>
      </c>
      <c r="AP1491" t="s">
        <v>67</v>
      </c>
      <c r="AQ1491" t="s">
        <v>121</v>
      </c>
      <c r="AR1491" t="s">
        <v>69</v>
      </c>
      <c r="AT1491" s="82" t="s">
        <v>6049</v>
      </c>
      <c r="AU1491" s="78">
        <v>2026</v>
      </c>
      <c r="AV1491" s="78">
        <v>5</v>
      </c>
      <c r="AW1491" s="78" t="s">
        <v>122</v>
      </c>
      <c r="AX1491" s="78">
        <v>1</v>
      </c>
      <c r="AY1491" s="78">
        <v>0</v>
      </c>
      <c r="BT1491" t="s">
        <v>122</v>
      </c>
      <c r="BU1491">
        <v>1</v>
      </c>
      <c r="BV1491">
        <v>0</v>
      </c>
    </row>
    <row r="1492" spans="1:74" x14ac:dyDescent="0.25">
      <c r="A1492" s="75">
        <v>5980883</v>
      </c>
      <c r="B1492" t="s">
        <v>6226</v>
      </c>
      <c r="C1492" t="s">
        <v>5692</v>
      </c>
      <c r="D1492" t="s">
        <v>2602</v>
      </c>
      <c r="E1492" t="s">
        <v>54</v>
      </c>
      <c r="F1492" s="75">
        <v>1</v>
      </c>
      <c r="G1492" s="75">
        <v>329637</v>
      </c>
      <c r="H1492">
        <v>600</v>
      </c>
      <c r="I1492" t="s">
        <v>141</v>
      </c>
      <c r="J1492" s="75">
        <v>225021</v>
      </c>
      <c r="K1492" t="s">
        <v>5162</v>
      </c>
      <c r="L1492" t="s">
        <v>5163</v>
      </c>
      <c r="M1492" s="81">
        <v>46169.018634259257</v>
      </c>
      <c r="N1492" s="81">
        <v>46170.915775462963</v>
      </c>
      <c r="O1492" t="s">
        <v>58</v>
      </c>
      <c r="P1492" t="s">
        <v>59</v>
      </c>
      <c r="Q1492" t="s">
        <v>130</v>
      </c>
      <c r="R1492" t="s">
        <v>60</v>
      </c>
      <c r="S1492" t="s">
        <v>583</v>
      </c>
      <c r="U1492" s="75">
        <v>266063</v>
      </c>
      <c r="V1492" t="s">
        <v>6227</v>
      </c>
      <c r="X1492" t="s">
        <v>62</v>
      </c>
      <c r="Y1492" t="s">
        <v>5165</v>
      </c>
      <c r="AA1492" t="s">
        <v>101</v>
      </c>
      <c r="AB1492">
        <v>45.449998999999998</v>
      </c>
      <c r="AC1492">
        <v>37.366666000000002</v>
      </c>
      <c r="AD1492">
        <v>8.0833329999999997</v>
      </c>
      <c r="AE1492">
        <v>0</v>
      </c>
      <c r="AF1492">
        <v>0</v>
      </c>
      <c r="AG1492">
        <v>8.0833329999999997</v>
      </c>
      <c r="AH1492">
        <v>8.0833329999999997</v>
      </c>
      <c r="AI1492">
        <v>7.7166670000000002</v>
      </c>
      <c r="AJ1492">
        <v>0.36666599999999999</v>
      </c>
      <c r="AK1492">
        <v>0</v>
      </c>
      <c r="AL1492" s="76">
        <v>45793.606319444443</v>
      </c>
      <c r="AM1492" s="75">
        <v>375</v>
      </c>
      <c r="AN1492" t="s">
        <v>65</v>
      </c>
      <c r="AO1492" t="s">
        <v>5166</v>
      </c>
      <c r="AP1492" t="s">
        <v>67</v>
      </c>
      <c r="AQ1492" t="s">
        <v>68</v>
      </c>
      <c r="AR1492" t="s">
        <v>69</v>
      </c>
      <c r="AT1492" s="82" t="s">
        <v>6049</v>
      </c>
      <c r="AU1492" s="78">
        <v>2026</v>
      </c>
      <c r="AV1492" s="78">
        <v>5</v>
      </c>
      <c r="AW1492" s="78" t="s">
        <v>137</v>
      </c>
      <c r="AX1492" s="78">
        <v>0</v>
      </c>
      <c r="AY1492" s="78">
        <v>0</v>
      </c>
      <c r="BT1492" t="s">
        <v>137</v>
      </c>
      <c r="BU1492">
        <v>0</v>
      </c>
      <c r="BV1492">
        <v>0</v>
      </c>
    </row>
    <row r="1493" spans="1:74" x14ac:dyDescent="0.25">
      <c r="A1493" s="75">
        <v>5983965</v>
      </c>
      <c r="B1493" t="s">
        <v>6228</v>
      </c>
      <c r="C1493" t="s">
        <v>693</v>
      </c>
      <c r="D1493" t="s">
        <v>527</v>
      </c>
      <c r="E1493" t="s">
        <v>87</v>
      </c>
      <c r="F1493" s="75">
        <v>402</v>
      </c>
      <c r="G1493" s="75">
        <v>288381</v>
      </c>
      <c r="H1493">
        <v>368.16</v>
      </c>
      <c r="I1493" t="s">
        <v>55</v>
      </c>
      <c r="J1493" s="75">
        <v>218791</v>
      </c>
      <c r="K1493" t="s">
        <v>312</v>
      </c>
      <c r="L1493" t="s">
        <v>313</v>
      </c>
      <c r="M1493" s="81">
        <v>46170.861585648148</v>
      </c>
      <c r="N1493" s="81">
        <v>46171.381666666668</v>
      </c>
      <c r="O1493" t="s">
        <v>277</v>
      </c>
      <c r="P1493" t="s">
        <v>59</v>
      </c>
      <c r="Q1493" t="s">
        <v>90</v>
      </c>
      <c r="R1493" t="s">
        <v>99</v>
      </c>
      <c r="S1493" t="s">
        <v>1244</v>
      </c>
      <c r="U1493" s="75">
        <v>268575</v>
      </c>
      <c r="V1493" t="s">
        <v>6229</v>
      </c>
      <c r="X1493" t="s">
        <v>62</v>
      </c>
      <c r="Y1493" t="s">
        <v>63</v>
      </c>
      <c r="AA1493" t="s">
        <v>64</v>
      </c>
      <c r="AB1493">
        <v>12.450001</v>
      </c>
      <c r="AC1493">
        <v>7.9</v>
      </c>
      <c r="AD1493">
        <v>4.550001</v>
      </c>
      <c r="AE1493">
        <v>0.466667</v>
      </c>
      <c r="AF1493">
        <v>0</v>
      </c>
      <c r="AG1493">
        <v>4.0833339999999998</v>
      </c>
      <c r="AH1493">
        <v>4.0833339999999998</v>
      </c>
      <c r="AI1493">
        <v>0.6</v>
      </c>
      <c r="AJ1493">
        <v>3.4833340000000002</v>
      </c>
      <c r="AK1493">
        <v>0</v>
      </c>
      <c r="AL1493" s="76">
        <v>44946.44804398148</v>
      </c>
      <c r="AM1493" s="75">
        <v>1224</v>
      </c>
      <c r="AN1493" t="s">
        <v>65</v>
      </c>
      <c r="AO1493" t="s">
        <v>695</v>
      </c>
      <c r="AP1493" t="s">
        <v>67</v>
      </c>
      <c r="AQ1493" t="s">
        <v>68</v>
      </c>
      <c r="AR1493" t="s">
        <v>69</v>
      </c>
      <c r="AT1493" s="82" t="s">
        <v>6049</v>
      </c>
      <c r="AU1493" s="78">
        <v>2026</v>
      </c>
      <c r="AV1493" s="78">
        <v>5</v>
      </c>
      <c r="AW1493" s="78" t="s">
        <v>71</v>
      </c>
      <c r="AX1493" s="78">
        <v>1</v>
      </c>
      <c r="AY1493" s="78">
        <v>0</v>
      </c>
      <c r="BT1493" t="s">
        <v>71</v>
      </c>
      <c r="BU1493">
        <v>1</v>
      </c>
      <c r="BV1493">
        <v>0</v>
      </c>
    </row>
    <row r="1494" spans="1:74" x14ac:dyDescent="0.25">
      <c r="A1494" s="75">
        <v>5974917</v>
      </c>
      <c r="B1494" t="s">
        <v>6230</v>
      </c>
      <c r="C1494" t="s">
        <v>6231</v>
      </c>
      <c r="D1494" t="s">
        <v>1567</v>
      </c>
      <c r="E1494" t="s">
        <v>54</v>
      </c>
      <c r="F1494" s="75">
        <v>1</v>
      </c>
      <c r="G1494" s="75">
        <v>333399</v>
      </c>
      <c r="H1494">
        <v>600</v>
      </c>
      <c r="I1494" t="s">
        <v>141</v>
      </c>
      <c r="J1494" s="75">
        <v>226111</v>
      </c>
      <c r="K1494" t="s">
        <v>142</v>
      </c>
      <c r="L1494" t="s">
        <v>143</v>
      </c>
      <c r="M1494" s="81">
        <v>46165.82</v>
      </c>
      <c r="N1494" s="81">
        <v>46171.702499999999</v>
      </c>
      <c r="O1494" t="s">
        <v>58</v>
      </c>
      <c r="P1494" t="s">
        <v>59</v>
      </c>
      <c r="Q1494" t="s">
        <v>130</v>
      </c>
      <c r="R1494" t="s">
        <v>60</v>
      </c>
      <c r="S1494" t="s">
        <v>583</v>
      </c>
      <c r="U1494" s="75">
        <v>268617</v>
      </c>
      <c r="V1494" t="s">
        <v>6232</v>
      </c>
      <c r="W1494" t="s">
        <v>6233</v>
      </c>
      <c r="X1494" t="s">
        <v>62</v>
      </c>
      <c r="Y1494" t="s">
        <v>63</v>
      </c>
      <c r="AA1494" t="s">
        <v>295</v>
      </c>
      <c r="AB1494">
        <v>140.999999</v>
      </c>
      <c r="AC1494">
        <v>87.383332999999993</v>
      </c>
      <c r="AD1494">
        <v>53.616666000000002</v>
      </c>
      <c r="AE1494">
        <v>2.516667</v>
      </c>
      <c r="AF1494">
        <v>0</v>
      </c>
      <c r="AG1494">
        <v>51.099998999999997</v>
      </c>
      <c r="AH1494">
        <v>51.099998999999997</v>
      </c>
      <c r="AI1494">
        <v>49.016666000000001</v>
      </c>
      <c r="AJ1494">
        <v>2.0833330000000001</v>
      </c>
      <c r="AK1494">
        <v>0</v>
      </c>
      <c r="AL1494" s="76">
        <v>45771.443495370368</v>
      </c>
      <c r="AM1494" s="75">
        <v>394</v>
      </c>
      <c r="AN1494" t="s">
        <v>65</v>
      </c>
      <c r="AO1494" t="s">
        <v>147</v>
      </c>
      <c r="AP1494" t="s">
        <v>67</v>
      </c>
      <c r="AQ1494" t="s">
        <v>68</v>
      </c>
      <c r="AR1494" t="s">
        <v>69</v>
      </c>
      <c r="AT1494" s="82" t="s">
        <v>6049</v>
      </c>
      <c r="AU1494" s="78">
        <v>2026</v>
      </c>
      <c r="AV1494" s="78">
        <v>5</v>
      </c>
      <c r="AW1494" s="78" t="s">
        <v>71</v>
      </c>
      <c r="AX1494" s="78">
        <v>0</v>
      </c>
      <c r="AY1494" s="78">
        <v>1</v>
      </c>
      <c r="BT1494" t="s">
        <v>71</v>
      </c>
      <c r="BU1494">
        <v>0</v>
      </c>
      <c r="BV1494">
        <v>1</v>
      </c>
    </row>
    <row r="1495" spans="1:74" x14ac:dyDescent="0.25">
      <c r="A1495" s="75">
        <v>5977037</v>
      </c>
      <c r="B1495" t="s">
        <v>6234</v>
      </c>
      <c r="C1495" t="s">
        <v>6235</v>
      </c>
      <c r="D1495" t="s">
        <v>1567</v>
      </c>
      <c r="E1495" t="s">
        <v>87</v>
      </c>
      <c r="F1495" s="75">
        <v>425</v>
      </c>
      <c r="G1495" s="75">
        <v>289273</v>
      </c>
      <c r="H1495">
        <v>740.61</v>
      </c>
      <c r="I1495" t="s">
        <v>55</v>
      </c>
      <c r="J1495" s="75">
        <v>216233</v>
      </c>
      <c r="K1495" t="s">
        <v>88</v>
      </c>
      <c r="L1495" t="s">
        <v>89</v>
      </c>
      <c r="M1495" s="81">
        <v>46167.356712962966</v>
      </c>
      <c r="N1495" s="81">
        <v>46171.703923611109</v>
      </c>
      <c r="O1495" t="s">
        <v>58</v>
      </c>
      <c r="P1495" t="s">
        <v>59</v>
      </c>
      <c r="Q1495" t="s">
        <v>98</v>
      </c>
      <c r="R1495" t="s">
        <v>60</v>
      </c>
      <c r="S1495" t="s">
        <v>583</v>
      </c>
      <c r="U1495" s="75">
        <v>267845</v>
      </c>
      <c r="V1495" t="s">
        <v>6236</v>
      </c>
      <c r="W1495" t="s">
        <v>6236</v>
      </c>
      <c r="X1495" t="s">
        <v>62</v>
      </c>
      <c r="Y1495" t="s">
        <v>63</v>
      </c>
      <c r="AA1495" t="s">
        <v>101</v>
      </c>
      <c r="AB1495">
        <v>104.233332</v>
      </c>
      <c r="AC1495">
        <v>91.383332999999993</v>
      </c>
      <c r="AD1495">
        <v>12.849999</v>
      </c>
      <c r="AE1495">
        <v>2.5333329999999998</v>
      </c>
      <c r="AF1495">
        <v>0</v>
      </c>
      <c r="AG1495">
        <v>10.316666</v>
      </c>
      <c r="AH1495">
        <v>10.316666</v>
      </c>
      <c r="AI1495">
        <v>9.1166660000000004</v>
      </c>
      <c r="AJ1495">
        <v>1.2</v>
      </c>
      <c r="AK1495">
        <v>0</v>
      </c>
      <c r="AL1495" s="76">
        <v>45000</v>
      </c>
      <c r="AM1495" s="75">
        <v>1167</v>
      </c>
      <c r="AN1495" t="s">
        <v>65</v>
      </c>
      <c r="AO1495" t="s">
        <v>6237</v>
      </c>
      <c r="AP1495" t="s">
        <v>67</v>
      </c>
      <c r="AQ1495" t="s">
        <v>68</v>
      </c>
      <c r="AR1495" t="s">
        <v>69</v>
      </c>
      <c r="AT1495" s="82" t="s">
        <v>6049</v>
      </c>
      <c r="AU1495" s="78">
        <v>2026</v>
      </c>
      <c r="AV1495" s="78">
        <v>5</v>
      </c>
      <c r="AW1495" s="78" t="s">
        <v>71</v>
      </c>
      <c r="AX1495" s="78">
        <v>0</v>
      </c>
      <c r="AY1495" s="78">
        <v>0</v>
      </c>
      <c r="BT1495" t="s">
        <v>71</v>
      </c>
      <c r="BU1495">
        <v>0</v>
      </c>
      <c r="BV1495">
        <v>0</v>
      </c>
    </row>
    <row r="1496" spans="1:74" x14ac:dyDescent="0.25">
      <c r="A1496" s="75">
        <v>5977057</v>
      </c>
      <c r="B1496" t="s">
        <v>6238</v>
      </c>
      <c r="C1496" t="s">
        <v>6239</v>
      </c>
      <c r="D1496" t="s">
        <v>1567</v>
      </c>
      <c r="E1496" t="s">
        <v>87</v>
      </c>
      <c r="F1496" s="75">
        <v>91</v>
      </c>
      <c r="G1496" s="75">
        <v>280305</v>
      </c>
      <c r="H1496">
        <v>926.83</v>
      </c>
      <c r="I1496" t="s">
        <v>266</v>
      </c>
      <c r="J1496" s="75">
        <v>201809</v>
      </c>
      <c r="K1496" t="s">
        <v>505</v>
      </c>
      <c r="L1496" t="s">
        <v>506</v>
      </c>
      <c r="M1496" s="81">
        <v>46167.357048611113</v>
      </c>
      <c r="N1496" s="81">
        <v>46171.704918981479</v>
      </c>
      <c r="O1496" t="s">
        <v>58</v>
      </c>
      <c r="P1496" t="s">
        <v>59</v>
      </c>
      <c r="Q1496" t="s">
        <v>90</v>
      </c>
      <c r="R1496" t="s">
        <v>60</v>
      </c>
      <c r="S1496" t="s">
        <v>583</v>
      </c>
      <c r="U1496" s="75">
        <v>268621</v>
      </c>
      <c r="V1496" t="s">
        <v>6240</v>
      </c>
      <c r="W1496" t="s">
        <v>6240</v>
      </c>
      <c r="X1496" t="s">
        <v>62</v>
      </c>
      <c r="Y1496" t="s">
        <v>1124</v>
      </c>
      <c r="AA1496" t="s">
        <v>295</v>
      </c>
      <c r="AB1496">
        <v>104.149998</v>
      </c>
      <c r="AC1496">
        <v>37.083331999999999</v>
      </c>
      <c r="AD1496">
        <v>67.066665999999998</v>
      </c>
      <c r="AE1496">
        <v>7.4666670000000002</v>
      </c>
      <c r="AF1496">
        <v>0</v>
      </c>
      <c r="AG1496">
        <v>59.599998999999997</v>
      </c>
      <c r="AH1496">
        <v>59.599998999999997</v>
      </c>
      <c r="AI1496">
        <v>3.7166670000000002</v>
      </c>
      <c r="AJ1496">
        <v>55.883332000000003</v>
      </c>
      <c r="AK1496">
        <v>0</v>
      </c>
      <c r="AL1496" s="76">
        <v>44469</v>
      </c>
      <c r="AM1496" s="75">
        <v>1698</v>
      </c>
      <c r="AN1496" t="s">
        <v>65</v>
      </c>
      <c r="AO1496" t="s">
        <v>6241</v>
      </c>
      <c r="AP1496" t="s">
        <v>67</v>
      </c>
      <c r="AQ1496" t="s">
        <v>68</v>
      </c>
      <c r="AR1496" t="s">
        <v>69</v>
      </c>
      <c r="AT1496" s="82" t="s">
        <v>6049</v>
      </c>
      <c r="AU1496" s="78">
        <v>2026</v>
      </c>
      <c r="AV1496" s="78">
        <v>5</v>
      </c>
      <c r="AW1496" s="78" t="s">
        <v>137</v>
      </c>
      <c r="AX1496" s="78">
        <v>0</v>
      </c>
      <c r="AY1496" s="78">
        <v>1</v>
      </c>
      <c r="BT1496" t="s">
        <v>137</v>
      </c>
      <c r="BU1496">
        <v>0</v>
      </c>
      <c r="BV1496">
        <v>1</v>
      </c>
    </row>
    <row r="1497" spans="1:74" x14ac:dyDescent="0.25">
      <c r="A1497" s="75">
        <v>5979953</v>
      </c>
      <c r="B1497" t="s">
        <v>6242</v>
      </c>
      <c r="C1497" t="s">
        <v>6243</v>
      </c>
      <c r="D1497" t="s">
        <v>1567</v>
      </c>
      <c r="E1497" t="s">
        <v>105</v>
      </c>
      <c r="F1497" s="75">
        <v>1122</v>
      </c>
      <c r="G1497" s="75">
        <v>333491</v>
      </c>
      <c r="H1497">
        <v>456.52</v>
      </c>
      <c r="I1497" t="s">
        <v>175</v>
      </c>
      <c r="J1497" s="75">
        <v>83605</v>
      </c>
      <c r="K1497" t="s">
        <v>844</v>
      </c>
      <c r="L1497" t="s">
        <v>845</v>
      </c>
      <c r="M1497" s="81">
        <v>46168.536215277767</v>
      </c>
      <c r="N1497" s="81">
        <v>46171.761770833327</v>
      </c>
      <c r="O1497" t="s">
        <v>58</v>
      </c>
      <c r="P1497" t="s">
        <v>59</v>
      </c>
      <c r="Q1497" t="s">
        <v>90</v>
      </c>
      <c r="R1497" t="s">
        <v>60</v>
      </c>
      <c r="S1497" t="s">
        <v>583</v>
      </c>
      <c r="U1497" s="75">
        <v>265673</v>
      </c>
      <c r="V1497" t="s">
        <v>6244</v>
      </c>
      <c r="W1497" t="s">
        <v>6244</v>
      </c>
      <c r="X1497" t="s">
        <v>62</v>
      </c>
      <c r="Y1497" t="s">
        <v>63</v>
      </c>
      <c r="AA1497" t="s">
        <v>416</v>
      </c>
      <c r="AB1497">
        <v>77.316665999999998</v>
      </c>
      <c r="AC1497">
        <v>60.966667000000001</v>
      </c>
      <c r="AD1497">
        <v>16.349999</v>
      </c>
      <c r="AE1497">
        <v>0.55000000000000004</v>
      </c>
      <c r="AF1497">
        <v>0</v>
      </c>
      <c r="AG1497">
        <v>15.799999</v>
      </c>
      <c r="AH1497">
        <v>15.799999</v>
      </c>
      <c r="AI1497">
        <v>14.933332999999999</v>
      </c>
      <c r="AJ1497">
        <v>0.86666600000000005</v>
      </c>
      <c r="AK1497">
        <v>0</v>
      </c>
      <c r="AL1497" s="76">
        <v>45869.70894675926</v>
      </c>
      <c r="AM1497" s="75">
        <v>298</v>
      </c>
      <c r="AN1497" t="s">
        <v>65</v>
      </c>
      <c r="AO1497" t="s">
        <v>5615</v>
      </c>
      <c r="AP1497" t="s">
        <v>67</v>
      </c>
      <c r="AQ1497" t="s">
        <v>68</v>
      </c>
      <c r="AR1497" t="s">
        <v>69</v>
      </c>
      <c r="AT1497" s="82" t="s">
        <v>6049</v>
      </c>
      <c r="AU1497" s="78">
        <v>2026</v>
      </c>
      <c r="AV1497" s="78">
        <v>5</v>
      </c>
      <c r="AW1497" s="78" t="s">
        <v>71</v>
      </c>
      <c r="AX1497" s="78">
        <v>0</v>
      </c>
      <c r="AY1497" s="78">
        <v>0</v>
      </c>
      <c r="BT1497" t="s">
        <v>71</v>
      </c>
      <c r="BU1497">
        <v>0</v>
      </c>
      <c r="BV1497">
        <v>0</v>
      </c>
    </row>
    <row r="1498" spans="1:74" x14ac:dyDescent="0.25">
      <c r="A1498" s="75">
        <v>5981709</v>
      </c>
      <c r="B1498" t="s">
        <v>6245</v>
      </c>
      <c r="C1498" t="s">
        <v>1335</v>
      </c>
      <c r="D1498" t="s">
        <v>1567</v>
      </c>
      <c r="E1498" t="s">
        <v>87</v>
      </c>
      <c r="F1498" s="75">
        <v>8</v>
      </c>
      <c r="G1498" s="75">
        <v>248497</v>
      </c>
      <c r="H1498">
        <v>225.86</v>
      </c>
      <c r="I1498" t="s">
        <v>55</v>
      </c>
      <c r="J1498" s="75">
        <v>77293</v>
      </c>
      <c r="K1498" t="s">
        <v>1292</v>
      </c>
      <c r="L1498" t="s">
        <v>1293</v>
      </c>
      <c r="M1498" s="81">
        <v>46169.528171296297</v>
      </c>
      <c r="N1498" s="81">
        <v>46171.767916666657</v>
      </c>
      <c r="O1498" t="s">
        <v>58</v>
      </c>
      <c r="P1498" t="s">
        <v>59</v>
      </c>
      <c r="Q1498" t="s">
        <v>90</v>
      </c>
      <c r="R1498" t="s">
        <v>99</v>
      </c>
      <c r="S1498" t="s">
        <v>1244</v>
      </c>
      <c r="U1498" s="75">
        <v>266875</v>
      </c>
      <c r="V1498" t="s">
        <v>6246</v>
      </c>
      <c r="X1498" t="s">
        <v>79</v>
      </c>
      <c r="Y1498" t="s">
        <v>110</v>
      </c>
      <c r="AA1498" t="s">
        <v>64</v>
      </c>
      <c r="AB1498">
        <v>53.683331000000003</v>
      </c>
      <c r="AC1498">
        <v>48.216665999999996</v>
      </c>
      <c r="AD1498">
        <v>5.4666649999999999</v>
      </c>
      <c r="AE1498">
        <v>0.349999</v>
      </c>
      <c r="AF1498">
        <v>0</v>
      </c>
      <c r="AG1498">
        <v>5.1166660000000004</v>
      </c>
      <c r="AH1498">
        <v>5.1166660000000004</v>
      </c>
      <c r="AI1498">
        <v>4.7833329999999998</v>
      </c>
      <c r="AJ1498">
        <v>0.33333299999999999</v>
      </c>
      <c r="AK1498">
        <v>0</v>
      </c>
      <c r="AL1498" s="76">
        <v>44802</v>
      </c>
      <c r="AM1498" s="75">
        <v>1367</v>
      </c>
      <c r="AN1498" t="s">
        <v>65</v>
      </c>
      <c r="AO1498" t="s">
        <v>1337</v>
      </c>
      <c r="AP1498" t="s">
        <v>67</v>
      </c>
      <c r="AQ1498" t="s">
        <v>83</v>
      </c>
      <c r="AR1498" t="s">
        <v>69</v>
      </c>
      <c r="AT1498" s="82" t="s">
        <v>6049</v>
      </c>
      <c r="AU1498" s="78">
        <v>2026</v>
      </c>
      <c r="AV1498" s="78">
        <v>5</v>
      </c>
      <c r="AW1498" s="78" t="s">
        <v>84</v>
      </c>
      <c r="AX1498" s="78">
        <v>1</v>
      </c>
      <c r="AY1498" s="78">
        <v>0</v>
      </c>
      <c r="BT1498" t="s">
        <v>84</v>
      </c>
      <c r="BU1498">
        <v>1</v>
      </c>
      <c r="BV1498">
        <v>0</v>
      </c>
    </row>
    <row r="1499" spans="1:74" x14ac:dyDescent="0.25">
      <c r="A1499" s="75">
        <v>5981837</v>
      </c>
      <c r="B1499" t="s">
        <v>6247</v>
      </c>
      <c r="C1499" t="s">
        <v>2998</v>
      </c>
      <c r="D1499" t="s">
        <v>1567</v>
      </c>
      <c r="E1499" t="s">
        <v>87</v>
      </c>
      <c r="F1499" s="75">
        <v>129</v>
      </c>
      <c r="G1499" s="75">
        <v>285597</v>
      </c>
      <c r="H1499">
        <v>368.16</v>
      </c>
      <c r="I1499" t="s">
        <v>55</v>
      </c>
      <c r="J1499" s="75">
        <v>218791</v>
      </c>
      <c r="K1499" t="s">
        <v>312</v>
      </c>
      <c r="L1499" t="s">
        <v>313</v>
      </c>
      <c r="M1499" s="81">
        <v>46169.591273148151</v>
      </c>
      <c r="N1499" s="81">
        <v>46171.788553240738</v>
      </c>
      <c r="O1499" t="s">
        <v>58</v>
      </c>
      <c r="P1499" t="s">
        <v>59</v>
      </c>
      <c r="Q1499" t="s">
        <v>90</v>
      </c>
      <c r="R1499" t="s">
        <v>60</v>
      </c>
      <c r="S1499" t="s">
        <v>583</v>
      </c>
      <c r="U1499" s="75">
        <v>267059</v>
      </c>
      <c r="V1499" t="s">
        <v>6248</v>
      </c>
      <c r="W1499" t="s">
        <v>6248</v>
      </c>
      <c r="X1499" t="s">
        <v>62</v>
      </c>
      <c r="Y1499" t="s">
        <v>63</v>
      </c>
      <c r="AA1499" t="s">
        <v>101</v>
      </c>
      <c r="AB1499">
        <v>52.649999000000001</v>
      </c>
      <c r="AC1499">
        <v>42.966665999999996</v>
      </c>
      <c r="AD1499">
        <v>9.6833329999999993</v>
      </c>
      <c r="AE1499">
        <v>8.3333000000000004E-2</v>
      </c>
      <c r="AF1499">
        <v>0</v>
      </c>
      <c r="AG1499">
        <v>9.6</v>
      </c>
      <c r="AH1499">
        <v>9.6</v>
      </c>
      <c r="AI1499">
        <v>8.3166670000000007</v>
      </c>
      <c r="AJ1499">
        <v>1.2833330000000001</v>
      </c>
      <c r="AK1499">
        <v>0</v>
      </c>
      <c r="AL1499" s="76">
        <v>44897.547465277778</v>
      </c>
      <c r="AM1499" s="75">
        <v>1272</v>
      </c>
      <c r="AN1499" t="s">
        <v>65</v>
      </c>
      <c r="AO1499" t="s">
        <v>3000</v>
      </c>
      <c r="AP1499" t="s">
        <v>67</v>
      </c>
      <c r="AQ1499" t="s">
        <v>68</v>
      </c>
      <c r="AR1499" t="s">
        <v>69</v>
      </c>
      <c r="AT1499" s="82" t="s">
        <v>6049</v>
      </c>
      <c r="AU1499" s="78">
        <v>2026</v>
      </c>
      <c r="AV1499" s="78">
        <v>5</v>
      </c>
      <c r="AW1499" s="78" t="s">
        <v>71</v>
      </c>
      <c r="AX1499" s="78">
        <v>0</v>
      </c>
      <c r="AY1499" s="78">
        <v>0</v>
      </c>
      <c r="BT1499" t="s">
        <v>71</v>
      </c>
      <c r="BU1499">
        <v>0</v>
      </c>
      <c r="BV1499">
        <v>0</v>
      </c>
    </row>
    <row r="1500" spans="1:74" x14ac:dyDescent="0.25">
      <c r="A1500" s="75">
        <v>5983209</v>
      </c>
      <c r="B1500" t="s">
        <v>6249</v>
      </c>
      <c r="C1500" t="s">
        <v>5148</v>
      </c>
      <c r="D1500" t="s">
        <v>1567</v>
      </c>
      <c r="E1500" t="s">
        <v>87</v>
      </c>
      <c r="F1500" s="75">
        <v>415</v>
      </c>
      <c r="G1500" s="75">
        <v>289239</v>
      </c>
      <c r="H1500">
        <v>368.16</v>
      </c>
      <c r="I1500" t="s">
        <v>55</v>
      </c>
      <c r="J1500" s="75">
        <v>218791</v>
      </c>
      <c r="K1500" t="s">
        <v>312</v>
      </c>
      <c r="L1500" t="s">
        <v>313</v>
      </c>
      <c r="M1500" s="81">
        <v>46170.5077662037</v>
      </c>
      <c r="N1500" s="81">
        <v>46171.788877314822</v>
      </c>
      <c r="O1500" t="s">
        <v>58</v>
      </c>
      <c r="P1500" t="s">
        <v>59</v>
      </c>
      <c r="Q1500" t="s">
        <v>90</v>
      </c>
      <c r="R1500" t="s">
        <v>60</v>
      </c>
      <c r="S1500" t="s">
        <v>583</v>
      </c>
      <c r="U1500" s="75">
        <v>268067</v>
      </c>
      <c r="V1500" t="s">
        <v>6250</v>
      </c>
      <c r="W1500" t="s">
        <v>6250</v>
      </c>
      <c r="X1500" t="s">
        <v>62</v>
      </c>
      <c r="Y1500" t="s">
        <v>63</v>
      </c>
      <c r="AA1500" t="s">
        <v>64</v>
      </c>
      <c r="AB1500">
        <v>30.7</v>
      </c>
      <c r="AC1500">
        <v>23.45</v>
      </c>
      <c r="AD1500">
        <v>7.25</v>
      </c>
      <c r="AE1500">
        <v>0.56666700000000003</v>
      </c>
      <c r="AF1500">
        <v>0</v>
      </c>
      <c r="AG1500">
        <v>6.6833330000000002</v>
      </c>
      <c r="AH1500">
        <v>6.6833330000000002</v>
      </c>
      <c r="AI1500">
        <v>5.483333</v>
      </c>
      <c r="AJ1500">
        <v>1.2</v>
      </c>
      <c r="AK1500">
        <v>0</v>
      </c>
      <c r="AL1500" s="76">
        <v>44993.519386574073</v>
      </c>
      <c r="AM1500" s="75">
        <v>1176</v>
      </c>
      <c r="AN1500" t="s">
        <v>65</v>
      </c>
      <c r="AO1500" t="s">
        <v>4309</v>
      </c>
      <c r="AP1500" t="s">
        <v>67</v>
      </c>
      <c r="AQ1500" t="s">
        <v>68</v>
      </c>
      <c r="AR1500" t="s">
        <v>69</v>
      </c>
      <c r="AT1500" s="82" t="s">
        <v>6049</v>
      </c>
      <c r="AU1500" s="78">
        <v>2026</v>
      </c>
      <c r="AV1500" s="78">
        <v>5</v>
      </c>
      <c r="AW1500" s="78" t="s">
        <v>71</v>
      </c>
      <c r="AX1500" s="78">
        <v>1</v>
      </c>
      <c r="AY1500" s="78">
        <v>0</v>
      </c>
      <c r="BT1500" t="s">
        <v>71</v>
      </c>
      <c r="BU1500">
        <v>1</v>
      </c>
      <c r="BV1500">
        <v>0</v>
      </c>
    </row>
    <row r="1501" spans="1:74" x14ac:dyDescent="0.25">
      <c r="A1501" s="75">
        <v>5980479</v>
      </c>
      <c r="B1501" t="s">
        <v>6251</v>
      </c>
      <c r="C1501" t="s">
        <v>6252</v>
      </c>
      <c r="D1501" t="s">
        <v>1567</v>
      </c>
      <c r="E1501" t="s">
        <v>54</v>
      </c>
      <c r="F1501" s="75">
        <v>16</v>
      </c>
      <c r="G1501" s="75">
        <v>295441</v>
      </c>
      <c r="H1501">
        <v>200</v>
      </c>
      <c r="I1501" t="s">
        <v>55</v>
      </c>
      <c r="J1501" s="75">
        <v>218297</v>
      </c>
      <c r="K1501" t="s">
        <v>258</v>
      </c>
      <c r="L1501" t="s">
        <v>259</v>
      </c>
      <c r="M1501" s="81">
        <v>46168.681851851848</v>
      </c>
      <c r="N1501" s="81">
        <v>46171.791921296302</v>
      </c>
      <c r="O1501" t="s">
        <v>58</v>
      </c>
      <c r="P1501" t="s">
        <v>59</v>
      </c>
      <c r="Q1501" t="s">
        <v>77</v>
      </c>
      <c r="R1501" t="s">
        <v>131</v>
      </c>
      <c r="S1501" t="s">
        <v>1316</v>
      </c>
      <c r="U1501" s="75">
        <v>266179</v>
      </c>
      <c r="V1501" t="s">
        <v>6253</v>
      </c>
      <c r="W1501" t="s">
        <v>6253</v>
      </c>
      <c r="X1501" t="s">
        <v>62</v>
      </c>
      <c r="Y1501" t="s">
        <v>63</v>
      </c>
      <c r="AA1501" t="s">
        <v>416</v>
      </c>
      <c r="AB1501">
        <v>74.533332999999999</v>
      </c>
      <c r="AC1501">
        <v>53.866667</v>
      </c>
      <c r="AD1501">
        <v>20.666665999999999</v>
      </c>
      <c r="AE1501">
        <v>0.23333300000000001</v>
      </c>
      <c r="AF1501">
        <v>0</v>
      </c>
      <c r="AG1501">
        <v>20.433333000000001</v>
      </c>
      <c r="AH1501">
        <v>20.433333000000001</v>
      </c>
      <c r="AI1501">
        <v>18.716666</v>
      </c>
      <c r="AJ1501">
        <v>1.7166669999999999</v>
      </c>
      <c r="AK1501">
        <v>0</v>
      </c>
      <c r="AL1501" s="76">
        <v>45225.394363425927</v>
      </c>
      <c r="AM1501" s="75">
        <v>943</v>
      </c>
      <c r="AN1501" t="s">
        <v>65</v>
      </c>
      <c r="AO1501" t="s">
        <v>6254</v>
      </c>
      <c r="AP1501" t="s">
        <v>67</v>
      </c>
      <c r="AQ1501" t="s">
        <v>68</v>
      </c>
      <c r="AR1501" t="s">
        <v>69</v>
      </c>
      <c r="AT1501" s="82" t="s">
        <v>6049</v>
      </c>
      <c r="AU1501" s="78">
        <v>2026</v>
      </c>
      <c r="AV1501" s="78">
        <v>5</v>
      </c>
      <c r="AW1501" s="78" t="s">
        <v>71</v>
      </c>
      <c r="AX1501" s="78">
        <v>0</v>
      </c>
      <c r="AY1501" s="78">
        <v>0</v>
      </c>
      <c r="BT1501" t="s">
        <v>71</v>
      </c>
      <c r="BU1501">
        <v>0</v>
      </c>
      <c r="BV1501">
        <v>0</v>
      </c>
    </row>
    <row r="1502" spans="1:74" x14ac:dyDescent="0.25">
      <c r="A1502" s="75">
        <v>5979745</v>
      </c>
      <c r="B1502" t="s">
        <v>6255</v>
      </c>
      <c r="C1502" t="s">
        <v>616</v>
      </c>
      <c r="D1502" t="s">
        <v>1567</v>
      </c>
      <c r="E1502" t="s">
        <v>87</v>
      </c>
      <c r="F1502" s="75">
        <v>293</v>
      </c>
      <c r="G1502" s="75">
        <v>286461</v>
      </c>
      <c r="H1502">
        <v>364.96</v>
      </c>
      <c r="I1502" t="s">
        <v>55</v>
      </c>
      <c r="J1502" s="75">
        <v>218787</v>
      </c>
      <c r="K1502" t="s">
        <v>96</v>
      </c>
      <c r="L1502" t="s">
        <v>97</v>
      </c>
      <c r="M1502" s="81">
        <v>46168.516504629632</v>
      </c>
      <c r="N1502" s="81">
        <v>46171.797777777778</v>
      </c>
      <c r="O1502" t="s">
        <v>58</v>
      </c>
      <c r="P1502" t="s">
        <v>59</v>
      </c>
      <c r="Q1502" t="s">
        <v>90</v>
      </c>
      <c r="R1502" t="s">
        <v>60</v>
      </c>
      <c r="S1502" t="s">
        <v>583</v>
      </c>
      <c r="U1502" s="75">
        <v>265657</v>
      </c>
      <c r="V1502" t="s">
        <v>6256</v>
      </c>
      <c r="W1502" t="s">
        <v>6256</v>
      </c>
      <c r="X1502" t="s">
        <v>62</v>
      </c>
      <c r="Y1502" t="s">
        <v>63</v>
      </c>
      <c r="AA1502" t="s">
        <v>416</v>
      </c>
      <c r="AB1502">
        <v>78.616667000000007</v>
      </c>
      <c r="AC1502">
        <v>55.5</v>
      </c>
      <c r="AD1502">
        <v>23.116667</v>
      </c>
      <c r="AE1502">
        <v>0.13333400000000001</v>
      </c>
      <c r="AF1502">
        <v>0</v>
      </c>
      <c r="AG1502">
        <v>22.983332999999998</v>
      </c>
      <c r="AH1502">
        <v>22.983332999999998</v>
      </c>
      <c r="AI1502">
        <v>20.583333</v>
      </c>
      <c r="AJ1502">
        <v>2.4</v>
      </c>
      <c r="AK1502">
        <v>0</v>
      </c>
      <c r="AL1502" s="76">
        <v>44924</v>
      </c>
      <c r="AM1502" s="75">
        <v>1244</v>
      </c>
      <c r="AN1502" t="s">
        <v>65</v>
      </c>
      <c r="AO1502" t="s">
        <v>619</v>
      </c>
      <c r="AP1502" t="s">
        <v>67</v>
      </c>
      <c r="AQ1502" t="s">
        <v>68</v>
      </c>
      <c r="AR1502" t="s">
        <v>69</v>
      </c>
      <c r="AT1502" s="82" t="s">
        <v>6049</v>
      </c>
      <c r="AU1502" s="78">
        <v>2026</v>
      </c>
      <c r="AV1502" s="78">
        <v>5</v>
      </c>
      <c r="AW1502" s="78" t="s">
        <v>71</v>
      </c>
      <c r="AX1502" s="78">
        <v>0</v>
      </c>
      <c r="AY1502" s="78">
        <v>0</v>
      </c>
      <c r="BT1502" t="s">
        <v>71</v>
      </c>
      <c r="BU1502">
        <v>0</v>
      </c>
      <c r="BV1502">
        <v>0</v>
      </c>
    </row>
    <row r="1503" spans="1:74" x14ac:dyDescent="0.25">
      <c r="A1503" s="75">
        <v>5981503</v>
      </c>
      <c r="B1503" t="s">
        <v>6257</v>
      </c>
      <c r="C1503" t="s">
        <v>6258</v>
      </c>
      <c r="D1503" t="s">
        <v>1567</v>
      </c>
      <c r="E1503" t="s">
        <v>54</v>
      </c>
      <c r="F1503" s="75">
        <v>1</v>
      </c>
      <c r="G1503" s="75">
        <v>344359</v>
      </c>
      <c r="H1503">
        <v>450</v>
      </c>
      <c r="I1503" t="s">
        <v>203</v>
      </c>
      <c r="J1503" s="75">
        <v>228519</v>
      </c>
      <c r="K1503" t="s">
        <v>204</v>
      </c>
      <c r="L1503" t="s">
        <v>205</v>
      </c>
      <c r="M1503" s="81">
        <v>46169.436909722222</v>
      </c>
      <c r="N1503" s="81">
        <v>46171.797951388893</v>
      </c>
      <c r="O1503" t="s">
        <v>58</v>
      </c>
      <c r="P1503" t="s">
        <v>59</v>
      </c>
      <c r="Q1503" t="s">
        <v>77</v>
      </c>
      <c r="R1503" t="s">
        <v>60</v>
      </c>
      <c r="S1503" t="s">
        <v>1268</v>
      </c>
      <c r="U1503" s="75">
        <v>266739</v>
      </c>
      <c r="V1503" t="s">
        <v>6259</v>
      </c>
      <c r="W1503" t="s">
        <v>6259</v>
      </c>
      <c r="X1503" t="s">
        <v>62</v>
      </c>
      <c r="Y1503" t="s">
        <v>63</v>
      </c>
      <c r="AA1503" t="s">
        <v>416</v>
      </c>
      <c r="AB1503">
        <v>56.566665999999998</v>
      </c>
      <c r="AC1503">
        <v>38.583333000000003</v>
      </c>
      <c r="AD1503">
        <v>17.983332999999998</v>
      </c>
      <c r="AE1503">
        <v>0.283333</v>
      </c>
      <c r="AF1503">
        <v>0</v>
      </c>
      <c r="AG1503">
        <v>17.7</v>
      </c>
      <c r="AH1503">
        <v>17.7</v>
      </c>
      <c r="AI1503">
        <v>16.350000000000001</v>
      </c>
      <c r="AJ1503">
        <v>1.35</v>
      </c>
      <c r="AK1503">
        <v>0</v>
      </c>
      <c r="AL1503" s="76">
        <v>45917</v>
      </c>
      <c r="AM1503" s="75">
        <v>252</v>
      </c>
      <c r="AN1503" t="s">
        <v>65</v>
      </c>
      <c r="AO1503" t="s">
        <v>208</v>
      </c>
      <c r="AP1503" t="s">
        <v>67</v>
      </c>
      <c r="AQ1503" t="s">
        <v>68</v>
      </c>
      <c r="AR1503" t="s">
        <v>69</v>
      </c>
      <c r="AT1503" s="82" t="s">
        <v>6049</v>
      </c>
      <c r="AU1503" s="78">
        <v>2026</v>
      </c>
      <c r="AV1503" s="78">
        <v>5</v>
      </c>
      <c r="AW1503" s="78" t="s">
        <v>71</v>
      </c>
      <c r="AX1503" s="78">
        <v>0</v>
      </c>
      <c r="AY1503" s="78">
        <v>0</v>
      </c>
      <c r="BT1503" t="s">
        <v>71</v>
      </c>
      <c r="BU1503">
        <v>0</v>
      </c>
      <c r="BV1503">
        <v>0</v>
      </c>
    </row>
    <row r="1504" spans="1:74" x14ac:dyDescent="0.25">
      <c r="A1504" s="75">
        <v>5982299</v>
      </c>
      <c r="B1504" t="s">
        <v>6260</v>
      </c>
      <c r="C1504" t="s">
        <v>1349</v>
      </c>
      <c r="D1504" t="s">
        <v>1567</v>
      </c>
      <c r="E1504" t="s">
        <v>87</v>
      </c>
      <c r="F1504" s="75">
        <v>184</v>
      </c>
      <c r="G1504" s="75">
        <v>285891</v>
      </c>
      <c r="H1504">
        <v>398.82</v>
      </c>
      <c r="I1504" t="s">
        <v>55</v>
      </c>
      <c r="J1504" s="75">
        <v>216233</v>
      </c>
      <c r="K1504" t="s">
        <v>88</v>
      </c>
      <c r="L1504" t="s">
        <v>89</v>
      </c>
      <c r="M1504" s="81">
        <v>46169.750648148147</v>
      </c>
      <c r="N1504" s="81">
        <v>46171.798750000002</v>
      </c>
      <c r="O1504" t="s">
        <v>58</v>
      </c>
      <c r="P1504" t="s">
        <v>59</v>
      </c>
      <c r="Q1504" t="s">
        <v>90</v>
      </c>
      <c r="R1504" t="s">
        <v>99</v>
      </c>
      <c r="S1504" t="s">
        <v>1244</v>
      </c>
      <c r="U1504" s="75">
        <v>268673</v>
      </c>
      <c r="V1504" t="s">
        <v>6261</v>
      </c>
      <c r="X1504" t="s">
        <v>62</v>
      </c>
      <c r="Y1504" t="s">
        <v>63</v>
      </c>
      <c r="AA1504" t="s">
        <v>416</v>
      </c>
      <c r="AB1504">
        <v>49.05</v>
      </c>
      <c r="AC1504">
        <v>24.966666</v>
      </c>
      <c r="AD1504">
        <v>24.083334000000001</v>
      </c>
      <c r="AE1504">
        <v>0.65</v>
      </c>
      <c r="AF1504">
        <v>0</v>
      </c>
      <c r="AG1504">
        <v>23.433333999999999</v>
      </c>
      <c r="AH1504">
        <v>23.433333999999999</v>
      </c>
      <c r="AI1504">
        <v>22.716667000000001</v>
      </c>
      <c r="AJ1504">
        <v>0.71666700000000005</v>
      </c>
      <c r="AK1504">
        <v>0</v>
      </c>
      <c r="AL1504" s="76">
        <v>44872</v>
      </c>
      <c r="AM1504" s="75">
        <v>1297</v>
      </c>
      <c r="AN1504" t="s">
        <v>65</v>
      </c>
      <c r="AO1504" t="s">
        <v>1351</v>
      </c>
      <c r="AP1504" t="s">
        <v>67</v>
      </c>
      <c r="AQ1504" t="s">
        <v>68</v>
      </c>
      <c r="AR1504" t="s">
        <v>69</v>
      </c>
      <c r="AT1504" s="82" t="s">
        <v>6049</v>
      </c>
      <c r="AU1504" s="78">
        <v>2026</v>
      </c>
      <c r="AV1504" s="78">
        <v>5</v>
      </c>
      <c r="AW1504" s="78" t="s">
        <v>71</v>
      </c>
      <c r="AX1504" s="78">
        <v>0</v>
      </c>
      <c r="AY1504" s="78">
        <v>0</v>
      </c>
      <c r="BT1504" t="s">
        <v>71</v>
      </c>
      <c r="BU1504">
        <v>0</v>
      </c>
      <c r="BV1504">
        <v>0</v>
      </c>
    </row>
    <row r="1505" spans="1:74" x14ac:dyDescent="0.25">
      <c r="A1505" s="75">
        <v>5983249</v>
      </c>
      <c r="B1505" t="s">
        <v>6262</v>
      </c>
      <c r="C1505" t="s">
        <v>6263</v>
      </c>
      <c r="D1505" t="s">
        <v>1567</v>
      </c>
      <c r="E1505" t="s">
        <v>54</v>
      </c>
      <c r="F1505" s="75">
        <v>1</v>
      </c>
      <c r="G1505" s="75">
        <v>321851</v>
      </c>
      <c r="H1505">
        <v>950</v>
      </c>
      <c r="I1505" t="s">
        <v>114</v>
      </c>
      <c r="J1505" s="75">
        <v>223293</v>
      </c>
      <c r="K1505" t="s">
        <v>3387</v>
      </c>
      <c r="L1505" t="s">
        <v>3388</v>
      </c>
      <c r="M1505" s="81">
        <v>46170.52884259259</v>
      </c>
      <c r="N1505" s="81">
        <v>46171.800393518519</v>
      </c>
      <c r="O1505" t="s">
        <v>58</v>
      </c>
      <c r="P1505" t="s">
        <v>59</v>
      </c>
      <c r="Q1505" t="s">
        <v>130</v>
      </c>
      <c r="R1505" t="s">
        <v>99</v>
      </c>
      <c r="S1505" t="s">
        <v>1244</v>
      </c>
      <c r="U1505" s="75">
        <v>268075</v>
      </c>
      <c r="V1505" t="s">
        <v>6264</v>
      </c>
      <c r="W1505" t="s">
        <v>6264</v>
      </c>
      <c r="X1505" t="s">
        <v>118</v>
      </c>
      <c r="Y1505" t="s">
        <v>400</v>
      </c>
      <c r="AA1505" t="s">
        <v>81</v>
      </c>
      <c r="AB1505">
        <v>30.45</v>
      </c>
      <c r="AC1505">
        <v>27.25</v>
      </c>
      <c r="AD1505">
        <v>3.2</v>
      </c>
      <c r="AE1505">
        <v>0.25</v>
      </c>
      <c r="AF1505">
        <v>0</v>
      </c>
      <c r="AG1505">
        <v>2.95</v>
      </c>
      <c r="AH1505">
        <v>2.95</v>
      </c>
      <c r="AI1505">
        <v>2.8666670000000001</v>
      </c>
      <c r="AJ1505">
        <v>8.3333000000000004E-2</v>
      </c>
      <c r="AK1505">
        <v>0</v>
      </c>
      <c r="AL1505" s="76">
        <v>45534</v>
      </c>
      <c r="AM1505" s="75">
        <v>636</v>
      </c>
      <c r="AN1505" t="s">
        <v>65</v>
      </c>
      <c r="AO1505" t="s">
        <v>3391</v>
      </c>
      <c r="AP1505" t="s">
        <v>67</v>
      </c>
      <c r="AQ1505" t="s">
        <v>121</v>
      </c>
      <c r="AR1505" t="s">
        <v>69</v>
      </c>
      <c r="AT1505" s="82" t="s">
        <v>6049</v>
      </c>
      <c r="AU1505" s="78">
        <v>2026</v>
      </c>
      <c r="AV1505" s="78">
        <v>5</v>
      </c>
      <c r="AW1505" s="78" t="s">
        <v>122</v>
      </c>
      <c r="AX1505" s="78">
        <v>1</v>
      </c>
      <c r="AY1505" s="78">
        <v>0</v>
      </c>
      <c r="BT1505" t="s">
        <v>122</v>
      </c>
      <c r="BU1505">
        <v>1</v>
      </c>
      <c r="BV1505">
        <v>0</v>
      </c>
    </row>
    <row r="1506" spans="1:74" x14ac:dyDescent="0.25">
      <c r="A1506" s="75">
        <v>5981747</v>
      </c>
      <c r="B1506" t="s">
        <v>6265</v>
      </c>
      <c r="C1506" t="s">
        <v>6266</v>
      </c>
      <c r="D1506" t="s">
        <v>1567</v>
      </c>
      <c r="E1506" t="s">
        <v>87</v>
      </c>
      <c r="F1506" s="75">
        <v>9</v>
      </c>
      <c r="G1506" s="75">
        <v>297025</v>
      </c>
      <c r="H1506">
        <v>500</v>
      </c>
      <c r="I1506" t="s">
        <v>114</v>
      </c>
      <c r="J1506" s="75">
        <v>214465</v>
      </c>
      <c r="K1506" t="s">
        <v>6267</v>
      </c>
      <c r="L1506" t="s">
        <v>6268</v>
      </c>
      <c r="M1506" s="81">
        <v>46169.556805555563</v>
      </c>
      <c r="N1506" s="81">
        <v>46171.802337962959</v>
      </c>
      <c r="O1506" t="s">
        <v>58</v>
      </c>
      <c r="P1506" t="s">
        <v>59</v>
      </c>
      <c r="Q1506" t="s">
        <v>341</v>
      </c>
      <c r="R1506" t="s">
        <v>156</v>
      </c>
      <c r="S1506" t="s">
        <v>1682</v>
      </c>
      <c r="U1506" s="75">
        <v>267365</v>
      </c>
      <c r="V1506" t="s">
        <v>6269</v>
      </c>
      <c r="W1506" t="s">
        <v>6270</v>
      </c>
      <c r="X1506" t="s">
        <v>62</v>
      </c>
      <c r="Y1506" t="s">
        <v>63</v>
      </c>
      <c r="AA1506" t="s">
        <v>64</v>
      </c>
      <c r="AB1506">
        <v>53.816667000000002</v>
      </c>
      <c r="AC1506">
        <v>47.5</v>
      </c>
      <c r="AD1506">
        <v>6.3166669999999998</v>
      </c>
      <c r="AE1506">
        <v>0.25</v>
      </c>
      <c r="AF1506">
        <v>0</v>
      </c>
      <c r="AG1506">
        <v>6.0666669999999998</v>
      </c>
      <c r="AH1506">
        <v>6.0666669999999998</v>
      </c>
      <c r="AI1506">
        <v>5.9333330000000002</v>
      </c>
      <c r="AJ1506">
        <v>0.13333400000000001</v>
      </c>
      <c r="AK1506">
        <v>0</v>
      </c>
      <c r="AL1506" s="76">
        <v>45250.609143518523</v>
      </c>
      <c r="AM1506" s="75">
        <v>918</v>
      </c>
      <c r="AN1506" t="s">
        <v>65</v>
      </c>
      <c r="AO1506" t="s">
        <v>6271</v>
      </c>
      <c r="AP1506" t="s">
        <v>67</v>
      </c>
      <c r="AQ1506" t="s">
        <v>68</v>
      </c>
      <c r="AR1506" t="s">
        <v>69</v>
      </c>
      <c r="AT1506" s="82" t="s">
        <v>6049</v>
      </c>
      <c r="AU1506" s="78">
        <v>2026</v>
      </c>
      <c r="AV1506" s="78">
        <v>5</v>
      </c>
      <c r="AW1506" s="78" t="s">
        <v>71</v>
      </c>
      <c r="AX1506" s="78">
        <v>1</v>
      </c>
      <c r="AY1506" s="78">
        <v>0</v>
      </c>
      <c r="BT1506" t="s">
        <v>71</v>
      </c>
      <c r="BU1506">
        <v>1</v>
      </c>
      <c r="BV1506">
        <v>0</v>
      </c>
    </row>
    <row r="1507" spans="1:74" x14ac:dyDescent="0.25">
      <c r="A1507" s="75">
        <v>5980901</v>
      </c>
      <c r="B1507" t="s">
        <v>6272</v>
      </c>
      <c r="C1507" t="s">
        <v>6273</v>
      </c>
      <c r="D1507" t="s">
        <v>1567</v>
      </c>
      <c r="E1507" t="s">
        <v>54</v>
      </c>
      <c r="F1507" s="75">
        <v>870</v>
      </c>
      <c r="G1507" s="75">
        <v>302085</v>
      </c>
      <c r="H1507">
        <v>450</v>
      </c>
      <c r="I1507" t="s">
        <v>55</v>
      </c>
      <c r="J1507" s="75">
        <v>218497</v>
      </c>
      <c r="K1507" t="s">
        <v>56</v>
      </c>
      <c r="L1507" t="s">
        <v>57</v>
      </c>
      <c r="M1507" s="81">
        <v>46169.096539351849</v>
      </c>
      <c r="N1507" s="81">
        <v>46171.808877314812</v>
      </c>
      <c r="O1507" t="s">
        <v>58</v>
      </c>
      <c r="P1507" t="s">
        <v>59</v>
      </c>
      <c r="Q1507" t="s">
        <v>130</v>
      </c>
      <c r="R1507" t="s">
        <v>60</v>
      </c>
      <c r="S1507" t="s">
        <v>583</v>
      </c>
      <c r="U1507" s="75">
        <v>266083</v>
      </c>
      <c r="V1507" t="s">
        <v>6274</v>
      </c>
      <c r="W1507" t="s">
        <v>6274</v>
      </c>
      <c r="X1507" t="s">
        <v>62</v>
      </c>
      <c r="Y1507" t="s">
        <v>63</v>
      </c>
      <c r="AA1507" t="s">
        <v>295</v>
      </c>
      <c r="AB1507">
        <v>65.033333999999996</v>
      </c>
      <c r="AC1507">
        <v>39.466667000000001</v>
      </c>
      <c r="AD1507">
        <v>25.566666999999999</v>
      </c>
      <c r="AE1507">
        <v>1.45</v>
      </c>
      <c r="AF1507">
        <v>0</v>
      </c>
      <c r="AG1507">
        <v>24.116667</v>
      </c>
      <c r="AH1507">
        <v>24.116667</v>
      </c>
      <c r="AI1507">
        <v>22.1</v>
      </c>
      <c r="AJ1507">
        <v>2.016667</v>
      </c>
      <c r="AK1507">
        <v>0</v>
      </c>
      <c r="AL1507" s="76">
        <v>45408.67800925926</v>
      </c>
      <c r="AM1507" s="75">
        <v>760</v>
      </c>
      <c r="AN1507" t="s">
        <v>65</v>
      </c>
      <c r="AO1507" t="s">
        <v>864</v>
      </c>
      <c r="AP1507" t="s">
        <v>67</v>
      </c>
      <c r="AQ1507" t="s">
        <v>68</v>
      </c>
      <c r="AR1507" t="s">
        <v>69</v>
      </c>
      <c r="AT1507" s="82" t="s">
        <v>6049</v>
      </c>
      <c r="AU1507" s="78">
        <v>2026</v>
      </c>
      <c r="AV1507" s="78">
        <v>5</v>
      </c>
      <c r="AW1507" s="78" t="s">
        <v>71</v>
      </c>
      <c r="AX1507" s="78">
        <v>0</v>
      </c>
      <c r="AY1507" s="78">
        <v>1</v>
      </c>
      <c r="BT1507" t="s">
        <v>71</v>
      </c>
      <c r="BU1507">
        <v>0</v>
      </c>
      <c r="BV1507">
        <v>1</v>
      </c>
    </row>
    <row r="1508" spans="1:74" x14ac:dyDescent="0.25">
      <c r="A1508" s="75">
        <v>5982649</v>
      </c>
      <c r="B1508" t="s">
        <v>6275</v>
      </c>
      <c r="C1508" t="s">
        <v>6276</v>
      </c>
      <c r="D1508" t="s">
        <v>1567</v>
      </c>
      <c r="E1508" t="s">
        <v>54</v>
      </c>
      <c r="F1508" s="75">
        <v>51</v>
      </c>
      <c r="G1508" s="75">
        <v>346953</v>
      </c>
      <c r="H1508">
        <v>434.55</v>
      </c>
      <c r="I1508" t="s">
        <v>203</v>
      </c>
      <c r="J1508" s="75">
        <v>225085</v>
      </c>
      <c r="K1508" t="s">
        <v>5809</v>
      </c>
      <c r="L1508" t="s">
        <v>5810</v>
      </c>
      <c r="M1508" s="81">
        <v>46170.328113425923</v>
      </c>
      <c r="N1508" s="81">
        <v>46171.812650462962</v>
      </c>
      <c r="O1508" t="s">
        <v>58</v>
      </c>
      <c r="P1508" t="s">
        <v>59</v>
      </c>
      <c r="Q1508" t="s">
        <v>130</v>
      </c>
      <c r="R1508" t="s">
        <v>156</v>
      </c>
      <c r="S1508" t="s">
        <v>1311</v>
      </c>
      <c r="U1508" s="75">
        <v>267429</v>
      </c>
      <c r="V1508" t="s">
        <v>6277</v>
      </c>
      <c r="W1508" t="s">
        <v>6277</v>
      </c>
      <c r="X1508" t="s">
        <v>118</v>
      </c>
      <c r="Y1508" t="s">
        <v>1468</v>
      </c>
      <c r="AA1508" t="s">
        <v>101</v>
      </c>
      <c r="AB1508">
        <v>35.583334000000001</v>
      </c>
      <c r="AC1508">
        <v>27.366667</v>
      </c>
      <c r="AD1508">
        <v>8.2166669999999993</v>
      </c>
      <c r="AE1508">
        <v>0.1</v>
      </c>
      <c r="AF1508">
        <v>0</v>
      </c>
      <c r="AG1508">
        <v>8.1166669999999996</v>
      </c>
      <c r="AH1508">
        <v>8.1166669999999996</v>
      </c>
      <c r="AI1508">
        <v>7.7</v>
      </c>
      <c r="AJ1508">
        <v>0.41666700000000001</v>
      </c>
      <c r="AK1508">
        <v>0</v>
      </c>
      <c r="AL1508" s="76">
        <v>45944</v>
      </c>
      <c r="AM1508" s="75">
        <v>226</v>
      </c>
      <c r="AN1508" t="s">
        <v>65</v>
      </c>
      <c r="AO1508" t="s">
        <v>5812</v>
      </c>
      <c r="AP1508" t="s">
        <v>67</v>
      </c>
      <c r="AQ1508" t="s">
        <v>121</v>
      </c>
      <c r="AR1508" t="s">
        <v>69</v>
      </c>
      <c r="AT1508" s="82" t="s">
        <v>6049</v>
      </c>
      <c r="AU1508" s="78">
        <v>2026</v>
      </c>
      <c r="AV1508" s="78">
        <v>5</v>
      </c>
      <c r="AW1508" s="78" t="s">
        <v>347</v>
      </c>
      <c r="AX1508" s="78">
        <v>0</v>
      </c>
      <c r="AY1508" s="78">
        <v>0</v>
      </c>
      <c r="BT1508" t="s">
        <v>347</v>
      </c>
      <c r="BU1508">
        <v>0</v>
      </c>
      <c r="BV1508">
        <v>0</v>
      </c>
    </row>
    <row r="1509" spans="1:74" x14ac:dyDescent="0.25">
      <c r="A1509" s="75">
        <v>5980243</v>
      </c>
      <c r="B1509" t="s">
        <v>6278</v>
      </c>
      <c r="C1509" t="s">
        <v>5056</v>
      </c>
      <c r="D1509" t="s">
        <v>1567</v>
      </c>
      <c r="E1509" t="s">
        <v>54</v>
      </c>
      <c r="F1509" s="75">
        <v>1</v>
      </c>
      <c r="G1509" s="75">
        <v>301531</v>
      </c>
      <c r="H1509">
        <v>850</v>
      </c>
      <c r="I1509" t="s">
        <v>114</v>
      </c>
      <c r="J1509" s="75">
        <v>219543</v>
      </c>
      <c r="K1509" t="s">
        <v>5683</v>
      </c>
      <c r="L1509" t="s">
        <v>5684</v>
      </c>
      <c r="M1509" s="81">
        <v>46168.621168981481</v>
      </c>
      <c r="N1509" s="81">
        <v>46171.815659722219</v>
      </c>
      <c r="O1509" t="s">
        <v>58</v>
      </c>
      <c r="P1509" t="s">
        <v>59</v>
      </c>
      <c r="Q1509" t="s">
        <v>77</v>
      </c>
      <c r="R1509" t="s">
        <v>60</v>
      </c>
      <c r="S1509" t="s">
        <v>583</v>
      </c>
      <c r="U1509" s="75">
        <v>267859</v>
      </c>
      <c r="V1509" t="s">
        <v>6279</v>
      </c>
      <c r="W1509" t="s">
        <v>6279</v>
      </c>
      <c r="X1509" t="s">
        <v>62</v>
      </c>
      <c r="Y1509" t="s">
        <v>2629</v>
      </c>
      <c r="AA1509" t="s">
        <v>295</v>
      </c>
      <c r="AB1509">
        <v>76.583331999999999</v>
      </c>
      <c r="AC1509">
        <v>39.166665999999999</v>
      </c>
      <c r="AD1509">
        <v>37.416665999999999</v>
      </c>
      <c r="AE1509">
        <v>0.93333299999999997</v>
      </c>
      <c r="AF1509">
        <v>0</v>
      </c>
      <c r="AG1509">
        <v>36.483333000000002</v>
      </c>
      <c r="AH1509">
        <v>36.483333000000002</v>
      </c>
      <c r="AI1509">
        <v>35</v>
      </c>
      <c r="AJ1509">
        <v>1.483333</v>
      </c>
      <c r="AK1509">
        <v>0</v>
      </c>
      <c r="AL1509" s="76">
        <v>45404.48710648148</v>
      </c>
      <c r="AM1509" s="75">
        <v>764</v>
      </c>
      <c r="AN1509" t="s">
        <v>65</v>
      </c>
      <c r="AO1509" t="s">
        <v>5687</v>
      </c>
      <c r="AP1509" t="s">
        <v>67</v>
      </c>
      <c r="AQ1509" t="s">
        <v>68</v>
      </c>
      <c r="AR1509" t="s">
        <v>69</v>
      </c>
      <c r="AT1509" s="82" t="s">
        <v>6049</v>
      </c>
      <c r="AU1509" s="78">
        <v>2026</v>
      </c>
      <c r="AV1509" s="78">
        <v>5</v>
      </c>
      <c r="AW1509" s="78" t="s">
        <v>71</v>
      </c>
      <c r="AX1509" s="78">
        <v>0</v>
      </c>
      <c r="AY1509" s="78">
        <v>1</v>
      </c>
      <c r="BT1509" t="s">
        <v>71</v>
      </c>
      <c r="BU1509">
        <v>0</v>
      </c>
      <c r="BV1509">
        <v>1</v>
      </c>
    </row>
    <row r="1510" spans="1:74" x14ac:dyDescent="0.25">
      <c r="A1510" s="75">
        <v>5980941</v>
      </c>
      <c r="B1510" t="s">
        <v>6280</v>
      </c>
      <c r="C1510" t="s">
        <v>6281</v>
      </c>
      <c r="D1510" t="s">
        <v>1567</v>
      </c>
      <c r="E1510" t="s">
        <v>87</v>
      </c>
      <c r="F1510" s="75">
        <v>12</v>
      </c>
      <c r="G1510" s="75">
        <v>290925</v>
      </c>
      <c r="H1510">
        <v>2914.74</v>
      </c>
      <c r="I1510" t="s">
        <v>114</v>
      </c>
      <c r="J1510" s="75">
        <v>52957</v>
      </c>
      <c r="K1510" t="s">
        <v>575</v>
      </c>
      <c r="L1510" t="s">
        <v>576</v>
      </c>
      <c r="M1510" s="81">
        <v>46169.318252314813</v>
      </c>
      <c r="N1510" s="81">
        <v>46171.815891203703</v>
      </c>
      <c r="O1510" t="s">
        <v>58</v>
      </c>
      <c r="P1510" t="s">
        <v>59</v>
      </c>
      <c r="Q1510" t="s">
        <v>77</v>
      </c>
      <c r="R1510" t="s">
        <v>99</v>
      </c>
      <c r="S1510" t="s">
        <v>1244</v>
      </c>
      <c r="U1510" s="75">
        <v>268023</v>
      </c>
      <c r="V1510" t="s">
        <v>6282</v>
      </c>
      <c r="W1510" t="s">
        <v>6283</v>
      </c>
      <c r="X1510" t="s">
        <v>118</v>
      </c>
      <c r="Y1510" t="s">
        <v>400</v>
      </c>
      <c r="AA1510" t="s">
        <v>101</v>
      </c>
      <c r="AB1510">
        <v>59.900001000000003</v>
      </c>
      <c r="AC1510">
        <v>48.116667</v>
      </c>
      <c r="AD1510">
        <v>11.783334</v>
      </c>
      <c r="AE1510">
        <v>0.48333300000000001</v>
      </c>
      <c r="AF1510">
        <v>0</v>
      </c>
      <c r="AG1510">
        <v>11.300001</v>
      </c>
      <c r="AH1510">
        <v>11.300001</v>
      </c>
      <c r="AI1510">
        <v>11.233333999999999</v>
      </c>
      <c r="AJ1510">
        <v>6.6667000000000004E-2</v>
      </c>
      <c r="AK1510">
        <v>0</v>
      </c>
      <c r="AL1510" s="76">
        <v>45169</v>
      </c>
      <c r="AM1510" s="75">
        <v>1000</v>
      </c>
      <c r="AN1510" t="s">
        <v>65</v>
      </c>
      <c r="AO1510" t="s">
        <v>5212</v>
      </c>
      <c r="AP1510" t="s">
        <v>67</v>
      </c>
      <c r="AQ1510" t="s">
        <v>121</v>
      </c>
      <c r="AR1510" t="s">
        <v>69</v>
      </c>
      <c r="AT1510" s="82" t="s">
        <v>6049</v>
      </c>
      <c r="AU1510" s="78">
        <v>2026</v>
      </c>
      <c r="AV1510" s="78">
        <v>5</v>
      </c>
      <c r="AW1510" s="78" t="s">
        <v>122</v>
      </c>
      <c r="AX1510" s="78">
        <v>0</v>
      </c>
      <c r="AY1510" s="78">
        <v>0</v>
      </c>
      <c r="BT1510" t="s">
        <v>122</v>
      </c>
      <c r="BU1510">
        <v>0</v>
      </c>
      <c r="BV1510">
        <v>0</v>
      </c>
    </row>
    <row r="1511" spans="1:74" x14ac:dyDescent="0.25">
      <c r="A1511" s="75">
        <v>5982901</v>
      </c>
      <c r="B1511" t="s">
        <v>6284</v>
      </c>
      <c r="C1511" t="s">
        <v>6285</v>
      </c>
      <c r="D1511" t="s">
        <v>1567</v>
      </c>
      <c r="E1511" t="s">
        <v>105</v>
      </c>
      <c r="F1511" s="75">
        <v>1113</v>
      </c>
      <c r="G1511" s="75">
        <v>333465</v>
      </c>
      <c r="H1511">
        <v>456.52</v>
      </c>
      <c r="I1511" t="s">
        <v>175</v>
      </c>
      <c r="J1511" s="75">
        <v>83605</v>
      </c>
      <c r="K1511" t="s">
        <v>844</v>
      </c>
      <c r="L1511" t="s">
        <v>845</v>
      </c>
      <c r="M1511" s="81">
        <v>46170.410370370373</v>
      </c>
      <c r="N1511" s="81">
        <v>46171.817326388889</v>
      </c>
      <c r="O1511" t="s">
        <v>624</v>
      </c>
      <c r="P1511" t="s">
        <v>59</v>
      </c>
      <c r="Q1511" t="s">
        <v>90</v>
      </c>
      <c r="R1511" t="s">
        <v>60</v>
      </c>
      <c r="S1511" t="s">
        <v>583</v>
      </c>
      <c r="U1511" s="75">
        <v>267985</v>
      </c>
      <c r="V1511" t="s">
        <v>6286</v>
      </c>
      <c r="W1511" t="s">
        <v>6286</v>
      </c>
      <c r="X1511" t="s">
        <v>62</v>
      </c>
      <c r="Y1511" t="s">
        <v>2629</v>
      </c>
      <c r="AA1511" t="s">
        <v>101</v>
      </c>
      <c r="AB1511">
        <v>33.699998999999998</v>
      </c>
      <c r="AC1511">
        <v>24.65</v>
      </c>
      <c r="AD1511">
        <v>9.0499989999999997</v>
      </c>
      <c r="AE1511">
        <v>0.25</v>
      </c>
      <c r="AF1511">
        <v>0</v>
      </c>
      <c r="AG1511">
        <v>8.7999989999999997</v>
      </c>
      <c r="AH1511">
        <v>8.7999989999999997</v>
      </c>
      <c r="AI1511">
        <v>6.9333330000000002</v>
      </c>
      <c r="AJ1511">
        <v>1.8666659999999999</v>
      </c>
      <c r="AK1511">
        <v>0</v>
      </c>
      <c r="AL1511" s="76">
        <v>45808.717766203707</v>
      </c>
      <c r="AM1511" s="75">
        <v>361</v>
      </c>
      <c r="AN1511" t="s">
        <v>65</v>
      </c>
      <c r="AO1511" t="s">
        <v>5611</v>
      </c>
      <c r="AP1511" t="s">
        <v>67</v>
      </c>
      <c r="AQ1511" t="s">
        <v>68</v>
      </c>
      <c r="AR1511" t="s">
        <v>69</v>
      </c>
      <c r="AT1511" s="82" t="s">
        <v>6049</v>
      </c>
      <c r="AU1511" s="78">
        <v>2026</v>
      </c>
      <c r="AV1511" s="78">
        <v>5</v>
      </c>
      <c r="AW1511" s="78" t="s">
        <v>71</v>
      </c>
      <c r="AX1511" s="78">
        <v>0</v>
      </c>
      <c r="AY1511" s="78">
        <v>0</v>
      </c>
      <c r="BT1511" t="s">
        <v>71</v>
      </c>
      <c r="BU1511">
        <v>0</v>
      </c>
      <c r="BV1511">
        <v>0</v>
      </c>
    </row>
    <row r="1512" spans="1:74" x14ac:dyDescent="0.25">
      <c r="A1512" s="75">
        <v>5977419</v>
      </c>
      <c r="B1512" t="s">
        <v>6287</v>
      </c>
      <c r="C1512" t="s">
        <v>6288</v>
      </c>
      <c r="D1512" t="s">
        <v>53</v>
      </c>
      <c r="E1512" t="s">
        <v>87</v>
      </c>
      <c r="F1512" s="75">
        <v>93</v>
      </c>
      <c r="G1512" s="75">
        <v>280309</v>
      </c>
      <c r="H1512">
        <v>926.83</v>
      </c>
      <c r="I1512" t="s">
        <v>266</v>
      </c>
      <c r="J1512" s="75">
        <v>201809</v>
      </c>
      <c r="K1512" t="s">
        <v>505</v>
      </c>
      <c r="L1512" t="s">
        <v>506</v>
      </c>
      <c r="M1512" s="81">
        <v>46167.396249999998</v>
      </c>
      <c r="N1512" s="81">
        <v>46172.427685185183</v>
      </c>
      <c r="O1512" t="s">
        <v>58</v>
      </c>
      <c r="P1512" t="s">
        <v>59</v>
      </c>
      <c r="Q1512" t="s">
        <v>90</v>
      </c>
      <c r="R1512" t="s">
        <v>156</v>
      </c>
      <c r="S1512" t="s">
        <v>1320</v>
      </c>
      <c r="T1512" t="s">
        <v>3795</v>
      </c>
      <c r="U1512" s="75">
        <v>268047</v>
      </c>
      <c r="V1512" t="s">
        <v>6289</v>
      </c>
      <c r="W1512" t="s">
        <v>6289</v>
      </c>
      <c r="X1512" t="s">
        <v>62</v>
      </c>
      <c r="Y1512" t="s">
        <v>6290</v>
      </c>
      <c r="AA1512" t="s">
        <v>295</v>
      </c>
      <c r="AB1512">
        <v>120.64999899999999</v>
      </c>
      <c r="AC1512">
        <v>56.366666000000002</v>
      </c>
      <c r="AD1512">
        <v>64.283332999999999</v>
      </c>
      <c r="AE1512">
        <v>0.4</v>
      </c>
      <c r="AF1512">
        <v>0</v>
      </c>
      <c r="AG1512">
        <v>63.883333</v>
      </c>
      <c r="AH1512">
        <v>63.883333</v>
      </c>
      <c r="AI1512">
        <v>5.966666</v>
      </c>
      <c r="AJ1512">
        <v>57.916666999999997</v>
      </c>
      <c r="AK1512">
        <v>0</v>
      </c>
      <c r="AL1512" s="76">
        <v>44495</v>
      </c>
      <c r="AM1512" s="75">
        <v>1672</v>
      </c>
      <c r="AN1512" t="s">
        <v>65</v>
      </c>
      <c r="AO1512" t="s">
        <v>6291</v>
      </c>
      <c r="AP1512" t="s">
        <v>67</v>
      </c>
      <c r="AQ1512" t="s">
        <v>68</v>
      </c>
      <c r="AR1512" t="s">
        <v>69</v>
      </c>
      <c r="AT1512" s="82" t="s">
        <v>6049</v>
      </c>
      <c r="AU1512" s="78">
        <v>2026</v>
      </c>
      <c r="AV1512" s="78">
        <v>5</v>
      </c>
      <c r="AW1512" s="78" t="s">
        <v>137</v>
      </c>
      <c r="AX1512" s="78">
        <v>0</v>
      </c>
      <c r="AY1512" s="78">
        <v>1</v>
      </c>
      <c r="BT1512" t="s">
        <v>137</v>
      </c>
      <c r="BU1512">
        <v>0</v>
      </c>
      <c r="BV1512">
        <v>1</v>
      </c>
    </row>
    <row r="1513" spans="1:74" x14ac:dyDescent="0.25">
      <c r="A1513" s="75">
        <v>5980583</v>
      </c>
      <c r="B1513" t="s">
        <v>6292</v>
      </c>
      <c r="C1513" t="s">
        <v>6293</v>
      </c>
      <c r="D1513" t="s">
        <v>53</v>
      </c>
      <c r="E1513" t="s">
        <v>105</v>
      </c>
      <c r="F1513" s="75">
        <v>631</v>
      </c>
      <c r="G1513" s="75">
        <v>342917</v>
      </c>
      <c r="H1513">
        <v>225</v>
      </c>
      <c r="I1513" t="s">
        <v>163</v>
      </c>
      <c r="J1513" s="75">
        <v>48887</v>
      </c>
      <c r="K1513" t="s">
        <v>164</v>
      </c>
      <c r="L1513" t="s">
        <v>165</v>
      </c>
      <c r="M1513" s="81">
        <v>46168.721643518518</v>
      </c>
      <c r="N1513" s="81">
        <v>46172.443414351852</v>
      </c>
      <c r="O1513" t="s">
        <v>58</v>
      </c>
      <c r="P1513" t="s">
        <v>59</v>
      </c>
      <c r="Q1513" t="s">
        <v>77</v>
      </c>
      <c r="R1513" t="s">
        <v>156</v>
      </c>
      <c r="S1513" t="s">
        <v>1682</v>
      </c>
      <c r="U1513" s="75">
        <v>268633</v>
      </c>
      <c r="V1513" t="s">
        <v>6294</v>
      </c>
      <c r="W1513" t="s">
        <v>6295</v>
      </c>
      <c r="X1513" t="s">
        <v>62</v>
      </c>
      <c r="Y1513" t="s">
        <v>1313</v>
      </c>
      <c r="Z1513" t="s">
        <v>6296</v>
      </c>
      <c r="AA1513" t="s">
        <v>64</v>
      </c>
      <c r="AB1513">
        <v>89.150001000000003</v>
      </c>
      <c r="AC1513">
        <v>60.75</v>
      </c>
      <c r="AD1513">
        <v>28.400001</v>
      </c>
      <c r="AE1513">
        <v>21.883334000000001</v>
      </c>
      <c r="AF1513">
        <v>15.916667</v>
      </c>
      <c r="AG1513">
        <v>6.516667</v>
      </c>
      <c r="AH1513">
        <v>22.433333999999999</v>
      </c>
      <c r="AI1513">
        <v>2.7166670000000002</v>
      </c>
      <c r="AJ1513">
        <v>3.8</v>
      </c>
      <c r="AK1513">
        <v>0</v>
      </c>
      <c r="AL1513" s="76">
        <v>45866</v>
      </c>
      <c r="AM1513" s="75">
        <v>302</v>
      </c>
      <c r="AN1513" t="s">
        <v>65</v>
      </c>
      <c r="AO1513" t="s">
        <v>1314</v>
      </c>
      <c r="AP1513" t="s">
        <v>67</v>
      </c>
      <c r="AQ1513" t="s">
        <v>68</v>
      </c>
      <c r="AR1513" t="s">
        <v>69</v>
      </c>
      <c r="AT1513" s="82" t="s">
        <v>6049</v>
      </c>
      <c r="AU1513" s="78">
        <v>2026</v>
      </c>
      <c r="AV1513" s="78">
        <v>5</v>
      </c>
      <c r="AW1513" s="78" t="s">
        <v>137</v>
      </c>
      <c r="AX1513" s="78">
        <v>1</v>
      </c>
      <c r="AY1513" s="78">
        <v>0</v>
      </c>
      <c r="BT1513" t="s">
        <v>137</v>
      </c>
      <c r="BU1513">
        <v>1</v>
      </c>
      <c r="BV1513">
        <v>0</v>
      </c>
    </row>
    <row r="1514" spans="1:74" x14ac:dyDescent="0.25">
      <c r="A1514" s="75">
        <v>5983633</v>
      </c>
      <c r="B1514" t="s">
        <v>6297</v>
      </c>
      <c r="C1514" t="s">
        <v>6298</v>
      </c>
      <c r="D1514" t="s">
        <v>53</v>
      </c>
      <c r="E1514" t="s">
        <v>87</v>
      </c>
      <c r="F1514" s="75">
        <v>429</v>
      </c>
      <c r="G1514" s="75">
        <v>289283</v>
      </c>
      <c r="H1514">
        <v>398.82</v>
      </c>
      <c r="I1514" t="s">
        <v>55</v>
      </c>
      <c r="J1514" s="75">
        <v>216233</v>
      </c>
      <c r="K1514" t="s">
        <v>88</v>
      </c>
      <c r="L1514" t="s">
        <v>89</v>
      </c>
      <c r="M1514" s="81">
        <v>46170.688333333332</v>
      </c>
      <c r="N1514" s="81">
        <v>46172.474641203713</v>
      </c>
      <c r="O1514" t="s">
        <v>58</v>
      </c>
      <c r="P1514" t="s">
        <v>59</v>
      </c>
      <c r="Q1514" t="s">
        <v>90</v>
      </c>
      <c r="R1514" t="s">
        <v>60</v>
      </c>
      <c r="S1514" t="s">
        <v>583</v>
      </c>
      <c r="U1514" s="75">
        <v>268701</v>
      </c>
      <c r="V1514" t="s">
        <v>6299</v>
      </c>
      <c r="W1514" t="s">
        <v>6299</v>
      </c>
      <c r="X1514" t="s">
        <v>62</v>
      </c>
      <c r="Y1514" t="s">
        <v>63</v>
      </c>
      <c r="AA1514" t="s">
        <v>101</v>
      </c>
      <c r="AB1514">
        <v>42.816667000000002</v>
      </c>
      <c r="AC1514">
        <v>34.433334000000002</v>
      </c>
      <c r="AD1514">
        <v>8.3833330000000004</v>
      </c>
      <c r="AE1514">
        <v>0.33333299999999999</v>
      </c>
      <c r="AF1514">
        <v>0</v>
      </c>
      <c r="AG1514">
        <v>8.0500000000000007</v>
      </c>
      <c r="AH1514">
        <v>8.0500000000000007</v>
      </c>
      <c r="AI1514">
        <v>7.4</v>
      </c>
      <c r="AJ1514">
        <v>0.65</v>
      </c>
      <c r="AK1514">
        <v>0</v>
      </c>
      <c r="AL1514" s="76">
        <v>44995</v>
      </c>
      <c r="AM1514" s="75">
        <v>1175</v>
      </c>
      <c r="AN1514" t="s">
        <v>65</v>
      </c>
      <c r="AO1514" t="s">
        <v>6300</v>
      </c>
      <c r="AP1514" t="s">
        <v>67</v>
      </c>
      <c r="AQ1514" t="s">
        <v>68</v>
      </c>
      <c r="AR1514" t="s">
        <v>69</v>
      </c>
      <c r="AT1514" s="82" t="s">
        <v>6049</v>
      </c>
      <c r="AU1514" s="78">
        <v>2026</v>
      </c>
      <c r="AV1514" s="78">
        <v>5</v>
      </c>
      <c r="AW1514" s="78" t="s">
        <v>71</v>
      </c>
      <c r="AX1514" s="78">
        <v>0</v>
      </c>
      <c r="AY1514" s="78">
        <v>0</v>
      </c>
      <c r="BT1514" t="s">
        <v>71</v>
      </c>
      <c r="BU1514">
        <v>0</v>
      </c>
      <c r="BV1514">
        <v>0</v>
      </c>
    </row>
    <row r="1515" spans="1:74" x14ac:dyDescent="0.25">
      <c r="A1515" s="75">
        <v>5983635</v>
      </c>
      <c r="B1515" t="s">
        <v>6301</v>
      </c>
      <c r="C1515" t="s">
        <v>3407</v>
      </c>
      <c r="D1515" t="s">
        <v>53</v>
      </c>
      <c r="E1515" t="s">
        <v>87</v>
      </c>
      <c r="F1515" s="75">
        <v>155</v>
      </c>
      <c r="G1515" s="75">
        <v>285767</v>
      </c>
      <c r="H1515">
        <v>382.47</v>
      </c>
      <c r="I1515" t="s">
        <v>55</v>
      </c>
      <c r="J1515" s="75">
        <v>216233</v>
      </c>
      <c r="K1515" t="s">
        <v>88</v>
      </c>
      <c r="L1515" t="s">
        <v>89</v>
      </c>
      <c r="M1515" s="81">
        <v>46170.688356481478</v>
      </c>
      <c r="N1515" s="81">
        <v>46172.475555555553</v>
      </c>
      <c r="O1515" t="s">
        <v>58</v>
      </c>
      <c r="P1515" t="s">
        <v>59</v>
      </c>
      <c r="Q1515" t="s">
        <v>90</v>
      </c>
      <c r="R1515" t="s">
        <v>60</v>
      </c>
      <c r="S1515" t="s">
        <v>583</v>
      </c>
      <c r="U1515" s="75">
        <v>268705</v>
      </c>
      <c r="V1515" t="s">
        <v>6302</v>
      </c>
      <c r="W1515" t="s">
        <v>6302</v>
      </c>
      <c r="X1515" t="s">
        <v>62</v>
      </c>
      <c r="Y1515" t="s">
        <v>63</v>
      </c>
      <c r="AA1515" t="s">
        <v>64</v>
      </c>
      <c r="AB1515">
        <v>42.833333000000003</v>
      </c>
      <c r="AC1515">
        <v>37.533332999999999</v>
      </c>
      <c r="AD1515">
        <v>5.3</v>
      </c>
      <c r="AE1515">
        <v>0.38333299999999998</v>
      </c>
      <c r="AF1515">
        <v>0</v>
      </c>
      <c r="AG1515">
        <v>4.9166670000000003</v>
      </c>
      <c r="AH1515">
        <v>4.9166670000000003</v>
      </c>
      <c r="AI1515">
        <v>3.85</v>
      </c>
      <c r="AJ1515">
        <v>1.066667</v>
      </c>
      <c r="AK1515">
        <v>0</v>
      </c>
      <c r="AL1515" s="76">
        <v>44946</v>
      </c>
      <c r="AM1515" s="75">
        <v>1224</v>
      </c>
      <c r="AN1515" t="s">
        <v>65</v>
      </c>
      <c r="AO1515" t="s">
        <v>646</v>
      </c>
      <c r="AP1515" t="s">
        <v>67</v>
      </c>
      <c r="AQ1515" t="s">
        <v>68</v>
      </c>
      <c r="AR1515" t="s">
        <v>69</v>
      </c>
      <c r="AT1515" s="82" t="s">
        <v>6049</v>
      </c>
      <c r="AU1515" s="78">
        <v>2026</v>
      </c>
      <c r="AV1515" s="78">
        <v>5</v>
      </c>
      <c r="AW1515" s="78" t="s">
        <v>71</v>
      </c>
      <c r="AX1515" s="78">
        <v>1</v>
      </c>
      <c r="AY1515" s="78">
        <v>0</v>
      </c>
      <c r="BT1515" t="s">
        <v>71</v>
      </c>
      <c r="BU1515">
        <v>1</v>
      </c>
      <c r="BV1515">
        <v>0</v>
      </c>
    </row>
    <row r="1516" spans="1:74" x14ac:dyDescent="0.25">
      <c r="A1516" s="75">
        <v>5984237</v>
      </c>
      <c r="B1516" t="s">
        <v>6303</v>
      </c>
      <c r="C1516" t="s">
        <v>1155</v>
      </c>
      <c r="D1516" t="s">
        <v>527</v>
      </c>
      <c r="E1516" t="s">
        <v>87</v>
      </c>
      <c r="F1516" s="75">
        <v>427</v>
      </c>
      <c r="G1516" s="75">
        <v>289279</v>
      </c>
      <c r="H1516">
        <v>740.61</v>
      </c>
      <c r="I1516" t="s">
        <v>55</v>
      </c>
      <c r="J1516" s="75">
        <v>216233</v>
      </c>
      <c r="K1516" t="s">
        <v>88</v>
      </c>
      <c r="L1516" t="s">
        <v>89</v>
      </c>
      <c r="M1516" s="81">
        <v>46171.326944444438</v>
      </c>
      <c r="N1516" s="81">
        <v>46172.486400462964</v>
      </c>
      <c r="O1516" t="s">
        <v>58</v>
      </c>
      <c r="P1516" t="s">
        <v>59</v>
      </c>
      <c r="Q1516" t="s">
        <v>90</v>
      </c>
      <c r="R1516" t="s">
        <v>60</v>
      </c>
      <c r="S1516" t="s">
        <v>583</v>
      </c>
      <c r="U1516" s="75">
        <v>268729</v>
      </c>
      <c r="V1516" t="s">
        <v>6304</v>
      </c>
      <c r="W1516" t="s">
        <v>6304</v>
      </c>
      <c r="X1516" t="s">
        <v>62</v>
      </c>
      <c r="Y1516" t="s">
        <v>63</v>
      </c>
      <c r="AA1516" t="s">
        <v>81</v>
      </c>
      <c r="AB1516">
        <v>27.750001000000001</v>
      </c>
      <c r="AC1516">
        <v>24</v>
      </c>
      <c r="AD1516">
        <v>3.7500010000000001</v>
      </c>
      <c r="AE1516">
        <v>0.1</v>
      </c>
      <c r="AF1516">
        <v>0</v>
      </c>
      <c r="AG1516">
        <v>3.6500010000000001</v>
      </c>
      <c r="AH1516">
        <v>3.6500010000000001</v>
      </c>
      <c r="AI1516">
        <v>3.6333340000000001</v>
      </c>
      <c r="AJ1516">
        <v>1.6667000000000001E-2</v>
      </c>
      <c r="AK1516">
        <v>0</v>
      </c>
      <c r="AL1516" s="76">
        <v>45001</v>
      </c>
      <c r="AM1516" s="75">
        <v>1170</v>
      </c>
      <c r="AN1516" t="s">
        <v>65</v>
      </c>
      <c r="AO1516" t="s">
        <v>1157</v>
      </c>
      <c r="AP1516" t="s">
        <v>67</v>
      </c>
      <c r="AQ1516" t="s">
        <v>68</v>
      </c>
      <c r="AR1516" t="s">
        <v>69</v>
      </c>
      <c r="AT1516" s="82" t="s">
        <v>6049</v>
      </c>
      <c r="AU1516" s="78">
        <v>2026</v>
      </c>
      <c r="AV1516" s="78">
        <v>5</v>
      </c>
      <c r="AW1516" s="78" t="s">
        <v>71</v>
      </c>
      <c r="AX1516" s="78">
        <v>1</v>
      </c>
      <c r="AY1516" s="78">
        <v>0</v>
      </c>
      <c r="BT1516" t="s">
        <v>71</v>
      </c>
      <c r="BU1516">
        <v>1</v>
      </c>
      <c r="BV1516">
        <v>0</v>
      </c>
    </row>
    <row r="1517" spans="1:74" x14ac:dyDescent="0.25">
      <c r="A1517" s="75">
        <v>5984891</v>
      </c>
      <c r="B1517" t="s">
        <v>6305</v>
      </c>
      <c r="C1517" t="s">
        <v>6306</v>
      </c>
      <c r="D1517" t="s">
        <v>809</v>
      </c>
      <c r="E1517" t="s">
        <v>105</v>
      </c>
      <c r="F1517" s="75">
        <v>8</v>
      </c>
      <c r="G1517" s="75">
        <v>275561</v>
      </c>
      <c r="H1517">
        <v>5595.55</v>
      </c>
      <c r="I1517" t="s">
        <v>266</v>
      </c>
      <c r="J1517" s="75">
        <v>213163</v>
      </c>
      <c r="K1517" t="s">
        <v>2209</v>
      </c>
      <c r="L1517" t="s">
        <v>2210</v>
      </c>
      <c r="M1517" s="81">
        <v>46171.5621875</v>
      </c>
      <c r="N1517" s="81">
        <v>46172.639039351852</v>
      </c>
      <c r="O1517" t="s">
        <v>58</v>
      </c>
      <c r="P1517" t="s">
        <v>59</v>
      </c>
      <c r="Q1517" t="s">
        <v>130</v>
      </c>
      <c r="R1517" t="s">
        <v>99</v>
      </c>
      <c r="S1517" t="s">
        <v>1244</v>
      </c>
      <c r="U1517" s="75">
        <v>269739</v>
      </c>
      <c r="V1517" t="s">
        <v>6307</v>
      </c>
      <c r="X1517" t="s">
        <v>118</v>
      </c>
      <c r="Y1517" t="s">
        <v>1468</v>
      </c>
      <c r="AA1517" t="s">
        <v>101</v>
      </c>
      <c r="AB1517">
        <v>25.716669</v>
      </c>
      <c r="AC1517">
        <v>17.633334000000001</v>
      </c>
      <c r="AD1517">
        <v>8.0833349999999999</v>
      </c>
      <c r="AE1517">
        <v>6.6667000000000004E-2</v>
      </c>
      <c r="AF1517">
        <v>0</v>
      </c>
      <c r="AG1517">
        <v>8.0166679999999992</v>
      </c>
      <c r="AH1517">
        <v>8.0166679999999992</v>
      </c>
      <c r="AI1517">
        <v>6.1833340000000003</v>
      </c>
      <c r="AJ1517">
        <v>1.833334</v>
      </c>
      <c r="AK1517">
        <v>0</v>
      </c>
      <c r="AL1517" s="76">
        <v>43873</v>
      </c>
      <c r="AM1517" s="75">
        <v>2298</v>
      </c>
      <c r="AN1517" t="s">
        <v>65</v>
      </c>
      <c r="AO1517" t="s">
        <v>6308</v>
      </c>
      <c r="AP1517" t="s">
        <v>67</v>
      </c>
      <c r="AQ1517" t="s">
        <v>121</v>
      </c>
      <c r="AR1517" t="s">
        <v>69</v>
      </c>
      <c r="AT1517" s="82" t="s">
        <v>6049</v>
      </c>
      <c r="AU1517" s="78">
        <v>2026</v>
      </c>
      <c r="AV1517" s="78">
        <v>5</v>
      </c>
      <c r="AW1517" s="78" t="s">
        <v>347</v>
      </c>
      <c r="AX1517" s="78">
        <v>0</v>
      </c>
      <c r="AY1517" s="78">
        <v>0</v>
      </c>
      <c r="BT1517" t="s">
        <v>347</v>
      </c>
      <c r="BU1517">
        <v>0</v>
      </c>
      <c r="BV1517">
        <v>0</v>
      </c>
    </row>
    <row r="1518" spans="1:74" x14ac:dyDescent="0.25">
      <c r="A1518" s="75">
        <v>5981993</v>
      </c>
      <c r="B1518" t="s">
        <v>6309</v>
      </c>
      <c r="C1518" t="s">
        <v>6310</v>
      </c>
      <c r="D1518" t="s">
        <v>809</v>
      </c>
      <c r="E1518" t="s">
        <v>105</v>
      </c>
      <c r="F1518" s="75">
        <v>13</v>
      </c>
      <c r="G1518" s="75">
        <v>348511</v>
      </c>
      <c r="H1518">
        <v>420</v>
      </c>
      <c r="I1518" t="s">
        <v>203</v>
      </c>
      <c r="J1518" s="75">
        <v>213163</v>
      </c>
      <c r="K1518" t="s">
        <v>2209</v>
      </c>
      <c r="L1518" t="s">
        <v>2210</v>
      </c>
      <c r="M1518" s="81">
        <v>46169.634467592587</v>
      </c>
      <c r="N1518" s="81">
        <v>46172.639618055553</v>
      </c>
      <c r="O1518" t="s">
        <v>58</v>
      </c>
      <c r="P1518" t="s">
        <v>59</v>
      </c>
      <c r="Q1518" t="s">
        <v>130</v>
      </c>
      <c r="R1518" t="s">
        <v>99</v>
      </c>
      <c r="S1518" t="s">
        <v>1244</v>
      </c>
      <c r="U1518" s="75">
        <v>268651</v>
      </c>
      <c r="V1518" t="s">
        <v>6311</v>
      </c>
      <c r="X1518" t="s">
        <v>118</v>
      </c>
      <c r="Y1518" t="s">
        <v>1468</v>
      </c>
      <c r="AA1518" t="s">
        <v>416</v>
      </c>
      <c r="AB1518">
        <v>71.983333999999999</v>
      </c>
      <c r="AC1518">
        <v>48.566667000000002</v>
      </c>
      <c r="AD1518">
        <v>23.416667</v>
      </c>
      <c r="AE1518">
        <v>2.1166670000000001</v>
      </c>
      <c r="AF1518">
        <v>0</v>
      </c>
      <c r="AG1518">
        <v>21.3</v>
      </c>
      <c r="AH1518">
        <v>21.3</v>
      </c>
      <c r="AI1518">
        <v>19.149999999999999</v>
      </c>
      <c r="AJ1518">
        <v>2.15</v>
      </c>
      <c r="AK1518">
        <v>0</v>
      </c>
      <c r="AL1518" s="76">
        <v>45995</v>
      </c>
      <c r="AM1518" s="75">
        <v>174</v>
      </c>
      <c r="AN1518" t="s">
        <v>65</v>
      </c>
      <c r="AO1518" t="s">
        <v>6312</v>
      </c>
      <c r="AP1518" t="s">
        <v>67</v>
      </c>
      <c r="AQ1518" t="s">
        <v>121</v>
      </c>
      <c r="AR1518" t="s">
        <v>69</v>
      </c>
      <c r="AT1518" s="82" t="s">
        <v>6049</v>
      </c>
      <c r="AU1518" s="78">
        <v>2026</v>
      </c>
      <c r="AV1518" s="78">
        <v>5</v>
      </c>
      <c r="AW1518" s="78" t="s">
        <v>347</v>
      </c>
      <c r="AX1518" s="78">
        <v>0</v>
      </c>
      <c r="AY1518" s="78">
        <v>0</v>
      </c>
      <c r="BT1518" t="s">
        <v>347</v>
      </c>
      <c r="BU1518">
        <v>0</v>
      </c>
      <c r="BV1518">
        <v>0</v>
      </c>
    </row>
    <row r="1519" spans="1:74" x14ac:dyDescent="0.25">
      <c r="A1519" s="75">
        <v>5979489</v>
      </c>
      <c r="B1519" t="s">
        <v>6313</v>
      </c>
      <c r="C1519" t="s">
        <v>6314</v>
      </c>
      <c r="D1519" t="s">
        <v>125</v>
      </c>
      <c r="E1519" t="s">
        <v>87</v>
      </c>
      <c r="F1519" s="75">
        <v>1</v>
      </c>
      <c r="G1519" s="75">
        <v>284809</v>
      </c>
      <c r="H1519">
        <v>3279.31</v>
      </c>
      <c r="I1519" t="s">
        <v>242</v>
      </c>
      <c r="J1519" s="75">
        <v>215689</v>
      </c>
      <c r="K1519" t="s">
        <v>4701</v>
      </c>
      <c r="L1519" t="s">
        <v>4702</v>
      </c>
      <c r="M1519" s="81">
        <v>46168.473564814813</v>
      </c>
      <c r="N1519" s="81">
        <v>46173.304583333331</v>
      </c>
      <c r="O1519" t="s">
        <v>58</v>
      </c>
      <c r="P1519" t="s">
        <v>59</v>
      </c>
      <c r="Q1519" t="s">
        <v>77</v>
      </c>
      <c r="R1519" t="s">
        <v>99</v>
      </c>
      <c r="S1519" t="s">
        <v>1244</v>
      </c>
      <c r="U1519" s="75">
        <v>269735</v>
      </c>
      <c r="V1519" t="s">
        <v>6315</v>
      </c>
      <c r="W1519" t="s">
        <v>6315</v>
      </c>
      <c r="X1519" t="s">
        <v>118</v>
      </c>
      <c r="Y1519" t="s">
        <v>119</v>
      </c>
      <c r="AA1519" t="s">
        <v>81</v>
      </c>
      <c r="AB1519">
        <v>115.75</v>
      </c>
      <c r="AC1519">
        <v>83.466667000000001</v>
      </c>
      <c r="AD1519">
        <v>32.283332999999999</v>
      </c>
      <c r="AE1519">
        <v>28.466666</v>
      </c>
      <c r="AF1519">
        <v>0</v>
      </c>
      <c r="AG1519">
        <v>3.8166669999999998</v>
      </c>
      <c r="AH1519">
        <v>3.8166669999999998</v>
      </c>
      <c r="AI1519">
        <v>2.5833339999999998</v>
      </c>
      <c r="AJ1519">
        <v>1.233333</v>
      </c>
      <c r="AK1519">
        <v>0</v>
      </c>
      <c r="AL1519" s="76">
        <v>44845.348738425928</v>
      </c>
      <c r="AM1519" s="75">
        <v>1323</v>
      </c>
      <c r="AN1519" t="s">
        <v>65</v>
      </c>
      <c r="AO1519" t="s">
        <v>4704</v>
      </c>
      <c r="AP1519" t="s">
        <v>67</v>
      </c>
      <c r="AQ1519" t="s">
        <v>121</v>
      </c>
      <c r="AR1519" t="s">
        <v>69</v>
      </c>
      <c r="AT1519" s="82" t="s">
        <v>6049</v>
      </c>
      <c r="AU1519" s="78">
        <v>2026</v>
      </c>
      <c r="AV1519" s="78">
        <v>5</v>
      </c>
      <c r="AW1519" s="78" t="s">
        <v>122</v>
      </c>
      <c r="AX1519" s="78">
        <v>1</v>
      </c>
      <c r="AY1519" s="78">
        <v>0</v>
      </c>
      <c r="BT1519" t="s">
        <v>122</v>
      </c>
      <c r="BU1519">
        <v>1</v>
      </c>
      <c r="BV1519">
        <v>0</v>
      </c>
    </row>
    <row r="1520" spans="1:74" x14ac:dyDescent="0.25">
      <c r="A1520" s="75">
        <v>5981675</v>
      </c>
      <c r="B1520" t="s">
        <v>6316</v>
      </c>
      <c r="C1520" t="s">
        <v>6317</v>
      </c>
      <c r="D1520" t="s">
        <v>125</v>
      </c>
      <c r="E1520" t="s">
        <v>87</v>
      </c>
      <c r="F1520" s="75">
        <v>155</v>
      </c>
      <c r="G1520" s="75">
        <v>112941</v>
      </c>
      <c r="H1520">
        <v>824.65</v>
      </c>
      <c r="I1520" t="s">
        <v>368</v>
      </c>
      <c r="J1520" s="75">
        <v>6971</v>
      </c>
      <c r="K1520" t="s">
        <v>369</v>
      </c>
      <c r="L1520" t="s">
        <v>370</v>
      </c>
      <c r="M1520" s="81">
        <v>46169.502083333333</v>
      </c>
      <c r="N1520" s="81">
        <v>46173.308969907397</v>
      </c>
      <c r="O1520" t="s">
        <v>58</v>
      </c>
      <c r="P1520" t="s">
        <v>59</v>
      </c>
      <c r="Q1520" t="s">
        <v>77</v>
      </c>
      <c r="R1520" t="s">
        <v>99</v>
      </c>
      <c r="S1520" t="s">
        <v>1244</v>
      </c>
      <c r="T1520" t="s">
        <v>2641</v>
      </c>
      <c r="U1520" s="75">
        <v>268039</v>
      </c>
      <c r="V1520" t="s">
        <v>6318</v>
      </c>
      <c r="X1520" t="s">
        <v>62</v>
      </c>
      <c r="Y1520" t="s">
        <v>2629</v>
      </c>
      <c r="AA1520" t="s">
        <v>295</v>
      </c>
      <c r="AB1520">
        <v>91.216666000000004</v>
      </c>
      <c r="AC1520">
        <v>59.899999000000001</v>
      </c>
      <c r="AD1520">
        <v>31.316666999999999</v>
      </c>
      <c r="AE1520">
        <v>1.4833339999999999</v>
      </c>
      <c r="AF1520">
        <v>0</v>
      </c>
      <c r="AG1520">
        <v>29.833333</v>
      </c>
      <c r="AH1520">
        <v>29.833333</v>
      </c>
      <c r="AI1520">
        <v>7.85</v>
      </c>
      <c r="AJ1520">
        <v>21.983332999999998</v>
      </c>
      <c r="AK1520">
        <v>0</v>
      </c>
      <c r="AL1520" s="76">
        <v>43683</v>
      </c>
      <c r="AM1520" s="75">
        <v>2486</v>
      </c>
      <c r="AN1520" t="s">
        <v>65</v>
      </c>
      <c r="AO1520" t="s">
        <v>6319</v>
      </c>
      <c r="AP1520" t="s">
        <v>67</v>
      </c>
      <c r="AQ1520" t="s">
        <v>68</v>
      </c>
      <c r="AR1520" t="s">
        <v>69</v>
      </c>
      <c r="AT1520" s="82" t="s">
        <v>6049</v>
      </c>
      <c r="AU1520" s="78">
        <v>2026</v>
      </c>
      <c r="AV1520" s="78">
        <v>5</v>
      </c>
      <c r="AW1520" s="78" t="s">
        <v>71</v>
      </c>
      <c r="AX1520" s="78">
        <v>0</v>
      </c>
      <c r="AY1520" s="78">
        <v>1</v>
      </c>
      <c r="BT1520" t="s">
        <v>71</v>
      </c>
      <c r="BU1520">
        <v>0</v>
      </c>
      <c r="BV1520">
        <v>1</v>
      </c>
    </row>
    <row r="1521" spans="1:74" x14ac:dyDescent="0.25">
      <c r="A1521" s="75">
        <v>5983187</v>
      </c>
      <c r="B1521" t="s">
        <v>6320</v>
      </c>
      <c r="C1521" t="s">
        <v>6321</v>
      </c>
      <c r="D1521" t="s">
        <v>125</v>
      </c>
      <c r="E1521" t="s">
        <v>54</v>
      </c>
      <c r="F1521" s="75">
        <v>869</v>
      </c>
      <c r="G1521" s="75">
        <v>342331</v>
      </c>
      <c r="H1521">
        <v>250</v>
      </c>
      <c r="I1521" t="s">
        <v>163</v>
      </c>
      <c r="J1521" s="75">
        <v>229673</v>
      </c>
      <c r="K1521" t="s">
        <v>5471</v>
      </c>
      <c r="L1521" t="s">
        <v>5472</v>
      </c>
      <c r="M1521" s="81">
        <v>46170.500451388893</v>
      </c>
      <c r="N1521" s="81">
        <v>46173.314513888887</v>
      </c>
      <c r="O1521" t="s">
        <v>58</v>
      </c>
      <c r="P1521" t="s">
        <v>59</v>
      </c>
      <c r="Q1521" t="s">
        <v>90</v>
      </c>
      <c r="R1521" t="s">
        <v>60</v>
      </c>
      <c r="S1521" t="s">
        <v>583</v>
      </c>
      <c r="U1521" s="75">
        <v>268073</v>
      </c>
      <c r="V1521" t="s">
        <v>6322</v>
      </c>
      <c r="W1521" t="s">
        <v>6322</v>
      </c>
      <c r="X1521" t="s">
        <v>62</v>
      </c>
      <c r="Y1521" t="s">
        <v>63</v>
      </c>
      <c r="AA1521" t="s">
        <v>64</v>
      </c>
      <c r="AB1521">
        <v>67.466666000000004</v>
      </c>
      <c r="AC1521">
        <v>58.85</v>
      </c>
      <c r="AD1521">
        <v>8.6166660000000004</v>
      </c>
      <c r="AE1521">
        <v>0.75</v>
      </c>
      <c r="AF1521">
        <v>0</v>
      </c>
      <c r="AG1521">
        <v>7.8666660000000004</v>
      </c>
      <c r="AH1521">
        <v>7.8666660000000004</v>
      </c>
      <c r="AI1521">
        <v>7.6333330000000004</v>
      </c>
      <c r="AJ1521">
        <v>0.23333300000000001</v>
      </c>
      <c r="AK1521">
        <v>0</v>
      </c>
      <c r="AL1521" s="76">
        <v>45895</v>
      </c>
      <c r="AM1521" s="75">
        <v>275</v>
      </c>
      <c r="AN1521" t="s">
        <v>65</v>
      </c>
      <c r="AO1521" t="s">
        <v>6323</v>
      </c>
      <c r="AP1521" t="s">
        <v>67</v>
      </c>
      <c r="AQ1521" t="s">
        <v>68</v>
      </c>
      <c r="AR1521" t="s">
        <v>69</v>
      </c>
      <c r="AT1521" s="82" t="s">
        <v>6049</v>
      </c>
      <c r="AU1521" s="78">
        <v>2026</v>
      </c>
      <c r="AV1521" s="78">
        <v>5</v>
      </c>
      <c r="AW1521" s="78" t="s">
        <v>71</v>
      </c>
      <c r="AX1521" s="78">
        <v>1</v>
      </c>
      <c r="AY1521" s="78">
        <v>0</v>
      </c>
      <c r="BT1521" t="s">
        <v>71</v>
      </c>
      <c r="BU1521">
        <v>1</v>
      </c>
      <c r="BV1521">
        <v>0</v>
      </c>
    </row>
    <row r="1522" spans="1:74" x14ac:dyDescent="0.25">
      <c r="A1522" s="75">
        <v>5984717</v>
      </c>
      <c r="B1522" t="s">
        <v>6324</v>
      </c>
      <c r="C1522" t="s">
        <v>6325</v>
      </c>
      <c r="D1522" t="s">
        <v>125</v>
      </c>
      <c r="E1522" t="s">
        <v>87</v>
      </c>
      <c r="F1522" s="75">
        <v>106</v>
      </c>
      <c r="G1522" s="75">
        <v>100651</v>
      </c>
      <c r="H1522">
        <v>824.65</v>
      </c>
      <c r="I1522" t="s">
        <v>368</v>
      </c>
      <c r="J1522" s="75">
        <v>6971</v>
      </c>
      <c r="K1522" t="s">
        <v>369</v>
      </c>
      <c r="L1522" t="s">
        <v>370</v>
      </c>
      <c r="M1522" s="81">
        <v>46171.469004629631</v>
      </c>
      <c r="N1522" s="81">
        <v>46173.318715277783</v>
      </c>
      <c r="O1522" t="s">
        <v>58</v>
      </c>
      <c r="P1522" t="s">
        <v>59</v>
      </c>
      <c r="Q1522" t="s">
        <v>77</v>
      </c>
      <c r="R1522" t="s">
        <v>99</v>
      </c>
      <c r="S1522" t="s">
        <v>1244</v>
      </c>
      <c r="T1522" t="s">
        <v>6180</v>
      </c>
      <c r="U1522" s="75">
        <v>269511</v>
      </c>
      <c r="V1522" t="s">
        <v>6326</v>
      </c>
      <c r="X1522" t="s">
        <v>79</v>
      </c>
      <c r="Y1522" t="s">
        <v>246</v>
      </c>
      <c r="AA1522" t="s">
        <v>64</v>
      </c>
      <c r="AB1522">
        <v>44.366666000000002</v>
      </c>
      <c r="AC1522">
        <v>38.799999999999997</v>
      </c>
      <c r="AD1522">
        <v>5.5666659999999997</v>
      </c>
      <c r="AE1522">
        <v>0.566666</v>
      </c>
      <c r="AF1522">
        <v>0</v>
      </c>
      <c r="AG1522">
        <v>5</v>
      </c>
      <c r="AH1522">
        <v>5</v>
      </c>
      <c r="AI1522">
        <v>2.4333330000000002</v>
      </c>
      <c r="AJ1522">
        <v>2.5666669999999998</v>
      </c>
      <c r="AK1522">
        <v>0</v>
      </c>
      <c r="AL1522" s="76">
        <v>43551</v>
      </c>
      <c r="AM1522" s="75">
        <v>2620</v>
      </c>
      <c r="AN1522" t="s">
        <v>65</v>
      </c>
      <c r="AO1522" t="s">
        <v>6182</v>
      </c>
      <c r="AP1522" t="s">
        <v>67</v>
      </c>
      <c r="AQ1522" t="s">
        <v>83</v>
      </c>
      <c r="AR1522" t="s">
        <v>69</v>
      </c>
      <c r="AT1522" s="82" t="s">
        <v>6049</v>
      </c>
      <c r="AU1522" s="78">
        <v>2026</v>
      </c>
      <c r="AV1522" s="78">
        <v>5</v>
      </c>
      <c r="AW1522" s="78" t="s">
        <v>84</v>
      </c>
      <c r="AX1522" s="78">
        <v>1</v>
      </c>
      <c r="AY1522" s="78">
        <v>0</v>
      </c>
      <c r="BT1522" t="s">
        <v>84</v>
      </c>
      <c r="BU1522">
        <v>1</v>
      </c>
      <c r="BV1522">
        <v>0</v>
      </c>
    </row>
    <row r="1523" spans="1:74" x14ac:dyDescent="0.25">
      <c r="A1523" s="75">
        <v>5985995</v>
      </c>
      <c r="B1523" t="s">
        <v>6327</v>
      </c>
      <c r="C1523" t="s">
        <v>6328</v>
      </c>
      <c r="D1523" t="s">
        <v>125</v>
      </c>
      <c r="E1523" t="s">
        <v>105</v>
      </c>
      <c r="F1523" s="75">
        <v>1120</v>
      </c>
      <c r="G1523" s="75">
        <v>296591</v>
      </c>
      <c r="H1523">
        <v>0.01</v>
      </c>
      <c r="I1523" t="s">
        <v>55</v>
      </c>
      <c r="J1523" s="75">
        <v>49331</v>
      </c>
      <c r="K1523" t="s">
        <v>1266</v>
      </c>
      <c r="L1523" t="s">
        <v>1267</v>
      </c>
      <c r="M1523" s="81">
        <v>46172.506469907406</v>
      </c>
      <c r="N1523" s="81">
        <v>46173.320798611108</v>
      </c>
      <c r="O1523" t="s">
        <v>58</v>
      </c>
      <c r="P1523" t="s">
        <v>59</v>
      </c>
      <c r="R1523" t="s">
        <v>60</v>
      </c>
      <c r="S1523" t="s">
        <v>583</v>
      </c>
      <c r="U1523" s="75">
        <v>269837</v>
      </c>
      <c r="V1523" t="s">
        <v>6329</v>
      </c>
      <c r="W1523" t="s">
        <v>6329</v>
      </c>
      <c r="X1523" t="s">
        <v>118</v>
      </c>
      <c r="Y1523" t="s">
        <v>119</v>
      </c>
      <c r="AA1523" t="s">
        <v>81</v>
      </c>
      <c r="AB1523">
        <v>19.466666</v>
      </c>
      <c r="AC1523">
        <v>17</v>
      </c>
      <c r="AD1523">
        <v>2.466666</v>
      </c>
      <c r="AE1523">
        <v>0.3</v>
      </c>
      <c r="AF1523">
        <v>0</v>
      </c>
      <c r="AG1523">
        <v>2.1666660000000002</v>
      </c>
      <c r="AH1523">
        <v>2.1666660000000002</v>
      </c>
      <c r="AI1523">
        <v>1.0333330000000001</v>
      </c>
      <c r="AJ1523">
        <v>1.1333329999999999</v>
      </c>
      <c r="AK1523">
        <v>0</v>
      </c>
      <c r="AL1523" s="76"/>
      <c r="AM1523" s="75"/>
      <c r="AN1523" t="s">
        <v>135</v>
      </c>
      <c r="AP1523" t="s">
        <v>67</v>
      </c>
      <c r="AQ1523" t="s">
        <v>121</v>
      </c>
      <c r="AR1523" t="s">
        <v>69</v>
      </c>
      <c r="AT1523" s="82" t="s">
        <v>6049</v>
      </c>
      <c r="AU1523" s="78">
        <v>2026</v>
      </c>
      <c r="AV1523" s="78">
        <v>5</v>
      </c>
      <c r="AW1523" s="78" t="s">
        <v>122</v>
      </c>
      <c r="AX1523" s="78">
        <v>1</v>
      </c>
      <c r="AY1523" s="78">
        <v>0</v>
      </c>
      <c r="BT1523" t="s">
        <v>122</v>
      </c>
      <c r="BU1523">
        <v>1</v>
      </c>
      <c r="BV1523">
        <v>0</v>
      </c>
    </row>
    <row r="1524" spans="1:74" x14ac:dyDescent="0.25">
      <c r="A1524" s="75">
        <v>5984545</v>
      </c>
      <c r="B1524" t="s">
        <v>6330</v>
      </c>
      <c r="C1524" t="s">
        <v>6331</v>
      </c>
      <c r="D1524" t="s">
        <v>125</v>
      </c>
      <c r="E1524" t="s">
        <v>126</v>
      </c>
      <c r="F1524" s="75">
        <v>2</v>
      </c>
      <c r="G1524" s="75">
        <v>338817</v>
      </c>
      <c r="H1524">
        <v>1000</v>
      </c>
      <c r="I1524" t="s">
        <v>2049</v>
      </c>
      <c r="J1524" s="75">
        <v>224993</v>
      </c>
      <c r="K1524" t="s">
        <v>6332</v>
      </c>
      <c r="L1524" t="s">
        <v>6333</v>
      </c>
      <c r="M1524" s="81">
        <v>46171.413715277777</v>
      </c>
      <c r="N1524" s="81">
        <v>46173.324097222219</v>
      </c>
      <c r="O1524" t="s">
        <v>475</v>
      </c>
      <c r="P1524" t="s">
        <v>59</v>
      </c>
      <c r="Q1524" t="s">
        <v>77</v>
      </c>
      <c r="R1524" t="s">
        <v>476</v>
      </c>
      <c r="S1524" t="s">
        <v>2707</v>
      </c>
      <c r="U1524" s="75">
        <v>269363</v>
      </c>
      <c r="V1524" t="s">
        <v>6334</v>
      </c>
      <c r="X1524" t="s">
        <v>118</v>
      </c>
      <c r="Y1524" t="s">
        <v>750</v>
      </c>
      <c r="AA1524" t="s">
        <v>64</v>
      </c>
      <c r="AB1524">
        <v>45.816668</v>
      </c>
      <c r="AC1524">
        <v>40.566667000000002</v>
      </c>
      <c r="AD1524">
        <v>5.2500010000000001</v>
      </c>
      <c r="AE1524">
        <v>1.083334</v>
      </c>
      <c r="AF1524">
        <v>0</v>
      </c>
      <c r="AG1524">
        <v>4.1666670000000003</v>
      </c>
      <c r="AH1524">
        <v>4.1666670000000003</v>
      </c>
      <c r="AI1524">
        <v>4.1666670000000003</v>
      </c>
      <c r="AJ1524">
        <v>0</v>
      </c>
      <c r="AK1524">
        <v>0</v>
      </c>
      <c r="AL1524" s="76">
        <v>45785</v>
      </c>
      <c r="AM1524" s="75">
        <v>386</v>
      </c>
      <c r="AN1524" t="s">
        <v>65</v>
      </c>
      <c r="AO1524" t="s">
        <v>6335</v>
      </c>
      <c r="AP1524" t="s">
        <v>67</v>
      </c>
      <c r="AQ1524" t="s">
        <v>121</v>
      </c>
      <c r="AR1524" t="s">
        <v>69</v>
      </c>
      <c r="AT1524" s="82" t="s">
        <v>6049</v>
      </c>
      <c r="AU1524" s="78">
        <v>2026</v>
      </c>
      <c r="AV1524" s="78">
        <v>5</v>
      </c>
      <c r="AW1524" s="78" t="s">
        <v>347</v>
      </c>
      <c r="AX1524" s="78">
        <v>1</v>
      </c>
      <c r="AY1524" s="78">
        <v>0</v>
      </c>
      <c r="BT1524" t="s">
        <v>347</v>
      </c>
      <c r="BU1524">
        <v>1</v>
      </c>
      <c r="BV1524">
        <v>0</v>
      </c>
    </row>
    <row r="1525" spans="1:74" x14ac:dyDescent="0.25">
      <c r="A1525" s="75">
        <v>5986321</v>
      </c>
      <c r="B1525" t="s">
        <v>6336</v>
      </c>
      <c r="C1525" t="s">
        <v>6337</v>
      </c>
      <c r="D1525" t="s">
        <v>1052</v>
      </c>
      <c r="E1525" t="s">
        <v>54</v>
      </c>
      <c r="F1525" s="75">
        <v>2</v>
      </c>
      <c r="G1525" s="75">
        <v>341723</v>
      </c>
      <c r="H1525">
        <v>700</v>
      </c>
      <c r="I1525" t="s">
        <v>203</v>
      </c>
      <c r="J1525" s="75">
        <v>227909</v>
      </c>
      <c r="K1525" t="s">
        <v>1981</v>
      </c>
      <c r="L1525" t="s">
        <v>1982</v>
      </c>
      <c r="M1525" s="81">
        <v>46172.849733796298</v>
      </c>
      <c r="N1525" s="81">
        <v>46173.763043981482</v>
      </c>
      <c r="O1525" t="s">
        <v>58</v>
      </c>
      <c r="P1525" t="s">
        <v>59</v>
      </c>
      <c r="Q1525" t="s">
        <v>130</v>
      </c>
      <c r="R1525" t="s">
        <v>60</v>
      </c>
      <c r="S1525" t="s">
        <v>1268</v>
      </c>
      <c r="U1525" s="75">
        <v>269917</v>
      </c>
      <c r="V1525" t="s">
        <v>6338</v>
      </c>
      <c r="W1525" t="s">
        <v>6338</v>
      </c>
      <c r="X1525" t="s">
        <v>79</v>
      </c>
      <c r="Y1525" t="s">
        <v>224</v>
      </c>
      <c r="AA1525" t="s">
        <v>81</v>
      </c>
      <c r="AB1525">
        <v>21.849999</v>
      </c>
      <c r="AC1525">
        <v>18.483332999999998</v>
      </c>
      <c r="AD1525">
        <v>3.3666659999999999</v>
      </c>
      <c r="AE1525">
        <v>0.13333300000000001</v>
      </c>
      <c r="AF1525">
        <v>0</v>
      </c>
      <c r="AG1525">
        <v>3.233333</v>
      </c>
      <c r="AH1525">
        <v>3.233333</v>
      </c>
      <c r="AI1525">
        <v>3.15</v>
      </c>
      <c r="AJ1525">
        <v>8.3333000000000004E-2</v>
      </c>
      <c r="AK1525">
        <v>0</v>
      </c>
      <c r="AL1525" s="76">
        <v>45838.641168981478</v>
      </c>
      <c r="AM1525" s="75">
        <v>334</v>
      </c>
      <c r="AN1525" t="s">
        <v>65</v>
      </c>
      <c r="AO1525" t="s">
        <v>1984</v>
      </c>
      <c r="AP1525" t="s">
        <v>67</v>
      </c>
      <c r="AQ1525" t="s">
        <v>83</v>
      </c>
      <c r="AR1525" t="s">
        <v>69</v>
      </c>
      <c r="AT1525" s="82" t="s">
        <v>6049</v>
      </c>
      <c r="AU1525" s="78">
        <v>2026</v>
      </c>
      <c r="AV1525" s="78">
        <v>5</v>
      </c>
      <c r="AW1525" s="78" t="s">
        <v>226</v>
      </c>
      <c r="AX1525" s="78">
        <v>1</v>
      </c>
      <c r="AY1525" s="78">
        <v>0</v>
      </c>
      <c r="BT1525" t="s">
        <v>226</v>
      </c>
      <c r="BU1525">
        <v>1</v>
      </c>
      <c r="BV1525">
        <v>0</v>
      </c>
    </row>
    <row r="1526" spans="1:74" x14ac:dyDescent="0.25">
      <c r="A1526" s="75">
        <v>5983039</v>
      </c>
      <c r="B1526" t="s">
        <v>6339</v>
      </c>
      <c r="C1526" t="s">
        <v>6340</v>
      </c>
      <c r="D1526" t="s">
        <v>527</v>
      </c>
      <c r="E1526" t="s">
        <v>87</v>
      </c>
      <c r="F1526" s="75">
        <v>46</v>
      </c>
      <c r="G1526" s="75">
        <v>98453</v>
      </c>
      <c r="H1526">
        <v>1766.45</v>
      </c>
      <c r="I1526" t="s">
        <v>195</v>
      </c>
      <c r="J1526" s="75">
        <v>6971</v>
      </c>
      <c r="K1526" t="s">
        <v>369</v>
      </c>
      <c r="L1526" t="s">
        <v>370</v>
      </c>
      <c r="M1526" s="81">
        <v>46170.452060185176</v>
      </c>
      <c r="N1526" s="81">
        <v>46174.374398148153</v>
      </c>
      <c r="O1526" t="s">
        <v>58</v>
      </c>
      <c r="P1526" t="s">
        <v>59</v>
      </c>
      <c r="Q1526" t="s">
        <v>77</v>
      </c>
      <c r="R1526" t="s">
        <v>99</v>
      </c>
      <c r="S1526" t="s">
        <v>1244</v>
      </c>
      <c r="U1526" s="75">
        <v>268051</v>
      </c>
      <c r="V1526" t="s">
        <v>6341</v>
      </c>
      <c r="X1526" t="s">
        <v>79</v>
      </c>
      <c r="Y1526" t="s">
        <v>224</v>
      </c>
      <c r="AA1526" t="s">
        <v>101</v>
      </c>
      <c r="AB1526">
        <v>94.000001999999995</v>
      </c>
      <c r="AC1526">
        <v>66.533333999999996</v>
      </c>
      <c r="AD1526">
        <v>27.466667999999999</v>
      </c>
      <c r="AE1526">
        <v>18.433333999999999</v>
      </c>
      <c r="AF1526">
        <v>17.100000000000001</v>
      </c>
      <c r="AG1526">
        <v>9.033334</v>
      </c>
      <c r="AH1526">
        <v>26.133334000000001</v>
      </c>
      <c r="AI1526">
        <v>8.3166670000000007</v>
      </c>
      <c r="AJ1526">
        <v>0.71666700000000005</v>
      </c>
      <c r="AK1526">
        <v>0</v>
      </c>
      <c r="AL1526" s="76">
        <v>43521</v>
      </c>
      <c r="AM1526" s="75">
        <v>2649</v>
      </c>
      <c r="AN1526" t="s">
        <v>65</v>
      </c>
      <c r="AO1526" t="s">
        <v>6342</v>
      </c>
      <c r="AP1526" t="s">
        <v>67</v>
      </c>
      <c r="AQ1526" t="s">
        <v>83</v>
      </c>
      <c r="AR1526" t="s">
        <v>69</v>
      </c>
      <c r="AT1526" s="82" t="s">
        <v>6343</v>
      </c>
      <c r="AU1526" s="78">
        <v>2026</v>
      </c>
      <c r="AV1526" s="78">
        <v>6</v>
      </c>
      <c r="AW1526" s="78" t="s">
        <v>226</v>
      </c>
      <c r="AX1526" s="78">
        <v>0</v>
      </c>
      <c r="AY1526" s="78">
        <v>0</v>
      </c>
      <c r="BT1526" t="s">
        <v>226</v>
      </c>
      <c r="BU1526">
        <v>0</v>
      </c>
      <c r="BV1526">
        <v>0</v>
      </c>
    </row>
    <row r="1527" spans="1:74" x14ac:dyDescent="0.25">
      <c r="A1527" s="75">
        <v>5985989</v>
      </c>
      <c r="B1527" t="s">
        <v>6344</v>
      </c>
      <c r="C1527" t="s">
        <v>6345</v>
      </c>
      <c r="D1527" t="s">
        <v>527</v>
      </c>
      <c r="E1527" t="s">
        <v>87</v>
      </c>
      <c r="F1527" s="75">
        <v>826</v>
      </c>
      <c r="G1527" s="75">
        <v>345215</v>
      </c>
      <c r="H1527">
        <v>334.78</v>
      </c>
      <c r="I1527" t="s">
        <v>203</v>
      </c>
      <c r="J1527" s="75">
        <v>6971</v>
      </c>
      <c r="K1527" t="s">
        <v>369</v>
      </c>
      <c r="L1527" t="s">
        <v>370</v>
      </c>
      <c r="M1527" s="81">
        <v>46172.500659722216</v>
      </c>
      <c r="N1527" s="81">
        <v>46174.417569444442</v>
      </c>
      <c r="O1527" t="s">
        <v>269</v>
      </c>
      <c r="P1527" t="s">
        <v>59</v>
      </c>
      <c r="Q1527" t="s">
        <v>90</v>
      </c>
      <c r="R1527" t="s">
        <v>99</v>
      </c>
      <c r="S1527" t="s">
        <v>1244</v>
      </c>
      <c r="U1527" s="75">
        <v>269833</v>
      </c>
      <c r="V1527" t="s">
        <v>6346</v>
      </c>
      <c r="X1527" t="s">
        <v>79</v>
      </c>
      <c r="Y1527" t="s">
        <v>224</v>
      </c>
      <c r="AA1527" t="s">
        <v>81</v>
      </c>
      <c r="AB1527">
        <v>45.983333000000002</v>
      </c>
      <c r="AC1527">
        <v>44.7</v>
      </c>
      <c r="AD1527">
        <v>1.2833330000000001</v>
      </c>
      <c r="AE1527">
        <v>0.15</v>
      </c>
      <c r="AF1527">
        <v>0</v>
      </c>
      <c r="AG1527">
        <v>1.1333329999999999</v>
      </c>
      <c r="AH1527">
        <v>1.1333329999999999</v>
      </c>
      <c r="AI1527">
        <v>0</v>
      </c>
      <c r="AJ1527">
        <v>1.1333329999999999</v>
      </c>
      <c r="AK1527">
        <v>0</v>
      </c>
      <c r="AL1527" s="76">
        <v>46149</v>
      </c>
      <c r="AM1527" s="75">
        <v>23</v>
      </c>
      <c r="AN1527" t="s">
        <v>65</v>
      </c>
      <c r="AO1527" t="s">
        <v>2072</v>
      </c>
      <c r="AP1527" t="s">
        <v>67</v>
      </c>
      <c r="AQ1527" t="s">
        <v>83</v>
      </c>
      <c r="AR1527" t="s">
        <v>69</v>
      </c>
      <c r="AT1527" s="82" t="s">
        <v>6343</v>
      </c>
      <c r="AU1527" s="78">
        <v>2026</v>
      </c>
      <c r="AV1527" s="78">
        <v>6</v>
      </c>
      <c r="AW1527" s="78" t="s">
        <v>226</v>
      </c>
      <c r="AX1527" s="78">
        <v>1</v>
      </c>
      <c r="AY1527" s="78">
        <v>0</v>
      </c>
      <c r="BT1527" t="s">
        <v>226</v>
      </c>
      <c r="BU1527">
        <v>1</v>
      </c>
      <c r="BV1527">
        <v>0</v>
      </c>
    </row>
    <row r="1528" spans="1:74" x14ac:dyDescent="0.25">
      <c r="A1528" s="75">
        <v>5986481</v>
      </c>
      <c r="B1528" t="s">
        <v>6347</v>
      </c>
      <c r="C1528" t="s">
        <v>6348</v>
      </c>
      <c r="D1528" t="s">
        <v>2379</v>
      </c>
      <c r="E1528" t="s">
        <v>54</v>
      </c>
      <c r="F1528" s="75">
        <v>16</v>
      </c>
      <c r="G1528" s="75">
        <v>50255</v>
      </c>
      <c r="H1528">
        <v>600</v>
      </c>
      <c r="I1528" t="s">
        <v>114</v>
      </c>
      <c r="J1528" s="75">
        <v>3869</v>
      </c>
      <c r="K1528" t="s">
        <v>793</v>
      </c>
      <c r="L1528" t="s">
        <v>794</v>
      </c>
      <c r="M1528" s="81">
        <v>46173.343738425923</v>
      </c>
      <c r="N1528" s="81">
        <v>46174.45722222222</v>
      </c>
      <c r="O1528" t="s">
        <v>58</v>
      </c>
      <c r="P1528" t="s">
        <v>59</v>
      </c>
      <c r="Q1528" t="s">
        <v>130</v>
      </c>
      <c r="R1528" t="s">
        <v>60</v>
      </c>
      <c r="S1528" t="s">
        <v>583</v>
      </c>
      <c r="U1528" s="75">
        <v>269937</v>
      </c>
      <c r="V1528" t="s">
        <v>6349</v>
      </c>
      <c r="W1528" t="s">
        <v>6349</v>
      </c>
      <c r="X1528" t="s">
        <v>79</v>
      </c>
      <c r="Y1528" t="s">
        <v>224</v>
      </c>
      <c r="AA1528" t="s">
        <v>81</v>
      </c>
      <c r="AB1528">
        <v>26.666668000000001</v>
      </c>
      <c r="AC1528">
        <v>23.316666999999999</v>
      </c>
      <c r="AD1528">
        <v>3.3500009999999998</v>
      </c>
      <c r="AE1528">
        <v>0.16666700000000001</v>
      </c>
      <c r="AF1528">
        <v>0</v>
      </c>
      <c r="AG1528">
        <v>3.1833339999999999</v>
      </c>
      <c r="AH1528">
        <v>3.1833339999999999</v>
      </c>
      <c r="AI1528">
        <v>2.9000010000000001</v>
      </c>
      <c r="AJ1528">
        <v>0.283333</v>
      </c>
      <c r="AK1528">
        <v>0</v>
      </c>
      <c r="AL1528" s="76">
        <v>42235</v>
      </c>
      <c r="AM1528" s="75">
        <v>3938</v>
      </c>
      <c r="AN1528" t="s">
        <v>65</v>
      </c>
      <c r="AO1528" t="s">
        <v>6350</v>
      </c>
      <c r="AP1528" t="s">
        <v>67</v>
      </c>
      <c r="AQ1528" t="s">
        <v>83</v>
      </c>
      <c r="AR1528" t="s">
        <v>69</v>
      </c>
      <c r="AT1528" s="82" t="s">
        <v>6343</v>
      </c>
      <c r="AU1528" s="78">
        <v>2026</v>
      </c>
      <c r="AV1528" s="78">
        <v>6</v>
      </c>
      <c r="AW1528" s="78" t="s">
        <v>226</v>
      </c>
      <c r="AX1528" s="78">
        <v>1</v>
      </c>
      <c r="AY1528" s="78">
        <v>0</v>
      </c>
      <c r="BT1528" t="s">
        <v>226</v>
      </c>
      <c r="BU1528">
        <v>1</v>
      </c>
      <c r="BV1528">
        <v>0</v>
      </c>
    </row>
    <row r="1529" spans="1:74" x14ac:dyDescent="0.25">
      <c r="A1529" s="75">
        <v>5987087</v>
      </c>
      <c r="B1529" t="s">
        <v>6351</v>
      </c>
      <c r="C1529" t="s">
        <v>6352</v>
      </c>
      <c r="D1529" t="s">
        <v>2602</v>
      </c>
      <c r="E1529" t="s">
        <v>54</v>
      </c>
      <c r="F1529" s="75">
        <v>4</v>
      </c>
      <c r="G1529" s="75">
        <v>291103</v>
      </c>
      <c r="H1529">
        <v>906.63</v>
      </c>
      <c r="I1529" t="s">
        <v>141</v>
      </c>
      <c r="J1529" s="75">
        <v>198595</v>
      </c>
      <c r="K1529" t="s">
        <v>5152</v>
      </c>
      <c r="L1529" t="s">
        <v>5153</v>
      </c>
      <c r="M1529" s="81">
        <v>46174.36</v>
      </c>
      <c r="N1529" s="81">
        <v>46174.847187500003</v>
      </c>
      <c r="O1529" t="s">
        <v>58</v>
      </c>
      <c r="P1529" t="s">
        <v>59</v>
      </c>
      <c r="Q1529" t="s">
        <v>341</v>
      </c>
      <c r="R1529" t="s">
        <v>60</v>
      </c>
      <c r="S1529" t="s">
        <v>583</v>
      </c>
      <c r="T1529" t="s">
        <v>970</v>
      </c>
      <c r="U1529" s="75">
        <v>270547</v>
      </c>
      <c r="V1529" t="s">
        <v>6353</v>
      </c>
      <c r="W1529" t="s">
        <v>6354</v>
      </c>
      <c r="X1529" t="s">
        <v>79</v>
      </c>
      <c r="Y1529" t="s">
        <v>224</v>
      </c>
      <c r="AA1529" t="s">
        <v>64</v>
      </c>
      <c r="AB1529">
        <v>11.633334</v>
      </c>
      <c r="AC1529">
        <v>5.3166669999999998</v>
      </c>
      <c r="AD1529">
        <v>6.3166669999999998</v>
      </c>
      <c r="AE1529">
        <v>0.183333</v>
      </c>
      <c r="AF1529">
        <v>0</v>
      </c>
      <c r="AG1529">
        <v>6.1333339999999996</v>
      </c>
      <c r="AH1529">
        <v>6.1333339999999996</v>
      </c>
      <c r="AI1529">
        <v>5.4666670000000002</v>
      </c>
      <c r="AJ1529">
        <v>0.66666700000000001</v>
      </c>
      <c r="AK1529">
        <v>0</v>
      </c>
      <c r="AL1529" s="76">
        <v>45065</v>
      </c>
      <c r="AM1529" s="75">
        <v>1109</v>
      </c>
      <c r="AN1529" t="s">
        <v>65</v>
      </c>
      <c r="AO1529" t="s">
        <v>5155</v>
      </c>
      <c r="AP1529" t="s">
        <v>67</v>
      </c>
      <c r="AQ1529" t="s">
        <v>83</v>
      </c>
      <c r="AR1529" t="s">
        <v>69</v>
      </c>
      <c r="AT1529" s="82" t="s">
        <v>6343</v>
      </c>
      <c r="AU1529" s="78">
        <v>2026</v>
      </c>
      <c r="AV1529" s="78">
        <v>6</v>
      </c>
      <c r="AW1529" s="78" t="s">
        <v>226</v>
      </c>
      <c r="AX1529" s="78">
        <v>1</v>
      </c>
      <c r="AY1529" s="78">
        <v>0</v>
      </c>
      <c r="BT1529" t="s">
        <v>226</v>
      </c>
      <c r="BU1529">
        <v>1</v>
      </c>
      <c r="BV1529">
        <v>0</v>
      </c>
    </row>
    <row r="1530" spans="1:74" x14ac:dyDescent="0.25">
      <c r="A1530" s="75">
        <v>5986815</v>
      </c>
      <c r="B1530" t="s">
        <v>6355</v>
      </c>
      <c r="C1530" t="s">
        <v>6027</v>
      </c>
      <c r="D1530" t="s">
        <v>527</v>
      </c>
      <c r="E1530" t="s">
        <v>87</v>
      </c>
      <c r="F1530" s="75">
        <v>443</v>
      </c>
      <c r="G1530" s="75">
        <v>289315</v>
      </c>
      <c r="H1530">
        <v>368.16</v>
      </c>
      <c r="I1530" t="s">
        <v>55</v>
      </c>
      <c r="J1530" s="75">
        <v>218791</v>
      </c>
      <c r="K1530" t="s">
        <v>312</v>
      </c>
      <c r="L1530" t="s">
        <v>313</v>
      </c>
      <c r="M1530" s="81">
        <v>46173.903275462973</v>
      </c>
      <c r="N1530" s="81">
        <v>46175.408368055563</v>
      </c>
      <c r="O1530" t="s">
        <v>277</v>
      </c>
      <c r="P1530" t="s">
        <v>59</v>
      </c>
      <c r="Q1530" t="s">
        <v>98</v>
      </c>
      <c r="R1530" t="s">
        <v>99</v>
      </c>
      <c r="S1530" t="s">
        <v>1244</v>
      </c>
      <c r="U1530" s="75">
        <v>271529</v>
      </c>
      <c r="V1530" t="s">
        <v>6356</v>
      </c>
      <c r="X1530" t="s">
        <v>62</v>
      </c>
      <c r="Y1530" t="s">
        <v>63</v>
      </c>
      <c r="AA1530" t="s">
        <v>81</v>
      </c>
      <c r="AB1530">
        <v>36.049999999999997</v>
      </c>
      <c r="AC1530">
        <v>4.0833329999999997</v>
      </c>
      <c r="AD1530">
        <v>31.966667000000001</v>
      </c>
      <c r="AE1530">
        <v>29.983333999999999</v>
      </c>
      <c r="AF1530">
        <v>0</v>
      </c>
      <c r="AG1530">
        <v>1.983333</v>
      </c>
      <c r="AI1530">
        <v>1.2833330000000001</v>
      </c>
      <c r="AJ1530">
        <v>0.7</v>
      </c>
      <c r="AK1530">
        <v>0</v>
      </c>
      <c r="AL1530" s="76">
        <v>45012.757280092592</v>
      </c>
      <c r="AM1530" s="75">
        <v>1161</v>
      </c>
      <c r="AN1530" t="s">
        <v>65</v>
      </c>
      <c r="AO1530" t="s">
        <v>3547</v>
      </c>
      <c r="AP1530" t="s">
        <v>67</v>
      </c>
      <c r="AQ1530" t="s">
        <v>68</v>
      </c>
      <c r="AR1530" t="s">
        <v>69</v>
      </c>
      <c r="AT1530" s="82" t="s">
        <v>6343</v>
      </c>
      <c r="AU1530" s="78">
        <v>2026</v>
      </c>
      <c r="AV1530" s="78">
        <v>6</v>
      </c>
      <c r="AW1530" s="78" t="s">
        <v>71</v>
      </c>
      <c r="AX1530" s="78">
        <v>1</v>
      </c>
      <c r="AY1530" s="78">
        <v>0</v>
      </c>
      <c r="BT1530" t="s">
        <v>71</v>
      </c>
      <c r="BU1530">
        <v>1</v>
      </c>
      <c r="BV1530">
        <v>0</v>
      </c>
    </row>
    <row r="1531" spans="1:74" x14ac:dyDescent="0.25">
      <c r="A1531" s="75">
        <v>5979917</v>
      </c>
      <c r="B1531" t="s">
        <v>6357</v>
      </c>
      <c r="C1531" t="s">
        <v>6358</v>
      </c>
      <c r="D1531" t="s">
        <v>2379</v>
      </c>
      <c r="E1531" t="s">
        <v>87</v>
      </c>
      <c r="F1531" s="75">
        <v>36</v>
      </c>
      <c r="G1531" s="75">
        <v>172887</v>
      </c>
      <c r="H1531">
        <v>1033.7</v>
      </c>
      <c r="I1531" t="s">
        <v>368</v>
      </c>
      <c r="J1531" s="75">
        <v>6971</v>
      </c>
      <c r="K1531" t="s">
        <v>369</v>
      </c>
      <c r="L1531" t="s">
        <v>370</v>
      </c>
      <c r="M1531" s="81">
        <v>46168.527442129627</v>
      </c>
      <c r="N1531" s="81">
        <v>46175.492696759262</v>
      </c>
      <c r="O1531" t="s">
        <v>58</v>
      </c>
      <c r="P1531" t="s">
        <v>59</v>
      </c>
      <c r="Q1531" t="s">
        <v>77</v>
      </c>
      <c r="R1531" t="s">
        <v>60</v>
      </c>
      <c r="S1531" t="s">
        <v>583</v>
      </c>
      <c r="T1531" t="s">
        <v>6359</v>
      </c>
      <c r="U1531" s="75">
        <v>270123</v>
      </c>
      <c r="V1531" t="s">
        <v>6360</v>
      </c>
      <c r="W1531" t="s">
        <v>6361</v>
      </c>
      <c r="X1531" t="s">
        <v>62</v>
      </c>
      <c r="Y1531" t="s">
        <v>1049</v>
      </c>
      <c r="AA1531" t="s">
        <v>101</v>
      </c>
      <c r="AB1531">
        <v>166.95</v>
      </c>
      <c r="AC1531">
        <v>111.183333</v>
      </c>
      <c r="AD1531">
        <v>55.766666999999998</v>
      </c>
      <c r="AE1531">
        <v>45.416666999999997</v>
      </c>
      <c r="AF1531">
        <v>0</v>
      </c>
      <c r="AG1531">
        <v>10.35</v>
      </c>
      <c r="AH1531">
        <v>10.35</v>
      </c>
      <c r="AI1531">
        <v>5.2</v>
      </c>
      <c r="AJ1531">
        <v>5.15</v>
      </c>
      <c r="AK1531">
        <v>0</v>
      </c>
      <c r="AL1531" s="76">
        <v>44008</v>
      </c>
      <c r="AM1531" s="75">
        <v>2160</v>
      </c>
      <c r="AN1531" t="s">
        <v>65</v>
      </c>
      <c r="AO1531" t="s">
        <v>6362</v>
      </c>
      <c r="AP1531" t="s">
        <v>67</v>
      </c>
      <c r="AQ1531" t="s">
        <v>68</v>
      </c>
      <c r="AR1531" t="s">
        <v>69</v>
      </c>
      <c r="AT1531" s="82" t="s">
        <v>6343</v>
      </c>
      <c r="AU1531" s="78">
        <v>2026</v>
      </c>
      <c r="AV1531" s="78">
        <v>6</v>
      </c>
      <c r="AW1531" s="78" t="s">
        <v>137</v>
      </c>
      <c r="AX1531" s="78">
        <v>0</v>
      </c>
      <c r="AY1531" s="78">
        <v>0</v>
      </c>
      <c r="BT1531" t="s">
        <v>137</v>
      </c>
      <c r="BU1531">
        <v>0</v>
      </c>
      <c r="BV1531">
        <v>0</v>
      </c>
    </row>
    <row r="1532" spans="1:74" x14ac:dyDescent="0.25">
      <c r="A1532" s="75">
        <v>5988567</v>
      </c>
      <c r="B1532" t="s">
        <v>6363</v>
      </c>
      <c r="C1532" t="s">
        <v>4078</v>
      </c>
      <c r="D1532" t="s">
        <v>527</v>
      </c>
      <c r="E1532" t="s">
        <v>87</v>
      </c>
      <c r="F1532" s="75">
        <v>186</v>
      </c>
      <c r="G1532" s="75">
        <v>285895</v>
      </c>
      <c r="H1532">
        <v>398.82</v>
      </c>
      <c r="I1532" t="s">
        <v>55</v>
      </c>
      <c r="J1532" s="75">
        <v>216233</v>
      </c>
      <c r="K1532" t="s">
        <v>88</v>
      </c>
      <c r="L1532" t="s">
        <v>89</v>
      </c>
      <c r="M1532" s="81">
        <v>46174.959027777782</v>
      </c>
      <c r="N1532" s="81">
        <v>46175.629259259258</v>
      </c>
      <c r="O1532" t="s">
        <v>277</v>
      </c>
      <c r="P1532" t="s">
        <v>59</v>
      </c>
      <c r="Q1532" t="s">
        <v>98</v>
      </c>
      <c r="R1532" t="s">
        <v>99</v>
      </c>
      <c r="S1532" t="s">
        <v>1244</v>
      </c>
      <c r="U1532" s="75">
        <v>271781</v>
      </c>
      <c r="V1532" t="s">
        <v>6364</v>
      </c>
      <c r="X1532" t="s">
        <v>62</v>
      </c>
      <c r="Y1532" t="s">
        <v>63</v>
      </c>
      <c r="AA1532" t="s">
        <v>64</v>
      </c>
      <c r="AB1532">
        <v>16.033332999999999</v>
      </c>
      <c r="AC1532">
        <v>11.35</v>
      </c>
      <c r="AD1532">
        <v>4.6833330000000002</v>
      </c>
      <c r="AE1532">
        <v>0.36666599999999999</v>
      </c>
      <c r="AF1532">
        <v>0</v>
      </c>
      <c r="AG1532">
        <v>4.3166669999999998</v>
      </c>
      <c r="AI1532">
        <v>3.8</v>
      </c>
      <c r="AJ1532">
        <v>0.51666699999999999</v>
      </c>
      <c r="AK1532">
        <v>0</v>
      </c>
      <c r="AL1532" s="76">
        <v>44870</v>
      </c>
      <c r="AM1532" s="75">
        <v>1304</v>
      </c>
      <c r="AN1532" t="s">
        <v>65</v>
      </c>
      <c r="AO1532" t="s">
        <v>4079</v>
      </c>
      <c r="AP1532" t="s">
        <v>67</v>
      </c>
      <c r="AQ1532" t="s">
        <v>68</v>
      </c>
      <c r="AR1532" t="s">
        <v>69</v>
      </c>
      <c r="AT1532" s="82" t="s">
        <v>6343</v>
      </c>
      <c r="AU1532" s="78">
        <v>2026</v>
      </c>
      <c r="AV1532" s="78">
        <v>6</v>
      </c>
      <c r="AW1532" s="78" t="s">
        <v>71</v>
      </c>
      <c r="AX1532" s="78">
        <v>1</v>
      </c>
      <c r="AY1532" s="78">
        <v>0</v>
      </c>
      <c r="BT1532" t="s">
        <v>71</v>
      </c>
      <c r="BU1532">
        <v>1</v>
      </c>
      <c r="BV1532">
        <v>0</v>
      </c>
    </row>
    <row r="1533" spans="1:74" x14ac:dyDescent="0.25">
      <c r="A1533" s="75">
        <v>5986419</v>
      </c>
      <c r="B1533" t="s">
        <v>6365</v>
      </c>
      <c r="C1533" t="s">
        <v>6366</v>
      </c>
      <c r="D1533" t="s">
        <v>2602</v>
      </c>
      <c r="E1533" t="s">
        <v>87</v>
      </c>
      <c r="F1533" s="75">
        <v>150</v>
      </c>
      <c r="G1533" s="75">
        <v>285643</v>
      </c>
      <c r="H1533">
        <v>398.82</v>
      </c>
      <c r="I1533" t="s">
        <v>55</v>
      </c>
      <c r="J1533" s="75">
        <v>216233</v>
      </c>
      <c r="K1533" t="s">
        <v>88</v>
      </c>
      <c r="L1533" t="s">
        <v>89</v>
      </c>
      <c r="M1533" s="81">
        <v>46173.208935185183</v>
      </c>
      <c r="N1533" s="81">
        <v>46175.8750462963</v>
      </c>
      <c r="O1533" t="s">
        <v>58</v>
      </c>
      <c r="P1533" t="s">
        <v>59</v>
      </c>
      <c r="Q1533" t="s">
        <v>90</v>
      </c>
      <c r="R1533" t="s">
        <v>60</v>
      </c>
      <c r="S1533" t="s">
        <v>583</v>
      </c>
      <c r="U1533" s="75">
        <v>270185</v>
      </c>
      <c r="V1533" t="s">
        <v>6367</v>
      </c>
      <c r="W1533" t="s">
        <v>6367</v>
      </c>
      <c r="X1533" t="s">
        <v>62</v>
      </c>
      <c r="Y1533" t="s">
        <v>63</v>
      </c>
      <c r="AA1533" t="s">
        <v>101</v>
      </c>
      <c r="AB1533">
        <v>63.933332</v>
      </c>
      <c r="AC1533">
        <v>53.85</v>
      </c>
      <c r="AD1533">
        <v>10.083332</v>
      </c>
      <c r="AE1533">
        <v>0.46666600000000003</v>
      </c>
      <c r="AF1533">
        <v>0</v>
      </c>
      <c r="AG1533">
        <v>9.6166660000000004</v>
      </c>
      <c r="AH1533">
        <v>9.6166660000000004</v>
      </c>
      <c r="AI1533">
        <v>8.9</v>
      </c>
      <c r="AJ1533">
        <v>0.71666600000000003</v>
      </c>
      <c r="AK1533">
        <v>0</v>
      </c>
      <c r="AL1533" s="76">
        <v>44897</v>
      </c>
      <c r="AM1533" s="75">
        <v>1276</v>
      </c>
      <c r="AN1533" t="s">
        <v>65</v>
      </c>
      <c r="AO1533" t="s">
        <v>6368</v>
      </c>
      <c r="AP1533" t="s">
        <v>67</v>
      </c>
      <c r="AQ1533" t="s">
        <v>68</v>
      </c>
      <c r="AR1533" t="s">
        <v>69</v>
      </c>
      <c r="AT1533" s="82" t="s">
        <v>6343</v>
      </c>
      <c r="AU1533" s="78">
        <v>2026</v>
      </c>
      <c r="AV1533" s="78">
        <v>6</v>
      </c>
      <c r="AW1533" s="78" t="s">
        <v>71</v>
      </c>
      <c r="AX1533" s="78">
        <v>0</v>
      </c>
      <c r="AY1533" s="78">
        <v>0</v>
      </c>
      <c r="BT1533" t="s">
        <v>71</v>
      </c>
      <c r="BU1533">
        <v>0</v>
      </c>
      <c r="BV1533">
        <v>0</v>
      </c>
    </row>
    <row r="1534" spans="1:74" x14ac:dyDescent="0.25">
      <c r="A1534" s="75">
        <v>5984989</v>
      </c>
      <c r="B1534" t="s">
        <v>6369</v>
      </c>
      <c r="C1534" t="s">
        <v>6370</v>
      </c>
      <c r="D1534" t="s">
        <v>2602</v>
      </c>
      <c r="E1534" t="s">
        <v>87</v>
      </c>
      <c r="F1534" s="75">
        <v>144</v>
      </c>
      <c r="G1534" s="75">
        <v>285629</v>
      </c>
      <c r="H1534">
        <v>398.82</v>
      </c>
      <c r="I1534" t="s">
        <v>55</v>
      </c>
      <c r="J1534" s="75">
        <v>216233</v>
      </c>
      <c r="K1534" t="s">
        <v>88</v>
      </c>
      <c r="L1534" t="s">
        <v>89</v>
      </c>
      <c r="M1534" s="81">
        <v>46171.597858796304</v>
      </c>
      <c r="N1534" s="81">
        <v>46175.893923611111</v>
      </c>
      <c r="O1534" t="s">
        <v>58</v>
      </c>
      <c r="P1534" t="s">
        <v>59</v>
      </c>
      <c r="Q1534" t="s">
        <v>90</v>
      </c>
      <c r="R1534" t="s">
        <v>60</v>
      </c>
      <c r="S1534" t="s">
        <v>583</v>
      </c>
      <c r="U1534" s="75">
        <v>271511</v>
      </c>
      <c r="V1534" t="s">
        <v>6371</v>
      </c>
      <c r="W1534" t="s">
        <v>6372</v>
      </c>
      <c r="X1534" t="s">
        <v>62</v>
      </c>
      <c r="Y1534" t="s">
        <v>63</v>
      </c>
      <c r="AA1534" t="s">
        <v>416</v>
      </c>
      <c r="AB1534">
        <v>102.966667</v>
      </c>
      <c r="AC1534">
        <v>83.166667000000004</v>
      </c>
      <c r="AD1534">
        <v>19.8</v>
      </c>
      <c r="AE1534">
        <v>0.183333</v>
      </c>
      <c r="AF1534">
        <v>0</v>
      </c>
      <c r="AG1534">
        <v>19.616667</v>
      </c>
      <c r="AH1534">
        <v>19.616667</v>
      </c>
      <c r="AI1534">
        <v>14.8</v>
      </c>
      <c r="AJ1534">
        <v>4.8166669999999998</v>
      </c>
      <c r="AK1534">
        <v>0</v>
      </c>
      <c r="AL1534" s="76">
        <v>44917</v>
      </c>
      <c r="AM1534" s="75">
        <v>1254</v>
      </c>
      <c r="AN1534" t="s">
        <v>65</v>
      </c>
      <c r="AO1534" t="s">
        <v>6373</v>
      </c>
      <c r="AP1534" t="s">
        <v>67</v>
      </c>
      <c r="AQ1534" t="s">
        <v>68</v>
      </c>
      <c r="AR1534" t="s">
        <v>69</v>
      </c>
      <c r="AT1534" s="82" t="s">
        <v>6343</v>
      </c>
      <c r="AU1534" s="78">
        <v>2026</v>
      </c>
      <c r="AV1534" s="78">
        <v>6</v>
      </c>
      <c r="AW1534" s="78" t="s">
        <v>71</v>
      </c>
      <c r="AX1534" s="78">
        <v>0</v>
      </c>
      <c r="AY1534" s="78">
        <v>0</v>
      </c>
      <c r="BT1534" t="s">
        <v>71</v>
      </c>
      <c r="BU1534">
        <v>0</v>
      </c>
      <c r="BV1534">
        <v>0</v>
      </c>
    </row>
    <row r="1535" spans="1:74" x14ac:dyDescent="0.25">
      <c r="A1535" s="75">
        <v>5989029</v>
      </c>
      <c r="B1535" t="s">
        <v>6374</v>
      </c>
      <c r="C1535" t="s">
        <v>6375</v>
      </c>
      <c r="D1535" t="s">
        <v>2602</v>
      </c>
      <c r="E1535" t="s">
        <v>105</v>
      </c>
      <c r="F1535" s="75">
        <v>1221</v>
      </c>
      <c r="G1535" s="75">
        <v>340851</v>
      </c>
      <c r="H1535">
        <v>442.11</v>
      </c>
      <c r="I1535" t="s">
        <v>175</v>
      </c>
      <c r="J1535" s="75">
        <v>83605</v>
      </c>
      <c r="K1535" t="s">
        <v>844</v>
      </c>
      <c r="L1535" t="s">
        <v>845</v>
      </c>
      <c r="M1535" s="81">
        <v>46175.438333333332</v>
      </c>
      <c r="N1535" s="81">
        <v>46175.90221064815</v>
      </c>
      <c r="O1535" t="s">
        <v>58</v>
      </c>
      <c r="P1535" t="s">
        <v>59</v>
      </c>
      <c r="Q1535" t="s">
        <v>90</v>
      </c>
      <c r="R1535" t="s">
        <v>60</v>
      </c>
      <c r="S1535" t="s">
        <v>583</v>
      </c>
      <c r="U1535" s="75">
        <v>271767</v>
      </c>
      <c r="V1535" t="s">
        <v>6376</v>
      </c>
      <c r="X1535" t="s">
        <v>62</v>
      </c>
      <c r="Y1535" t="s">
        <v>63</v>
      </c>
      <c r="AA1535" t="s">
        <v>101</v>
      </c>
      <c r="AB1535">
        <v>11.083334000000001</v>
      </c>
      <c r="AC1535">
        <v>1.8666670000000001</v>
      </c>
      <c r="AD1535">
        <v>9.2166669999999993</v>
      </c>
      <c r="AE1535">
        <v>0.11666700000000001</v>
      </c>
      <c r="AF1535">
        <v>0</v>
      </c>
      <c r="AG1535">
        <v>9.1</v>
      </c>
      <c r="AH1535">
        <v>9.1</v>
      </c>
      <c r="AI1535">
        <v>8.75</v>
      </c>
      <c r="AJ1535">
        <v>0.35</v>
      </c>
      <c r="AK1535">
        <v>0</v>
      </c>
      <c r="AL1535" s="76">
        <v>45869.70894675926</v>
      </c>
      <c r="AM1535" s="75">
        <v>305</v>
      </c>
      <c r="AN1535" t="s">
        <v>65</v>
      </c>
      <c r="AO1535" t="s">
        <v>6377</v>
      </c>
      <c r="AP1535" t="s">
        <v>67</v>
      </c>
      <c r="AQ1535" t="s">
        <v>68</v>
      </c>
      <c r="AR1535" t="s">
        <v>69</v>
      </c>
      <c r="AT1535" s="82" t="s">
        <v>6343</v>
      </c>
      <c r="AU1535" s="78">
        <v>2026</v>
      </c>
      <c r="AV1535" s="78">
        <v>6</v>
      </c>
      <c r="AW1535" s="78" t="s">
        <v>71</v>
      </c>
      <c r="AX1535" s="78">
        <v>0</v>
      </c>
      <c r="AY1535" s="78">
        <v>0</v>
      </c>
      <c r="BT1535" t="s">
        <v>71</v>
      </c>
      <c r="BU1535">
        <v>0</v>
      </c>
      <c r="BV15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FA5"/>
  </sheetPr>
  <dimension ref="A1:P25"/>
  <sheetViews>
    <sheetView showGridLines="0" workbookViewId="0"/>
  </sheetViews>
  <sheetFormatPr defaultColWidth="8.7109375" defaultRowHeight="15" x14ac:dyDescent="0.25"/>
  <cols>
    <col min="1" max="1" width="1" customWidth="1"/>
    <col min="2" max="2" width="2" customWidth="1"/>
    <col min="3" max="3" width="18" customWidth="1"/>
    <col min="4" max="4" width="14" customWidth="1"/>
    <col min="5" max="6" width="10" customWidth="1"/>
    <col min="7" max="7" width="9" customWidth="1"/>
    <col min="8" max="8" width="12" customWidth="1"/>
    <col min="9" max="10" width="10" customWidth="1"/>
    <col min="11" max="11" width="9" customWidth="1"/>
    <col min="12" max="12" width="12" customWidth="1"/>
    <col min="13" max="16" width="2" customWidth="1"/>
  </cols>
  <sheetData>
    <row r="1" spans="1:16" ht="36" customHeight="1" x14ac:dyDescent="0.25">
      <c r="A1" s="101" t="s">
        <v>6378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ht="19.5" customHeight="1" x14ac:dyDescent="0.25">
      <c r="A2" s="110" t="s">
        <v>6379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7.5" customHeight="1" x14ac:dyDescent="0.25"/>
    <row r="4" spans="1:16" ht="15" customHeight="1" x14ac:dyDescent="0.25">
      <c r="B4" s="103" t="s">
        <v>6380</v>
      </c>
      <c r="C4" s="84"/>
      <c r="D4" s="84"/>
      <c r="F4" s="109" t="s">
        <v>6381</v>
      </c>
      <c r="G4" s="84"/>
      <c r="H4" s="84"/>
      <c r="I4" s="84"/>
      <c r="J4" s="84"/>
    </row>
    <row r="5" spans="1:16" ht="15.75" customHeight="1" x14ac:dyDescent="0.25">
      <c r="B5" s="107" t="s">
        <v>6382</v>
      </c>
      <c r="C5" s="84"/>
      <c r="D5" s="4" t="s">
        <v>4423</v>
      </c>
      <c r="F5" s="89" t="s">
        <v>6383</v>
      </c>
      <c r="G5" s="84"/>
      <c r="H5" s="84"/>
      <c r="I5" s="5">
        <v>0.85</v>
      </c>
    </row>
    <row r="6" spans="1:16" ht="15.75" customHeight="1" x14ac:dyDescent="0.25">
      <c r="D6" s="6">
        <f>VALUE(MID(D5,2,LEN(D5)-1))</f>
        <v>16</v>
      </c>
      <c r="F6" s="89" t="s">
        <v>6384</v>
      </c>
      <c r="G6" s="84"/>
      <c r="H6" s="84"/>
      <c r="I6" s="7">
        <v>0.02</v>
      </c>
    </row>
    <row r="7" spans="1:16" ht="15" customHeight="1" x14ac:dyDescent="0.25">
      <c r="B7" s="89" t="s">
        <v>6385</v>
      </c>
      <c r="C7" s="84"/>
      <c r="D7" s="8">
        <f>DATE(2026,1,1)+((D6-1)*7)-WEEKDAY(DATE(2026,1,1),2)+1</f>
        <v>46125</v>
      </c>
      <c r="F7" s="95" t="s">
        <v>6386</v>
      </c>
      <c r="G7" s="84"/>
      <c r="H7" s="84"/>
      <c r="I7" s="84"/>
      <c r="J7" s="84"/>
    </row>
    <row r="8" spans="1:16" ht="15" customHeight="1" x14ac:dyDescent="0.25">
      <c r="B8" s="89" t="s">
        <v>6387</v>
      </c>
      <c r="C8" s="84"/>
      <c r="D8" s="8">
        <f>D7+6</f>
        <v>46131</v>
      </c>
    </row>
    <row r="9" spans="1:16" ht="17.25" customHeight="1" x14ac:dyDescent="0.25">
      <c r="B9" s="89" t="s">
        <v>6388</v>
      </c>
      <c r="C9" s="84"/>
      <c r="D9" s="9">
        <f>COUNTIFS('BASE BI'!N:N,"&gt;="&amp;D7,'BASE BI'!N:N,"&lt;="&amp;D8+0.99999)</f>
        <v>106</v>
      </c>
    </row>
    <row r="11" spans="1:16" ht="7.5" customHeight="1" x14ac:dyDescent="0.25">
      <c r="B11" s="83" t="s">
        <v>6389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16" ht="27.75" customHeight="1" x14ac:dyDescent="0.25">
      <c r="B12" s="94" t="s">
        <v>6390</v>
      </c>
      <c r="C12" s="84"/>
      <c r="D12" s="84"/>
      <c r="E12" s="104" t="s">
        <v>6391</v>
      </c>
      <c r="F12" s="84"/>
      <c r="G12" s="84"/>
      <c r="H12" s="98" t="s">
        <v>6392</v>
      </c>
      <c r="I12" s="84"/>
      <c r="J12" s="84"/>
      <c r="K12" s="94" t="s">
        <v>6393</v>
      </c>
      <c r="L12" s="84"/>
      <c r="M12" s="84"/>
      <c r="N12" s="108" t="s">
        <v>6394</v>
      </c>
      <c r="O12" s="84"/>
      <c r="P12" s="84"/>
    </row>
    <row r="13" spans="1:16" ht="37.5" customHeight="1" x14ac:dyDescent="0.25">
      <c r="B13" s="92">
        <f>IFERROR(COUNTIFS('BASE BI'!N:N,"&gt;="&amp;D7,'BASE BI'!N:N,"&lt;="&amp;D8+0.99999,'BASE BI'!AH:AH,"&lt;="&amp;8)/D9,0)</f>
        <v>0.39622641509433965</v>
      </c>
      <c r="C13" s="88"/>
      <c r="D13" s="88"/>
      <c r="E13" s="87">
        <f>IFERROR(COUNTIFS('BASE BI'!N:N,"&gt;="&amp;D7,'BASE BI'!N:N,"&lt;="&amp;D8+0.99999,'BASE BI'!AH:AH,"&gt;"&amp;24)/D9,0)</f>
        <v>0.25471698113207547</v>
      </c>
      <c r="F13" s="88"/>
      <c r="G13" s="88"/>
      <c r="H13" s="96">
        <f>D9</f>
        <v>106</v>
      </c>
      <c r="I13" s="88"/>
      <c r="J13" s="88"/>
      <c r="K13" s="102">
        <f>IFERROR(COUNTIFS('BASE BI'!N:N,"&gt;="&amp;D7,'BASE BI'!N:N,"&lt;="&amp;D8+0.99999,'BASE BI'!AH:AH,"&lt;="&amp;8),0)</f>
        <v>42</v>
      </c>
      <c r="L13" s="88"/>
      <c r="M13" s="88"/>
      <c r="N13" s="97">
        <f>IFERROR(COUNTIFS('BASE BI'!N:N,"&gt;="&amp;D7,'BASE BI'!N:N,"&lt;="&amp;D8+0.99999,'BASE BI'!AH:AH,"&gt;"&amp;24),0)</f>
        <v>27</v>
      </c>
      <c r="O13" s="88"/>
      <c r="P13" s="88"/>
    </row>
    <row r="14" spans="1:16" ht="18" customHeight="1" x14ac:dyDescent="0.25">
      <c r="B14" s="85" t="str">
        <f>IF(D9=0,"SEM DADOS",IF(B13&gt;=I5,"✔ DENTRO DA META","✘ DESVIO: "&amp;TEXT(B13-I5,"0.0%")))</f>
        <v>✘ DESVIO: -45%</v>
      </c>
      <c r="C14" s="86"/>
      <c r="D14" s="86"/>
      <c r="E14" s="106" t="str">
        <f>IF(D9=0,"SEM DADOS",IF(E13&lt;=I6,"✔ DENTRO DO TETO","✘ ACIMA: +"&amp;TEXT(E13-I6,"0.0%")))</f>
        <v>✘ ACIMA: +23%</v>
      </c>
      <c r="F14" s="86"/>
      <c r="G14" s="86"/>
      <c r="H14" s="100"/>
      <c r="I14" s="86"/>
      <c r="J14" s="86"/>
      <c r="K14" s="85"/>
      <c r="L14" s="86"/>
      <c r="M14" s="86"/>
      <c r="N14" s="91"/>
      <c r="O14" s="86"/>
      <c r="P14" s="86"/>
    </row>
    <row r="16" spans="1:16" ht="7.5" customHeight="1" x14ac:dyDescent="0.25">
      <c r="B16" s="105" t="s">
        <v>6395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</row>
    <row r="17" spans="2:12" ht="30" customHeight="1" x14ac:dyDescent="0.25">
      <c r="B17" s="99" t="s">
        <v>6396</v>
      </c>
      <c r="C17" s="84"/>
      <c r="D17" s="10" t="s">
        <v>6397</v>
      </c>
      <c r="E17" s="10" t="s">
        <v>6398</v>
      </c>
      <c r="F17" s="10" t="s">
        <v>6399</v>
      </c>
      <c r="G17" s="10" t="s">
        <v>6400</v>
      </c>
      <c r="H17" s="10" t="s">
        <v>6401</v>
      </c>
      <c r="I17" s="10" t="s">
        <v>6402</v>
      </c>
      <c r="J17" s="10" t="s">
        <v>6403</v>
      </c>
      <c r="K17" s="10" t="s">
        <v>6404</v>
      </c>
      <c r="L17" s="10" t="s">
        <v>6405</v>
      </c>
    </row>
    <row r="18" spans="2:12" ht="15" customHeight="1" x14ac:dyDescent="0.25">
      <c r="B18" s="93" t="s">
        <v>6406</v>
      </c>
      <c r="C18" s="84"/>
      <c r="D18" s="11">
        <f>IFERROR(COUNTIFS('BASE BI'!N:N,"&gt;="&amp;D7,'BASE BI'!N:N,"&lt;="&amp;D8+0.99999,'BASE BI'!BT:BT,"MA CAP"),0)</f>
        <v>68</v>
      </c>
      <c r="E18" s="11">
        <f>IFERROR(COUNTIFS('BASE BI'!N:N,"&gt;="&amp;D7,'BASE BI'!N:N,"&lt;="&amp;D8+0.99999,'BASE BI'!BT:BT,"MA CAP",'BASE BI'!AH:AH,"&lt;="&amp;8),0)</f>
        <v>20</v>
      </c>
      <c r="F18" s="14">
        <f t="shared" ref="F18:F25" si="0">IFERROR(E18/D18,0)</f>
        <v>0.29411764705882354</v>
      </c>
      <c r="G18" s="12">
        <f>I5</f>
        <v>0.85</v>
      </c>
      <c r="H18" s="13" t="str">
        <f t="shared" ref="H18:H24" si="1">IF(D18=0,"-",IF(F18&gt;=$I$5,"✔ OK","✘ DESVIO"))</f>
        <v>✘ DESVIO</v>
      </c>
      <c r="I18" s="11">
        <f>IFERROR(COUNTIFS('BASE BI'!N:N,"&gt;="&amp;D7,'BASE BI'!N:N,"&lt;="&amp;D8+0.99999,'BASE BI'!BT:BT,"MA CAP",'BASE BI'!AH:AH,"&gt;"&amp;24),0)</f>
        <v>21</v>
      </c>
      <c r="J18" s="14">
        <f t="shared" ref="J18:J25" si="2">IFERROR(I18/D18,0)</f>
        <v>0.30882352941176472</v>
      </c>
      <c r="K18" s="12">
        <f>I6</f>
        <v>0.02</v>
      </c>
      <c r="L18" s="13" t="str">
        <f t="shared" ref="L18:L24" si="3">IF(D18=0,"-",IF(J18&lt;=$I$6,"✔ OK","✘ DESVIO"))</f>
        <v>✘ DESVIO</v>
      </c>
    </row>
    <row r="19" spans="2:12" ht="15" customHeight="1" x14ac:dyDescent="0.25">
      <c r="B19" s="93" t="s">
        <v>6407</v>
      </c>
      <c r="C19" s="84"/>
      <c r="D19" s="15">
        <f>IFERROR(COUNTIFS('BASE BI'!N:N,"&gt;="&amp;D7,'BASE BI'!N:N,"&lt;="&amp;D8+0.99999,'BASE BI'!BT:BT,"MA INT"),0)</f>
        <v>11</v>
      </c>
      <c r="E19" s="15">
        <f>IFERROR(COUNTIFS('BASE BI'!N:N,"&gt;="&amp;D7,'BASE BI'!N:N,"&lt;="&amp;D8+0.99999,'BASE BI'!BT:BT,"MA INT",'BASE BI'!AH:AH,"&lt;="&amp;8),0)</f>
        <v>6</v>
      </c>
      <c r="F19" s="18">
        <f t="shared" si="0"/>
        <v>0.54545454545454541</v>
      </c>
      <c r="G19" s="16">
        <f>I5</f>
        <v>0.85</v>
      </c>
      <c r="H19" s="17" t="str">
        <f t="shared" si="1"/>
        <v>✘ DESVIO</v>
      </c>
      <c r="I19" s="15">
        <f>IFERROR(COUNTIFS('BASE BI'!N:N,"&gt;="&amp;D7,'BASE BI'!N:N,"&lt;="&amp;D8+0.99999,'BASE BI'!BT:BT,"MA INT",'BASE BI'!AH:AH,"&gt;"&amp;24),0)</f>
        <v>4</v>
      </c>
      <c r="J19" s="18">
        <f t="shared" si="2"/>
        <v>0.36363636363636365</v>
      </c>
      <c r="K19" s="16">
        <f>I6</f>
        <v>0.02</v>
      </c>
      <c r="L19" s="17" t="str">
        <f t="shared" si="3"/>
        <v>✘ DESVIO</v>
      </c>
    </row>
    <row r="20" spans="2:12" ht="15" customHeight="1" x14ac:dyDescent="0.25">
      <c r="B20" s="93" t="s">
        <v>6408</v>
      </c>
      <c r="C20" s="84"/>
      <c r="D20" s="11">
        <f>IFERROR(COUNTIFS('BASE BI'!N:N,"&gt;="&amp;D7,'BASE BI'!N:N,"&lt;="&amp;D8+0.99999,'BASE BI'!BT:BT,"PA CAP"),0)</f>
        <v>6</v>
      </c>
      <c r="E20" s="11">
        <f>IFERROR(COUNTIFS('BASE BI'!N:N,"&gt;="&amp;D7,'BASE BI'!N:N,"&lt;="&amp;D8+0.99999,'BASE BI'!BT:BT,"PA CAP",'BASE BI'!AH:AH,"&lt;="&amp;8),0)</f>
        <v>5</v>
      </c>
      <c r="F20" s="14">
        <f t="shared" si="0"/>
        <v>0.83333333333333337</v>
      </c>
      <c r="G20" s="12">
        <f>I5</f>
        <v>0.85</v>
      </c>
      <c r="H20" s="13" t="str">
        <f t="shared" si="1"/>
        <v>✘ DESVIO</v>
      </c>
      <c r="I20" s="11">
        <f>IFERROR(COUNTIFS('BASE BI'!N:N,"&gt;="&amp;D7,'BASE BI'!N:N,"&lt;="&amp;D8+0.99999,'BASE BI'!BT:BT,"PA CAP",'BASE BI'!AH:AH,"&gt;"&amp;24),0)</f>
        <v>0</v>
      </c>
      <c r="J20" s="14">
        <f t="shared" si="2"/>
        <v>0</v>
      </c>
      <c r="K20" s="12">
        <f>I6</f>
        <v>0.02</v>
      </c>
      <c r="L20" s="13" t="str">
        <f t="shared" si="3"/>
        <v>✔ OK</v>
      </c>
    </row>
    <row r="21" spans="2:12" ht="15" customHeight="1" x14ac:dyDescent="0.25">
      <c r="B21" s="93" t="s">
        <v>6409</v>
      </c>
      <c r="C21" s="84"/>
      <c r="D21" s="15">
        <f>IFERROR(COUNTIFS('BASE BI'!N:N,"&gt;="&amp;D7,'BASE BI'!N:N,"&lt;="&amp;D8+0.99999,'BASE BI'!BT:BT,"PA INT"),0)</f>
        <v>4</v>
      </c>
      <c r="E21" s="15">
        <f>IFERROR(COUNTIFS('BASE BI'!N:N,"&gt;="&amp;D7,'BASE BI'!N:N,"&lt;="&amp;D8+0.99999,'BASE BI'!BT:BT,"PA INT",'BASE BI'!AH:AH,"&lt;="&amp;8),0)</f>
        <v>1</v>
      </c>
      <c r="F21" s="18">
        <f t="shared" si="0"/>
        <v>0.25</v>
      </c>
      <c r="G21" s="16">
        <f>I5</f>
        <v>0.85</v>
      </c>
      <c r="H21" s="17" t="str">
        <f t="shared" si="1"/>
        <v>✘ DESVIO</v>
      </c>
      <c r="I21" s="15">
        <f>IFERROR(COUNTIFS('BASE BI'!N:N,"&gt;="&amp;D7,'BASE BI'!N:N,"&lt;="&amp;D8+0.99999,'BASE BI'!BT:BT,"PA INT",'BASE BI'!AH:AH,"&gt;"&amp;24),0)</f>
        <v>0</v>
      </c>
      <c r="J21" s="18">
        <f t="shared" si="2"/>
        <v>0</v>
      </c>
      <c r="K21" s="16">
        <f>I6</f>
        <v>0.02</v>
      </c>
      <c r="L21" s="17" t="str">
        <f t="shared" si="3"/>
        <v>✔ OK</v>
      </c>
    </row>
    <row r="22" spans="2:12" ht="15" customHeight="1" x14ac:dyDescent="0.25">
      <c r="B22" s="93" t="s">
        <v>79</v>
      </c>
      <c r="C22" s="84"/>
      <c r="D22" s="11">
        <f>IFERROR(COUNTIFS('BASE BI'!N:N,"&gt;="&amp;D7,'BASE BI'!N:N,"&lt;="&amp;D8+0.99999,'BASE BI'!BT:BT,"PI"),0)</f>
        <v>0</v>
      </c>
      <c r="E22" s="11">
        <f>IFERROR(COUNTIFS('BASE BI'!N:N,"&gt;="&amp;D7,'BASE BI'!N:N,"&lt;="&amp;D8+0.99999,'BASE BI'!BT:BT,"PI",'BASE BI'!AH:AH,"&lt;="&amp;8),0)</f>
        <v>0</v>
      </c>
      <c r="F22" s="14">
        <f t="shared" si="0"/>
        <v>0</v>
      </c>
      <c r="G22" s="12">
        <f>I5</f>
        <v>0.85</v>
      </c>
      <c r="H22" s="13" t="str">
        <f t="shared" si="1"/>
        <v>-</v>
      </c>
      <c r="I22" s="11">
        <f>IFERROR(COUNTIFS('BASE BI'!N:N,"&gt;="&amp;D7,'BASE BI'!N:N,"&lt;="&amp;D8+0.99999,'BASE BI'!BT:BT,"PI",'BASE BI'!AH:AH,"&gt;"&amp;24),0)</f>
        <v>0</v>
      </c>
      <c r="J22" s="14">
        <f t="shared" si="2"/>
        <v>0</v>
      </c>
      <c r="K22" s="12">
        <f>I6</f>
        <v>0.02</v>
      </c>
      <c r="L22" s="13" t="str">
        <f t="shared" si="3"/>
        <v>-</v>
      </c>
    </row>
    <row r="23" spans="2:12" ht="15" customHeight="1" x14ac:dyDescent="0.25">
      <c r="B23" s="93" t="s">
        <v>2056</v>
      </c>
      <c r="C23" s="84"/>
      <c r="D23" s="15">
        <f>IFERROR(COUNTIFS('BASE BI'!N:N,"&gt;="&amp;D7,'BASE BI'!N:N,"&lt;="&amp;D8+0.99999,'BASE BI'!BT:BT,"AM INT"),0)</f>
        <v>0</v>
      </c>
      <c r="E23" s="15">
        <f>IFERROR(COUNTIFS('BASE BI'!N:N,"&gt;="&amp;D7,'BASE BI'!N:N,"&lt;="&amp;D8+0.99999,'BASE BI'!BT:BT,"AM INT",'BASE BI'!AH:AH,"&lt;="&amp;8),0)</f>
        <v>0</v>
      </c>
      <c r="F23" s="18">
        <f t="shared" si="0"/>
        <v>0</v>
      </c>
      <c r="G23" s="16">
        <f>I5</f>
        <v>0.85</v>
      </c>
      <c r="H23" s="17" t="str">
        <f t="shared" si="1"/>
        <v>-</v>
      </c>
      <c r="I23" s="15">
        <f>IFERROR(COUNTIFS('BASE BI'!N:N,"&gt;="&amp;D7,'BASE BI'!N:N,"&lt;="&amp;D8+0.99999,'BASE BI'!BT:BT,"AM INT",'BASE BI'!AH:AH,"&gt;"&amp;24),0)</f>
        <v>0</v>
      </c>
      <c r="J23" s="18">
        <f t="shared" si="2"/>
        <v>0</v>
      </c>
      <c r="K23" s="16">
        <f>I6</f>
        <v>0.02</v>
      </c>
      <c r="L23" s="17" t="str">
        <f t="shared" si="3"/>
        <v>-</v>
      </c>
    </row>
    <row r="24" spans="2:12" ht="15" customHeight="1" x14ac:dyDescent="0.25">
      <c r="B24" s="93" t="s">
        <v>392</v>
      </c>
      <c r="C24" s="84"/>
      <c r="D24" s="11">
        <f>IFERROR(COUNTIFS('BASE BI'!N:N,"&gt;="&amp;D7,'BASE BI'!N:N,"&lt;="&amp;D8+0.99999,'BASE BI'!BT:BT,"AP"),0)</f>
        <v>3</v>
      </c>
      <c r="E24" s="11">
        <f>IFERROR(COUNTIFS('BASE BI'!N:N,"&gt;="&amp;D7,'BASE BI'!N:N,"&lt;="&amp;D8+0.99999,'BASE BI'!BT:BT,"AP",'BASE BI'!AH:AH,"&lt;="&amp;8),0)</f>
        <v>1</v>
      </c>
      <c r="F24" s="14">
        <f t="shared" si="0"/>
        <v>0.33333333333333331</v>
      </c>
      <c r="G24" s="12">
        <f>I5</f>
        <v>0.85</v>
      </c>
      <c r="H24" s="13" t="str">
        <f t="shared" si="1"/>
        <v>✘ DESVIO</v>
      </c>
      <c r="I24" s="11">
        <f>IFERROR(COUNTIFS('BASE BI'!N:N,"&gt;="&amp;D7,'BASE BI'!N:N,"&lt;="&amp;D8+0.99999,'BASE BI'!BT:BT,"AP",'BASE BI'!AH:AH,"&gt;"&amp;24),0)</f>
        <v>0</v>
      </c>
      <c r="J24" s="14">
        <f t="shared" si="2"/>
        <v>0</v>
      </c>
      <c r="K24" s="12">
        <f>I6</f>
        <v>0.02</v>
      </c>
      <c r="L24" s="13" t="str">
        <f t="shared" si="3"/>
        <v>✔ OK</v>
      </c>
    </row>
    <row r="25" spans="2:12" ht="15" customHeight="1" x14ac:dyDescent="0.25">
      <c r="B25" s="90" t="s">
        <v>6410</v>
      </c>
      <c r="C25" s="84"/>
      <c r="D25" s="19">
        <f>SUM(D18:D24)</f>
        <v>92</v>
      </c>
      <c r="E25" s="19">
        <f>SUM(E18:E24)</f>
        <v>33</v>
      </c>
      <c r="F25" s="21">
        <f t="shared" si="0"/>
        <v>0.35869565217391303</v>
      </c>
      <c r="G25" s="20">
        <f>I5</f>
        <v>0.85</v>
      </c>
      <c r="I25" s="19">
        <f>SUM(I18:I24)</f>
        <v>25</v>
      </c>
      <c r="J25" s="21">
        <f t="shared" si="2"/>
        <v>0.27173913043478259</v>
      </c>
      <c r="K25" s="20">
        <f>I6</f>
        <v>0.02</v>
      </c>
    </row>
  </sheetData>
  <mergeCells count="37">
    <mergeCell ref="A1:P1"/>
    <mergeCell ref="K13:M13"/>
    <mergeCell ref="B19:C19"/>
    <mergeCell ref="B4:D4"/>
    <mergeCell ref="E12:G12"/>
    <mergeCell ref="B9:C9"/>
    <mergeCell ref="F6:H6"/>
    <mergeCell ref="B16:P16"/>
    <mergeCell ref="E14:G14"/>
    <mergeCell ref="B5:C5"/>
    <mergeCell ref="B12:D12"/>
    <mergeCell ref="N12:P12"/>
    <mergeCell ref="F4:J4"/>
    <mergeCell ref="A2:P2"/>
    <mergeCell ref="B25:C25"/>
    <mergeCell ref="N14:P14"/>
    <mergeCell ref="B13:D13"/>
    <mergeCell ref="B22:C22"/>
    <mergeCell ref="K12:M12"/>
    <mergeCell ref="B18:C18"/>
    <mergeCell ref="B21:C21"/>
    <mergeCell ref="H13:J13"/>
    <mergeCell ref="N13:P13"/>
    <mergeCell ref="K14:M14"/>
    <mergeCell ref="B23:C23"/>
    <mergeCell ref="H12:J12"/>
    <mergeCell ref="B17:C17"/>
    <mergeCell ref="H14:J14"/>
    <mergeCell ref="B24:C24"/>
    <mergeCell ref="B20:C20"/>
    <mergeCell ref="B11:P11"/>
    <mergeCell ref="B14:D14"/>
    <mergeCell ref="E13:G13"/>
    <mergeCell ref="F5:H5"/>
    <mergeCell ref="B7:C7"/>
    <mergeCell ref="F7:J7"/>
    <mergeCell ref="B8:C8"/>
  </mergeCells>
  <dataValidations count="1">
    <dataValidation type="list" sqref="D5" xr:uid="{00000000-0002-0000-0100-000000000000}">
      <formula1>"S1,S2,S3,S4,S5,S6,S7,S8,S9,S10,S11,S12,S13,S14,S15,S16,S17,S18,S19,S20,S21,S22,S23,S24,S25,S26,S27,S28,S29,S30,S31,S32,S33,S34,S35,S36,S37,S38,S39,S40,S41,S42,S43,S44,S45,S46,S47,S48,S49,S50,S51,S52"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4B4A"/>
  </sheetPr>
  <dimension ref="A1:O36"/>
  <sheetViews>
    <sheetView showGridLines="0" workbookViewId="0"/>
  </sheetViews>
  <sheetFormatPr defaultColWidth="8.7109375" defaultRowHeight="15" x14ac:dyDescent="0.25"/>
  <cols>
    <col min="1" max="1" width="18" customWidth="1"/>
    <col min="2" max="2" width="5" customWidth="1"/>
    <col min="3" max="3" width="9.5703125" customWidth="1"/>
    <col min="4" max="4" width="12" customWidth="1"/>
    <col min="5" max="5" width="13.85546875" customWidth="1"/>
    <col min="6" max="6" width="9" customWidth="1"/>
    <col min="7" max="7" width="26" customWidth="1"/>
    <col min="8" max="11" width="2" customWidth="1"/>
    <col min="12" max="12" width="22" customWidth="1"/>
    <col min="13" max="15" width="2" customWidth="1"/>
  </cols>
  <sheetData>
    <row r="1" spans="1:15" ht="36" customHeight="1" x14ac:dyDescent="0.25">
      <c r="A1" s="130" t="s">
        <v>6411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31" t="str">
        <f>CONTROLE!D5&amp;CHAR(10)&amp;TEXT(CONTROLE!D7,"DD/MM")&amp;" a "&amp;TEXT(CONTROLE!D8,"DD/MM")</f>
        <v>S16
13/04 a 19/04</v>
      </c>
      <c r="N1" s="112"/>
      <c r="O1" s="112"/>
    </row>
    <row r="2" spans="1:15" ht="18" customHeight="1" x14ac:dyDescent="0.25">
      <c r="A2" s="124" t="s">
        <v>6412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</row>
    <row r="3" spans="1:15" ht="6" customHeight="1" x14ac:dyDescent="0.25"/>
    <row r="4" spans="1:15" ht="15.75" customHeight="1" x14ac:dyDescent="0.25">
      <c r="A4" s="117" t="s">
        <v>6413</v>
      </c>
      <c r="B4" s="112"/>
      <c r="C4" s="112"/>
      <c r="D4" s="117" t="s">
        <v>6414</v>
      </c>
      <c r="E4" s="112"/>
      <c r="F4" s="112"/>
      <c r="G4" s="117" t="s">
        <v>6415</v>
      </c>
      <c r="H4" s="112"/>
      <c r="I4" s="112"/>
      <c r="J4" s="117" t="s">
        <v>6416</v>
      </c>
      <c r="K4" s="112"/>
      <c r="L4" s="112"/>
      <c r="M4" s="112"/>
      <c r="N4" s="112"/>
      <c r="O4" s="112"/>
    </row>
    <row r="5" spans="1:15" ht="36" customHeight="1" x14ac:dyDescent="0.25">
      <c r="A5" s="125">
        <f>CONTROLE!D9</f>
        <v>106</v>
      </c>
      <c r="B5" s="112"/>
      <c r="C5" s="112"/>
      <c r="D5" s="126">
        <f>CONTROLE!B13</f>
        <v>0.39622641509433965</v>
      </c>
      <c r="E5" s="112"/>
      <c r="F5" s="112"/>
      <c r="G5" s="126">
        <f>CONTROLE!E13</f>
        <v>0.25471698113207547</v>
      </c>
      <c r="H5" s="112"/>
      <c r="I5" s="112"/>
      <c r="J5" s="122">
        <f>COUNTIF(CONTROLE!H18:H24,"✘ DESVIO")</f>
        <v>5</v>
      </c>
      <c r="K5" s="112"/>
      <c r="L5" s="112"/>
      <c r="M5" s="112"/>
      <c r="N5" s="112"/>
      <c r="O5" s="112"/>
    </row>
    <row r="6" spans="1:15" ht="15.75" customHeight="1" x14ac:dyDescent="0.25">
      <c r="A6" s="117" t="str">
        <f>"semana "&amp;CONTROLE!D5</f>
        <v>semana S16</v>
      </c>
      <c r="B6" s="112"/>
      <c r="C6" s="112"/>
      <c r="D6" s="117" t="str">
        <f>"meta "&amp;TEXT(CONTROLE!I5,"0%")&amp;" | "&amp;TEXT(CONTROLE!B13-CONTROLE!I5,"+0.0%;-0.0%;0.0%")&amp;"pp"</f>
        <v>meta 85% | -45%pp</v>
      </c>
      <c r="E6" s="112"/>
      <c r="F6" s="112"/>
      <c r="G6" s="117" t="str">
        <f>"teto "&amp;TEXT(CONTROLE!I6,"0%")&amp;" | "&amp;TEXT(CONTROLE!E13-CONTROLE!I6,"+0.0%;-0.0%;0.0%")&amp;"pp"</f>
        <v>teto 2% | +23%pp</v>
      </c>
      <c r="H6" s="112"/>
      <c r="I6" s="112"/>
      <c r="J6" s="117" t="str">
        <f>IF(J5=0,"sem cidades em desvio","cidades impactadas")</f>
        <v>cidades impactadas</v>
      </c>
      <c r="K6" s="112"/>
      <c r="L6" s="112"/>
      <c r="M6" s="112"/>
      <c r="N6" s="112"/>
      <c r="O6" s="112"/>
    </row>
    <row r="7" spans="1:15" ht="9.75" customHeight="1" x14ac:dyDescent="0.25"/>
    <row r="8" spans="1:15" ht="25.5" customHeight="1" x14ac:dyDescent="0.25">
      <c r="A8" s="127" t="s">
        <v>6417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29" t="s">
        <v>6418</v>
      </c>
      <c r="M8" s="112"/>
      <c r="N8" s="112"/>
      <c r="O8" s="112"/>
    </row>
    <row r="9" spans="1:15" ht="120" customHeight="1" x14ac:dyDescent="0.25">
      <c r="A9" s="111" t="s">
        <v>6419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1:15" ht="31.5" customHeight="1" x14ac:dyDescent="0.25">
      <c r="A10" s="128" t="s">
        <v>6420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spans="1:15" ht="19.5" customHeight="1" x14ac:dyDescent="0.25">
      <c r="A11" s="117" t="s">
        <v>6421</v>
      </c>
      <c r="B11" s="112"/>
      <c r="C11" s="42" t="s">
        <v>6422</v>
      </c>
      <c r="D11" s="42" t="s">
        <v>6423</v>
      </c>
      <c r="E11" s="42" t="s">
        <v>6424</v>
      </c>
      <c r="F11" s="42" t="s">
        <v>6425</v>
      </c>
      <c r="G11" s="117" t="s">
        <v>6426</v>
      </c>
      <c r="H11" s="112"/>
      <c r="I11" s="112"/>
      <c r="J11" s="112"/>
      <c r="K11" s="112"/>
      <c r="L11" s="117" t="s">
        <v>6427</v>
      </c>
      <c r="M11" s="112"/>
      <c r="N11" s="112"/>
      <c r="O11" s="112"/>
    </row>
    <row r="12" spans="1:15" ht="21.75" customHeight="1" x14ac:dyDescent="0.25">
      <c r="A12" s="123" t="s">
        <v>63</v>
      </c>
      <c r="B12" s="112"/>
      <c r="C12" s="43" t="s">
        <v>62</v>
      </c>
      <c r="D12" s="43" t="s">
        <v>71</v>
      </c>
      <c r="E12" s="44">
        <v>45</v>
      </c>
      <c r="F12" s="72">
        <v>0.41666666666666669</v>
      </c>
      <c r="G12" s="114" t="s">
        <v>583</v>
      </c>
      <c r="H12" s="112"/>
      <c r="I12" s="112"/>
      <c r="J12" s="112"/>
      <c r="K12" s="112"/>
      <c r="L12" s="115">
        <f>IFERROR(INDEX('BASE BI'!T:T,MATCH(A12,'BASE BI'!Y:Y,0)),"—")</f>
        <v>0</v>
      </c>
      <c r="M12" s="112"/>
      <c r="N12" s="112"/>
      <c r="O12" s="112"/>
    </row>
    <row r="13" spans="1:15" ht="21.75" customHeight="1" x14ac:dyDescent="0.25">
      <c r="A13" s="113" t="s">
        <v>2629</v>
      </c>
      <c r="B13" s="112"/>
      <c r="C13" s="45" t="s">
        <v>62</v>
      </c>
      <c r="D13" s="45" t="s">
        <v>71</v>
      </c>
      <c r="E13" s="46">
        <v>3</v>
      </c>
      <c r="F13" s="73">
        <v>2.777777777777778E-2</v>
      </c>
      <c r="G13" s="119" t="s">
        <v>583</v>
      </c>
      <c r="H13" s="112"/>
      <c r="I13" s="112"/>
      <c r="J13" s="112"/>
      <c r="K13" s="112"/>
      <c r="L13" s="118" t="str">
        <f>IFERROR(INDEX('BASE BI'!T:T,MATCH(A13,'BASE BI'!Y:Y,0)),"—")</f>
        <v>NMA SERVICOS DE TELECOMUNICACOES LTDA</v>
      </c>
      <c r="M13" s="112"/>
      <c r="N13" s="112"/>
      <c r="O13" s="112"/>
    </row>
    <row r="14" spans="1:15" ht="21.75" customHeight="1" x14ac:dyDescent="0.25">
      <c r="A14" s="123" t="s">
        <v>224</v>
      </c>
      <c r="B14" s="112"/>
      <c r="C14" s="43" t="s">
        <v>79</v>
      </c>
      <c r="D14" s="43" t="s">
        <v>226</v>
      </c>
      <c r="E14" s="47">
        <v>3</v>
      </c>
      <c r="F14" s="72">
        <v>2.777777777777778E-2</v>
      </c>
      <c r="G14" s="114" t="s">
        <v>1320</v>
      </c>
      <c r="H14" s="112"/>
      <c r="I14" s="112"/>
      <c r="J14" s="112"/>
      <c r="K14" s="112"/>
      <c r="L14" s="115">
        <f>IFERROR(INDEX('BASE BI'!T:T,MATCH(A14,'BASE BI'!Y:Y,0)),"—")</f>
        <v>0</v>
      </c>
      <c r="M14" s="112"/>
      <c r="N14" s="112"/>
      <c r="O14" s="112"/>
    </row>
    <row r="15" spans="1:15" ht="21.75" customHeight="1" x14ac:dyDescent="0.25">
      <c r="A15" s="113" t="s">
        <v>1678</v>
      </c>
      <c r="B15" s="112"/>
      <c r="C15" s="45" t="s">
        <v>118</v>
      </c>
      <c r="D15" s="45" t="s">
        <v>347</v>
      </c>
      <c r="E15" s="48">
        <v>2</v>
      </c>
      <c r="F15" s="73">
        <v>1.8518518518518521E-2</v>
      </c>
      <c r="G15" s="119" t="s">
        <v>583</v>
      </c>
      <c r="H15" s="112"/>
      <c r="I15" s="112"/>
      <c r="J15" s="112"/>
      <c r="K15" s="112"/>
      <c r="L15" s="118">
        <f>IFERROR(INDEX('BASE BI'!T:T,MATCH(A15,'BASE BI'!Y:Y,0)),"—")</f>
        <v>0</v>
      </c>
      <c r="M15" s="112"/>
      <c r="N15" s="112"/>
      <c r="O15" s="112"/>
    </row>
    <row r="16" spans="1:15" ht="21.75" customHeight="1" x14ac:dyDescent="0.25">
      <c r="A16" s="121" t="s">
        <v>393</v>
      </c>
      <c r="B16" s="112"/>
      <c r="C16" s="43" t="s">
        <v>392</v>
      </c>
      <c r="D16" s="43" t="s">
        <v>6428</v>
      </c>
      <c r="E16" s="43">
        <v>2</v>
      </c>
      <c r="F16" s="72">
        <v>1.8518518518518521E-2</v>
      </c>
      <c r="G16" s="114" t="s">
        <v>583</v>
      </c>
      <c r="H16" s="112"/>
      <c r="I16" s="112"/>
      <c r="J16" s="112"/>
      <c r="K16" s="112"/>
      <c r="L16" s="115">
        <f>IFERROR(INDEX('BASE BI'!T:T,MATCH(A16,'BASE BI'!Y:Y,0)),"—")</f>
        <v>0</v>
      </c>
      <c r="M16" s="112"/>
      <c r="N16" s="112"/>
      <c r="O16" s="112"/>
    </row>
    <row r="17" spans="1:15" ht="21.75" customHeight="1" x14ac:dyDescent="0.25">
      <c r="A17" s="120" t="s">
        <v>400</v>
      </c>
      <c r="B17" s="112"/>
      <c r="C17" s="45" t="s">
        <v>118</v>
      </c>
      <c r="D17" s="45" t="s">
        <v>122</v>
      </c>
      <c r="E17" s="45">
        <v>1</v>
      </c>
      <c r="F17" s="73">
        <v>9.2592592592592587E-3</v>
      </c>
      <c r="G17" s="119" t="s">
        <v>583</v>
      </c>
      <c r="H17" s="112"/>
      <c r="I17" s="112"/>
      <c r="J17" s="112"/>
      <c r="K17" s="112"/>
      <c r="L17" s="118">
        <f>IFERROR(INDEX('BASE BI'!T:T,MATCH(A17,'BASE BI'!Y:Y,0)),"—")</f>
        <v>0</v>
      </c>
      <c r="M17" s="112"/>
      <c r="N17" s="112"/>
      <c r="O17" s="112"/>
    </row>
    <row r="18" spans="1:15" ht="21.75" customHeight="1" x14ac:dyDescent="0.25">
      <c r="A18" s="121" t="s">
        <v>702</v>
      </c>
      <c r="B18" s="112"/>
      <c r="C18" s="43" t="s">
        <v>62</v>
      </c>
      <c r="D18" s="43" t="s">
        <v>137</v>
      </c>
      <c r="E18" s="43">
        <v>1</v>
      </c>
      <c r="F18" s="72">
        <v>9.2592592592592587E-3</v>
      </c>
      <c r="G18" s="114" t="s">
        <v>1244</v>
      </c>
      <c r="H18" s="112"/>
      <c r="I18" s="112"/>
      <c r="J18" s="112"/>
      <c r="K18" s="112"/>
      <c r="L18" s="115">
        <f>IFERROR(INDEX('BASE BI'!T:T,MATCH(A18,'BASE BI'!Y:Y,0)),"—")</f>
        <v>0</v>
      </c>
      <c r="M18" s="112"/>
      <c r="N18" s="112"/>
      <c r="O18" s="112"/>
    </row>
    <row r="19" spans="1:15" ht="21.75" customHeight="1" x14ac:dyDescent="0.25">
      <c r="A19" s="120" t="s">
        <v>2598</v>
      </c>
      <c r="B19" s="112"/>
      <c r="C19" s="45" t="s">
        <v>62</v>
      </c>
      <c r="D19" s="45" t="s">
        <v>137</v>
      </c>
      <c r="E19" s="45">
        <v>1</v>
      </c>
      <c r="F19" s="73">
        <v>9.2592592592592587E-3</v>
      </c>
      <c r="G19" s="119" t="s">
        <v>1273</v>
      </c>
      <c r="H19" s="112"/>
      <c r="I19" s="112"/>
      <c r="J19" s="112"/>
      <c r="K19" s="112"/>
      <c r="L19" s="118">
        <f>IFERROR(INDEX('BASE BI'!T:T,MATCH(A19,'BASE BI'!Y:Y,0)),"—")</f>
        <v>0</v>
      </c>
      <c r="M19" s="112"/>
      <c r="N19" s="112"/>
      <c r="O19" s="112"/>
    </row>
    <row r="20" spans="1:15" ht="21.75" customHeight="1" x14ac:dyDescent="0.25">
      <c r="A20" s="121" t="s">
        <v>2614</v>
      </c>
      <c r="B20" s="112"/>
      <c r="C20" s="43" t="s">
        <v>118</v>
      </c>
      <c r="D20" s="43" t="s">
        <v>347</v>
      </c>
      <c r="E20" s="43">
        <v>1</v>
      </c>
      <c r="F20" s="72">
        <v>9.2592592592592587E-3</v>
      </c>
      <c r="G20" s="114" t="s">
        <v>583</v>
      </c>
      <c r="H20" s="112"/>
      <c r="I20" s="112"/>
      <c r="J20" s="112"/>
      <c r="K20" s="112"/>
      <c r="L20" s="115">
        <f>IFERROR(INDEX('BASE BI'!T:T,MATCH(A20,'BASE BI'!Y:Y,0)),"—")</f>
        <v>0</v>
      </c>
      <c r="M20" s="112"/>
      <c r="N20" s="112"/>
      <c r="O20" s="112"/>
    </row>
    <row r="21" spans="1:15" ht="21.75" customHeight="1" x14ac:dyDescent="0.25">
      <c r="A21" s="120" t="s">
        <v>6429</v>
      </c>
      <c r="B21" s="112"/>
      <c r="C21" s="45" t="s">
        <v>62</v>
      </c>
      <c r="D21" s="45" t="s">
        <v>137</v>
      </c>
      <c r="E21" s="45">
        <v>1</v>
      </c>
      <c r="F21" s="73">
        <v>9.2592592592592587E-3</v>
      </c>
      <c r="G21" s="119" t="s">
        <v>583</v>
      </c>
      <c r="H21" s="112"/>
      <c r="I21" s="112"/>
      <c r="J21" s="112"/>
      <c r="K21" s="112"/>
      <c r="L21" s="118" t="str">
        <f>IFERROR(INDEX('BASE BI'!T:T,MATCH(A21,'BASE BI'!Y:Y,0)),"—")</f>
        <v>—</v>
      </c>
      <c r="M21" s="112"/>
      <c r="N21" s="112"/>
      <c r="O21" s="112"/>
    </row>
    <row r="22" spans="1:15" ht="21.75" customHeight="1" x14ac:dyDescent="0.25">
      <c r="A22" s="121" t="s">
        <v>4623</v>
      </c>
      <c r="B22" s="112"/>
      <c r="C22" s="43" t="s">
        <v>62</v>
      </c>
      <c r="D22" s="43" t="s">
        <v>137</v>
      </c>
      <c r="E22" s="43">
        <v>1</v>
      </c>
      <c r="F22" s="72">
        <v>9.2592592592592587E-3</v>
      </c>
      <c r="G22" s="114" t="s">
        <v>1273</v>
      </c>
      <c r="H22" s="112"/>
      <c r="I22" s="112"/>
      <c r="J22" s="112"/>
      <c r="K22" s="112"/>
      <c r="L22" s="115">
        <f>IFERROR(INDEX('BASE BI'!T:T,MATCH(A22,'BASE BI'!Y:Y,0)),"—")</f>
        <v>0</v>
      </c>
      <c r="M22" s="112"/>
      <c r="N22" s="112"/>
      <c r="O22" s="112"/>
    </row>
    <row r="23" spans="1:15" ht="13.5" customHeight="1" x14ac:dyDescent="0.25"/>
    <row r="24" spans="1:15" ht="25.5" customHeight="1" x14ac:dyDescent="0.25">
      <c r="A24" s="116" t="s">
        <v>6430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29" t="s">
        <v>6418</v>
      </c>
      <c r="M24" s="112"/>
      <c r="N24" s="112"/>
      <c r="O24" s="112"/>
    </row>
    <row r="25" spans="1:15" ht="120" customHeight="1" x14ac:dyDescent="0.25">
      <c r="A25" s="111" t="s">
        <v>6431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</row>
    <row r="26" spans="1:15" ht="31.5" customHeight="1" x14ac:dyDescent="0.25">
      <c r="A26" s="128" t="s">
        <v>6432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</row>
    <row r="27" spans="1:15" ht="19.5" customHeight="1" x14ac:dyDescent="0.25">
      <c r="A27" s="117" t="s">
        <v>6421</v>
      </c>
      <c r="B27" s="112"/>
      <c r="C27" s="42" t="s">
        <v>6422</v>
      </c>
      <c r="D27" s="42" t="s">
        <v>6423</v>
      </c>
      <c r="E27" s="42" t="s">
        <v>6402</v>
      </c>
      <c r="F27" s="42" t="s">
        <v>6425</v>
      </c>
      <c r="G27" s="117" t="s">
        <v>6426</v>
      </c>
      <c r="H27" s="112"/>
      <c r="I27" s="112"/>
      <c r="J27" s="112"/>
      <c r="K27" s="112"/>
      <c r="L27" s="117" t="s">
        <v>6427</v>
      </c>
      <c r="M27" s="112"/>
      <c r="N27" s="112"/>
      <c r="O27" s="112"/>
    </row>
    <row r="28" spans="1:15" ht="21.75" customHeight="1" x14ac:dyDescent="0.25">
      <c r="A28" s="123" t="s">
        <v>63</v>
      </c>
      <c r="B28" s="112"/>
      <c r="C28" s="43" t="s">
        <v>62</v>
      </c>
      <c r="D28" s="43" t="s">
        <v>71</v>
      </c>
      <c r="E28" s="49">
        <v>20</v>
      </c>
      <c r="F28" s="72">
        <v>0.1851851851851852</v>
      </c>
      <c r="G28" s="114" t="s">
        <v>583</v>
      </c>
      <c r="H28" s="112"/>
      <c r="I28" s="112"/>
      <c r="J28" s="112"/>
      <c r="K28" s="112"/>
      <c r="L28" s="115">
        <f>IFERROR(INDEX('BASE BI'!T:T,MATCH(A28,'BASE BI'!Y:Y,0)),"—")</f>
        <v>0</v>
      </c>
      <c r="M28" s="112"/>
      <c r="N28" s="112"/>
      <c r="O28" s="112"/>
    </row>
    <row r="29" spans="1:15" ht="21.75" customHeight="1" x14ac:dyDescent="0.25">
      <c r="A29" s="120" t="s">
        <v>2598</v>
      </c>
      <c r="B29" s="112"/>
      <c r="C29" s="45" t="s">
        <v>62</v>
      </c>
      <c r="D29" s="45" t="s">
        <v>137</v>
      </c>
      <c r="E29" s="45">
        <v>1</v>
      </c>
      <c r="F29" s="73">
        <v>9.2592592592592587E-3</v>
      </c>
      <c r="G29" s="119" t="s">
        <v>1273</v>
      </c>
      <c r="H29" s="112"/>
      <c r="I29" s="112"/>
      <c r="J29" s="112"/>
      <c r="K29" s="112"/>
      <c r="L29" s="118">
        <f>IFERROR(INDEX('BASE BI'!T:T,MATCH(A29,'BASE BI'!Y:Y,0)),"—")</f>
        <v>0</v>
      </c>
      <c r="M29" s="112"/>
      <c r="N29" s="112"/>
      <c r="O29" s="112"/>
    </row>
    <row r="30" spans="1:15" ht="21.75" customHeight="1" x14ac:dyDescent="0.25">
      <c r="A30" s="121" t="s">
        <v>6429</v>
      </c>
      <c r="B30" s="112"/>
      <c r="C30" s="43" t="s">
        <v>62</v>
      </c>
      <c r="D30" s="43" t="s">
        <v>137</v>
      </c>
      <c r="E30" s="43">
        <v>1</v>
      </c>
      <c r="F30" s="72">
        <v>9.2592592592592587E-3</v>
      </c>
      <c r="G30" s="114" t="s">
        <v>583</v>
      </c>
      <c r="H30" s="112"/>
      <c r="I30" s="112"/>
      <c r="J30" s="112"/>
      <c r="K30" s="112"/>
      <c r="L30" s="115" t="str">
        <f>IFERROR(INDEX('BASE BI'!T:T,MATCH(A30,'BASE BI'!Y:Y,0)),"—")</f>
        <v>—</v>
      </c>
      <c r="M30" s="112"/>
      <c r="N30" s="112"/>
      <c r="O30" s="112"/>
    </row>
    <row r="31" spans="1:15" ht="21.75" customHeight="1" x14ac:dyDescent="0.25">
      <c r="A31" s="120" t="s">
        <v>4623</v>
      </c>
      <c r="B31" s="112"/>
      <c r="C31" s="45" t="s">
        <v>62</v>
      </c>
      <c r="D31" s="45" t="s">
        <v>137</v>
      </c>
      <c r="E31" s="45">
        <v>1</v>
      </c>
      <c r="F31" s="73">
        <v>9.2592592592592587E-3</v>
      </c>
      <c r="G31" s="119" t="s">
        <v>1273</v>
      </c>
      <c r="H31" s="112"/>
      <c r="I31" s="112"/>
      <c r="J31" s="112"/>
      <c r="K31" s="112"/>
      <c r="L31" s="118">
        <f>IFERROR(INDEX('BASE BI'!T:T,MATCH(A31,'BASE BI'!Y:Y,0)),"—")</f>
        <v>0</v>
      </c>
      <c r="M31" s="112"/>
      <c r="N31" s="112"/>
      <c r="O31" s="112"/>
    </row>
    <row r="32" spans="1:15" ht="21.75" customHeight="1" x14ac:dyDescent="0.25">
      <c r="A32" s="121" t="s">
        <v>134</v>
      </c>
      <c r="B32" s="112"/>
      <c r="C32" s="43" t="s">
        <v>62</v>
      </c>
      <c r="D32" s="43" t="s">
        <v>137</v>
      </c>
      <c r="E32" s="43">
        <v>1</v>
      </c>
      <c r="F32" s="72">
        <v>9.2592592592592587E-3</v>
      </c>
      <c r="G32" s="114" t="s">
        <v>1491</v>
      </c>
      <c r="H32" s="112"/>
      <c r="I32" s="112"/>
      <c r="J32" s="112"/>
      <c r="K32" s="112"/>
      <c r="L32" s="115">
        <f>IFERROR(INDEX('BASE BI'!T:T,MATCH(A32,'BASE BI'!Y:Y,0)),"—")</f>
        <v>0</v>
      </c>
      <c r="M32" s="112"/>
      <c r="N32" s="112"/>
      <c r="O32" s="112"/>
    </row>
    <row r="33" spans="1:15" ht="21.75" customHeight="1" x14ac:dyDescent="0.25">
      <c r="A33" s="120" t="s">
        <v>233</v>
      </c>
      <c r="B33" s="112"/>
      <c r="C33" s="45" t="s">
        <v>62</v>
      </c>
      <c r="D33" s="45" t="s">
        <v>137</v>
      </c>
      <c r="E33" s="45">
        <v>1</v>
      </c>
      <c r="F33" s="73">
        <v>9.2592592592592587E-3</v>
      </c>
      <c r="G33" s="119" t="s">
        <v>1244</v>
      </c>
      <c r="H33" s="112"/>
      <c r="I33" s="112"/>
      <c r="J33" s="112"/>
      <c r="K33" s="112"/>
      <c r="L33" s="118" t="str">
        <f>IFERROR(INDEX('BASE BI'!T:T,MATCH(A33,'BASE BI'!Y:Y,0)),"—")</f>
        <v>ATEX NET TELECOMUNICAÇÕES LTDA</v>
      </c>
      <c r="M33" s="112"/>
      <c r="N33" s="112"/>
      <c r="O33" s="112"/>
    </row>
    <row r="34" spans="1:15" ht="21.75" customHeight="1" x14ac:dyDescent="0.25">
      <c r="A34" s="121" t="s">
        <v>2629</v>
      </c>
      <c r="B34" s="112"/>
      <c r="C34" s="43" t="s">
        <v>62</v>
      </c>
      <c r="D34" s="43" t="s">
        <v>71</v>
      </c>
      <c r="E34" s="43">
        <v>1</v>
      </c>
      <c r="F34" s="72">
        <v>9.2592592592592587E-3</v>
      </c>
      <c r="G34" s="114" t="s">
        <v>583</v>
      </c>
      <c r="H34" s="112"/>
      <c r="I34" s="112"/>
      <c r="J34" s="112"/>
      <c r="K34" s="112"/>
      <c r="L34" s="115" t="str">
        <f>IFERROR(INDEX('BASE BI'!T:T,MATCH(A34,'BASE BI'!Y:Y,0)),"—")</f>
        <v>NMA SERVICOS DE TELECOMUNICACOES LTDA</v>
      </c>
      <c r="M34" s="112"/>
      <c r="N34" s="112"/>
      <c r="O34" s="112"/>
    </row>
    <row r="35" spans="1:15" ht="30" customHeight="1" x14ac:dyDescent="0.25">
      <c r="A35" s="128" t="s">
        <v>3300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</row>
    <row r="36" spans="1:15" x14ac:dyDescent="0.25">
      <c r="A36" t="s">
        <v>224</v>
      </c>
      <c r="C36" t="s">
        <v>79</v>
      </c>
      <c r="D36" t="s">
        <v>226</v>
      </c>
      <c r="E36">
        <v>1</v>
      </c>
      <c r="F36" s="74">
        <v>9.2592592592592587E-3</v>
      </c>
      <c r="G36" t="s">
        <v>1320</v>
      </c>
    </row>
  </sheetData>
  <mergeCells count="84">
    <mergeCell ref="A1:L1"/>
    <mergeCell ref="M1:O1"/>
    <mergeCell ref="A13:B13"/>
    <mergeCell ref="A31:B31"/>
    <mergeCell ref="G22:K22"/>
    <mergeCell ref="J6:O6"/>
    <mergeCell ref="D4:F4"/>
    <mergeCell ref="A18:B18"/>
    <mergeCell ref="G18:K18"/>
    <mergeCell ref="L13:O13"/>
    <mergeCell ref="G34:K34"/>
    <mergeCell ref="L15:O15"/>
    <mergeCell ref="A20:B20"/>
    <mergeCell ref="A29:B29"/>
    <mergeCell ref="G20:K20"/>
    <mergeCell ref="A35:O35"/>
    <mergeCell ref="A21:B21"/>
    <mergeCell ref="A10:O10"/>
    <mergeCell ref="A32:B32"/>
    <mergeCell ref="A14:B14"/>
    <mergeCell ref="L24:O24"/>
    <mergeCell ref="L18:O18"/>
    <mergeCell ref="L33:O33"/>
    <mergeCell ref="G29:K29"/>
    <mergeCell ref="G31:K31"/>
    <mergeCell ref="G21:K21"/>
    <mergeCell ref="L11:O11"/>
    <mergeCell ref="A16:B16"/>
    <mergeCell ref="A26:O26"/>
    <mergeCell ref="G32:K32"/>
    <mergeCell ref="L20:O20"/>
    <mergeCell ref="L29:O29"/>
    <mergeCell ref="A34:B34"/>
    <mergeCell ref="L22:O22"/>
    <mergeCell ref="G27:K27"/>
    <mergeCell ref="L32:O32"/>
    <mergeCell ref="J4:O4"/>
    <mergeCell ref="A2:O2"/>
    <mergeCell ref="A5:C5"/>
    <mergeCell ref="G28:K28"/>
    <mergeCell ref="G4:I4"/>
    <mergeCell ref="L16:O16"/>
    <mergeCell ref="A4:C4"/>
    <mergeCell ref="D5:F5"/>
    <mergeCell ref="G14:K14"/>
    <mergeCell ref="A8:K8"/>
    <mergeCell ref="G17:K17"/>
    <mergeCell ref="G5:I5"/>
    <mergeCell ref="G19:K19"/>
    <mergeCell ref="A12:B12"/>
    <mergeCell ref="A9:O9"/>
    <mergeCell ref="L8:O8"/>
    <mergeCell ref="A28:B28"/>
    <mergeCell ref="A30:B30"/>
    <mergeCell ref="L31:O31"/>
    <mergeCell ref="G6:I6"/>
    <mergeCell ref="A11:B11"/>
    <mergeCell ref="G11:K11"/>
    <mergeCell ref="L21:O21"/>
    <mergeCell ref="G30:K30"/>
    <mergeCell ref="L30:O30"/>
    <mergeCell ref="D6:F6"/>
    <mergeCell ref="A22:B22"/>
    <mergeCell ref="L14:O14"/>
    <mergeCell ref="J5:O5"/>
    <mergeCell ref="A19:B19"/>
    <mergeCell ref="G16:K16"/>
    <mergeCell ref="A6:C6"/>
    <mergeCell ref="A25:O25"/>
    <mergeCell ref="A15:B15"/>
    <mergeCell ref="G12:K12"/>
    <mergeCell ref="L34:O34"/>
    <mergeCell ref="A24:K24"/>
    <mergeCell ref="L27:O27"/>
    <mergeCell ref="L17:O17"/>
    <mergeCell ref="G13:K13"/>
    <mergeCell ref="A27:B27"/>
    <mergeCell ref="L19:O19"/>
    <mergeCell ref="L28:O28"/>
    <mergeCell ref="G15:K15"/>
    <mergeCell ref="A33:B33"/>
    <mergeCell ref="L12:O12"/>
    <mergeCell ref="G33:K33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54F0B"/>
  </sheetPr>
  <dimension ref="A1:O61"/>
  <sheetViews>
    <sheetView showGridLines="0" workbookViewId="0"/>
  </sheetViews>
  <sheetFormatPr defaultColWidth="8.7109375" defaultRowHeight="15" x14ac:dyDescent="0.25"/>
  <cols>
    <col min="1" max="2" width="13" customWidth="1"/>
    <col min="3" max="3" width="12" customWidth="1"/>
    <col min="4" max="4" width="36" customWidth="1"/>
    <col min="5" max="5" width="6" customWidth="1"/>
    <col min="6" max="6" width="18" customWidth="1"/>
    <col min="7" max="7" width="10" customWidth="1"/>
    <col min="8" max="9" width="13" customWidth="1"/>
    <col min="10" max="10" width="32" customWidth="1"/>
    <col min="11" max="11" width="2" customWidth="1"/>
    <col min="12" max="13" width="10" customWidth="1"/>
  </cols>
  <sheetData>
    <row r="1" spans="1:15" ht="18" customHeight="1" x14ac:dyDescent="0.25">
      <c r="A1" s="101" t="s">
        <v>6433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5" x14ac:dyDescent="0.25">
      <c r="A2" s="132" t="s">
        <v>6434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4" spans="1:15" x14ac:dyDescent="0.25">
      <c r="A4" s="103" t="s">
        <v>6435</v>
      </c>
      <c r="B4" s="84"/>
      <c r="C4" s="84"/>
    </row>
    <row r="5" spans="1:15" ht="15.75" customHeight="1" x14ac:dyDescent="0.25">
      <c r="A5" s="22" t="s">
        <v>6436</v>
      </c>
      <c r="B5" s="23">
        <v>46023</v>
      </c>
      <c r="C5" s="24" t="s">
        <v>6437</v>
      </c>
    </row>
    <row r="6" spans="1:15" ht="15.75" customHeight="1" x14ac:dyDescent="0.25">
      <c r="A6" s="22" t="s">
        <v>6438</v>
      </c>
      <c r="B6" s="23">
        <v>46139</v>
      </c>
      <c r="C6" s="24" t="s">
        <v>6439</v>
      </c>
    </row>
    <row r="7" spans="1:15" ht="16.5" customHeight="1" x14ac:dyDescent="0.25">
      <c r="A7" s="25" t="s">
        <v>6440</v>
      </c>
      <c r="D7" s="26">
        <f>COUNTIFS('BASE BI'!N:N,"&gt;="&amp;B5,'BASE BI'!N:N,"&lt;="&amp;B6+0.99999)</f>
        <v>1188</v>
      </c>
      <c r="E7" s="25" t="s">
        <v>6441</v>
      </c>
      <c r="G7" s="27">
        <f>COUNTIFS('BASE BI'!N:N,"&gt;="&amp;B5,'BASE BI'!N:N,"&lt;="&amp;B6+0.99999,'BASE BI'!AH:AH,"&gt;"&amp;24)</f>
        <v>121</v>
      </c>
      <c r="H7" s="25" t="s">
        <v>6442</v>
      </c>
      <c r="J7" s="28">
        <f>COUNTIFS('BASE BI'!N:N,"&gt;="&amp;B5,'BASE BI'!N:N,"&lt;="&amp;B6+0.99999,'BASE BI'!AH:AH,"&lt;="&amp;8)</f>
        <v>638</v>
      </c>
      <c r="K7" s="25" t="s">
        <v>6443</v>
      </c>
      <c r="M7" s="29">
        <f>IFERROR(G7/D7,0)</f>
        <v>0.10185185185185185</v>
      </c>
    </row>
    <row r="8" spans="1:15" x14ac:dyDescent="0.25">
      <c r="A8" s="105" t="s">
        <v>6444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1:15" x14ac:dyDescent="0.25">
      <c r="A9" s="30" t="s">
        <v>6445</v>
      </c>
    </row>
    <row r="10" spans="1:15" x14ac:dyDescent="0.25">
      <c r="A10" s="83" t="s">
        <v>6446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31" t="s">
        <v>6447</v>
      </c>
    </row>
    <row r="11" spans="1:15" ht="24" customHeight="1" x14ac:dyDescent="0.25">
      <c r="A11" s="32" t="s">
        <v>6448</v>
      </c>
      <c r="B11" s="32" t="s">
        <v>6449</v>
      </c>
      <c r="C11" s="32" t="s">
        <v>6450</v>
      </c>
      <c r="D11" s="32" t="s">
        <v>6451</v>
      </c>
      <c r="E11" s="32" t="s">
        <v>6422</v>
      </c>
      <c r="F11" s="32" t="s">
        <v>6452</v>
      </c>
      <c r="G11" s="32" t="s">
        <v>6453</v>
      </c>
      <c r="H11" s="32" t="s">
        <v>6454</v>
      </c>
      <c r="I11" s="32" t="s">
        <v>6455</v>
      </c>
      <c r="J11" s="32" t="s">
        <v>6456</v>
      </c>
      <c r="N11" s="33" t="s">
        <v>6422</v>
      </c>
      <c r="O11" s="33" t="s">
        <v>6457</v>
      </c>
    </row>
    <row r="12" spans="1:15" x14ac:dyDescent="0.25">
      <c r="A12" s="13">
        <v>1</v>
      </c>
      <c r="B12" s="34">
        <v>187</v>
      </c>
      <c r="C12" s="34">
        <v>216233</v>
      </c>
      <c r="D12" s="35" t="s">
        <v>88</v>
      </c>
      <c r="E12" s="13" t="s">
        <v>62</v>
      </c>
      <c r="F12" s="35" t="s">
        <v>63</v>
      </c>
      <c r="G12" s="36">
        <v>7</v>
      </c>
      <c r="H12" s="34" t="s">
        <v>6458</v>
      </c>
      <c r="I12" s="34" t="s">
        <v>6459</v>
      </c>
      <c r="J12" s="35" t="s">
        <v>583</v>
      </c>
      <c r="N12" s="13" t="s">
        <v>62</v>
      </c>
      <c r="O12" s="37">
        <v>562</v>
      </c>
    </row>
    <row r="13" spans="1:15" x14ac:dyDescent="0.25">
      <c r="A13" s="17">
        <v>2</v>
      </c>
      <c r="B13" s="38">
        <v>129</v>
      </c>
      <c r="C13" s="38">
        <v>218791</v>
      </c>
      <c r="D13" s="39" t="s">
        <v>312</v>
      </c>
      <c r="E13" s="17" t="s">
        <v>62</v>
      </c>
      <c r="F13" s="39" t="s">
        <v>63</v>
      </c>
      <c r="G13" s="36">
        <v>7</v>
      </c>
      <c r="H13" s="38" t="s">
        <v>6460</v>
      </c>
      <c r="I13" s="38" t="s">
        <v>6461</v>
      </c>
      <c r="J13" s="39" t="s">
        <v>583</v>
      </c>
      <c r="N13" s="17" t="s">
        <v>79</v>
      </c>
      <c r="O13" s="40">
        <v>73</v>
      </c>
    </row>
    <row r="14" spans="1:15" x14ac:dyDescent="0.25">
      <c r="A14" s="13">
        <v>3</v>
      </c>
      <c r="B14" s="34">
        <v>426</v>
      </c>
      <c r="C14" s="34">
        <v>216233</v>
      </c>
      <c r="D14" s="35" t="s">
        <v>88</v>
      </c>
      <c r="E14" s="13" t="s">
        <v>62</v>
      </c>
      <c r="F14" s="35" t="s">
        <v>63</v>
      </c>
      <c r="G14" s="36">
        <v>7</v>
      </c>
      <c r="H14" s="34" t="s">
        <v>6462</v>
      </c>
      <c r="I14" s="34" t="s">
        <v>6463</v>
      </c>
      <c r="J14" s="35" t="s">
        <v>1244</v>
      </c>
      <c r="N14" s="13" t="s">
        <v>118</v>
      </c>
      <c r="O14" s="37">
        <v>64</v>
      </c>
    </row>
    <row r="15" spans="1:15" x14ac:dyDescent="0.25">
      <c r="A15" s="17">
        <v>4</v>
      </c>
      <c r="B15" s="38">
        <v>422</v>
      </c>
      <c r="C15" s="38">
        <v>216233</v>
      </c>
      <c r="D15" s="39" t="s">
        <v>88</v>
      </c>
      <c r="E15" s="17" t="s">
        <v>62</v>
      </c>
      <c r="F15" s="39" t="s">
        <v>63</v>
      </c>
      <c r="G15" s="36">
        <v>7</v>
      </c>
      <c r="H15" s="38" t="s">
        <v>6464</v>
      </c>
      <c r="I15" s="38" t="s">
        <v>6465</v>
      </c>
      <c r="J15" s="39" t="s">
        <v>583</v>
      </c>
      <c r="N15" s="17" t="s">
        <v>392</v>
      </c>
      <c r="O15" s="40">
        <v>7</v>
      </c>
    </row>
    <row r="16" spans="1:15" x14ac:dyDescent="0.25">
      <c r="A16" s="13">
        <v>5</v>
      </c>
      <c r="B16" s="34">
        <v>11</v>
      </c>
      <c r="C16" s="34">
        <v>218297</v>
      </c>
      <c r="D16" s="35" t="s">
        <v>258</v>
      </c>
      <c r="E16" s="13" t="s">
        <v>62</v>
      </c>
      <c r="F16" s="35" t="s">
        <v>63</v>
      </c>
      <c r="G16" s="36">
        <v>7</v>
      </c>
      <c r="H16" s="34" t="s">
        <v>6466</v>
      </c>
      <c r="I16" s="34" t="s">
        <v>6467</v>
      </c>
      <c r="J16" s="35" t="s">
        <v>583</v>
      </c>
      <c r="N16" s="13" t="s">
        <v>2053</v>
      </c>
      <c r="O16" s="37">
        <v>4</v>
      </c>
    </row>
    <row r="17" spans="1:10" x14ac:dyDescent="0.25">
      <c r="A17" s="17">
        <v>6</v>
      </c>
      <c r="B17" s="38">
        <v>1</v>
      </c>
      <c r="C17" s="38">
        <v>225005</v>
      </c>
      <c r="D17" s="39" t="s">
        <v>6468</v>
      </c>
      <c r="E17" s="17" t="s">
        <v>118</v>
      </c>
      <c r="F17" s="39" t="s">
        <v>400</v>
      </c>
      <c r="G17" s="36">
        <v>7</v>
      </c>
      <c r="H17" s="38" t="s">
        <v>6469</v>
      </c>
      <c r="I17" s="38" t="s">
        <v>6470</v>
      </c>
      <c r="J17" s="39" t="s">
        <v>1244</v>
      </c>
    </row>
    <row r="18" spans="1:10" x14ac:dyDescent="0.25">
      <c r="A18" s="13">
        <v>7</v>
      </c>
      <c r="B18" s="34">
        <v>299</v>
      </c>
      <c r="C18" s="34">
        <v>49495</v>
      </c>
      <c r="D18" s="35" t="s">
        <v>460</v>
      </c>
      <c r="E18" s="13" t="s">
        <v>62</v>
      </c>
      <c r="F18" s="35" t="s">
        <v>63</v>
      </c>
      <c r="G18" s="36">
        <v>6</v>
      </c>
      <c r="H18" s="34" t="s">
        <v>6471</v>
      </c>
      <c r="I18" s="34" t="s">
        <v>6470</v>
      </c>
      <c r="J18" s="35" t="s">
        <v>1375</v>
      </c>
    </row>
    <row r="19" spans="1:10" x14ac:dyDescent="0.25">
      <c r="A19" s="17">
        <v>8</v>
      </c>
      <c r="B19" s="38">
        <v>300</v>
      </c>
      <c r="C19" s="38">
        <v>49495</v>
      </c>
      <c r="D19" s="39" t="s">
        <v>460</v>
      </c>
      <c r="E19" s="17" t="s">
        <v>62</v>
      </c>
      <c r="F19" s="39" t="s">
        <v>1049</v>
      </c>
      <c r="G19" s="36">
        <v>6</v>
      </c>
      <c r="H19" s="38" t="s">
        <v>6462</v>
      </c>
      <c r="I19" s="38" t="s">
        <v>6472</v>
      </c>
      <c r="J19" s="39" t="s">
        <v>1311</v>
      </c>
    </row>
    <row r="20" spans="1:10" x14ac:dyDescent="0.25">
      <c r="A20" s="13">
        <v>9</v>
      </c>
      <c r="B20" s="34">
        <v>367</v>
      </c>
      <c r="C20" s="34">
        <v>218787</v>
      </c>
      <c r="D20" s="35" t="s">
        <v>96</v>
      </c>
      <c r="E20" s="13" t="s">
        <v>62</v>
      </c>
      <c r="F20" s="35" t="s">
        <v>63</v>
      </c>
      <c r="G20" s="36">
        <v>6</v>
      </c>
      <c r="H20" s="34" t="s">
        <v>6469</v>
      </c>
      <c r="I20" s="34" t="s">
        <v>6473</v>
      </c>
      <c r="J20" s="35" t="s">
        <v>583</v>
      </c>
    </row>
    <row r="21" spans="1:10" x14ac:dyDescent="0.25">
      <c r="A21" s="17">
        <v>10</v>
      </c>
      <c r="B21" s="38">
        <v>57</v>
      </c>
      <c r="C21" s="38">
        <v>218787</v>
      </c>
      <c r="D21" s="39" t="s">
        <v>96</v>
      </c>
      <c r="E21" s="17" t="s">
        <v>62</v>
      </c>
      <c r="F21" s="39" t="s">
        <v>63</v>
      </c>
      <c r="G21" s="36">
        <v>5</v>
      </c>
      <c r="H21" s="38" t="s">
        <v>6469</v>
      </c>
      <c r="I21" s="38" t="s">
        <v>6474</v>
      </c>
      <c r="J21" s="39" t="s">
        <v>583</v>
      </c>
    </row>
    <row r="22" spans="1:10" x14ac:dyDescent="0.25">
      <c r="A22" s="13">
        <v>11</v>
      </c>
      <c r="B22" s="34">
        <v>340</v>
      </c>
      <c r="C22" s="34">
        <v>218787</v>
      </c>
      <c r="D22" s="35" t="s">
        <v>96</v>
      </c>
      <c r="E22" s="13" t="s">
        <v>62</v>
      </c>
      <c r="F22" s="35" t="s">
        <v>63</v>
      </c>
      <c r="G22" s="36">
        <v>5</v>
      </c>
      <c r="H22" s="34" t="s">
        <v>6475</v>
      </c>
      <c r="I22" s="34" t="s">
        <v>6476</v>
      </c>
      <c r="J22" s="35" t="s">
        <v>583</v>
      </c>
    </row>
    <row r="23" spans="1:10" x14ac:dyDescent="0.25">
      <c r="A23" s="17">
        <v>12</v>
      </c>
      <c r="B23" s="38">
        <v>225</v>
      </c>
      <c r="C23" s="38">
        <v>218791</v>
      </c>
      <c r="D23" s="39" t="s">
        <v>312</v>
      </c>
      <c r="E23" s="17" t="s">
        <v>62</v>
      </c>
      <c r="F23" s="39" t="s">
        <v>63</v>
      </c>
      <c r="G23" s="36">
        <v>5</v>
      </c>
      <c r="H23" s="38" t="s">
        <v>6477</v>
      </c>
      <c r="I23" s="38" t="s">
        <v>6478</v>
      </c>
      <c r="J23" s="39" t="s">
        <v>1244</v>
      </c>
    </row>
    <row r="24" spans="1:10" x14ac:dyDescent="0.25">
      <c r="A24" s="13">
        <v>13</v>
      </c>
      <c r="B24" s="34">
        <v>1131</v>
      </c>
      <c r="C24" s="34">
        <v>83605</v>
      </c>
      <c r="D24" s="35" t="s">
        <v>844</v>
      </c>
      <c r="E24" s="13" t="s">
        <v>62</v>
      </c>
      <c r="F24" s="35" t="s">
        <v>63</v>
      </c>
      <c r="G24" s="36">
        <v>5</v>
      </c>
      <c r="H24" s="34" t="s">
        <v>6479</v>
      </c>
      <c r="I24" s="34" t="s">
        <v>6470</v>
      </c>
      <c r="J24" s="35" t="s">
        <v>583</v>
      </c>
    </row>
    <row r="25" spans="1:10" x14ac:dyDescent="0.25">
      <c r="A25" s="17">
        <v>14</v>
      </c>
      <c r="B25" s="38">
        <v>7</v>
      </c>
      <c r="C25" s="38">
        <v>219529</v>
      </c>
      <c r="D25" s="39" t="s">
        <v>6480</v>
      </c>
      <c r="E25" s="17" t="s">
        <v>2053</v>
      </c>
      <c r="F25" s="39" t="s">
        <v>2054</v>
      </c>
      <c r="G25" s="41">
        <v>4</v>
      </c>
      <c r="H25" s="38" t="s">
        <v>6481</v>
      </c>
      <c r="I25" s="38" t="s">
        <v>6472</v>
      </c>
      <c r="J25" s="39" t="s">
        <v>1244</v>
      </c>
    </row>
    <row r="26" spans="1:10" x14ac:dyDescent="0.25">
      <c r="A26" s="13">
        <v>15</v>
      </c>
      <c r="B26" s="34">
        <v>147</v>
      </c>
      <c r="C26" s="34">
        <v>212995</v>
      </c>
      <c r="D26" s="35" t="s">
        <v>3124</v>
      </c>
      <c r="E26" s="13" t="s">
        <v>118</v>
      </c>
      <c r="F26" s="35" t="s">
        <v>2614</v>
      </c>
      <c r="G26" s="41">
        <v>4</v>
      </c>
      <c r="H26" s="34" t="s">
        <v>6460</v>
      </c>
      <c r="I26" s="34" t="s">
        <v>6461</v>
      </c>
      <c r="J26" s="35" t="s">
        <v>583</v>
      </c>
    </row>
    <row r="27" spans="1:10" x14ac:dyDescent="0.25">
      <c r="A27" s="17">
        <v>16</v>
      </c>
      <c r="B27" s="38">
        <v>51</v>
      </c>
      <c r="C27" s="38">
        <v>216233</v>
      </c>
      <c r="D27" s="39" t="s">
        <v>88</v>
      </c>
      <c r="E27" s="17" t="s">
        <v>62</v>
      </c>
      <c r="F27" s="39" t="s">
        <v>63</v>
      </c>
      <c r="G27" s="41">
        <v>4</v>
      </c>
      <c r="H27" s="38" t="s">
        <v>6482</v>
      </c>
      <c r="I27" s="38" t="s">
        <v>6461</v>
      </c>
      <c r="J27" s="39" t="s">
        <v>1273</v>
      </c>
    </row>
    <row r="28" spans="1:10" x14ac:dyDescent="0.25">
      <c r="A28" s="13">
        <v>17</v>
      </c>
      <c r="B28" s="34">
        <v>16</v>
      </c>
      <c r="C28" s="34">
        <v>203391</v>
      </c>
      <c r="D28" s="35" t="s">
        <v>6483</v>
      </c>
      <c r="E28" s="13" t="s">
        <v>118</v>
      </c>
      <c r="F28" s="35" t="s">
        <v>119</v>
      </c>
      <c r="G28" s="41">
        <v>4</v>
      </c>
      <c r="H28" s="34" t="s">
        <v>6484</v>
      </c>
      <c r="I28" s="34" t="s">
        <v>6485</v>
      </c>
      <c r="J28" s="35" t="s">
        <v>1491</v>
      </c>
    </row>
    <row r="29" spans="1:10" x14ac:dyDescent="0.25">
      <c r="A29" s="17">
        <v>18</v>
      </c>
      <c r="B29" s="38">
        <v>17</v>
      </c>
      <c r="C29" s="38">
        <v>202197</v>
      </c>
      <c r="D29" s="39" t="s">
        <v>6486</v>
      </c>
      <c r="E29" s="17" t="s">
        <v>79</v>
      </c>
      <c r="F29" s="39" t="s">
        <v>224</v>
      </c>
      <c r="G29" s="41">
        <v>4</v>
      </c>
      <c r="H29" s="38" t="s">
        <v>6482</v>
      </c>
      <c r="I29" s="38" t="s">
        <v>6487</v>
      </c>
      <c r="J29" s="39" t="s">
        <v>1273</v>
      </c>
    </row>
    <row r="30" spans="1:10" x14ac:dyDescent="0.25">
      <c r="A30" s="13">
        <v>19</v>
      </c>
      <c r="B30" s="34">
        <v>114</v>
      </c>
      <c r="C30" s="34">
        <v>218791</v>
      </c>
      <c r="D30" s="35" t="s">
        <v>312</v>
      </c>
      <c r="E30" s="13" t="s">
        <v>62</v>
      </c>
      <c r="F30" s="35" t="s">
        <v>63</v>
      </c>
      <c r="G30" s="41">
        <v>4</v>
      </c>
      <c r="H30" s="34" t="s">
        <v>6488</v>
      </c>
      <c r="I30" s="34" t="s">
        <v>6489</v>
      </c>
      <c r="J30" s="35" t="s">
        <v>583</v>
      </c>
    </row>
    <row r="31" spans="1:10" x14ac:dyDescent="0.25">
      <c r="A31" s="17">
        <v>20</v>
      </c>
      <c r="B31" s="38">
        <v>157</v>
      </c>
      <c r="C31" s="38">
        <v>216233</v>
      </c>
      <c r="D31" s="39" t="s">
        <v>88</v>
      </c>
      <c r="E31" s="17" t="s">
        <v>62</v>
      </c>
      <c r="F31" s="39" t="s">
        <v>63</v>
      </c>
      <c r="G31" s="41">
        <v>4</v>
      </c>
      <c r="H31" s="38" t="s">
        <v>6490</v>
      </c>
      <c r="I31" s="38" t="s">
        <v>6491</v>
      </c>
      <c r="J31" s="39" t="s">
        <v>1244</v>
      </c>
    </row>
    <row r="32" spans="1:10" x14ac:dyDescent="0.25">
      <c r="A32" s="13">
        <v>21</v>
      </c>
      <c r="B32" s="34">
        <v>2</v>
      </c>
      <c r="C32" s="34">
        <v>209013</v>
      </c>
      <c r="D32" s="35" t="s">
        <v>243</v>
      </c>
      <c r="E32" s="13" t="s">
        <v>79</v>
      </c>
      <c r="F32" s="35" t="s">
        <v>110</v>
      </c>
      <c r="G32" s="41">
        <v>4</v>
      </c>
      <c r="H32" s="34" t="s">
        <v>6492</v>
      </c>
      <c r="I32" s="34" t="s">
        <v>6493</v>
      </c>
      <c r="J32" s="35" t="s">
        <v>1794</v>
      </c>
    </row>
    <row r="33" spans="1:10" x14ac:dyDescent="0.25">
      <c r="A33" s="17">
        <v>22</v>
      </c>
      <c r="B33" s="38">
        <v>154</v>
      </c>
      <c r="C33" s="38">
        <v>218791</v>
      </c>
      <c r="D33" s="39" t="s">
        <v>312</v>
      </c>
      <c r="E33" s="17" t="s">
        <v>62</v>
      </c>
      <c r="F33" s="39" t="s">
        <v>63</v>
      </c>
      <c r="G33" s="41">
        <v>4</v>
      </c>
      <c r="H33" s="38" t="s">
        <v>6494</v>
      </c>
      <c r="I33" s="38" t="s">
        <v>6495</v>
      </c>
      <c r="J33" s="39" t="s">
        <v>1268</v>
      </c>
    </row>
    <row r="34" spans="1:10" x14ac:dyDescent="0.25">
      <c r="A34" s="13">
        <v>23</v>
      </c>
      <c r="B34" s="34">
        <v>525</v>
      </c>
      <c r="C34" s="34">
        <v>218791</v>
      </c>
      <c r="D34" s="35" t="s">
        <v>312</v>
      </c>
      <c r="E34" s="13" t="s">
        <v>62</v>
      </c>
      <c r="F34" s="35" t="s">
        <v>63</v>
      </c>
      <c r="G34" s="41">
        <v>4</v>
      </c>
      <c r="H34" s="34" t="s">
        <v>6496</v>
      </c>
      <c r="I34" s="34" t="s">
        <v>6461</v>
      </c>
      <c r="J34" s="35" t="s">
        <v>583</v>
      </c>
    </row>
    <row r="35" spans="1:10" x14ac:dyDescent="0.25">
      <c r="A35" s="17">
        <v>24</v>
      </c>
      <c r="B35" s="38">
        <v>508</v>
      </c>
      <c r="C35" s="38">
        <v>218787</v>
      </c>
      <c r="D35" s="39" t="s">
        <v>96</v>
      </c>
      <c r="E35" s="17" t="s">
        <v>62</v>
      </c>
      <c r="F35" s="39" t="s">
        <v>63</v>
      </c>
      <c r="G35" s="41">
        <v>4</v>
      </c>
      <c r="H35" s="38" t="s">
        <v>6497</v>
      </c>
      <c r="I35" s="38" t="s">
        <v>6498</v>
      </c>
      <c r="J35" s="39" t="s">
        <v>1273</v>
      </c>
    </row>
    <row r="36" spans="1:10" x14ac:dyDescent="0.25">
      <c r="A36" s="13">
        <v>25</v>
      </c>
      <c r="B36" s="34">
        <v>93</v>
      </c>
      <c r="C36" s="34">
        <v>1819</v>
      </c>
      <c r="D36" s="35" t="s">
        <v>6499</v>
      </c>
      <c r="E36" s="13" t="s">
        <v>62</v>
      </c>
      <c r="F36" s="35" t="s">
        <v>63</v>
      </c>
      <c r="G36" s="41">
        <v>4</v>
      </c>
      <c r="H36" s="34" t="s">
        <v>6500</v>
      </c>
      <c r="I36" s="34" t="s">
        <v>6501</v>
      </c>
      <c r="J36" s="35" t="s">
        <v>583</v>
      </c>
    </row>
    <row r="37" spans="1:10" x14ac:dyDescent="0.25">
      <c r="A37" s="17">
        <v>26</v>
      </c>
      <c r="B37" s="38">
        <v>362</v>
      </c>
      <c r="C37" s="38">
        <v>218787</v>
      </c>
      <c r="D37" s="39" t="s">
        <v>96</v>
      </c>
      <c r="E37" s="17" t="s">
        <v>62</v>
      </c>
      <c r="F37" s="39" t="s">
        <v>63</v>
      </c>
      <c r="G37" s="41">
        <v>4</v>
      </c>
      <c r="H37" s="38" t="s">
        <v>6502</v>
      </c>
      <c r="I37" s="38" t="s">
        <v>6461</v>
      </c>
      <c r="J37" s="39" t="s">
        <v>583</v>
      </c>
    </row>
    <row r="38" spans="1:10" x14ac:dyDescent="0.25">
      <c r="A38" s="13">
        <v>27</v>
      </c>
      <c r="B38" s="34">
        <v>1</v>
      </c>
      <c r="C38" s="34">
        <v>225435</v>
      </c>
      <c r="D38" s="35" t="s">
        <v>453</v>
      </c>
      <c r="E38" s="13" t="s">
        <v>62</v>
      </c>
      <c r="F38" s="35" t="s">
        <v>63</v>
      </c>
      <c r="G38" s="41">
        <v>4</v>
      </c>
      <c r="H38" s="34" t="s">
        <v>6503</v>
      </c>
      <c r="I38" s="34" t="s">
        <v>6504</v>
      </c>
      <c r="J38" s="35" t="s">
        <v>1320</v>
      </c>
    </row>
    <row r="39" spans="1:10" x14ac:dyDescent="0.25">
      <c r="A39" s="17">
        <v>28</v>
      </c>
      <c r="B39" s="38">
        <v>77</v>
      </c>
      <c r="C39" s="38">
        <v>218791</v>
      </c>
      <c r="D39" s="39" t="s">
        <v>312</v>
      </c>
      <c r="E39" s="17" t="s">
        <v>62</v>
      </c>
      <c r="F39" s="39" t="s">
        <v>63</v>
      </c>
      <c r="G39" s="41">
        <v>4</v>
      </c>
      <c r="H39" s="38" t="s">
        <v>6490</v>
      </c>
      <c r="I39" s="38" t="s">
        <v>6495</v>
      </c>
      <c r="J39" s="39" t="s">
        <v>1244</v>
      </c>
    </row>
    <row r="40" spans="1:10" x14ac:dyDescent="0.25">
      <c r="A40" s="13">
        <v>29</v>
      </c>
      <c r="B40" s="34">
        <v>297</v>
      </c>
      <c r="C40" s="34">
        <v>218787</v>
      </c>
      <c r="D40" s="35" t="s">
        <v>96</v>
      </c>
      <c r="E40" s="13" t="s">
        <v>62</v>
      </c>
      <c r="F40" s="35" t="s">
        <v>63</v>
      </c>
      <c r="G40" s="41">
        <v>4</v>
      </c>
      <c r="H40" s="34" t="s">
        <v>6505</v>
      </c>
      <c r="I40" s="34" t="s">
        <v>6506</v>
      </c>
      <c r="J40" s="35" t="s">
        <v>1316</v>
      </c>
    </row>
    <row r="41" spans="1:10" x14ac:dyDescent="0.25">
      <c r="A41" s="17">
        <v>30</v>
      </c>
      <c r="B41" s="38">
        <v>272</v>
      </c>
      <c r="C41" s="38">
        <v>218787</v>
      </c>
      <c r="D41" s="39" t="s">
        <v>96</v>
      </c>
      <c r="E41" s="17" t="s">
        <v>62</v>
      </c>
      <c r="F41" s="39" t="s">
        <v>63</v>
      </c>
      <c r="G41" s="41">
        <v>4</v>
      </c>
      <c r="H41" s="38" t="s">
        <v>6492</v>
      </c>
      <c r="I41" s="38" t="s">
        <v>6470</v>
      </c>
      <c r="J41" s="39" t="s">
        <v>583</v>
      </c>
    </row>
    <row r="42" spans="1:10" x14ac:dyDescent="0.25">
      <c r="A42" s="13">
        <v>31</v>
      </c>
      <c r="B42" s="34">
        <v>336</v>
      </c>
      <c r="C42" s="34">
        <v>218787</v>
      </c>
      <c r="D42" s="35" t="s">
        <v>96</v>
      </c>
      <c r="E42" s="13" t="s">
        <v>62</v>
      </c>
      <c r="F42" s="35" t="s">
        <v>63</v>
      </c>
      <c r="G42" s="41">
        <v>4</v>
      </c>
      <c r="H42" s="34" t="s">
        <v>6490</v>
      </c>
      <c r="I42" s="34" t="s">
        <v>6491</v>
      </c>
      <c r="J42" s="35" t="s">
        <v>1244</v>
      </c>
    </row>
    <row r="43" spans="1:10" x14ac:dyDescent="0.25">
      <c r="A43" s="17">
        <v>32</v>
      </c>
      <c r="B43" s="38">
        <v>108</v>
      </c>
      <c r="C43" s="38">
        <v>13955</v>
      </c>
      <c r="D43" s="39" t="s">
        <v>75</v>
      </c>
      <c r="E43" s="17" t="s">
        <v>62</v>
      </c>
      <c r="F43" s="39" t="s">
        <v>931</v>
      </c>
      <c r="G43" s="41">
        <v>4</v>
      </c>
      <c r="H43" s="38" t="s">
        <v>6507</v>
      </c>
      <c r="I43" s="38" t="s">
        <v>6508</v>
      </c>
      <c r="J43" s="39" t="s">
        <v>583</v>
      </c>
    </row>
    <row r="44" spans="1:10" x14ac:dyDescent="0.25">
      <c r="A44" s="13">
        <v>33</v>
      </c>
      <c r="B44" s="34">
        <v>531</v>
      </c>
      <c r="C44" s="34">
        <v>218791</v>
      </c>
      <c r="D44" s="35" t="s">
        <v>312</v>
      </c>
      <c r="E44" s="13" t="s">
        <v>62</v>
      </c>
      <c r="F44" s="35" t="s">
        <v>63</v>
      </c>
      <c r="G44" s="41">
        <v>4</v>
      </c>
      <c r="H44" s="34" t="s">
        <v>6490</v>
      </c>
      <c r="I44" s="34" t="s">
        <v>6509</v>
      </c>
      <c r="J44" s="35" t="s">
        <v>583</v>
      </c>
    </row>
    <row r="45" spans="1:10" x14ac:dyDescent="0.25">
      <c r="A45" s="17">
        <v>34</v>
      </c>
      <c r="B45" s="38">
        <v>1</v>
      </c>
      <c r="C45" s="38">
        <v>218805</v>
      </c>
      <c r="D45" s="39" t="s">
        <v>356</v>
      </c>
      <c r="E45" s="17" t="s">
        <v>62</v>
      </c>
      <c r="F45" s="39" t="s">
        <v>63</v>
      </c>
      <c r="G45" s="41">
        <v>4</v>
      </c>
      <c r="H45" s="38" t="s">
        <v>6503</v>
      </c>
      <c r="I45" s="38" t="s">
        <v>6508</v>
      </c>
      <c r="J45" s="39" t="s">
        <v>583</v>
      </c>
    </row>
    <row r="46" spans="1:10" x14ac:dyDescent="0.25">
      <c r="A46" s="13">
        <v>35</v>
      </c>
      <c r="B46" s="34">
        <v>54</v>
      </c>
      <c r="C46" s="34">
        <v>216233</v>
      </c>
      <c r="D46" s="35" t="s">
        <v>88</v>
      </c>
      <c r="E46" s="13" t="s">
        <v>62</v>
      </c>
      <c r="F46" s="35" t="s">
        <v>63</v>
      </c>
      <c r="G46" s="41">
        <v>4</v>
      </c>
      <c r="H46" s="34" t="s">
        <v>6510</v>
      </c>
      <c r="I46" s="34" t="s">
        <v>6501</v>
      </c>
      <c r="J46" s="35" t="s">
        <v>1244</v>
      </c>
    </row>
    <row r="47" spans="1:10" x14ac:dyDescent="0.25">
      <c r="A47" s="17">
        <v>36</v>
      </c>
      <c r="B47" s="38">
        <v>6</v>
      </c>
      <c r="C47" s="38">
        <v>218297</v>
      </c>
      <c r="D47" s="39" t="s">
        <v>258</v>
      </c>
      <c r="E47" s="17" t="s">
        <v>62</v>
      </c>
      <c r="F47" s="39" t="s">
        <v>63</v>
      </c>
      <c r="G47" s="41">
        <v>4</v>
      </c>
      <c r="H47" s="38" t="s">
        <v>6490</v>
      </c>
      <c r="I47" s="38" t="s">
        <v>6473</v>
      </c>
      <c r="J47" s="39" t="s">
        <v>1268</v>
      </c>
    </row>
    <row r="48" spans="1:10" x14ac:dyDescent="0.25">
      <c r="A48" s="13">
        <v>37</v>
      </c>
      <c r="B48" s="34">
        <v>34</v>
      </c>
      <c r="C48" s="34">
        <v>218791</v>
      </c>
      <c r="D48" s="35" t="s">
        <v>312</v>
      </c>
      <c r="E48" s="13" t="s">
        <v>62</v>
      </c>
      <c r="F48" s="35" t="s">
        <v>63</v>
      </c>
      <c r="G48" s="41">
        <v>4</v>
      </c>
      <c r="H48" s="34" t="s">
        <v>6469</v>
      </c>
      <c r="I48" s="34" t="s">
        <v>6511</v>
      </c>
      <c r="J48" s="35" t="s">
        <v>583</v>
      </c>
    </row>
    <row r="49" spans="1:10" x14ac:dyDescent="0.25">
      <c r="A49" s="17">
        <v>38</v>
      </c>
      <c r="B49" s="38">
        <v>13</v>
      </c>
      <c r="C49" s="38">
        <v>52957</v>
      </c>
      <c r="D49" s="39" t="s">
        <v>6512</v>
      </c>
      <c r="E49" s="17" t="s">
        <v>118</v>
      </c>
      <c r="F49" s="39" t="s">
        <v>579</v>
      </c>
      <c r="G49" s="41">
        <v>4</v>
      </c>
      <c r="H49" s="38" t="s">
        <v>6503</v>
      </c>
      <c r="I49" s="38" t="s">
        <v>6460</v>
      </c>
      <c r="J49" s="39" t="s">
        <v>1375</v>
      </c>
    </row>
    <row r="50" spans="1:10" x14ac:dyDescent="0.25">
      <c r="A50" s="13">
        <v>39</v>
      </c>
      <c r="B50" s="34">
        <v>206</v>
      </c>
      <c r="C50" s="34">
        <v>218787</v>
      </c>
      <c r="D50" s="35" t="s">
        <v>96</v>
      </c>
      <c r="E50" s="13" t="s">
        <v>62</v>
      </c>
      <c r="F50" s="35" t="s">
        <v>63</v>
      </c>
      <c r="G50" s="41">
        <v>4</v>
      </c>
      <c r="H50" s="34" t="s">
        <v>6507</v>
      </c>
      <c r="I50" s="34" t="s">
        <v>6513</v>
      </c>
      <c r="J50" s="35" t="s">
        <v>583</v>
      </c>
    </row>
    <row r="51" spans="1:10" x14ac:dyDescent="0.25">
      <c r="A51" s="17">
        <v>40</v>
      </c>
      <c r="B51" s="38">
        <v>393</v>
      </c>
      <c r="C51" s="38">
        <v>218787</v>
      </c>
      <c r="D51" s="39" t="s">
        <v>96</v>
      </c>
      <c r="E51" s="17" t="s">
        <v>62</v>
      </c>
      <c r="F51" s="39" t="s">
        <v>63</v>
      </c>
      <c r="G51" s="41">
        <v>3</v>
      </c>
      <c r="H51" s="38" t="s">
        <v>6488</v>
      </c>
      <c r="I51" s="38" t="s">
        <v>6514</v>
      </c>
      <c r="J51" s="39" t="s">
        <v>583</v>
      </c>
    </row>
    <row r="52" spans="1:10" x14ac:dyDescent="0.25">
      <c r="A52" s="13">
        <v>41</v>
      </c>
      <c r="B52" s="34">
        <v>794</v>
      </c>
      <c r="C52" s="34">
        <v>42041</v>
      </c>
      <c r="D52" s="35" t="s">
        <v>1700</v>
      </c>
      <c r="E52" s="13" t="s">
        <v>62</v>
      </c>
      <c r="F52" s="35" t="s">
        <v>63</v>
      </c>
      <c r="G52" s="41">
        <v>3</v>
      </c>
      <c r="H52" s="34" t="s">
        <v>6515</v>
      </c>
      <c r="I52" s="34" t="s">
        <v>6498</v>
      </c>
      <c r="J52" s="35" t="s">
        <v>583</v>
      </c>
    </row>
    <row r="53" spans="1:10" x14ac:dyDescent="0.25">
      <c r="A53" s="17">
        <v>42</v>
      </c>
      <c r="B53" s="38">
        <v>398</v>
      </c>
      <c r="C53" s="38">
        <v>218791</v>
      </c>
      <c r="D53" s="39" t="s">
        <v>312</v>
      </c>
      <c r="E53" s="17" t="s">
        <v>62</v>
      </c>
      <c r="F53" s="39" t="s">
        <v>63</v>
      </c>
      <c r="G53" s="41">
        <v>3</v>
      </c>
      <c r="H53" s="38" t="s">
        <v>6516</v>
      </c>
      <c r="I53" s="38" t="s">
        <v>6498</v>
      </c>
      <c r="J53" s="39" t="s">
        <v>1273</v>
      </c>
    </row>
    <row r="54" spans="1:10" x14ac:dyDescent="0.25">
      <c r="A54" s="13">
        <v>43</v>
      </c>
      <c r="B54" s="34">
        <v>1</v>
      </c>
      <c r="C54" s="34">
        <v>218289</v>
      </c>
      <c r="D54" s="35" t="s">
        <v>487</v>
      </c>
      <c r="E54" s="13" t="s">
        <v>62</v>
      </c>
      <c r="F54" s="35" t="s">
        <v>63</v>
      </c>
      <c r="G54" s="41">
        <v>3</v>
      </c>
      <c r="H54" s="34" t="s">
        <v>6469</v>
      </c>
      <c r="I54" s="34" t="s">
        <v>6517</v>
      </c>
      <c r="J54" s="35" t="s">
        <v>583</v>
      </c>
    </row>
    <row r="55" spans="1:10" x14ac:dyDescent="0.25">
      <c r="A55" s="17">
        <v>44</v>
      </c>
      <c r="B55" s="38">
        <v>152</v>
      </c>
      <c r="C55" s="38">
        <v>6971</v>
      </c>
      <c r="D55" s="39" t="s">
        <v>369</v>
      </c>
      <c r="E55" s="17" t="s">
        <v>62</v>
      </c>
      <c r="F55" s="39" t="s">
        <v>541</v>
      </c>
      <c r="G55" s="41">
        <v>3</v>
      </c>
      <c r="H55" s="38" t="s">
        <v>6502</v>
      </c>
      <c r="I55" s="38" t="s">
        <v>6518</v>
      </c>
      <c r="J55" s="39" t="s">
        <v>1320</v>
      </c>
    </row>
    <row r="56" spans="1:10" x14ac:dyDescent="0.25">
      <c r="A56" s="13">
        <v>45</v>
      </c>
      <c r="B56" s="34">
        <v>768</v>
      </c>
      <c r="C56" s="34">
        <v>218497</v>
      </c>
      <c r="D56" s="35" t="s">
        <v>56</v>
      </c>
      <c r="E56" s="13" t="s">
        <v>62</v>
      </c>
      <c r="F56" s="35" t="s">
        <v>63</v>
      </c>
      <c r="G56" s="41">
        <v>3</v>
      </c>
      <c r="H56" s="34" t="s">
        <v>6519</v>
      </c>
      <c r="I56" s="34" t="s">
        <v>6520</v>
      </c>
      <c r="J56" s="35" t="s">
        <v>583</v>
      </c>
    </row>
    <row r="57" spans="1:10" x14ac:dyDescent="0.25">
      <c r="A57" s="17">
        <v>46</v>
      </c>
      <c r="B57" s="38">
        <v>356</v>
      </c>
      <c r="C57" s="38">
        <v>218787</v>
      </c>
      <c r="D57" s="39" t="s">
        <v>96</v>
      </c>
      <c r="E57" s="17" t="s">
        <v>62</v>
      </c>
      <c r="F57" s="39" t="s">
        <v>63</v>
      </c>
      <c r="G57" s="41">
        <v>3</v>
      </c>
      <c r="H57" s="38" t="s">
        <v>6520</v>
      </c>
      <c r="I57" s="38" t="s">
        <v>6463</v>
      </c>
      <c r="J57" s="39" t="s">
        <v>1491</v>
      </c>
    </row>
    <row r="58" spans="1:10" x14ac:dyDescent="0.25">
      <c r="A58" s="13">
        <v>47</v>
      </c>
      <c r="B58" s="34">
        <v>369</v>
      </c>
      <c r="C58" s="34">
        <v>218787</v>
      </c>
      <c r="D58" s="35" t="s">
        <v>96</v>
      </c>
      <c r="E58" s="13" t="s">
        <v>62</v>
      </c>
      <c r="F58" s="35" t="s">
        <v>63</v>
      </c>
      <c r="G58" s="41">
        <v>3</v>
      </c>
      <c r="H58" s="34" t="s">
        <v>6521</v>
      </c>
      <c r="I58" s="34" t="s">
        <v>6470</v>
      </c>
      <c r="J58" s="35" t="s">
        <v>1273</v>
      </c>
    </row>
    <row r="59" spans="1:10" x14ac:dyDescent="0.25">
      <c r="A59" s="17">
        <v>48</v>
      </c>
      <c r="B59" s="38">
        <v>67</v>
      </c>
      <c r="C59" s="38">
        <v>1819</v>
      </c>
      <c r="D59" s="39" t="s">
        <v>6499</v>
      </c>
      <c r="E59" s="17" t="s">
        <v>79</v>
      </c>
      <c r="F59" s="39" t="s">
        <v>224</v>
      </c>
      <c r="G59" s="41">
        <v>3</v>
      </c>
      <c r="H59" s="38" t="s">
        <v>6516</v>
      </c>
      <c r="I59" s="38" t="s">
        <v>6522</v>
      </c>
      <c r="J59" s="39" t="s">
        <v>4796</v>
      </c>
    </row>
    <row r="60" spans="1:10" x14ac:dyDescent="0.25">
      <c r="A60" s="13">
        <v>49</v>
      </c>
      <c r="B60" s="34">
        <v>147</v>
      </c>
      <c r="C60" s="34">
        <v>216233</v>
      </c>
      <c r="D60" s="35" t="s">
        <v>88</v>
      </c>
      <c r="E60" s="13" t="s">
        <v>62</v>
      </c>
      <c r="F60" s="35" t="s">
        <v>63</v>
      </c>
      <c r="G60" s="41">
        <v>3</v>
      </c>
      <c r="H60" s="34" t="s">
        <v>6523</v>
      </c>
      <c r="I60" s="34" t="s">
        <v>6470</v>
      </c>
      <c r="J60" s="35" t="s">
        <v>1244</v>
      </c>
    </row>
    <row r="61" spans="1:10" x14ac:dyDescent="0.25">
      <c r="A61" s="17">
        <v>50</v>
      </c>
      <c r="B61" s="38">
        <v>185</v>
      </c>
      <c r="C61" s="38">
        <v>216233</v>
      </c>
      <c r="D61" s="39" t="s">
        <v>88</v>
      </c>
      <c r="E61" s="17" t="s">
        <v>62</v>
      </c>
      <c r="F61" s="39" t="s">
        <v>63</v>
      </c>
      <c r="G61" s="41">
        <v>3</v>
      </c>
      <c r="H61" s="38" t="s">
        <v>6524</v>
      </c>
      <c r="I61" s="38" t="s">
        <v>6470</v>
      </c>
      <c r="J61" s="39" t="s">
        <v>583</v>
      </c>
    </row>
  </sheetData>
  <mergeCells count="5">
    <mergeCell ref="A1:M1"/>
    <mergeCell ref="A8:M8"/>
    <mergeCell ref="A4:C4"/>
    <mergeCell ref="A2:M2"/>
    <mergeCell ref="A10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6D11"/>
  </sheetPr>
  <dimension ref="A1:R8"/>
  <sheetViews>
    <sheetView showGridLines="0" workbookViewId="0"/>
  </sheetViews>
  <sheetFormatPr defaultColWidth="8.7109375" defaultRowHeight="15" x14ac:dyDescent="0.25"/>
  <cols>
    <col min="1" max="1" width="14" customWidth="1"/>
    <col min="2" max="2" width="9" customWidth="1"/>
    <col min="3" max="4" width="12" customWidth="1"/>
    <col min="5" max="5" width="10" customWidth="1"/>
    <col min="6" max="6" width="14" customWidth="1"/>
    <col min="7" max="7" width="12" customWidth="1"/>
    <col min="8" max="8" width="10" customWidth="1"/>
  </cols>
  <sheetData>
    <row r="1" spans="1:18" ht="36" customHeight="1" x14ac:dyDescent="0.25">
      <c r="A1" s="101" t="s">
        <v>6525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3" spans="1:18" ht="15" customHeight="1" x14ac:dyDescent="0.25">
      <c r="A3" s="1" t="s">
        <v>6526</v>
      </c>
      <c r="B3" s="1" t="s">
        <v>6527</v>
      </c>
      <c r="C3" s="50" t="s">
        <v>6528</v>
      </c>
      <c r="D3" s="50" t="s">
        <v>6529</v>
      </c>
      <c r="E3" s="51" t="s">
        <v>6530</v>
      </c>
      <c r="F3" s="52" t="s">
        <v>6531</v>
      </c>
      <c r="G3" s="52" t="s">
        <v>6532</v>
      </c>
      <c r="H3" s="51" t="s">
        <v>6533</v>
      </c>
    </row>
    <row r="4" spans="1:18" ht="15" customHeight="1" x14ac:dyDescent="0.25">
      <c r="A4" s="53" t="s">
        <v>6534</v>
      </c>
      <c r="B4" s="54">
        <f>COUNTIFS('BASE BI'!N:N,"&gt;="&amp;DATE(2026,1,1),'BASE BI'!N:N,"&lt;"&amp;DATE(2026,1+1,1))</f>
        <v>309</v>
      </c>
      <c r="C4" s="54">
        <f>COUNTIFS('BASE BI'!N:N,"&gt;="&amp;DATE(2026,1,1),'BASE BI'!N:N,"&lt;"&amp;DATE(2026,1+1,1),'BASE BI'!AH:AH,"&lt;="&amp;8)</f>
        <v>180</v>
      </c>
      <c r="D4" s="55">
        <f>IFERROR(C4/B4,0)</f>
        <v>0.58252427184466016</v>
      </c>
      <c r="E4" s="69">
        <f>CONTROLE!I5</f>
        <v>0.85</v>
      </c>
      <c r="F4" s="54">
        <f>COUNTIFS('BASE BI'!N:N,"&gt;="&amp;DATE(2026,1,1),'BASE BI'!N:N,"&lt;"&amp;DATE(2026,1+1,1),'BASE BI'!AH:AH,"&gt;"&amp;24)</f>
        <v>20</v>
      </c>
      <c r="G4" s="56">
        <f>IFERROR(F4/B4,0)</f>
        <v>6.4724919093851127E-2</v>
      </c>
      <c r="H4" s="69">
        <f>CONTROLE!I6</f>
        <v>0.02</v>
      </c>
    </row>
    <row r="5" spans="1:18" ht="15" customHeight="1" x14ac:dyDescent="0.25">
      <c r="A5" s="57" t="s">
        <v>6535</v>
      </c>
      <c r="B5" s="58">
        <f>COUNTIFS('BASE BI'!N:N,"&gt;="&amp;DATE(2026,2,1),'BASE BI'!N:N,"&lt;"&amp;DATE(2026,2+1,1))</f>
        <v>303</v>
      </c>
      <c r="C5" s="58">
        <f>COUNTIFS('BASE BI'!N:N,"&gt;="&amp;DATE(2026,2,1),'BASE BI'!N:N,"&lt;"&amp;DATE(2026,2+1,1),'BASE BI'!AH:AH,"&lt;="&amp;8)</f>
        <v>181</v>
      </c>
      <c r="D5" s="59">
        <f>IFERROR(C5/B5,0)</f>
        <v>0.59735973597359737</v>
      </c>
      <c r="E5" s="70">
        <f>CONTROLE!I5</f>
        <v>0.85</v>
      </c>
      <c r="F5" s="58">
        <f>COUNTIFS('BASE BI'!N:N,"&gt;="&amp;DATE(2026,2,1),'BASE BI'!N:N,"&lt;"&amp;DATE(2026,2+1,1),'BASE BI'!AH:AH,"&gt;"&amp;24)</f>
        <v>17</v>
      </c>
      <c r="G5" s="60">
        <f>IFERROR(F5/B5,0)</f>
        <v>5.6105610561056105E-2</v>
      </c>
      <c r="H5" s="70">
        <f>CONTROLE!I6</f>
        <v>0.02</v>
      </c>
    </row>
    <row r="6" spans="1:18" ht="15" customHeight="1" x14ac:dyDescent="0.25">
      <c r="A6" s="53" t="s">
        <v>6536</v>
      </c>
      <c r="B6" s="54">
        <f>COUNTIFS('BASE BI'!N:N,"&gt;="&amp;DATE(2026,3,1),'BASE BI'!N:N,"&lt;"&amp;DATE(2026,3+1,1))</f>
        <v>275</v>
      </c>
      <c r="C6" s="54">
        <f>COUNTIFS('BASE BI'!N:N,"&gt;="&amp;DATE(2026,3,1),'BASE BI'!N:N,"&lt;"&amp;DATE(2026,3+1,1),'BASE BI'!AH:AH,"&lt;="&amp;8)</f>
        <v>156</v>
      </c>
      <c r="D6" s="55">
        <f>IFERROR(C6/B6,0)</f>
        <v>0.56727272727272726</v>
      </c>
      <c r="E6" s="69">
        <f>CONTROLE!I5</f>
        <v>0.85</v>
      </c>
      <c r="F6" s="54">
        <f>COUNTIFS('BASE BI'!N:N,"&gt;="&amp;DATE(2026,3,1),'BASE BI'!N:N,"&lt;"&amp;DATE(2026,3+1,1),'BASE BI'!AH:AH,"&gt;"&amp;24)</f>
        <v>16</v>
      </c>
      <c r="G6" s="56">
        <f>IFERROR(F6/B6,0)</f>
        <v>5.8181818181818182E-2</v>
      </c>
      <c r="H6" s="69">
        <f>CONTROLE!I6</f>
        <v>0.02</v>
      </c>
    </row>
    <row r="7" spans="1:18" ht="15" customHeight="1" x14ac:dyDescent="0.25">
      <c r="A7" s="57" t="s">
        <v>6537</v>
      </c>
      <c r="B7" s="58">
        <f>COUNTIFS('BASE BI'!N:N,"&gt;="&amp;DATE(2026,4,1),'BASE BI'!N:N,"&lt;"&amp;DATE(2026,4+1,1))</f>
        <v>339</v>
      </c>
      <c r="C7" s="58">
        <f>COUNTIFS('BASE BI'!N:N,"&gt;="&amp;DATE(2026,4,1),'BASE BI'!N:N,"&lt;"&amp;DATE(2026,4+1,1),'BASE BI'!AH:AH,"&lt;="&amp;8)</f>
        <v>142</v>
      </c>
      <c r="D7" s="59">
        <f>IFERROR(C7/B7,0)</f>
        <v>0.41887905604719766</v>
      </c>
      <c r="E7" s="70">
        <f>CONTROLE!I5</f>
        <v>0.85</v>
      </c>
      <c r="F7" s="58">
        <f>COUNTIFS('BASE BI'!N:N,"&gt;="&amp;DATE(2026,4,1),'BASE BI'!N:N,"&lt;"&amp;DATE(2026,4+1,1),'BASE BI'!AH:AH,"&gt;"&amp;24)</f>
        <v>72</v>
      </c>
      <c r="G7" s="60">
        <f>IFERROR(F7/B7,0)</f>
        <v>0.21238938053097345</v>
      </c>
      <c r="H7" s="70">
        <f>CONTROLE!I6</f>
        <v>0.02</v>
      </c>
    </row>
    <row r="8" spans="1:18" ht="15" customHeight="1" x14ac:dyDescent="0.25">
      <c r="A8" s="53" t="s">
        <v>6537</v>
      </c>
      <c r="B8" s="54">
        <v>303</v>
      </c>
      <c r="C8" s="54">
        <v>122</v>
      </c>
      <c r="D8" s="56">
        <v>0.40260000000000001</v>
      </c>
      <c r="E8" s="71">
        <v>0.85</v>
      </c>
      <c r="F8" s="54">
        <v>69</v>
      </c>
      <c r="G8" s="56">
        <v>0.22770000000000001</v>
      </c>
      <c r="H8" s="71">
        <v>0.02</v>
      </c>
    </row>
  </sheetData>
  <mergeCells count="1">
    <mergeCell ref="A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34AB7"/>
  </sheetPr>
  <dimension ref="A1:L15"/>
  <sheetViews>
    <sheetView showGridLines="0" workbookViewId="0"/>
  </sheetViews>
  <sheetFormatPr defaultColWidth="8.7109375" defaultRowHeight="15" x14ac:dyDescent="0.25"/>
  <cols>
    <col min="1" max="1" width="12" customWidth="1"/>
    <col min="2" max="2" width="4.28515625" customWidth="1"/>
    <col min="3" max="3" width="80" customWidth="1"/>
    <col min="4" max="4" width="22" customWidth="1"/>
    <col min="5" max="5" width="14.28515625" customWidth="1"/>
    <col min="6" max="6" width="3" customWidth="1"/>
    <col min="7" max="7" width="7.7109375" customWidth="1"/>
    <col min="8" max="8" width="14.85546875" customWidth="1"/>
    <col min="9" max="9" width="14.7109375" customWidth="1"/>
    <col min="10" max="10" width="12.5703125" customWidth="1"/>
    <col min="11" max="12" width="7" customWidth="1"/>
  </cols>
  <sheetData>
    <row r="1" spans="1:12" ht="36" customHeight="1" x14ac:dyDescent="0.25">
      <c r="A1" s="101" t="s">
        <v>6538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5" customHeight="1" x14ac:dyDescent="0.25">
      <c r="A2" s="110" t="str">
        <f>" Referência: "&amp;CONTROLE!D5&amp;" | "&amp;TEXT(CONTROLE!D7,"DD/MM/AAAA")&amp;" a "&amp;TEXT(CONTROLE!D8,"DD/MM/AAAA")&amp;" | Elaborado por: Gerência CMO-Reparo"</f>
        <v xml:space="preserve"> Referência: S16 | 13/04/2026 a 19/04/2026 | Elaborado por: Gerência CMO-Reparo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4" spans="1:12" ht="27.75" customHeight="1" x14ac:dyDescent="0.25">
      <c r="A4" s="136" t="s">
        <v>6539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ht="51.75" customHeight="1" x14ac:dyDescent="0.25">
      <c r="A5" s="135" t="s">
        <v>6540</v>
      </c>
      <c r="B5" s="84"/>
      <c r="C5" s="133" t="s">
        <v>6541</v>
      </c>
      <c r="D5" s="84"/>
      <c r="E5" s="84"/>
      <c r="F5" s="84"/>
      <c r="G5" s="84"/>
      <c r="H5" s="84"/>
      <c r="I5" s="84"/>
      <c r="J5" s="84"/>
      <c r="K5" s="84"/>
      <c r="L5" s="84"/>
    </row>
    <row r="6" spans="1:12" ht="51.75" customHeight="1" x14ac:dyDescent="0.25">
      <c r="A6" s="134" t="s">
        <v>6542</v>
      </c>
      <c r="B6" s="84"/>
      <c r="C6" s="139" t="s">
        <v>6543</v>
      </c>
      <c r="D6" s="84"/>
      <c r="E6" s="84"/>
      <c r="F6" s="84"/>
      <c r="G6" s="84"/>
      <c r="H6" s="84"/>
      <c r="I6" s="84"/>
      <c r="J6" s="84"/>
      <c r="K6" s="84"/>
      <c r="L6" s="84"/>
    </row>
    <row r="7" spans="1:12" ht="51.75" customHeight="1" x14ac:dyDescent="0.25">
      <c r="A7" s="109" t="s">
        <v>6544</v>
      </c>
      <c r="B7" s="84"/>
      <c r="C7" s="137" t="s">
        <v>6545</v>
      </c>
      <c r="D7" s="84"/>
      <c r="E7" s="84"/>
      <c r="F7" s="84"/>
      <c r="G7" s="84"/>
      <c r="H7" s="84"/>
      <c r="I7" s="84"/>
      <c r="J7" s="84"/>
      <c r="K7" s="84"/>
      <c r="L7" s="84"/>
    </row>
    <row r="9" spans="1:12" ht="27.75" customHeight="1" x14ac:dyDescent="0.25">
      <c r="A9" s="138" t="s">
        <v>6546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</row>
    <row r="10" spans="1:12" ht="51.75" customHeight="1" x14ac:dyDescent="0.25">
      <c r="A10" s="135" t="s">
        <v>6540</v>
      </c>
      <c r="B10" s="84"/>
      <c r="C10" s="133" t="s">
        <v>6547</v>
      </c>
      <c r="D10" s="84"/>
      <c r="E10" s="84"/>
      <c r="F10" s="84"/>
      <c r="G10" s="84"/>
      <c r="H10" s="84"/>
      <c r="I10" s="84"/>
      <c r="J10" s="84"/>
      <c r="K10" s="84"/>
      <c r="L10" s="84"/>
    </row>
    <row r="11" spans="1:12" ht="51.75" customHeight="1" x14ac:dyDescent="0.25">
      <c r="A11" s="134" t="s">
        <v>6542</v>
      </c>
      <c r="B11" s="84"/>
      <c r="C11" s="139" t="s">
        <v>6548</v>
      </c>
      <c r="D11" s="84"/>
      <c r="E11" s="84"/>
      <c r="F11" s="84"/>
      <c r="G11" s="84"/>
      <c r="H11" s="84"/>
      <c r="I11" s="84"/>
      <c r="J11" s="84"/>
      <c r="K11" s="84"/>
      <c r="L11" s="84"/>
    </row>
    <row r="12" spans="1:12" ht="51.75" customHeight="1" x14ac:dyDescent="0.25">
      <c r="A12" s="109" t="s">
        <v>6544</v>
      </c>
      <c r="B12" s="84"/>
      <c r="C12" s="137" t="s">
        <v>6549</v>
      </c>
      <c r="D12" s="84"/>
      <c r="E12" s="84"/>
      <c r="F12" s="84"/>
      <c r="G12" s="84"/>
      <c r="H12" s="84"/>
      <c r="I12" s="84"/>
      <c r="J12" s="84"/>
      <c r="K12" s="84"/>
      <c r="L12" s="84"/>
    </row>
    <row r="14" spans="1:12" ht="15" customHeight="1" x14ac:dyDescent="0.25">
      <c r="A14" s="103" t="s">
        <v>6550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</row>
    <row r="15" spans="1:12" ht="15" customHeight="1" x14ac:dyDescent="0.25">
      <c r="A15" s="33" t="s">
        <v>6551</v>
      </c>
      <c r="B15" s="61" t="str">
        <f>CONTROLE!D5</f>
        <v>S16</v>
      </c>
      <c r="C15" s="33" t="s">
        <v>6552</v>
      </c>
      <c r="D15" s="61" t="str">
        <f>TEXT(CONTROLE!D7,"DD/MM/AAAA")&amp;" a "&amp;TEXT(CONTROLE!D8,"DD/MM/AAAA")</f>
        <v>13/04/2026 a 19/04/2026</v>
      </c>
      <c r="E15" s="33" t="s">
        <v>6553</v>
      </c>
      <c r="F15" s="61">
        <f>CONTROLE!D9</f>
        <v>106</v>
      </c>
      <c r="G15" s="33" t="s">
        <v>6554</v>
      </c>
      <c r="H15" s="61" t="str">
        <f>TEXT(CONTROLE!B13,"0.0%")&amp;" (meta 85%)"</f>
        <v>40% (meta 85%)</v>
      </c>
      <c r="I15" s="33" t="s">
        <v>6555</v>
      </c>
      <c r="J15" s="61" t="str">
        <f>TEXT(CONTROLE!E13,"0.0%")&amp;" (teto 2%)"</f>
        <v>25% (teto 2%)</v>
      </c>
    </row>
  </sheetData>
  <mergeCells count="17">
    <mergeCell ref="A14:L14"/>
    <mergeCell ref="C7:L7"/>
    <mergeCell ref="C12:L12"/>
    <mergeCell ref="A9:L9"/>
    <mergeCell ref="C6:L6"/>
    <mergeCell ref="C10:L10"/>
    <mergeCell ref="A6:B6"/>
    <mergeCell ref="C11:L11"/>
    <mergeCell ref="A12:B12"/>
    <mergeCell ref="C5:L5"/>
    <mergeCell ref="A2:L2"/>
    <mergeCell ref="A7:B7"/>
    <mergeCell ref="A11:B11"/>
    <mergeCell ref="A1:L1"/>
    <mergeCell ref="A10:B10"/>
    <mergeCell ref="A5:B5"/>
    <mergeCell ref="A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D9E75"/>
  </sheetPr>
  <dimension ref="A1:R25"/>
  <sheetViews>
    <sheetView showGridLines="0" workbookViewId="0"/>
  </sheetViews>
  <sheetFormatPr defaultColWidth="8.7109375" defaultRowHeight="15" x14ac:dyDescent="0.25"/>
  <cols>
    <col min="1" max="1" width="27.42578125" customWidth="1"/>
    <col min="2" max="18" width="8.85546875" customWidth="1"/>
  </cols>
  <sheetData>
    <row r="1" spans="1:18" ht="36" customHeight="1" x14ac:dyDescent="0.25">
      <c r="A1" s="101" t="s">
        <v>6556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8" ht="15" customHeight="1" x14ac:dyDescent="0.25">
      <c r="A2" s="110" t="str">
        <f>" Semana: "&amp;CONTROLE!D5&amp;" | "&amp;TEXT(CONTROLE!D7,"DD/MM/AAAA")&amp;" a "&amp;TEXT(CONTROLE!D8,"DD/MM/AAAA")&amp;" | Gerente: "&amp;'BASE BI'!AS2</f>
        <v xml:space="preserve"> Semana: S16 | 13/04/2026 a 19/04/2026 | Gerente: 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8" ht="7.5" customHeight="1" x14ac:dyDescent="0.25"/>
    <row r="4" spans="1:18" ht="15" customHeight="1" x14ac:dyDescent="0.25">
      <c r="A4" s="105" t="s">
        <v>6557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</row>
    <row r="5" spans="1:18" ht="27.75" customHeight="1" x14ac:dyDescent="0.25">
      <c r="A5" s="140" t="s">
        <v>6558</v>
      </c>
      <c r="B5" s="84"/>
      <c r="C5" s="84"/>
      <c r="D5" s="84"/>
      <c r="E5" s="147" t="s">
        <v>6559</v>
      </c>
      <c r="F5" s="84"/>
      <c r="G5" s="84"/>
      <c r="H5" s="84"/>
      <c r="I5" s="143" t="s">
        <v>6560</v>
      </c>
      <c r="J5" s="84"/>
      <c r="K5" s="84"/>
      <c r="L5" s="84"/>
      <c r="M5" s="148" t="s">
        <v>6561</v>
      </c>
      <c r="N5" s="84"/>
      <c r="O5" s="84"/>
      <c r="P5" s="84"/>
    </row>
    <row r="6" spans="1:18" ht="43.5" customHeight="1" x14ac:dyDescent="0.25">
      <c r="A6" s="150">
        <f>CONTROLE!B13</f>
        <v>0.39622641509433965</v>
      </c>
      <c r="B6" s="88"/>
      <c r="C6" s="88"/>
      <c r="D6" s="88"/>
      <c r="E6" s="156">
        <f>CONTROLE!E13</f>
        <v>0.25471698113207547</v>
      </c>
      <c r="F6" s="88"/>
      <c r="G6" s="88"/>
      <c r="H6" s="88"/>
      <c r="I6" s="146">
        <f>CONTROLE!D9</f>
        <v>106</v>
      </c>
      <c r="J6" s="88"/>
      <c r="K6" s="88"/>
      <c r="L6" s="88"/>
      <c r="M6" s="157">
        <f>CONTROLE!N13</f>
        <v>27</v>
      </c>
      <c r="N6" s="88"/>
      <c r="O6" s="88"/>
      <c r="P6" s="88"/>
    </row>
    <row r="7" spans="1:18" ht="18" customHeight="1" x14ac:dyDescent="0.25">
      <c r="A7" s="152" t="s">
        <v>6562</v>
      </c>
      <c r="B7" s="84"/>
      <c r="C7" s="84"/>
      <c r="D7" s="84"/>
      <c r="E7" s="145" t="s">
        <v>6563</v>
      </c>
      <c r="F7" s="84"/>
      <c r="G7" s="84"/>
      <c r="H7" s="84"/>
      <c r="I7" s="153" t="s">
        <v>6564</v>
      </c>
      <c r="J7" s="84"/>
      <c r="K7" s="84"/>
      <c r="L7" s="84"/>
      <c r="M7" s="155" t="s">
        <v>6565</v>
      </c>
      <c r="N7" s="84"/>
      <c r="O7" s="84"/>
      <c r="P7" s="84"/>
    </row>
    <row r="8" spans="1:18" ht="19.5" customHeight="1" x14ac:dyDescent="0.25">
      <c r="A8" s="109" t="str">
        <f>CONTROLE!B14</f>
        <v>✘ DESVIO: -45%</v>
      </c>
      <c r="B8" s="84"/>
      <c r="C8" s="84"/>
      <c r="D8" s="84"/>
      <c r="E8" s="151" t="str">
        <f>CONTROLE!E14</f>
        <v>✘ ACIMA: +23%</v>
      </c>
      <c r="F8" s="84"/>
      <c r="G8" s="84"/>
      <c r="H8" s="84"/>
      <c r="I8" s="103"/>
      <c r="J8" s="84"/>
      <c r="K8" s="84"/>
      <c r="L8" s="84"/>
      <c r="M8" s="135"/>
      <c r="N8" s="84"/>
      <c r="O8" s="84"/>
      <c r="P8" s="84"/>
    </row>
    <row r="10" spans="1:18" x14ac:dyDescent="0.25">
      <c r="A10" s="83" t="s">
        <v>6566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1" spans="1:18" ht="27.75" customHeight="1" x14ac:dyDescent="0.25">
      <c r="A11" s="144" t="s">
        <v>6567</v>
      </c>
      <c r="B11" s="84"/>
      <c r="C11" s="144" t="s">
        <v>71</v>
      </c>
      <c r="D11" s="84"/>
      <c r="E11" s="144" t="s">
        <v>137</v>
      </c>
      <c r="F11" s="84"/>
      <c r="G11" s="144" t="s">
        <v>122</v>
      </c>
      <c r="H11" s="84"/>
      <c r="I11" s="144" t="s">
        <v>347</v>
      </c>
      <c r="J11" s="84"/>
      <c r="K11" s="144" t="s">
        <v>79</v>
      </c>
      <c r="L11" s="84"/>
      <c r="M11" s="144" t="s">
        <v>2056</v>
      </c>
      <c r="N11" s="84"/>
      <c r="O11" s="144" t="s">
        <v>392</v>
      </c>
      <c r="P11" s="84"/>
      <c r="Q11" s="144" t="s">
        <v>6568</v>
      </c>
      <c r="R11" s="84"/>
    </row>
    <row r="12" spans="1:18" ht="31.5" customHeight="1" x14ac:dyDescent="0.25">
      <c r="A12" s="149" t="s">
        <v>6569</v>
      </c>
      <c r="B12" s="84"/>
      <c r="C12" s="141">
        <f>CONTROLE!F18</f>
        <v>0.29411764705882354</v>
      </c>
      <c r="D12" s="84"/>
      <c r="E12" s="141">
        <f>CONTROLE!F19</f>
        <v>0.54545454545454541</v>
      </c>
      <c r="F12" s="84"/>
      <c r="G12" s="141">
        <f>CONTROLE!F20</f>
        <v>0.83333333333333337</v>
      </c>
      <c r="H12" s="84"/>
      <c r="I12" s="141">
        <f>CONTROLE!F21</f>
        <v>0.25</v>
      </c>
      <c r="J12" s="84"/>
      <c r="K12" s="141">
        <f>CONTROLE!F22</f>
        <v>0</v>
      </c>
      <c r="L12" s="84"/>
      <c r="M12" s="141">
        <f>CONTROLE!F23</f>
        <v>0</v>
      </c>
      <c r="N12" s="84"/>
      <c r="O12" s="154" t="str">
        <f>TEXT(CONTROLE!F24,"0%")</f>
        <v>33%</v>
      </c>
      <c r="P12" s="84"/>
      <c r="Q12" s="142" t="str">
        <f>TEXT(CONTROLE!B13,"0.0%")</f>
        <v>40%</v>
      </c>
      <c r="R12" s="88"/>
    </row>
    <row r="13" spans="1:18" ht="31.5" customHeight="1" x14ac:dyDescent="0.25">
      <c r="A13" s="149" t="s">
        <v>6570</v>
      </c>
      <c r="B13" s="84"/>
      <c r="C13" s="141">
        <f>CONTROLE!J18</f>
        <v>0.30882352941176472</v>
      </c>
      <c r="D13" s="84"/>
      <c r="E13" s="141">
        <f>CONTROLE!J19</f>
        <v>0.36363636363636365</v>
      </c>
      <c r="F13" s="84"/>
      <c r="G13" s="141">
        <f>CONTROLE!J20</f>
        <v>0</v>
      </c>
      <c r="H13" s="84"/>
      <c r="I13" s="141">
        <f>CONTROLE!J21</f>
        <v>0</v>
      </c>
      <c r="J13" s="84"/>
      <c r="K13" s="141">
        <f>CONTROLE!J22</f>
        <v>0</v>
      </c>
      <c r="L13" s="84"/>
      <c r="M13" s="141">
        <f>CONTROLE!J23</f>
        <v>0</v>
      </c>
      <c r="N13" s="84"/>
      <c r="O13" s="154" t="str">
        <f>TEXT(CONTROLE!J24,"0%")</f>
        <v>0%</v>
      </c>
      <c r="P13" s="84"/>
      <c r="Q13" s="142" t="str">
        <f>TEXT(CONTROLE!E13,"0.0%")</f>
        <v>25%</v>
      </c>
      <c r="R13" s="88"/>
    </row>
    <row r="16" spans="1:18" ht="25.5" customHeight="1" x14ac:dyDescent="0.25">
      <c r="A16" s="105" t="s">
        <v>6571</v>
      </c>
      <c r="B16" s="84"/>
      <c r="C16" s="84"/>
      <c r="D16" s="84"/>
      <c r="E16" s="84"/>
      <c r="F16" s="84"/>
      <c r="G16" s="84"/>
      <c r="H16" s="84"/>
      <c r="I16" s="84"/>
    </row>
    <row r="17" spans="1:2" ht="15" customHeight="1" x14ac:dyDescent="0.25">
      <c r="A17" s="33" t="s">
        <v>6572</v>
      </c>
      <c r="B17" s="33" t="s">
        <v>6573</v>
      </c>
    </row>
    <row r="18" spans="1:2" ht="15" customHeight="1" x14ac:dyDescent="0.25">
      <c r="A18" s="35" t="s">
        <v>583</v>
      </c>
      <c r="B18" s="37">
        <v>401</v>
      </c>
    </row>
    <row r="19" spans="1:2" ht="15" customHeight="1" x14ac:dyDescent="0.25">
      <c r="A19" s="39" t="s">
        <v>1244</v>
      </c>
      <c r="B19" s="40">
        <v>214</v>
      </c>
    </row>
    <row r="20" spans="1:2" ht="15" customHeight="1" x14ac:dyDescent="0.25">
      <c r="A20" s="35" t="s">
        <v>1316</v>
      </c>
      <c r="B20" s="37">
        <v>74</v>
      </c>
    </row>
    <row r="21" spans="1:2" ht="15" customHeight="1" x14ac:dyDescent="0.25">
      <c r="A21" s="39" t="s">
        <v>1273</v>
      </c>
      <c r="B21" s="40">
        <v>63</v>
      </c>
    </row>
    <row r="22" spans="1:2" ht="15" customHeight="1" x14ac:dyDescent="0.25">
      <c r="A22" s="35" t="s">
        <v>1320</v>
      </c>
      <c r="B22" s="37">
        <v>63</v>
      </c>
    </row>
    <row r="23" spans="1:2" ht="15" customHeight="1" x14ac:dyDescent="0.25">
      <c r="A23" s="39" t="s">
        <v>1268</v>
      </c>
      <c r="B23" s="40">
        <v>54</v>
      </c>
    </row>
    <row r="24" spans="1:2" ht="15" customHeight="1" x14ac:dyDescent="0.25">
      <c r="A24" s="35" t="s">
        <v>1491</v>
      </c>
      <c r="B24" s="37">
        <v>17</v>
      </c>
    </row>
    <row r="25" spans="1:2" ht="15" customHeight="1" x14ac:dyDescent="0.25">
      <c r="A25" s="39" t="s">
        <v>1375</v>
      </c>
      <c r="B25" s="40">
        <v>16</v>
      </c>
    </row>
  </sheetData>
  <mergeCells count="48">
    <mergeCell ref="A1:R1"/>
    <mergeCell ref="C13:D13"/>
    <mergeCell ref="I13:J13"/>
    <mergeCell ref="K13:L13"/>
    <mergeCell ref="A16:I16"/>
    <mergeCell ref="O13:P13"/>
    <mergeCell ref="Q11:R11"/>
    <mergeCell ref="M7:P7"/>
    <mergeCell ref="E6:H6"/>
    <mergeCell ref="A13:B13"/>
    <mergeCell ref="M6:P6"/>
    <mergeCell ref="E11:F11"/>
    <mergeCell ref="A7:D7"/>
    <mergeCell ref="I7:L7"/>
    <mergeCell ref="O12:P12"/>
    <mergeCell ref="O11:P11"/>
    <mergeCell ref="A2:R2"/>
    <mergeCell ref="I6:L6"/>
    <mergeCell ref="E13:F13"/>
    <mergeCell ref="G13:H13"/>
    <mergeCell ref="E5:H5"/>
    <mergeCell ref="A4:R4"/>
    <mergeCell ref="M5:P5"/>
    <mergeCell ref="A12:B12"/>
    <mergeCell ref="C12:D12"/>
    <mergeCell ref="I12:J12"/>
    <mergeCell ref="M13:N13"/>
    <mergeCell ref="K12:L12"/>
    <mergeCell ref="A6:D6"/>
    <mergeCell ref="E8:H8"/>
    <mergeCell ref="M12:N12"/>
    <mergeCell ref="C11:D11"/>
    <mergeCell ref="A5:D5"/>
    <mergeCell ref="E12:F12"/>
    <mergeCell ref="Q13:R13"/>
    <mergeCell ref="G12:H12"/>
    <mergeCell ref="A8:D8"/>
    <mergeCell ref="I5:L5"/>
    <mergeCell ref="M8:P8"/>
    <mergeCell ref="I8:L8"/>
    <mergeCell ref="Q12:R12"/>
    <mergeCell ref="A11:B11"/>
    <mergeCell ref="G11:H11"/>
    <mergeCell ref="I11:J11"/>
    <mergeCell ref="E7:H7"/>
    <mergeCell ref="K11:L11"/>
    <mergeCell ref="M11:N11"/>
    <mergeCell ref="A10:R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D9E75"/>
  </sheetPr>
  <dimension ref="A1:J17"/>
  <sheetViews>
    <sheetView showGridLines="0" workbookViewId="0"/>
  </sheetViews>
  <sheetFormatPr defaultColWidth="8.7109375" defaultRowHeight="15" x14ac:dyDescent="0.25"/>
  <cols>
    <col min="1" max="1" width="18" customWidth="1"/>
    <col min="2" max="2" width="14" customWidth="1"/>
    <col min="3" max="3" width="16" customWidth="1"/>
    <col min="4" max="4" width="26.140625" customWidth="1"/>
    <col min="5" max="5" width="12.140625" customWidth="1"/>
    <col min="6" max="6" width="12.28515625" customWidth="1"/>
    <col min="7" max="7" width="32" customWidth="1"/>
    <col min="8" max="8" width="14" customWidth="1"/>
    <col min="9" max="10" width="2" customWidth="1"/>
  </cols>
  <sheetData>
    <row r="1" spans="1:10" ht="31.5" customHeight="1" x14ac:dyDescent="0.25">
      <c r="A1" s="159" t="s">
        <v>6574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5" customHeight="1" x14ac:dyDescent="0.25">
      <c r="A2" s="161" t="s">
        <v>6575</v>
      </c>
      <c r="B2" s="86"/>
      <c r="C2" s="86"/>
      <c r="D2" s="86"/>
      <c r="E2" s="86"/>
      <c r="F2" s="86"/>
      <c r="G2" s="86"/>
      <c r="H2" s="86"/>
      <c r="I2" s="86"/>
      <c r="J2" s="86"/>
    </row>
    <row r="4" spans="1:10" ht="21.75" customHeight="1" x14ac:dyDescent="0.25">
      <c r="A4" s="31" t="s">
        <v>6576</v>
      </c>
      <c r="B4" s="31" t="s">
        <v>6577</v>
      </c>
      <c r="C4" s="31" t="s">
        <v>6578</v>
      </c>
      <c r="D4" s="31" t="s">
        <v>6579</v>
      </c>
      <c r="E4" s="31" t="s">
        <v>6580</v>
      </c>
      <c r="F4" s="31" t="s">
        <v>6581</v>
      </c>
      <c r="G4" s="31" t="s">
        <v>6582</v>
      </c>
      <c r="H4" s="31" t="s">
        <v>6583</v>
      </c>
    </row>
    <row r="5" spans="1:10" ht="21.75" customHeight="1" x14ac:dyDescent="0.25">
      <c r="A5" s="62" t="s">
        <v>6584</v>
      </c>
      <c r="B5" s="63" t="s">
        <v>6585</v>
      </c>
      <c r="C5" s="63" t="s">
        <v>6586</v>
      </c>
      <c r="D5" s="63" t="s">
        <v>6587</v>
      </c>
      <c r="E5" s="62" t="s">
        <v>6588</v>
      </c>
      <c r="F5" s="64" t="s">
        <v>6588</v>
      </c>
      <c r="G5" s="64" t="str">
        <f>IF(COUNTA('BASE BI'!A:A)&gt;1,"OK — "&amp;(COUNTA('BASE BI'!A:A)-1)&amp;" linhas","Vazio")</f>
        <v>OK — 1534 linhas</v>
      </c>
      <c r="H5" s="50" t="str">
        <f t="shared" ref="H5:H11" si="0">IF(ISNUMBER(SEARCH("OK",G5)),"✔ INTEGRADO","⚠ VERIFICAR")</f>
        <v>✔ INTEGRADO</v>
      </c>
    </row>
    <row r="6" spans="1:10" ht="21.75" customHeight="1" x14ac:dyDescent="0.25">
      <c r="A6" s="65" t="s">
        <v>6589</v>
      </c>
      <c r="B6" s="66" t="s">
        <v>6584</v>
      </c>
      <c r="C6" s="66" t="s">
        <v>6590</v>
      </c>
      <c r="D6" s="66" t="s">
        <v>6591</v>
      </c>
      <c r="E6" s="50" t="s">
        <v>6592</v>
      </c>
      <c r="F6" s="50" t="s">
        <v>6592</v>
      </c>
      <c r="G6" s="51" t="str">
        <f>IF(CONTROLE!D9&gt;0,"OK — "&amp;CONTROLE!D9&amp;" chamados",IF(COUNTA('BASE BI'!A:A)&gt;1,"OK — base ativa / semana sem dados","Verificar base"))</f>
        <v>OK — 106 chamados</v>
      </c>
      <c r="H6" s="50" t="str">
        <f t="shared" si="0"/>
        <v>✔ INTEGRADO</v>
      </c>
    </row>
    <row r="7" spans="1:10" ht="21.75" customHeight="1" x14ac:dyDescent="0.25">
      <c r="A7" s="62" t="s">
        <v>6593</v>
      </c>
      <c r="B7" s="63" t="s">
        <v>6594</v>
      </c>
      <c r="C7" s="63" t="s">
        <v>6595</v>
      </c>
      <c r="D7" s="63" t="s">
        <v>6596</v>
      </c>
      <c r="E7" s="50" t="s">
        <v>6592</v>
      </c>
      <c r="F7" s="67" t="s">
        <v>6597</v>
      </c>
      <c r="G7" s="64" t="str">
        <f>IF(REINCIDENTES!D7&gt;0,"OK — "&amp;REINCIDENTES!D7&amp;" chamados","Verificar")</f>
        <v>OK — 1188 chamados</v>
      </c>
      <c r="H7" s="50" t="str">
        <f t="shared" si="0"/>
        <v>✔ INTEGRADO</v>
      </c>
    </row>
    <row r="8" spans="1:10" ht="21.75" customHeight="1" x14ac:dyDescent="0.25">
      <c r="A8" s="65" t="s">
        <v>6598</v>
      </c>
      <c r="B8" s="66" t="s">
        <v>6589</v>
      </c>
      <c r="C8" s="66" t="s">
        <v>6599</v>
      </c>
      <c r="D8" s="66" t="s">
        <v>6600</v>
      </c>
      <c r="E8" s="50" t="s">
        <v>6592</v>
      </c>
      <c r="F8" s="50" t="s">
        <v>6592</v>
      </c>
      <c r="G8" s="51" t="str">
        <f>IF(CONTROLE!D9&gt;0,"OK — relatório alimentado","OK — relatório zero-safe")</f>
        <v>OK — relatório alimentado</v>
      </c>
      <c r="H8" s="50" t="str">
        <f t="shared" si="0"/>
        <v>✔ INTEGRADO</v>
      </c>
    </row>
    <row r="9" spans="1:10" ht="21.75" customHeight="1" x14ac:dyDescent="0.25">
      <c r="A9" s="62" t="s">
        <v>6601</v>
      </c>
      <c r="B9" s="63" t="s">
        <v>6584</v>
      </c>
      <c r="C9" s="63" t="s">
        <v>6602</v>
      </c>
      <c r="D9" s="63" t="s">
        <v>6603</v>
      </c>
      <c r="E9" s="50" t="s">
        <v>6592</v>
      </c>
      <c r="F9" s="67" t="s">
        <v>6597</v>
      </c>
      <c r="G9" s="64" t="s">
        <v>6604</v>
      </c>
      <c r="H9" s="50" t="str">
        <f t="shared" si="0"/>
        <v>✔ INTEGRADO</v>
      </c>
    </row>
    <row r="10" spans="1:10" ht="21.75" customHeight="1" x14ac:dyDescent="0.25">
      <c r="A10" s="65" t="s">
        <v>6605</v>
      </c>
      <c r="B10" s="66" t="s">
        <v>6589</v>
      </c>
      <c r="C10" s="66" t="s">
        <v>6599</v>
      </c>
      <c r="D10" s="66" t="s">
        <v>6606</v>
      </c>
      <c r="E10" s="50" t="s">
        <v>6592</v>
      </c>
      <c r="F10" s="50" t="s">
        <v>6592</v>
      </c>
      <c r="G10" s="51" t="str">
        <f>IF(LEN(FCA!A2)&gt;5,"OK","Verificar")</f>
        <v>OK</v>
      </c>
      <c r="H10" s="50" t="str">
        <f t="shared" si="0"/>
        <v>✔ INTEGRADO</v>
      </c>
    </row>
    <row r="11" spans="1:10" ht="21.75" customHeight="1" x14ac:dyDescent="0.25">
      <c r="A11" s="62" t="s">
        <v>6607</v>
      </c>
      <c r="B11" s="63" t="s">
        <v>6589</v>
      </c>
      <c r="C11" s="63" t="s">
        <v>6599</v>
      </c>
      <c r="D11" s="63" t="s">
        <v>6608</v>
      </c>
      <c r="E11" s="50" t="s">
        <v>6592</v>
      </c>
      <c r="F11" s="50" t="s">
        <v>6592</v>
      </c>
      <c r="G11" s="64" t="str">
        <f>IF(CONTROLE!D9&gt;0,"OK — "&amp;CONTROLE!D9&amp;" na semana","OK — dashboard zero-safe")</f>
        <v>OK — 106 na semana</v>
      </c>
      <c r="H11" s="50" t="str">
        <f t="shared" si="0"/>
        <v>✔ INTEGRADO</v>
      </c>
    </row>
    <row r="13" spans="1:10" ht="24" customHeight="1" x14ac:dyDescent="0.25">
      <c r="A13" s="162" t="s">
        <v>6609</v>
      </c>
      <c r="B13" s="86"/>
      <c r="C13" s="86"/>
      <c r="D13" s="86"/>
      <c r="E13" s="86"/>
      <c r="F13" s="86"/>
      <c r="G13" s="86"/>
      <c r="H13" s="86"/>
      <c r="I13" s="86"/>
      <c r="J13" s="86"/>
    </row>
    <row r="14" spans="1:10" ht="39.75" customHeight="1" x14ac:dyDescent="0.25">
      <c r="A14" s="68" t="s">
        <v>6610</v>
      </c>
      <c r="B14" s="160" t="s">
        <v>6611</v>
      </c>
      <c r="C14" s="84"/>
      <c r="D14" s="84"/>
      <c r="E14" s="84"/>
      <c r="F14" s="84"/>
      <c r="G14" s="84"/>
      <c r="H14" s="84"/>
      <c r="I14" s="84"/>
      <c r="J14" s="84"/>
    </row>
    <row r="15" spans="1:10" ht="39.75" customHeight="1" x14ac:dyDescent="0.25">
      <c r="A15" s="68" t="s">
        <v>6612</v>
      </c>
      <c r="B15" s="158" t="s">
        <v>6613</v>
      </c>
      <c r="C15" s="84"/>
      <c r="D15" s="84"/>
      <c r="E15" s="84"/>
      <c r="F15" s="84"/>
      <c r="G15" s="84"/>
      <c r="H15" s="84"/>
      <c r="I15" s="84"/>
      <c r="J15" s="84"/>
    </row>
    <row r="16" spans="1:10" ht="39.75" customHeight="1" x14ac:dyDescent="0.25">
      <c r="A16" s="68" t="s">
        <v>6614</v>
      </c>
      <c r="B16" s="160" t="s">
        <v>6615</v>
      </c>
      <c r="C16" s="84"/>
      <c r="D16" s="84"/>
      <c r="E16" s="84"/>
      <c r="F16" s="84"/>
      <c r="G16" s="84"/>
      <c r="H16" s="84"/>
      <c r="I16" s="84"/>
      <c r="J16" s="84"/>
    </row>
    <row r="17" spans="1:10" ht="39.75" customHeight="1" x14ac:dyDescent="0.25">
      <c r="A17" s="68" t="s">
        <v>6616</v>
      </c>
      <c r="B17" s="158" t="s">
        <v>6617</v>
      </c>
      <c r="C17" s="84"/>
      <c r="D17" s="84"/>
      <c r="E17" s="84"/>
      <c r="F17" s="84"/>
      <c r="G17" s="84"/>
      <c r="H17" s="84"/>
      <c r="I17" s="84"/>
      <c r="J17" s="84"/>
    </row>
  </sheetData>
  <mergeCells count="7">
    <mergeCell ref="B15:J15"/>
    <mergeCell ref="A1:J1"/>
    <mergeCell ref="B14:J14"/>
    <mergeCell ref="B17:J17"/>
    <mergeCell ref="A2:J2"/>
    <mergeCell ref="A13:J13"/>
    <mergeCell ref="B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 BI</vt:lpstr>
      <vt:lpstr>CONTROLE</vt:lpstr>
      <vt:lpstr>RELATÓRIO EXECUTIVO</vt:lpstr>
      <vt:lpstr>REINCIDENTES</vt:lpstr>
      <vt:lpstr>EVOLUÇÃO</vt:lpstr>
      <vt:lpstr>FCA</vt:lpstr>
      <vt:lpstr>DASHBOARD</vt:lpstr>
      <vt:lpstr>INTEGRAÇÃO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2026-06-03T13:54:43Z</dcterms:created>
  <dcterms:modified xsi:type="dcterms:W3CDTF">2026-06-03T13:54:43Z</dcterms:modified>
</cp:coreProperties>
</file>